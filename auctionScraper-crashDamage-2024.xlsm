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33ce281506d8d/funInvestments/aucikco/"/>
    </mc:Choice>
  </mc:AlternateContent>
  <xr:revisionPtr revIDLastSave="37" documentId="13_ncr:1_{C58AF39B-CC4D-417C-9D89-2A5E5AD92499}" xr6:coauthVersionLast="47" xr6:coauthVersionMax="47" xr10:uidLastSave="{E114E03D-93F4-46D6-9713-C19024B3A072}"/>
  <bookViews>
    <workbookView xWindow="-120" yWindow="-120" windowWidth="38640" windowHeight="15840" firstSheet="3" activeTab="3" xr2:uid="{83FBD757-08B3-450D-91CA-91E868E89C9C}"/>
  </bookViews>
  <sheets>
    <sheet name="Sheet4" sheetId="4" r:id="rId1"/>
    <sheet name="Sheet7" sheetId="7" r:id="rId2"/>
    <sheet name="Sheet8" sheetId="8" r:id="rId3"/>
    <sheet name="Sheet3" sheetId="3" r:id="rId4"/>
    <sheet name="realPrices" sheetId="1" r:id="rId5"/>
    <sheet name="Sheet10" sheetId="12" r:id="rId6"/>
    <sheet name="winners" sheetId="11" r:id="rId7"/>
    <sheet name="Sheet2" sheetId="2" r:id="rId8"/>
    <sheet name="Sheet5" sheetId="9" r:id="rId9"/>
    <sheet name="Sheet6" sheetId="10" r:id="rId10"/>
    <sheet name="Sheet9" sheetId="13" r:id="rId11"/>
    <sheet name="Sheet11" sheetId="14" r:id="rId12"/>
    <sheet name="Sheet12" sheetId="15" r:id="rId13"/>
  </sheets>
  <functionGroups builtInGroupCount="19"/>
  <definedNames>
    <definedName name="_xlnm._FilterDatabase" localSheetId="5" hidden="1">Sheet10!$A$1:$C$58</definedName>
    <definedName name="_xlnm._FilterDatabase" localSheetId="3" hidden="1">Sheet3!$A$1:$Y$1739</definedName>
    <definedName name="_xlnm._FilterDatabase" localSheetId="9" hidden="1">Sheet6!$A$1:$A$42</definedName>
  </definedNames>
  <calcPr calcId="191028"/>
  <pivotCaches>
    <pivotCache cacheId="52" r:id="rId14"/>
    <pivotCache cacheId="53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31" i="3" l="1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" i="3" l="1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" i="3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2" i="12"/>
  <c r="Q3" i="8"/>
  <c r="Q4" i="8"/>
  <c r="Q5" i="8" l="1"/>
</calcChain>
</file>

<file path=xl/sharedStrings.xml><?xml version="1.0" encoding="utf-8"?>
<sst xmlns="http://schemas.openxmlformats.org/spreadsheetml/2006/main" count="7949" uniqueCount="3128">
  <si>
    <t>Column Labels</t>
  </si>
  <si>
    <t>1401/7/18</t>
  </si>
  <si>
    <t>1401/7/20</t>
  </si>
  <si>
    <t>1401/7/21</t>
  </si>
  <si>
    <t>1401/7/29</t>
  </si>
  <si>
    <t>1401/8/10</t>
  </si>
  <si>
    <t>1401/8/2</t>
  </si>
  <si>
    <t>1401/8/16</t>
  </si>
  <si>
    <t>1401/8/15</t>
  </si>
  <si>
    <t>1401/8/14</t>
  </si>
  <si>
    <t>1401/8/11</t>
  </si>
  <si>
    <t>1401/8/21</t>
  </si>
  <si>
    <t>Total Average of Price</t>
  </si>
  <si>
    <t>Total Sum of Price</t>
  </si>
  <si>
    <t>Row Labels</t>
  </si>
  <si>
    <t>Average of Price</t>
  </si>
  <si>
    <t>Sum of Price</t>
  </si>
  <si>
    <t>نمایشگاه</t>
  </si>
  <si>
    <t>nu6gqdka</t>
  </si>
  <si>
    <t>pm47xjmz</t>
  </si>
  <si>
    <t>vky5aan</t>
  </si>
  <si>
    <t>x7kfuc4f</t>
  </si>
  <si>
    <t>xu5xt7yw</t>
  </si>
  <si>
    <t>xun1wnon</t>
  </si>
  <si>
    <t>mux26ect</t>
  </si>
  <si>
    <t>Personal</t>
  </si>
  <si>
    <t>dcmshnbt</t>
  </si>
  <si>
    <t>fkeed39b</t>
  </si>
  <si>
    <t>g7vf5q7b</t>
  </si>
  <si>
    <t>jt59hoa</t>
  </si>
  <si>
    <t>q6egcxvm</t>
  </si>
  <si>
    <t>xk2wh5cb</t>
  </si>
  <si>
    <t>zwnjxzf5</t>
  </si>
  <si>
    <t>3qxrv6p8</t>
  </si>
  <si>
    <t>Grand Total</t>
  </si>
  <si>
    <t>8-Nov</t>
  </si>
  <si>
    <t>12-Nov</t>
  </si>
  <si>
    <t>Count of Price</t>
  </si>
  <si>
    <t>1401/8/17</t>
  </si>
  <si>
    <t>نام خودرو</t>
  </si>
  <si>
    <t>شماره شاسی</t>
  </si>
  <si>
    <t>کد خودرو</t>
  </si>
  <si>
    <t>رنگ خودرو</t>
  </si>
  <si>
    <t>نوع سوخت</t>
  </si>
  <si>
    <t>وضعيت خودرو</t>
  </si>
  <si>
    <t>کیلومتر کارکرد</t>
  </si>
  <si>
    <t>year</t>
  </si>
  <si>
    <t>شماره موتور</t>
  </si>
  <si>
    <t>ايرادات خودرو</t>
  </si>
  <si>
    <t>شماره پلاك انتظامي</t>
  </si>
  <si>
    <t>carBrand</t>
  </si>
  <si>
    <t>کد کلاس</t>
  </si>
  <si>
    <t>carType</t>
  </si>
  <si>
    <t>reserve</t>
  </si>
  <si>
    <t>winner</t>
  </si>
  <si>
    <t>percent higher</t>
  </si>
  <si>
    <t>id</t>
  </si>
  <si>
    <t>marketValue</t>
  </si>
  <si>
    <t>difference</t>
  </si>
  <si>
    <t>سفيد دو پوششه</t>
  </si>
  <si>
    <t>بنزين</t>
  </si>
  <si>
    <t>SE XU7</t>
  </si>
  <si>
    <t>سواري</t>
  </si>
  <si>
    <t>PU1 OHVG CNG</t>
  </si>
  <si>
    <t>تارا دستي کلاس 1 سفيد دو پوششه</t>
  </si>
  <si>
    <t>TARA TU5P</t>
  </si>
  <si>
    <t>خودرو مستعمل يا مازاد سازماني</t>
  </si>
  <si>
    <t>1600i</t>
  </si>
  <si>
    <t>وانت 1600 انژكتوري معمولي سفيد</t>
  </si>
  <si>
    <t>معمولي</t>
  </si>
  <si>
    <t>BARDO OHV</t>
  </si>
  <si>
    <t>OHV CNG</t>
  </si>
  <si>
    <t>پژو جي ال ايكس انژكتوري كلاس 2 مشكي متاليك</t>
  </si>
  <si>
    <t>9R287855</t>
  </si>
  <si>
    <t>405 GLX XU7</t>
  </si>
  <si>
    <t>وانت پيكان OHV كلاس 4 سفيد صدفي</t>
  </si>
  <si>
    <t>CG290384</t>
  </si>
  <si>
    <t>وانت پيكان OHV دوگانه سوز كلاس 11 سفيد شيري</t>
  </si>
  <si>
    <t>EG404174</t>
  </si>
  <si>
    <t>وانت پيكان OHV دوگانه سوز كلاس 10 سفيد شيري</t>
  </si>
  <si>
    <t>DG387150</t>
  </si>
  <si>
    <t>405GLX XU7 CNG</t>
  </si>
  <si>
    <t>پژو پارس TU5 كلاس20 سفيد دو پوششه</t>
  </si>
  <si>
    <t>خودرو حريقي</t>
  </si>
  <si>
    <t>PARS TU5</t>
  </si>
  <si>
    <t>پژو جي ال ايكس دوگانه سوز كلاس 28 زرد دو پوششه ساليد</t>
  </si>
  <si>
    <t>GR663141</t>
  </si>
  <si>
    <t>1401/10/30</t>
  </si>
  <si>
    <t>پژو 206 اس دي 1600 سي سي كلاس 1 نقره اي متاليك</t>
  </si>
  <si>
    <t>206SD TU5</t>
  </si>
  <si>
    <t>پژو جي ال ايكس انژكتوري كلاس 10 نقره اي متاليك</t>
  </si>
  <si>
    <t>BE033523</t>
  </si>
  <si>
    <t>تندر 90 E0 A/C نقره اي پرشين متاليك</t>
  </si>
  <si>
    <t>7A100101</t>
  </si>
  <si>
    <t>TONDAR 90 K4M</t>
  </si>
  <si>
    <t>سمند - ال ايكس كلاس 18 خاكستري متاليك</t>
  </si>
  <si>
    <t>BF863334</t>
  </si>
  <si>
    <t>LX XU7</t>
  </si>
  <si>
    <t>پژو اس ال ايكس انژكتوري SLX با موتور TU5 كلاس 5 سفيد دو پوششه</t>
  </si>
  <si>
    <t>DK866159</t>
  </si>
  <si>
    <t>405 TU5 SLX</t>
  </si>
  <si>
    <t>پژو 206 اس دي اتوماتيك كلاس1 سفيد دوپوششه كانزاي</t>
  </si>
  <si>
    <t>BJ371591</t>
  </si>
  <si>
    <t>206SD TU5 A</t>
  </si>
  <si>
    <t>LX EF7 CNG</t>
  </si>
  <si>
    <t>پژو جي ال ايكس دوگانه سوز كلاس 12 نقره اي متاليك</t>
  </si>
  <si>
    <t>DR931374</t>
  </si>
  <si>
    <t>پژو جي ال ايكس دوگانه سوز كلاس 22 خاكستري متاليك</t>
  </si>
  <si>
    <t>ER929373</t>
  </si>
  <si>
    <t>H30 TU5 A</t>
  </si>
  <si>
    <t>پژو پارس كلاس 13 خاكستري متاليك</t>
  </si>
  <si>
    <t>DR647873</t>
  </si>
  <si>
    <t>PARS XU7</t>
  </si>
  <si>
    <t>رانا کلاس 15 سفيد دو پوششه</t>
  </si>
  <si>
    <t>NT372498</t>
  </si>
  <si>
    <t>TU5</t>
  </si>
  <si>
    <t>پژو 206 معمولي كلاس 31 سفيد دو پوششه</t>
  </si>
  <si>
    <t>NJ303001</t>
  </si>
  <si>
    <t>206TU3</t>
  </si>
  <si>
    <t>سمند - ال ايكس کلاس 35 سفيد دو پوششه</t>
  </si>
  <si>
    <t>DF632510</t>
  </si>
  <si>
    <t>NJ302926</t>
  </si>
  <si>
    <t>پژو جي ال ايكس انژكتوري كلاس 34 نقره اي متاليك</t>
  </si>
  <si>
    <t>HK141130</t>
  </si>
  <si>
    <t>SOREN EF7</t>
  </si>
  <si>
    <t>NJ303378</t>
  </si>
  <si>
    <t>وانت آريسان دوگانه سوز كلاس 4 سفيد دو پوششه</t>
  </si>
  <si>
    <t>پژو پارس سال با موتور XU7 P کلاس 1 سفيد دوپوششه كانزاي</t>
  </si>
  <si>
    <t>PARS XU7 P</t>
  </si>
  <si>
    <t>دنا كلاس17 سفيد دو پوششه</t>
  </si>
  <si>
    <t>DENA EF7</t>
  </si>
  <si>
    <t>LC104009</t>
  </si>
  <si>
    <t>سمند ال ايكسEF7 كلاس 16 سفيد دو پوششه</t>
  </si>
  <si>
    <t>LC103581</t>
  </si>
  <si>
    <t>LC104032</t>
  </si>
  <si>
    <t>LC103780</t>
  </si>
  <si>
    <t>LC103704</t>
  </si>
  <si>
    <t>LC103910</t>
  </si>
  <si>
    <t>LC103768</t>
  </si>
  <si>
    <t>LC103666</t>
  </si>
  <si>
    <t>LC103616</t>
  </si>
  <si>
    <t>LH308375</t>
  </si>
  <si>
    <t>164B0273043</t>
  </si>
  <si>
    <t>خط و خش و قري و كسري هاي ظاهري به رؤيت مشتري مي باشد - قسمت جلو موتور سوخته و حريقي ميباشد - لوازم موتوري سوخته و كسري قطعه دارد - بازبودن سيم پيچي هاي زير داشبورد قسمت راننده - دفرمه بودن رودري هاي درب هاي جلو و شكستگي قاب ركابها - سوختگي گلگيرهاي جلو و درب موتور و چرخ هاي جلو و تمامي سيم پيچي هاي داخل موتور و زيرخودرو و سوختگي تمامي قطعات موتوري - موتور خودرو حريقي ميباشد - كسري بسياري از قطعات موتوري و سپر جلو و چراغ هاي جلو و رادياتها و مجموعه كامل سيني فن و لوله ها و شيلنگ هاي داخل موتور و درپوش كولر و مخزن هاي هيدروليك و مخزن شيشه شور و راهنماهاي روي گلگيرهاي جلو - قري شديد سقف - خوردگي درب موتور و گلگيرجلو راست و گلگيرجلو چپ و سپر عقب - كسري درب راديات و درب روغن ترمز و درب روغن هيدروليك و درب روغن موتور و باطري و گيج روغن و اي سي يو و سنسور هوا و نمدي درب موتور و يك عدد سوئيچ و جلو پنجره و آنتن - سوختگي سيني زير موتور و تيغه برف پاك كن و اينه هاي جانبي - يك عدد قالپاق داخل صندوق - لاستيكهاي جلو تركيده - شكستگي شيشه جلو - موكت صندوق مستعمل - خودرو داراي يكعدد پلاك انتظامي مي باشد</t>
  </si>
  <si>
    <t>172-41س97</t>
  </si>
  <si>
    <t>پژو جي ال ايكس انژكتوري كلاس 37 نقره اي متاليك</t>
  </si>
  <si>
    <t>KK253168</t>
  </si>
  <si>
    <t>سمند ال ايكسEF7 كلاس 11 سفيد دو پوششه</t>
  </si>
  <si>
    <t>FF504076</t>
  </si>
  <si>
    <t>LC104063</t>
  </si>
  <si>
    <t>LC103665</t>
  </si>
  <si>
    <t>LC103852</t>
  </si>
  <si>
    <t>LC103554</t>
  </si>
  <si>
    <t>LC103953</t>
  </si>
  <si>
    <t>LC104070</t>
  </si>
  <si>
    <t>پژو پارس سال با موتور XU7 P کلاس 1 سفيد دو پوششه</t>
  </si>
  <si>
    <t>تندر 90 E1 - 1 Airbag مشكي پرشين متاليك</t>
  </si>
  <si>
    <t>EA232587</t>
  </si>
  <si>
    <t>LC103761</t>
  </si>
  <si>
    <t>LC103970</t>
  </si>
  <si>
    <t>LC103663</t>
  </si>
  <si>
    <t>LC103760</t>
  </si>
  <si>
    <t>LC103789</t>
  </si>
  <si>
    <t>LC103728</t>
  </si>
  <si>
    <t>LC103989</t>
  </si>
  <si>
    <t>LC103951</t>
  </si>
  <si>
    <t>LC103960</t>
  </si>
  <si>
    <t>LC103924</t>
  </si>
  <si>
    <t>LC103974</t>
  </si>
  <si>
    <t>LC103807</t>
  </si>
  <si>
    <t>LC103886</t>
  </si>
  <si>
    <t>LC103552</t>
  </si>
  <si>
    <t>LC103689</t>
  </si>
  <si>
    <t>LC103905</t>
  </si>
  <si>
    <t>LC103740</t>
  </si>
  <si>
    <t>LC103921</t>
  </si>
  <si>
    <t>LC103884</t>
  </si>
  <si>
    <t>LC103557</t>
  </si>
  <si>
    <t>LC103902</t>
  </si>
  <si>
    <t>LC103573</t>
  </si>
  <si>
    <t>LC103655</t>
  </si>
  <si>
    <t>LC103709</t>
  </si>
  <si>
    <t>LC103659</t>
  </si>
  <si>
    <t>LC103660</t>
  </si>
  <si>
    <t>LC103661</t>
  </si>
  <si>
    <t>LC103617</t>
  </si>
  <si>
    <t>LC103900</t>
  </si>
  <si>
    <t>LC103772</t>
  </si>
  <si>
    <t>LC103610</t>
  </si>
  <si>
    <t>LC103614</t>
  </si>
  <si>
    <t>LC103574</t>
  </si>
  <si>
    <t>LC103571</t>
  </si>
  <si>
    <t>LC103602</t>
  </si>
  <si>
    <t>LC103676</t>
  </si>
  <si>
    <t>LC103326</t>
  </si>
  <si>
    <t>LC103589</t>
  </si>
  <si>
    <t>LC103402</t>
  </si>
  <si>
    <t>LC103572</t>
  </si>
  <si>
    <t>LC103782</t>
  </si>
  <si>
    <t>LC103753</t>
  </si>
  <si>
    <t>LC103801</t>
  </si>
  <si>
    <t>LC103645</t>
  </si>
  <si>
    <t>LC103548</t>
  </si>
  <si>
    <t>LC103634</t>
  </si>
  <si>
    <t>LC104182</t>
  </si>
  <si>
    <t>LC104083</t>
  </si>
  <si>
    <t>LC104101</t>
  </si>
  <si>
    <t>LC103820</t>
  </si>
  <si>
    <t>LC103559</t>
  </si>
  <si>
    <t>LC103640</t>
  </si>
  <si>
    <t>LC103621</t>
  </si>
  <si>
    <t>LC103668</t>
  </si>
  <si>
    <t>LC103675</t>
  </si>
  <si>
    <t>LC103699</t>
  </si>
  <si>
    <t>LC103738</t>
  </si>
  <si>
    <t>LC103969</t>
  </si>
  <si>
    <t>LC103712</t>
  </si>
  <si>
    <t>LC103835</t>
  </si>
  <si>
    <t>LC104228</t>
  </si>
  <si>
    <t>LC103670</t>
  </si>
  <si>
    <t>LC103648</t>
  </si>
  <si>
    <t>LC103652</t>
  </si>
  <si>
    <t>LC104011</t>
  </si>
  <si>
    <t>LC104132</t>
  </si>
  <si>
    <t>LC104045</t>
  </si>
  <si>
    <t>LC103723</t>
  </si>
  <si>
    <t>LC103562</t>
  </si>
  <si>
    <t>LC103558</t>
  </si>
  <si>
    <t>LC103683</t>
  </si>
  <si>
    <t>LC103790</t>
  </si>
  <si>
    <t>LC103849</t>
  </si>
  <si>
    <t>LC103664</t>
  </si>
  <si>
    <t>LC104076</t>
  </si>
  <si>
    <t>LC104022</t>
  </si>
  <si>
    <t>LC103630</t>
  </si>
  <si>
    <t>LC103770</t>
  </si>
  <si>
    <t>LC103913</t>
  </si>
  <si>
    <t>LC103906</t>
  </si>
  <si>
    <t>LC103959</t>
  </si>
  <si>
    <t>LC104085</t>
  </si>
  <si>
    <t>LC104066</t>
  </si>
  <si>
    <t>LC103711</t>
  </si>
  <si>
    <t>LC104020</t>
  </si>
  <si>
    <t>LC104112</t>
  </si>
  <si>
    <t>LC103845</t>
  </si>
  <si>
    <t>LC103778</t>
  </si>
  <si>
    <t>LC103986</t>
  </si>
  <si>
    <t>LC103721</t>
  </si>
  <si>
    <t>LC100711</t>
  </si>
  <si>
    <t>LC103964</t>
  </si>
  <si>
    <t>LC103958</t>
  </si>
  <si>
    <t>LC103841</t>
  </si>
  <si>
    <t>LC103741</t>
  </si>
  <si>
    <t>LC103988</t>
  </si>
  <si>
    <t>LC103929</t>
  </si>
  <si>
    <t>LC103997</t>
  </si>
  <si>
    <t>LC103936</t>
  </si>
  <si>
    <t>LC103593</t>
  </si>
  <si>
    <t>LC103596</t>
  </si>
  <si>
    <t>LC103696</t>
  </si>
  <si>
    <t>LC103609</t>
  </si>
  <si>
    <t>LC103611</t>
  </si>
  <si>
    <t>LC103896</t>
  </si>
  <si>
    <t>LC103909</t>
  </si>
  <si>
    <t>LC104023</t>
  </si>
  <si>
    <t>LC103608</t>
  </si>
  <si>
    <t>LC103763</t>
  </si>
  <si>
    <t>LC103904</t>
  </si>
  <si>
    <t>LC103757</t>
  </si>
  <si>
    <t>LC103817</t>
  </si>
  <si>
    <t>LC103925</t>
  </si>
  <si>
    <t>LC103927</t>
  </si>
  <si>
    <t>LC103946</t>
  </si>
  <si>
    <t>LC101644</t>
  </si>
  <si>
    <t>LC103818</t>
  </si>
  <si>
    <t>LC103920</t>
  </si>
  <si>
    <t>LC103808</t>
  </si>
  <si>
    <t>LC103939</t>
  </si>
  <si>
    <t>LC103722</t>
  </si>
  <si>
    <t>LC103755</t>
  </si>
  <si>
    <t>LC104053</t>
  </si>
  <si>
    <t>LC104044</t>
  </si>
  <si>
    <t>LC103551</t>
  </si>
  <si>
    <t>LC104031</t>
  </si>
  <si>
    <t>LC103594</t>
  </si>
  <si>
    <t>LC103785</t>
  </si>
  <si>
    <t>LC104116</t>
  </si>
  <si>
    <t>LC103866</t>
  </si>
  <si>
    <t>LC103766</t>
  </si>
  <si>
    <t>LC103719</t>
  </si>
  <si>
    <t>LC103804</t>
  </si>
  <si>
    <t>LC103847</t>
  </si>
  <si>
    <t>LC104024</t>
  </si>
  <si>
    <t>LC103541</t>
  </si>
  <si>
    <t>LC103228</t>
  </si>
  <si>
    <t>LC103563</t>
  </si>
  <si>
    <t>LC103888</t>
  </si>
  <si>
    <t>LC104012</t>
  </si>
  <si>
    <t>LC103813</t>
  </si>
  <si>
    <t>LC103826</t>
  </si>
  <si>
    <t>LC103869</t>
  </si>
  <si>
    <t>LC103762</t>
  </si>
  <si>
    <t>LC103944</t>
  </si>
  <si>
    <t>LC103688</t>
  </si>
  <si>
    <t>LC103992</t>
  </si>
  <si>
    <t>LC103982</t>
  </si>
  <si>
    <t>LC103565</t>
  </si>
  <si>
    <t>LC103995</t>
  </si>
  <si>
    <t>LC103973</t>
  </si>
  <si>
    <t>LC103977</t>
  </si>
  <si>
    <t>LC103814</t>
  </si>
  <si>
    <t>LC104129</t>
  </si>
  <si>
    <t>LC103899</t>
  </si>
  <si>
    <t>LC104196</t>
  </si>
  <si>
    <t>LC103639</t>
  </si>
  <si>
    <t>LC103795</t>
  </si>
  <si>
    <t>LC103580</t>
  </si>
  <si>
    <t>LC103587</t>
  </si>
  <si>
    <t>LC103674</t>
  </si>
  <si>
    <t>LC103592</t>
  </si>
  <si>
    <t>LC103690</t>
  </si>
  <si>
    <t>LC103545</t>
  </si>
  <si>
    <t>LC104004</t>
  </si>
  <si>
    <t>پژو پارس کلاس 42 خاكستري متاليك</t>
  </si>
  <si>
    <t>LC103600</t>
  </si>
  <si>
    <t>LC103705</t>
  </si>
  <si>
    <t>LC103975</t>
  </si>
  <si>
    <t>LC103636</t>
  </si>
  <si>
    <t>LC104126</t>
  </si>
  <si>
    <t>LC103897</t>
  </si>
  <si>
    <t>KK253062</t>
  </si>
  <si>
    <t>LC103748</t>
  </si>
  <si>
    <t>LC103672</t>
  </si>
  <si>
    <t>LC103783</t>
  </si>
  <si>
    <t>LC103864</t>
  </si>
  <si>
    <t>LC103588</t>
  </si>
  <si>
    <t>LC104074</t>
  </si>
  <si>
    <t>LC103575</t>
  </si>
  <si>
    <t>LC103775</t>
  </si>
  <si>
    <t>LC103752</t>
  </si>
  <si>
    <t>LC104059</t>
  </si>
  <si>
    <t>LC103802</t>
  </si>
  <si>
    <t>LC104057</t>
  </si>
  <si>
    <t>LC103955</t>
  </si>
  <si>
    <t>LC104017</t>
  </si>
  <si>
    <t>LC103954</t>
  </si>
  <si>
    <t>LC103540</t>
  </si>
  <si>
    <t>LC103686</t>
  </si>
  <si>
    <t>LC104111</t>
  </si>
  <si>
    <t>LC103885</t>
  </si>
  <si>
    <t>LC104088</t>
  </si>
  <si>
    <t>LC103830</t>
  </si>
  <si>
    <t>LC103620</t>
  </si>
  <si>
    <t>LC104144</t>
  </si>
  <si>
    <t>LC104147</t>
  </si>
  <si>
    <t>LC103657</t>
  </si>
  <si>
    <t>LC103931</t>
  </si>
  <si>
    <t>LC103586</t>
  </si>
  <si>
    <t>LC104028</t>
  </si>
  <si>
    <t>LC103747</t>
  </si>
  <si>
    <t>LC103898</t>
  </si>
  <si>
    <t>LC103806</t>
  </si>
  <si>
    <t>LC104162</t>
  </si>
  <si>
    <t>LC103542</t>
  </si>
  <si>
    <t>LC103860</t>
  </si>
  <si>
    <t>LC103716</t>
  </si>
  <si>
    <t>LC103878</t>
  </si>
  <si>
    <t>LC103561</t>
  </si>
  <si>
    <t>LC103583</t>
  </si>
  <si>
    <t>LC103644</t>
  </si>
  <si>
    <t>LC103646</t>
  </si>
  <si>
    <t>LC103560</t>
  </si>
  <si>
    <t>LC103917</t>
  </si>
  <si>
    <t>سورن EF7 بنزيني کلاس 19 سفيد دوپوششه كانزاي</t>
  </si>
  <si>
    <t>MJ632133</t>
  </si>
  <si>
    <t>سمند - ال ايكس کلاس 57 سفيد دو پوششه</t>
  </si>
  <si>
    <t>MF844579</t>
  </si>
  <si>
    <t>پژو جي ال ايكس دوگانه سوز کلاس 35 خاكستري متال</t>
  </si>
  <si>
    <t>LK565737</t>
  </si>
  <si>
    <t>پژو 206 1600 سي سي كلاس 15 سفيد دو پوششه</t>
  </si>
  <si>
    <t>GJ893309</t>
  </si>
  <si>
    <t>206TU5</t>
  </si>
  <si>
    <t>سورن EF7 بنزيني کلاس 19 سفيد دو پوششه</t>
  </si>
  <si>
    <t>NH442136</t>
  </si>
  <si>
    <t>NH878722</t>
  </si>
  <si>
    <t>پژو جي ال ايكس انژكتوري كلاس 37 خاكستري متال</t>
  </si>
  <si>
    <t>LK536454</t>
  </si>
  <si>
    <t>NH210847</t>
  </si>
  <si>
    <t>LK532110</t>
  </si>
  <si>
    <t>پژو پارس سال با موتور XU7 P کلاس 3 سفيد دو پوششه</t>
  </si>
  <si>
    <t>NH442916</t>
  </si>
  <si>
    <t>NK901043</t>
  </si>
  <si>
    <t>LK530026</t>
  </si>
  <si>
    <t>سورن EF7 بنزيني کلاس 23 سفيد دوپوششه كانزاي</t>
  </si>
  <si>
    <t>NH457826</t>
  </si>
  <si>
    <t>NH869723</t>
  </si>
  <si>
    <t>NH455895</t>
  </si>
  <si>
    <t>پژو پارس سال با موتور XU7 P کلاس 1 مشكي متاليك</t>
  </si>
  <si>
    <t>NH457630</t>
  </si>
  <si>
    <t>NH442827</t>
  </si>
  <si>
    <t>NH442823</t>
  </si>
  <si>
    <t>سورن EF7 بنزيني کلاس 16 سفيد دو پوششه</t>
  </si>
  <si>
    <t>KF610003</t>
  </si>
  <si>
    <t>دنا كلاس 1 خاكستري متاليك</t>
  </si>
  <si>
    <t>FE036932</t>
  </si>
  <si>
    <t>NJ292785</t>
  </si>
  <si>
    <t>پژو پارس سال با موتور XU7 P کلاس 3 خاكستري متاليك</t>
  </si>
  <si>
    <t>NH459452</t>
  </si>
  <si>
    <t>NH457586</t>
  </si>
  <si>
    <t>NK846751</t>
  </si>
  <si>
    <t>NT369162</t>
  </si>
  <si>
    <t>دنا+ (پلاس) كلاس9 سفيد دوپوششه كانزاي</t>
  </si>
  <si>
    <t>DENA+EF7-MT</t>
  </si>
  <si>
    <t>رانا کلاس 15 خاكستري متاليك</t>
  </si>
  <si>
    <t>پژو پارس سال با موتور XU7 P کلاس 3 مشكي متاليك</t>
  </si>
  <si>
    <t>NH459782</t>
  </si>
  <si>
    <t>NH442830</t>
  </si>
  <si>
    <t>رانا کلاس 15 مشكي متاليك</t>
  </si>
  <si>
    <t>KF610001</t>
  </si>
  <si>
    <t>KF610005</t>
  </si>
  <si>
    <t>KF610004</t>
  </si>
  <si>
    <t>NH458454</t>
  </si>
  <si>
    <t>NH402607</t>
  </si>
  <si>
    <t>NF151009</t>
  </si>
  <si>
    <t>KE189399</t>
  </si>
  <si>
    <t>پژو 206 معمولي كلاس 30 سفيد دو پوششه</t>
  </si>
  <si>
    <t>JJ568898</t>
  </si>
  <si>
    <t>سمند LX دوگانه سوز كلاس 17 سفيد دو پوششه</t>
  </si>
  <si>
    <t>KF625010</t>
  </si>
  <si>
    <t>LX XU7 CNG</t>
  </si>
  <si>
    <t>سورن EF7 بنزيني کلاس 21 سفيد دو پوششه</t>
  </si>
  <si>
    <t>LF652124</t>
  </si>
  <si>
    <t>KF625006</t>
  </si>
  <si>
    <t>KF625011</t>
  </si>
  <si>
    <t>KF625007</t>
  </si>
  <si>
    <t>KF625008</t>
  </si>
  <si>
    <t>+TU5</t>
  </si>
  <si>
    <t>سورن EF7 بنزيني کلاس 23 مشكي متاليك</t>
  </si>
  <si>
    <t>LF650634</t>
  </si>
  <si>
    <t>LJ174107</t>
  </si>
  <si>
    <t>رانا پلاس با موتور TU5P و گيربکس 6 سرعته دستي کلاس 3 سفيد دو پوششه</t>
  </si>
  <si>
    <t>رانا کلاس 14 قرمز رژ</t>
  </si>
  <si>
    <t>LT251482</t>
  </si>
  <si>
    <t>پژو پارس TU5 کلاس 27 مشكي متاليك</t>
  </si>
  <si>
    <t>پژو پارس معمولي دوگانه سوز كلاس 14 سفيد دو پوششه</t>
  </si>
  <si>
    <t>FR571312</t>
  </si>
  <si>
    <t>PARS XU7 CNG</t>
  </si>
  <si>
    <t>پژو 207i دستي کلاس 10 سفيد دو پوششه</t>
  </si>
  <si>
    <t>207i-MT</t>
  </si>
  <si>
    <t>پژو پارس TU5 كلاس20 مشكي متاليك</t>
  </si>
  <si>
    <t>NK183567</t>
  </si>
  <si>
    <t>MK074308</t>
  </si>
  <si>
    <t>NH208428</t>
  </si>
  <si>
    <t>پژو پارس سال با موتور XU7 P کلاس 3 سفيد دوپوششه كانزاي</t>
  </si>
  <si>
    <t>NK848698</t>
  </si>
  <si>
    <t>MK068152</t>
  </si>
  <si>
    <t>پژو پارس TU5 كلاس20 سفيد دوپوششه كانزاي</t>
  </si>
  <si>
    <t>MH672191</t>
  </si>
  <si>
    <t>NH458544</t>
  </si>
  <si>
    <t>پژو 207i دستي كلاس 6 سفيد دو پوششه</t>
  </si>
  <si>
    <t>NH868999</t>
  </si>
  <si>
    <t>پژو پارس TU5 کلاس 27 سفيد دو پوششه</t>
  </si>
  <si>
    <t>NH211584</t>
  </si>
  <si>
    <t>دنا پلاس اتوماتيك با موتور EF7_TC كلاس2 سفيد دو پوششه</t>
  </si>
  <si>
    <t>NE541960</t>
  </si>
  <si>
    <t>DENA+EF7TC A</t>
  </si>
  <si>
    <t>دنا پلاس اتوماتيك با موتور EF7_TC كلاس2 سفيد دوپوششه كانزاي</t>
  </si>
  <si>
    <t>پژو 207i دستي کلاس 10 مشكي متاليك</t>
  </si>
  <si>
    <t>NH418296</t>
  </si>
  <si>
    <t>دنا پلاس اتوماتيك با موتور EF7_TC كلاس2 مشكي متاليك</t>
  </si>
  <si>
    <t>NT344870</t>
  </si>
  <si>
    <t>NH480307</t>
  </si>
  <si>
    <t>پژو 207i دستي كلاس 6 مشكي متاليك</t>
  </si>
  <si>
    <t>NJ485106</t>
  </si>
  <si>
    <t>NH877076</t>
  </si>
  <si>
    <t>پژو پارس TU5 كلاس20 خاكستري متاليك</t>
  </si>
  <si>
    <t>MF919307</t>
  </si>
  <si>
    <t>MF918184</t>
  </si>
  <si>
    <t>NF161847</t>
  </si>
  <si>
    <t>سورن EF7 بنزيني کلاس 23 خاكستري متال</t>
  </si>
  <si>
    <t>MF080826</t>
  </si>
  <si>
    <t>NT368880</t>
  </si>
  <si>
    <t>MK112450</t>
  </si>
  <si>
    <t>دنا+ (پلاس) کلاس 17 سفيد دوپوششه كانزاي</t>
  </si>
  <si>
    <t>NJ301246</t>
  </si>
  <si>
    <t>MF087214</t>
  </si>
  <si>
    <t>MF084356</t>
  </si>
  <si>
    <t>MF919143</t>
  </si>
  <si>
    <t>NH440328</t>
  </si>
  <si>
    <t>MH669366</t>
  </si>
  <si>
    <t>پژو پارس معمولي دوگانه سوز کلاس 21 خاكستري متاليك</t>
  </si>
  <si>
    <t>LK001589</t>
  </si>
  <si>
    <t>دنا کلاس 23 سفيد دو پوششه</t>
  </si>
  <si>
    <t>LE226417</t>
  </si>
  <si>
    <t>NF153239</t>
  </si>
  <si>
    <t>NJ509263</t>
  </si>
  <si>
    <t>NJ298189</t>
  </si>
  <si>
    <t>NF152963</t>
  </si>
  <si>
    <t>NT374682</t>
  </si>
  <si>
    <t>NT363589</t>
  </si>
  <si>
    <t>NH445300</t>
  </si>
  <si>
    <t>پژو پارس معمولي دوگانه سوز کلاس 21 سفيد دو پوششه</t>
  </si>
  <si>
    <t>MK092158</t>
  </si>
  <si>
    <t>NF152427</t>
  </si>
  <si>
    <t>NH871783</t>
  </si>
  <si>
    <t>سورن EF7 بنزيني کلاس 22 سفيد دو پوششه</t>
  </si>
  <si>
    <t>NF169399</t>
  </si>
  <si>
    <t>NJ490665</t>
  </si>
  <si>
    <t>NT367137</t>
  </si>
  <si>
    <t>NH444939</t>
  </si>
  <si>
    <t>NK849016</t>
  </si>
  <si>
    <t>NH457347</t>
  </si>
  <si>
    <t>NT376469</t>
  </si>
  <si>
    <t>MH684254</t>
  </si>
  <si>
    <t>MK092191</t>
  </si>
  <si>
    <t>رانا پلاس با موتور TU5P و گيربکس 6 سرعته دستي کلاس 3 مشكي متاليك</t>
  </si>
  <si>
    <t>NT345764</t>
  </si>
  <si>
    <t>NH879679</t>
  </si>
  <si>
    <t>NH871850</t>
  </si>
  <si>
    <t>NH877505</t>
  </si>
  <si>
    <t>NH878136</t>
  </si>
  <si>
    <t>NH878494</t>
  </si>
  <si>
    <t>NH871733</t>
  </si>
  <si>
    <t>NH877508</t>
  </si>
  <si>
    <t>NH877504</t>
  </si>
  <si>
    <t>NH878118</t>
  </si>
  <si>
    <t>NH878245</t>
  </si>
  <si>
    <t>NH879675</t>
  </si>
  <si>
    <t>NJ298902</t>
  </si>
  <si>
    <t>NH402934</t>
  </si>
  <si>
    <t>MH860895</t>
  </si>
  <si>
    <t>دنا پلاس اتوماتيك با موتور EF7_TC كلاس2 خاكستري متاليك</t>
  </si>
  <si>
    <t>پژو پارس معمولي دوگانه سوز کلاس 21 آبي رويال</t>
  </si>
  <si>
    <t>MH640015</t>
  </si>
  <si>
    <t>دنا+ (پلاس) کلاس 17 سفيد دو پوششه</t>
  </si>
  <si>
    <t>NJ301300</t>
  </si>
  <si>
    <t>NF160789</t>
  </si>
  <si>
    <t>NF237057</t>
  </si>
  <si>
    <t>سورن EF7 بنزيني کلاس 23 سفيد دو پوششه</t>
  </si>
  <si>
    <t>NF152668</t>
  </si>
  <si>
    <t>NH920971</t>
  </si>
  <si>
    <t>NK800811</t>
  </si>
  <si>
    <t>MK092109</t>
  </si>
  <si>
    <t>LE240744</t>
  </si>
  <si>
    <t>NT344748</t>
  </si>
  <si>
    <t>دنا پلاس توربو شارژ کلاس8 سفيد دو پوششه</t>
  </si>
  <si>
    <t>DENA EF7 TC-MT</t>
  </si>
  <si>
    <t>MJ544019</t>
  </si>
  <si>
    <t>NH402315</t>
  </si>
  <si>
    <t>NF158007</t>
  </si>
  <si>
    <t>NF157216</t>
  </si>
  <si>
    <t>NF157427</t>
  </si>
  <si>
    <t>NT341017</t>
  </si>
  <si>
    <t>MH687706</t>
  </si>
  <si>
    <t>NK859589</t>
  </si>
  <si>
    <t>MJ222394</t>
  </si>
  <si>
    <t>NH446699</t>
  </si>
  <si>
    <t>دنا پلاس اتوماتيك با موتور EF7_TC كلاس2 آبي كبود متاليك</t>
  </si>
  <si>
    <t>NE545330</t>
  </si>
  <si>
    <t>پژو 207i اتوماتيک با موتور TU5P کلاس 2 سفيد دو پوششه</t>
  </si>
  <si>
    <t>207i TU5P A</t>
  </si>
  <si>
    <t>پژو 207i اتوماتيک با موتور TU5P کلاس 2 مشكي متاليك</t>
  </si>
  <si>
    <t>NH866400</t>
  </si>
  <si>
    <t>MH752481</t>
  </si>
  <si>
    <t>MH687651</t>
  </si>
  <si>
    <t>MH687702</t>
  </si>
  <si>
    <t>MJ535027</t>
  </si>
  <si>
    <t>MJ500094</t>
  </si>
  <si>
    <t>MJ500074</t>
  </si>
  <si>
    <t>تندر 90 E2 + 2 A/B سفيد شيري پرشين</t>
  </si>
  <si>
    <t>LA402398</t>
  </si>
  <si>
    <t>MJ500108</t>
  </si>
  <si>
    <t>MJ500113</t>
  </si>
  <si>
    <t>MJ500087</t>
  </si>
  <si>
    <t>MJ500088</t>
  </si>
  <si>
    <t>MJ500103</t>
  </si>
  <si>
    <t>MJ500086</t>
  </si>
  <si>
    <t>MJ500100</t>
  </si>
  <si>
    <t>MJ500073</t>
  </si>
  <si>
    <t>MJ500079</t>
  </si>
  <si>
    <t>MJ500096</t>
  </si>
  <si>
    <t>MJ500109</t>
  </si>
  <si>
    <t>MJ500076</t>
  </si>
  <si>
    <t>MJ500106</t>
  </si>
  <si>
    <t>MJ500069</t>
  </si>
  <si>
    <t>MJ500085</t>
  </si>
  <si>
    <t>MJ500092</t>
  </si>
  <si>
    <t>MJ500075</t>
  </si>
  <si>
    <t>NH416315</t>
  </si>
  <si>
    <t>MH688847</t>
  </si>
  <si>
    <t>NE565770</t>
  </si>
  <si>
    <t>NJ240608</t>
  </si>
  <si>
    <t>NJ241172</t>
  </si>
  <si>
    <t>NH872281</t>
  </si>
  <si>
    <t>NH867707</t>
  </si>
  <si>
    <t>NJ240933</t>
  </si>
  <si>
    <t>NJ243179</t>
  </si>
  <si>
    <t>NJ241034</t>
  </si>
  <si>
    <t>NJ242880</t>
  </si>
  <si>
    <t>NJ241638</t>
  </si>
  <si>
    <t>NK697436</t>
  </si>
  <si>
    <t>NJ246454</t>
  </si>
  <si>
    <t>NJ242894</t>
  </si>
  <si>
    <t>NH868448</t>
  </si>
  <si>
    <t>LA402408</t>
  </si>
  <si>
    <t>NJ240986</t>
  </si>
  <si>
    <t>NH876018</t>
  </si>
  <si>
    <t>LA402383</t>
  </si>
  <si>
    <t>LA402402</t>
  </si>
  <si>
    <t>LA402384</t>
  </si>
  <si>
    <t>LA402370</t>
  </si>
  <si>
    <t>LA402416</t>
  </si>
  <si>
    <t>LA402396</t>
  </si>
  <si>
    <t>LA402390</t>
  </si>
  <si>
    <t>LA402420</t>
  </si>
  <si>
    <t>LA402414</t>
  </si>
  <si>
    <t>LA402393</t>
  </si>
  <si>
    <t>LA402372</t>
  </si>
  <si>
    <t>LA402424</t>
  </si>
  <si>
    <t>LA402386</t>
  </si>
  <si>
    <t>ME323032</t>
  </si>
  <si>
    <t>NH481606</t>
  </si>
  <si>
    <t>NH217558</t>
  </si>
  <si>
    <t>NK695358</t>
  </si>
  <si>
    <t>LE240044</t>
  </si>
  <si>
    <t>H30 CROSS AT كلاس 4 سفيد دو پوششه</t>
  </si>
  <si>
    <t>LX100066</t>
  </si>
  <si>
    <t>LX100013</t>
  </si>
  <si>
    <t>NK182810</t>
  </si>
  <si>
    <t>پژو پارس TU5 كلاس20 آبي رويال</t>
  </si>
  <si>
    <t>NH208333</t>
  </si>
  <si>
    <t>NH214022</t>
  </si>
  <si>
    <t>LE241722</t>
  </si>
  <si>
    <t>LE241025</t>
  </si>
  <si>
    <t>LE241054</t>
  </si>
  <si>
    <t>دنا پلاس اتوماتيك با موتور EF7_TC كلاس2 خاكستري متال</t>
  </si>
  <si>
    <t>LE241640</t>
  </si>
  <si>
    <t>LE241235</t>
  </si>
  <si>
    <t>NK693618</t>
  </si>
  <si>
    <t>NH418542</t>
  </si>
  <si>
    <t>LE242105</t>
  </si>
  <si>
    <t>LE241690</t>
  </si>
  <si>
    <t>LE241333</t>
  </si>
  <si>
    <t>LE242077</t>
  </si>
  <si>
    <t>LE244083</t>
  </si>
  <si>
    <t>NE440622</t>
  </si>
  <si>
    <t>NE440623</t>
  </si>
  <si>
    <t>NE440621</t>
  </si>
  <si>
    <t>NE440620</t>
  </si>
  <si>
    <t>TARA TU5PA</t>
  </si>
  <si>
    <t>تارا اتوماتيک کلاس 1 قهوه اي كادرو</t>
  </si>
  <si>
    <t>MD920062</t>
  </si>
  <si>
    <t>تارا اتوماتيک کلاس 1 سفيد دوپوششه كانزاي</t>
  </si>
  <si>
    <t>ME397985</t>
  </si>
  <si>
    <t>NJ263638</t>
  </si>
  <si>
    <t>ME398498</t>
  </si>
  <si>
    <t>تارا اتوماتيک کلاس 1 مشكي متاليك (آبنوس)</t>
  </si>
  <si>
    <t>MD920029</t>
  </si>
  <si>
    <t>NJ923836</t>
  </si>
  <si>
    <t>ME390330</t>
  </si>
  <si>
    <t>MD920094</t>
  </si>
  <si>
    <t>NH216543</t>
  </si>
  <si>
    <t>MD920110</t>
  </si>
  <si>
    <t>پژو 207i دستي کلاس 12 سفيد دو پوششه</t>
  </si>
  <si>
    <t>NJ507956</t>
  </si>
  <si>
    <t>MD916581</t>
  </si>
  <si>
    <t>NH214013</t>
  </si>
  <si>
    <t>NH209359</t>
  </si>
  <si>
    <t>NH213890</t>
  </si>
  <si>
    <t>تارا دستي کلاس 1 نقره اي متاليك</t>
  </si>
  <si>
    <t>ND932622</t>
  </si>
  <si>
    <t>NH879661</t>
  </si>
  <si>
    <t>NE563623</t>
  </si>
  <si>
    <t>NH208663</t>
  </si>
  <si>
    <t>NE492706</t>
  </si>
  <si>
    <t>MJ500090</t>
  </si>
  <si>
    <t>NE561624</t>
  </si>
  <si>
    <t>NE486788</t>
  </si>
  <si>
    <t>NE578211</t>
  </si>
  <si>
    <t>NJ240562</t>
  </si>
  <si>
    <t>دنا پلاس توربو شارژ کلاس8 سفيد دوپوششه كانزاي</t>
  </si>
  <si>
    <t>NE492260</t>
  </si>
  <si>
    <t>MJ500111</t>
  </si>
  <si>
    <t>MJ500129</t>
  </si>
  <si>
    <t>NJ240213</t>
  </si>
  <si>
    <t>NJ242111</t>
  </si>
  <si>
    <t>NJ241655</t>
  </si>
  <si>
    <t>NJ240751</t>
  </si>
  <si>
    <t>NJ241816</t>
  </si>
  <si>
    <t>NJ240893</t>
  </si>
  <si>
    <t>NJ241798</t>
  </si>
  <si>
    <t>NJ242361</t>
  </si>
  <si>
    <t>NJ246070</t>
  </si>
  <si>
    <t>NJ242224</t>
  </si>
  <si>
    <t>NJ240746</t>
  </si>
  <si>
    <t>NJ242228</t>
  </si>
  <si>
    <t>NJ240259</t>
  </si>
  <si>
    <t>NJ243571</t>
  </si>
  <si>
    <t>NJ246302</t>
  </si>
  <si>
    <t>NJ241610</t>
  </si>
  <si>
    <t>NJ243529</t>
  </si>
  <si>
    <t>NJ241578</t>
  </si>
  <si>
    <t>NJ241897</t>
  </si>
  <si>
    <t>NJ240357</t>
  </si>
  <si>
    <t>NJ242419</t>
  </si>
  <si>
    <t>NJ240073</t>
  </si>
  <si>
    <t>NJ240292</t>
  </si>
  <si>
    <t>NJ240491</t>
  </si>
  <si>
    <t>NJ242389</t>
  </si>
  <si>
    <t>NJ241791</t>
  </si>
  <si>
    <t>NJ243173</t>
  </si>
  <si>
    <t>NJ240251</t>
  </si>
  <si>
    <t>NJ240238</t>
  </si>
  <si>
    <t>NJ240556</t>
  </si>
  <si>
    <t>NJ240486</t>
  </si>
  <si>
    <t>NJ240067</t>
  </si>
  <si>
    <t>NJ241211</t>
  </si>
  <si>
    <t>NJ240114</t>
  </si>
  <si>
    <t>NJ241727</t>
  </si>
  <si>
    <t>NJ241497</t>
  </si>
  <si>
    <t>NJ240074</t>
  </si>
  <si>
    <t>NJ240343</t>
  </si>
  <si>
    <t>NJ240723</t>
  </si>
  <si>
    <t>NJ241874</t>
  </si>
  <si>
    <t>NJ243481</t>
  </si>
  <si>
    <t>NJ240110</t>
  </si>
  <si>
    <t>NJ241692</t>
  </si>
  <si>
    <t>NE548102</t>
  </si>
  <si>
    <t>NJ240161</t>
  </si>
  <si>
    <t>NE540846</t>
  </si>
  <si>
    <t>NE544962</t>
  </si>
  <si>
    <t>NE542328</t>
  </si>
  <si>
    <t>NE576335</t>
  </si>
  <si>
    <t>تارا اتوماتيک کلاس 1 سبز دريايي متاليك</t>
  </si>
  <si>
    <t>MD920406</t>
  </si>
  <si>
    <t>هايما S5 توربو اتوماتيک کلاس 1 مشكي متاليك</t>
  </si>
  <si>
    <t>S5-T-AT</t>
  </si>
  <si>
    <t>تندر90+ (پلاس) اتوماتيك تندر90+ (پلاس) اتوماتيك سفيد شيري پرشين</t>
  </si>
  <si>
    <t>LA623753</t>
  </si>
  <si>
    <t>TONDAR 90+ at</t>
  </si>
  <si>
    <t>LA623794</t>
  </si>
  <si>
    <t>هايماS7 توربو اتوماتيك كلاس2 مشكي متاليك</t>
  </si>
  <si>
    <t>S7-T-AT</t>
  </si>
  <si>
    <t>هايماS7 توربو اتوماتيك كلاس2 سفيد دوپوششه كانزاي</t>
  </si>
  <si>
    <t>هايما S5 توربو اتوماتيک کلاس 1 نقره اي متاليك</t>
  </si>
  <si>
    <t>NY071872</t>
  </si>
  <si>
    <t>NY070729</t>
  </si>
  <si>
    <t>هايماS7 توربو اتوماتيك كلاس2 خاكستري متاليك</t>
  </si>
  <si>
    <t>NY061029</t>
  </si>
  <si>
    <t>NY061276</t>
  </si>
  <si>
    <t>هايما S5 توربو اتوماتيک کلاس 1 سفيد دو پوششه</t>
  </si>
  <si>
    <t>MY040948</t>
  </si>
  <si>
    <t>NY060865</t>
  </si>
  <si>
    <t>NY063002</t>
  </si>
  <si>
    <t>NY071822</t>
  </si>
  <si>
    <t>هايما S5 توربو اتوماتيک کلاس 1 سفيد دوپوششه كانزاي</t>
  </si>
  <si>
    <t>NY071328</t>
  </si>
  <si>
    <t>2008 اتوماتيك</t>
  </si>
  <si>
    <t>NY063800</t>
  </si>
  <si>
    <t>NY061006</t>
  </si>
  <si>
    <t>NY062458</t>
  </si>
  <si>
    <t>NY061183</t>
  </si>
  <si>
    <t>پژو پارس TU5 كلاس 15 سفيد دو پوششه</t>
  </si>
  <si>
    <t>پژو پارس کلاس 42 سفيد دوپوششه كانزاي</t>
  </si>
  <si>
    <t>دنا كلاس17 خاكستري متاليك</t>
  </si>
  <si>
    <t>تارا دستي کلاس 1 سفيد دوپوششه كانزاي</t>
  </si>
  <si>
    <t>207i-AT</t>
  </si>
  <si>
    <t>دنا پلاس توربو شارژ کلاس 6 مشكي متاليك</t>
  </si>
  <si>
    <t>دنا پلاس توربو شارژ کلاس 6 سفيد دو پوششه</t>
  </si>
  <si>
    <t>SOREN EF7 CNG</t>
  </si>
  <si>
    <t>دنا+ (پلاس) كلاس 1 سفيد دو پوششه</t>
  </si>
  <si>
    <t>X7</t>
  </si>
  <si>
    <t>سورن EF7 بنزيني کلاس 22 سفيد دوپوششه كانزاي</t>
  </si>
  <si>
    <t>پژو پارس سال با موتور XU7 P کلاس 2 سفيد دو پوششه</t>
  </si>
  <si>
    <t>تيپ خودرو</t>
  </si>
  <si>
    <t>مدل خودرو</t>
  </si>
  <si>
    <t>last</t>
  </si>
  <si>
    <t>before</t>
  </si>
  <si>
    <t>1399</t>
  </si>
  <si>
    <t xml:space="preserve"> </t>
  </si>
  <si>
    <t>پژو 206 اس دي اتوماتيك كلاس‏1 سفيد دوپوششه كانزاي</t>
  </si>
  <si>
    <t>وانت پيكان OHV كلاس‏ 20 سفيدشيري</t>
  </si>
  <si>
    <t>LC104078</t>
  </si>
  <si>
    <t>NK697625</t>
  </si>
  <si>
    <t>Min of درصد</t>
  </si>
  <si>
    <t>عادی</t>
  </si>
  <si>
    <t>طرح جوانی جمعیت</t>
  </si>
  <si>
    <t>طرح جایگزینی خودرو فرسوده</t>
  </si>
  <si>
    <t>پیش فروش</t>
  </si>
  <si>
    <t>تارا اتومات</t>
  </si>
  <si>
    <t>تارا دستی</t>
  </si>
  <si>
    <t>دناپلاس توربو MT6</t>
  </si>
  <si>
    <t>دناپلاس توربو اتومات</t>
  </si>
  <si>
    <t>رانا پلاس</t>
  </si>
  <si>
    <t>فوق العاده</t>
  </si>
  <si>
    <t>207 اتومات مولتی کالر</t>
  </si>
  <si>
    <t>207 دستی فرمان برقی</t>
  </si>
  <si>
    <t>پارس XU7P</t>
  </si>
  <si>
    <t>پارس XU7P سفارشی</t>
  </si>
  <si>
    <t>سورن پلاس</t>
  </si>
  <si>
    <t>ردیف</t>
  </si>
  <si>
    <t>شناسه خودرو</t>
  </si>
  <si>
    <t>شرح</t>
  </si>
  <si>
    <t>كاركرد (KM)</t>
  </si>
  <si>
    <t>مبلغ پایه(ریال)</t>
  </si>
  <si>
    <t>قيمت برنده(ریال)</t>
  </si>
  <si>
    <t>جایگاه بازدید</t>
  </si>
  <si>
    <t>پژو 206 اس دي اتوماتيك كلاس‏1  سفيد دوپوششه كانزاي</t>
  </si>
  <si>
    <t>تارا اتوماتيک کلاس 1  سفيد دو پوششه</t>
  </si>
  <si>
    <t>پژو 207i اتوماتيک با موتور TU5P  کلاس 2 مشكي متاليك</t>
  </si>
  <si>
    <t>پژو 207i اتوماتيک با موتور TU5P  کلاس 2 سفيد دو پوششه</t>
  </si>
  <si>
    <t>تارا اتوماتيک کلاس 1  مشكي متاليك (آبنوس)</t>
  </si>
  <si>
    <t>ردیف: 518  پژو پارس سال با موتور XU7 P کلاس 1 سفيد دو پوششه  شناسه خودرو  مبلغ پایه  قيمت برنده  جایگاه  NH457630  2,450,000,000  3,125,000,000  555</t>
  </si>
  <si>
    <t>ردیف: 533  پژو پارس TU5 كلاس20 سفيد دو پوششه  شناسه خودرو  مبلغ پایه  قيمت برنده  جایگاه  NH208428  2,950,000,000  3,217,000,000  570</t>
  </si>
  <si>
    <t>ردیف: 567  پژو پارس TU5 کلاس 27 مشكي متاليك  شناسه خودرو  مبلغ پایه  قيمت برنده  جایگاه  NH871850  3,500,000,000  4,312,233,451  604</t>
  </si>
  <si>
    <t>ردیف: 587  پژو پارس TU5 کلاس 27 مشكي متاليك  شناسه خودرو  مبلغ پایه  قيمت برنده  جایگاه  NH878118  3,500,000,000  4,332,111,112  624</t>
  </si>
  <si>
    <t>ردیف: 589  پژو پارس TU5 کلاس 27 مشكي متاليك  شناسه خودرو  مبلغ پایه  قيمت برنده  جایگاه  NH877505  3,500,000,000  4,255,552,220  626</t>
  </si>
  <si>
    <t>ردیف: 401  تارا اتوماتيک کلاس 1  سفيد دو پوششه  شناسه خودرو  مبلغ پایه  قيمت برنده  جایگاه  MD920029  4,700,000,000  5,120,000,000  425</t>
  </si>
  <si>
    <t>ردیف: 489  پژو پارس سال با موتور XU7 P کلاس 3 سفيد دو پوششه  شناسه خودرو  مبلغ پایه  قيمت برنده  جایگاه  NH459782  2,550,000,000  3,002,000,000  526</t>
  </si>
  <si>
    <t>ردیف: 496  پژو پارس سال با موتور XU7 P کلاس 1 سفيد دو پوششه  شناسه خودرو  مبلغ پایه  قيمت برنده  جایگاه  NH457826  2,400,000,000  3,110,009,990  533</t>
  </si>
  <si>
    <t>ردیف: 503  پژو پارس سال با موتور XU7 P کلاس 1 سفيد دو پوششه  شناسه خودرو  مبلغ پایه  قيمت برنده  جایگاه  NH442136  2,250,000,000  2,977,700,000  540</t>
  </si>
  <si>
    <t>ردیف: 506  پژو پارس سال با موتور XU7 P کلاس 1 مشكي متاليك  شناسه خودرو  مبلغ پایه  قيمت برنده  جایگاه  NH442827  2,450,000,000  3,037,878,789  543</t>
  </si>
  <si>
    <t>ردیف: 594  پژو پارس TU5 کلاس 27 مشكي متاليك  شناسه خودرو  مبلغ پایه  قيمت برنده  جایگاه  NH878136  3,500,000,000  4,199,999,999  631</t>
  </si>
  <si>
    <t>ردیف: 504  پژو پارس سال با موتور XU7 P کلاس 1 مشكي متاليك  شناسه خودرو  مبلغ پایه  قيمت برنده  جایگاه  NH442823  2,450,000,000  2,977,446,555  541</t>
  </si>
  <si>
    <t>ردیف: 579  پژو پارس TU5 کلاس 27 مشكي متاليك  شناسه خودرو  مبلغ پایه  قيمت برنده  جایگاه  NH878494  3,500,000,000  4,177,758,985  616</t>
  </si>
  <si>
    <t>ردیف: 595  پژو پارس TU5 کلاس 27 مشكي متاليك  شناسه خودرو  مبلغ پایه  قيمت برنده  جایگاه  NH878245  3,500,000,000  3,880,000,000  632</t>
  </si>
  <si>
    <t>ردیف: 568  پژو پارس TU5 کلاس 27 مشكي متاليك  شناسه خودرو  مبلغ پایه  قيمت برنده  جایگاه  NH871733  3,500,000,000  4,261,000,000  605</t>
  </si>
  <si>
    <t>ردیف: 575  پژو پارس TU5 کلاس 27 مشكي متاليك  شناسه خودرو  مبلغ پایه  قيمت برنده  جایگاه  NH879675  3,500,000,000  4,183,459,999  612</t>
  </si>
  <si>
    <t>ردیف: 580  پژو پارس TU5 کلاس 27 مشكي متاليك  شناسه خودرو  مبلغ پایه  قيمت برنده  جایگاه  NH877508  3,500,000,000  4,156,000,000  617</t>
  </si>
  <si>
    <t>ردیف: 4  پژو پارس کلاس 42 خاكستري متاليك  شناسه خودرو  مبلغ پایه  قيمت برنده  جایگاه  NK901043  2,400,000,000  3,131,000,000  4</t>
  </si>
  <si>
    <t>ردیف: 218  دنا پلاس اتوماتيك با موتور EF7_TC كلاس2 سفيد دو پوششه  شناسه خودرو  مبلغ پایه  قيمت برنده  جایگاه  NE541960  3,150,000,000  4,605,000,000  242</t>
  </si>
  <si>
    <t>ردیف: 232  پژو پارس سال با موتور XU7 P کلاس 1 سفيد دوپوششه كانزاي  شناسه خودرو  مبلغ پایه  قيمت برنده  جایگاه  NK846751  2,500,000,000  2,786,500,000  256</t>
  </si>
  <si>
    <t>ردیف: 537  پژو پارس TU5 كلاس20 مشكي متاليك  شناسه خودرو  مبلغ پایه  قيمت برنده  جایگاه  NH418296  3,200,000,000  3,746,740,000  574</t>
  </si>
  <si>
    <t>ردیف: 233  پژو پارس سال با موتور XU7 P کلاس 1 مشكي متاليك  شناسه خودرو  مبلغ پایه  قيمت برنده  جایگاه  NH442830  2,550,000,000  2,961,000,000  257</t>
  </si>
  <si>
    <t>ردیف: 592  پژو پارس TU5 کلاس 27 مشكي متاليك  شناسه خودرو  مبلغ پایه  قيمت برنده  جایگاه  NH877504  3,500,000,000  4,201,000,000  629</t>
  </si>
  <si>
    <t>ردیف: 238  پژو پارس TU5 كلاس20 سفيد دو پوششه  شناسه خودرو  مبلغ پایه  قيمت برنده  جایگاه  NK183567  2,900,000,000  3,555,555,555  262</t>
  </si>
  <si>
    <t>ردیف: 519  پژو پارس TU5 كلاس20 سفيد دو پوششه  شناسه خودرو  مبلغ پایه  قيمت برنده  جایگاه  NH868999  3,100,000,000  3,687,542,132  556</t>
  </si>
  <si>
    <t>ردیف: 226  پژو پارس TU5 كلاس20 سفيد دو پوششه  شناسه خودرو  مبلغ پایه  قيمت برنده  جایگاه  NH869723  2,400,000,000  3,150,000,000  250</t>
  </si>
  <si>
    <t>ردیف: 230  پژو پارس سال با موتور XU7 P کلاس 1 سفيد دو پوششه  شناسه خودرو  مبلغ پایه  قيمت برنده  جایگاه  NH458454  2,600,000,000  3,678,999,000  254</t>
  </si>
  <si>
    <t>ردیف: 237  پژو پارس سال با موتور XU7 P کلاس 3 سفيد دو پوششه  شناسه خودرو  مبلغ پایه  قيمت برنده  جایگاه  NH402607  2,600,000,000  3,117,700,000  261</t>
  </si>
  <si>
    <t>ردیف: 423  پژو 206 معمولي كلاس 31 سفيد دو پوششه  شناسه خودرو  مبلغ پایه  قيمت برنده  جایگاه  MJ632133  2,100,000,000  2,751,500,000  447</t>
  </si>
  <si>
    <t>ردیف: 225  پژو پارس TU5 كلاس20 سفيد دو پوششه  شناسه خودرو  مبلغ پایه  قيمت برنده  جایگاه  NH210847  2,300,000,000  3,175,000,000  249</t>
  </si>
  <si>
    <t>ردیف: 228  پژو پارس TU5 کلاس 27 سفيد دو پوششه  شناسه خودرو  مبلغ پایه  قيمت برنده  جایگاه  NH211584  3,100,000,000  3,719,999,999  252</t>
  </si>
  <si>
    <t>ردیف: 28  سمند - ال ايكس کلاس 57 سفيد دو پوششه  شناسه خودرو  مبلغ پایه  قيمت برنده  جایگاه  MF844579  2,200,000,000  3,055,000,000  28</t>
  </si>
  <si>
    <t>ردیف: 235  پژو پارس سال با موتور XU7 P کلاس 3 سفيد دو پوششه  شناسه خودرو  مبلغ پایه  قيمت برنده  جایگاه  NH459452  2,500,000,000  2,935,000,000  259</t>
  </si>
  <si>
    <t>ردیف: 220  رانا کلاس 15 سفيد دو پوششه  شناسه خودرو  مبلغ پایه  قيمت برنده  جایگاه  NT372498  1,600,000,000  2,736,000,000  244</t>
  </si>
  <si>
    <t>ردیف: 229  پژو پارس سال با موتور XU7 P کلاس 1 سفيد دو پوششه  شناسه خودرو  مبلغ پایه  قيمت برنده  جایگاه  NH457586  2,500,000,000  2,663,800,000  253</t>
  </si>
  <si>
    <t>پژو  جي ال ايكس انژكتوري كلاس 34 نقره اي متاليك</t>
  </si>
  <si>
    <t>پژو  جي ال ايكس انژكتوري كلاس 10 نقره اي متاليك</t>
  </si>
  <si>
    <t>پژو اس ال ايكس انژكتوري SLX با موتور  TU5 كلاس 5 سفيد دو پوششه</t>
  </si>
  <si>
    <t>پژو  جي ال ايكس انژكتوري كلاس 2 مشكي متاليك</t>
  </si>
  <si>
    <t>ردیف: 408  پژو پارس TU5 كلاس20 سفيد دو پوششه  شناسه خودرو  مبلغ پایه  قيمت برنده  جایگاه  MH684254  3,500,000,000    505</t>
  </si>
  <si>
    <t>پژو  جي ال ايكس انژكتوري كلاس 37 خاكستري متال</t>
  </si>
  <si>
    <t>ردیف: 407  پژو پارس TU5 كلاس20 سفيد دو پوششه  شناسه خودرو  مبلغ پایه  قيمت برنده  جایگاه  LH308375  2,000,000,000    504</t>
  </si>
  <si>
    <t>ردیف: 411  پژو پارس TU5 كلاس20 سفيد دو پوششه  شناسه خودرو  مبلغ پایه  قيمت برنده  جایگاه  NH878722  2,300,000,000    508</t>
  </si>
  <si>
    <t>ردیف: 413  پژو پارس سال با موتور XU7 P کلاس 3 سفيد دوپوششه كانزاي  شناسه خودرو  مبلغ پایه  قيمت برنده  جایگاه  NK848698  3,000,000,000    510</t>
  </si>
  <si>
    <t>ردیف: 431  دنا پلاس اتوماتيك با موتور EF7_TC كلاس2 مشكي متاليك  شناسه خودرو  مبلغ پایه  قيمت برنده  جایگاه  LE240744  3,600,000,000    528</t>
  </si>
  <si>
    <t>ردیف: 469  پژو 207i دستي کلاس 10 مشكي متاليك  شناسه خودرو  مبلغ پایه  قيمت برنده  جایگاه  MJ222394  3,750,000,000    573</t>
  </si>
  <si>
    <t>ردیف: 510  هايما S5 توربو اتوماتيک کلاس 1 مشكي متاليك  شناسه خودرو  مبلغ پایه  قيمت برنده  جایگاه  NY070729  8,150,000,000    620</t>
  </si>
  <si>
    <t>ردیف: 528  پژو 206 معمولي كلاس 30 سفيد دو پوششه  شناسه خودرو  مبلغ پایه  قيمت برنده  جایگاه  JJ568898  2,650,000,000    638</t>
  </si>
  <si>
    <t>ردیف: 479  پژو 206 اس دي 1600 سي سي كلاس 1 نقره اي متاليك  شناسه خودرو  مبلغ پایه  قيمت برنده  جایگاه  18901034  1,000,000,000    583</t>
  </si>
  <si>
    <t>ردیف: 480  پژو 206 اس دي اتوماتيك كلاس‏1  سفيد دوپوششه كانزاي  شناسه خودرو  مبلغ پایه  قيمت برنده  جایگاه  BJ371591  1,580,000,000    584</t>
  </si>
  <si>
    <t>ردیف: 522  پژو  جي ال ايكس انژكتوري كلاس 34 نقره اي متاليك  شناسه خودرو  مبلغ پایه  قيمت برنده  جایگاه  HK141130  1,750,000,000    632</t>
  </si>
  <si>
    <t>ردیف: 529  تندر 90 E1 - 1 Airbag مشكي پرشين متاليك  شناسه خودرو  مبلغ پایه  قيمت برنده  جایگاه  EA232587  2,030,000,000    639</t>
  </si>
  <si>
    <t>ردیف: 521  دنا كلاس 1 خاكستري متاليك  شناسه خودرو  مبلغ پایه  قيمت برنده  جایگاه  FE036932  2,500,000,000    631</t>
  </si>
  <si>
    <t>ردیف: 527  پژو 206 1600 سي سي كلاس 15 سفيد دو پوششه  شناسه خودرو  مبلغ پایه  قيمت برنده  جایگاه  GJ893309  2,200,000,000    637</t>
  </si>
  <si>
    <t>ردیف: 531  سمند - ال ايكس کلاس 35 سفيد دو پوششه  شناسه خودرو  مبلغ پایه  قيمت برنده  جایگاه  DF632510  1,700,000,000    641</t>
  </si>
  <si>
    <t>ردیف: 525  پژو جي ال ايكس دوگانه سوز كلاس 22 خاكستري متاليك  شناسه خودرو  مبلغ پایه  قيمت برنده  جایگاه  ER929373  1,550,000,000    635</t>
  </si>
  <si>
    <t>ردیف: 524  سمند ال ايكسEF7 كلاس 11 سفيد دو پوششه  شناسه خودرو  مبلغ پایه  قيمت برنده  جایگاه  FF504076  2,000,000,000    634</t>
  </si>
  <si>
    <t>ردیف: 526  پژو جي ال ايكس دوگانه سوز كلاس 12 نقره اي متاليك  شناسه خودرو  مبلغ پایه  قيمت برنده  جایگاه  DR931374  1,500,000,000    636</t>
  </si>
  <si>
    <t>ردیف: 474  وانت 1600 انژكتوري معمولي سفيد  شناسه خودرو  مبلغ پایه  قيمت برنده  جایگاه  82901531  400,000,000    578</t>
  </si>
  <si>
    <t>ردیف: 530  پژو  جي ال ايكس انژكتوري كلاس 10 نقره اي متاليك  شناسه خودرو  مبلغ پایه  قيمت برنده  جایگاه  BE033523  1,050,000,000    640</t>
  </si>
  <si>
    <t>ردیف: 478  پژو اس ال ايكس انژكتوري SLX با موتور  TU5 كلاس 5 سفيد دو پوششه  شناسه خودرو  مبلغ پایه  قيمت برنده  جایگاه  DK866159  1,300,000,000    582</t>
  </si>
  <si>
    <t>ردیف: 523  سمند - ال ايكس كلاس 18 خاكستري متاليك  شناسه خودرو  مبلغ پایه  قيمت برنده  جایگاه  BF863334  1,100,000,000    633</t>
  </si>
  <si>
    <t>ردیف: 451  پژو  جي ال ايكس انژكتوري كلاس 2 مشكي متاليك  شناسه خودرو  مبلغ پایه  قيمت برنده  جایگاه  9R287855  500,000,000    555</t>
  </si>
  <si>
    <t>ردیف: 442  دنا پلاس اتوماتيك با موتور EF7_TC كلاس2 خاكستري متال  شناسه خودرو  مبلغ پایه  قيمت برنده  جایگاه  LE241640  4,250,000,000    539</t>
  </si>
  <si>
    <t>ردیف: 477  پژو پارس كلاس 13 خاكستري متاليك  شناسه خودرو  مبلغ پایه  قيمت برنده  جایگاه  DR647873  1,600,000,000    581</t>
  </si>
  <si>
    <t>ردیف: 438  دنا پلاس اتوماتيك با موتور EF7_TC كلاس2 مشكي متاليك  شناسه خودرو  مبلغ پایه  قيمت برنده  جایگاه  LE241054  4,250,000,000    535</t>
  </si>
  <si>
    <t>ردیف: 444  دنا پلاس اتوماتيك با موتور EF7_TC كلاس2 مشكي متاليك  شناسه خودرو  مبلغ پایه  قيمت برنده  جایگاه  LE241333  4,300,000,000    541</t>
  </si>
  <si>
    <t>ردیف: 418  پژو پارس معمولي دوگانه سوز كلاس 14 سفيد دو پوششه  شناسه خودرو  مبلغ پایه  قيمت برنده  جایگاه  FR571312  2,900,000,000    515</t>
  </si>
  <si>
    <t>ردیف: 452  پژو جي ال ايكس دوگانه سوز كلاس 28 زرد دو پوششه ساليد  شناسه خودرو  مبلغ پایه  قيمت برنده  جایگاه  GR663141  900,000,000    556</t>
  </si>
  <si>
    <t>ردیف: 432  دنا پلاس اتوماتيك با موتور EF7_TC كلاس2 مشكي متاليك  شناسه خودرو  مبلغ پایه  قيمت برنده  جایگاه  LE242077  4,350,000,000    529</t>
  </si>
  <si>
    <t>ردیف: 476  وانت پيكان OHV كلاس‏ 20 سفيدشيري  شناسه خودرو  مبلغ پایه  قيمت برنده  جایگاه  31003309  450,000,000    580</t>
  </si>
  <si>
    <t>ردیف: 430  دنا+ (پلاس) كلاس9 سفيد دوپوششه كانزاي  شناسه خودرو  مبلغ پایه  قيمت برنده  جایگاه  KE189399  3,550,000,000    527</t>
  </si>
  <si>
    <t>ردیف: 433  دنا پلاس اتوماتيك با موتور EF7_TC كلاس2 سفيد دوپوششه كانزاي  شناسه خودرو  مبلغ پایه  قيمت برنده  جایگاه  LE241722  4,250,000,000    530</t>
  </si>
  <si>
    <t>ردیف: 462  سورن EF7 بنزيني کلاس 21 سفيد دو پوششه  شناسه خودرو  مبلغ پایه  قيمت برنده  جایگاه  LF652124  2,700,000,000    566</t>
  </si>
  <si>
    <t>ردیف: 435  دنا پلاس اتوماتيك با موتور EF7_TC كلاس2 مشكي متاليك  شناسه خودرو  مبلغ پایه  قيمت برنده  جایگاه  LE241025  4,250,000,000    532</t>
  </si>
  <si>
    <t>ردیف: 491  پژو 206 معمولي كلاس 31 سفيد دو پوششه  شناسه خودرو  مبلغ پایه  قيمت برنده  جایگاه  LJ174107  2,750,000,000    595</t>
  </si>
  <si>
    <t>ردیف: 440  دنا پلاس اتوماتيك با موتور EF7_TC كلاس2 سفيد دو پوششه  شناسه خودرو  مبلغ پایه  قيمت برنده  جایگاه  LE240044  4,200,000,000    537</t>
  </si>
  <si>
    <t>ردیف: 492  تندر 90 E0 A/C نقره اي پرشين متاليك  شناسه خودرو  مبلغ پایه  قيمت برنده  جایگاه  7A100101  1,100,000,000    602</t>
  </si>
  <si>
    <t>ردیف: 429  دنا کلاس 23 سفيد دو پوششه  شناسه خودرو  مبلغ پایه  قيمت برنده  جایگاه  LE226417  3,400,000,000    526</t>
  </si>
  <si>
    <t>ردیف: 410  پژو پارس TU5 كلاس20 سفيد دو پوششه  شناسه خودرو  مبلغ پایه  قيمت برنده  جایگاه  MH669366  3,400,000,000    507</t>
  </si>
  <si>
    <t>ردیف: 412  پژو پارس TU5 كلاس20 سفيد دوپوششه كانزاي  شناسه خودرو  مبلغ پایه  قيمت برنده  جایگاه  MK112450  3,350,000,000    509</t>
  </si>
  <si>
    <t>ردیف: 475  وانت پيكان OHV كلاس 4 سفيد صدفي  شناسه خودرو  مبلغ پایه  قيمت برنده  جایگاه  CG290384  500,000,000    579</t>
  </si>
  <si>
    <t>ردیف: 453  پژو جي ال ايكس دوگانه سوز کلاس 35 خاكستري متال  شناسه خودرو  مبلغ پایه  قيمت برنده  جایگاه  LK565737  2,200,000,000    557</t>
  </si>
  <si>
    <t>ردیف: 473  وانت پيكان OHV دوگانه سوز كلاس 11 سفيد شيري  شناسه خودرو  مبلغ پایه  قيمت برنده  جایگاه  EG404174  600,000,000    577</t>
  </si>
  <si>
    <t>ردیف: 439  دنا پلاس اتوماتيك با موتور EF7_TC كلاس2 سفيد دوپوششه كانزاي  شناسه خودرو  مبلغ پایه  قيمت برنده  جایگاه  LE241690  4,300,000,000    536</t>
  </si>
  <si>
    <t>ردیف: 421  پژو پارس معمولي دوگانه سوز کلاس 21 آبي رويال  شناسه خودرو  مبلغ پایه  قيمت برنده  جایگاه  MH640015  3,550,000,000    518</t>
  </si>
  <si>
    <t>ردیف: 472  وانت پيكان OHV دوگانه سوز كلاس 10 سفيد شيري  شناسه خودرو  مبلغ پایه  قيمت برنده  جایگاه  DG387150  650,000,000    576</t>
  </si>
  <si>
    <t>ردیف: 445  دنا پلاس اتوماتيك با موتور EF7_TC كلاس2 سفيد دوپوششه كانزاي  شناسه خودرو  مبلغ پایه  قيمت برنده  جایگاه  LE241235  4,250,000,000    542</t>
  </si>
  <si>
    <t>ردیف: 446  دنا پلاس اتوماتيك با موتور EF7_TC كلاس2 مشكي متاليك  شناسه خودرو  مبلغ پایه  قيمت برنده  جایگاه  LE244083  4,350,000,000    543</t>
  </si>
  <si>
    <t>ردیف: 513  هايماS7 توربو اتوماتيك كلاس2 مشكي متاليك  شناسه خودرو  مبلغ پایه  قيمت برنده  جایگاه  NY061276  8,500,000,000    623</t>
  </si>
  <si>
    <t>پژو پارس TU5 كلاس19 سفيد دوپوششه كانزاي</t>
  </si>
  <si>
    <t>KH539880</t>
  </si>
  <si>
    <t>سفيد دوپوششه كانزاي</t>
  </si>
  <si>
    <t>تصادفي شديد</t>
  </si>
  <si>
    <t>139B0144907</t>
  </si>
  <si>
    <t>خودرو قبلاً كارت طلائي داشته و تعويضي مشتري بوده و آسيب ديدگي شديد دارد خودرو با وضعيت فعلي به فروش ميرسد از جمله : تصادف و خوردگي دور تا دور و زير خودرو و درب موتور وسقف و درب صندوق و ركابها و چرخها و سپرها - موتور جاخورده - به گيربكس آسيب وارد شده - صندليها و رودريها و داشبورد مستعمل - جلوبندي و سيستم هاي تعليق جلو و عقب ايراد دارند - ايراد رنگي بدنه - زنگ زدگي و پوسيدگي نقاطي از بدنه ( به رؤيت مشتري ) - كسري برخي قطعات موتوري و محوطه موتور - كسري برخي قطعات تزئيناتي داخل اتاق - خوردگي مجموعه كامل فن و سيني فن و رادياتورها - فاقد جك و آچارچرخ مي باشد - خوردگي سرشاسي هاي جلو و عقب - شيشه ها شكسته - خوردگي سپرها - شكستگي آينه ها - شكستگي چراغ ها - باطري ندارد - خوردگي شديد از جلو و عقب و ...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</t>
  </si>
  <si>
    <t>188-93ه23</t>
  </si>
  <si>
    <t>شماره بدنه: KH539880</t>
  </si>
  <si>
    <t>شماره جایگاه: 201 (جهت بازدید)</t>
  </si>
  <si>
    <t>قیمت پايه کارشناسی: 1,800,000,000 (ریال)</t>
  </si>
  <si>
    <t>NK661446</t>
  </si>
  <si>
    <t>125K0084792</t>
  </si>
  <si>
    <t>791-75ق54</t>
  </si>
  <si>
    <t>شماره بدنه: NK661446</t>
  </si>
  <si>
    <t>شماره جایگاه: 203 (جهت بازدید)</t>
  </si>
  <si>
    <t>پژو پارس سال با موتور XU7 P کلاس 6 سفيد دو پوششه</t>
  </si>
  <si>
    <t>PH238991</t>
  </si>
  <si>
    <t>125K0140535</t>
  </si>
  <si>
    <t>781-21م54</t>
  </si>
  <si>
    <t>شماره بدنه: PH238991</t>
  </si>
  <si>
    <t>شماره جایگاه: 205 (جهت بازدید)</t>
  </si>
  <si>
    <t>دنا كلاس 2 قهوه اي روشن متاليك</t>
  </si>
  <si>
    <t>GE408998</t>
  </si>
  <si>
    <t>قهوه اي روشن متاليك</t>
  </si>
  <si>
    <t>147H0210193</t>
  </si>
  <si>
    <t>985-24ط79</t>
  </si>
  <si>
    <t>شماره بدنه: GE408998</t>
  </si>
  <si>
    <t>شماره جایگاه: 207 (جهت بازدید)</t>
  </si>
  <si>
    <t>قیمت پايه کارشناسی: 2,200,000,000 (ریال)</t>
  </si>
  <si>
    <t>NH415947</t>
  </si>
  <si>
    <t>139B0264833</t>
  </si>
  <si>
    <t>924-83ن37</t>
  </si>
  <si>
    <t>شماره بدنه: NH415947</t>
  </si>
  <si>
    <t>شماره جایگاه: 209 (جهت بازدید)</t>
  </si>
  <si>
    <t>قیمت پايه کارشناسی: 2,000,000,000 (ریال)</t>
  </si>
  <si>
    <t>NK467092</t>
  </si>
  <si>
    <t>125K0021472</t>
  </si>
  <si>
    <t>461-49د23</t>
  </si>
  <si>
    <t>شماره بدنه: NK467092</t>
  </si>
  <si>
    <t>شماره جایگاه: 211 (جهت بازدید)</t>
  </si>
  <si>
    <t>پژو 207i اتوماتيک با موتور TU5P کلاس 6 مشکي متاليک (آبنوس)</t>
  </si>
  <si>
    <t>PJ015197</t>
  </si>
  <si>
    <t>مشکي متاليک (آبنوس)</t>
  </si>
  <si>
    <t>185B0011548</t>
  </si>
  <si>
    <t>819-30ص37</t>
  </si>
  <si>
    <t>سواري هاچ بک</t>
  </si>
  <si>
    <t>شماره بدنه: PJ015197</t>
  </si>
  <si>
    <t>شماره جایگاه: 213 (جهت بازدید)</t>
  </si>
  <si>
    <t>قیمت پايه کارشناسی: 2,700,000,000 (ریال)</t>
  </si>
  <si>
    <t>PD958152</t>
  </si>
  <si>
    <t>مشكي متاليك (آبنوس)</t>
  </si>
  <si>
    <t>187B0045827</t>
  </si>
  <si>
    <t>952-79ن16</t>
  </si>
  <si>
    <t>شماره بدنه: PD958152</t>
  </si>
  <si>
    <t>شماره جایگاه: 215 (جهت بازدید)</t>
  </si>
  <si>
    <t>قیمت پايه کارشناسی: 3,800,000,000 (ریال)</t>
  </si>
  <si>
    <t>پژو 207i دستي کلاس 17 سفيد دو پوششه</t>
  </si>
  <si>
    <t>PJ043290</t>
  </si>
  <si>
    <t>178B0137662</t>
  </si>
  <si>
    <t>839-63ق27</t>
  </si>
  <si>
    <t>207i MT</t>
  </si>
  <si>
    <t>سواري هاچ بك</t>
  </si>
  <si>
    <t>شماره بدنه: PJ043290</t>
  </si>
  <si>
    <t>شماره جایگاه: 217 (جهت بازدید)</t>
  </si>
  <si>
    <t>قیمت پايه کارشناسی: 2,600,000,000 (ریال)</t>
  </si>
  <si>
    <t>پژو پارس کلاس 42 سفيد دو پوششه</t>
  </si>
  <si>
    <t>NH433439</t>
  </si>
  <si>
    <t>124K1673217</t>
  </si>
  <si>
    <t>662-82ب48</t>
  </si>
  <si>
    <t>شماره بدنه: NH433439</t>
  </si>
  <si>
    <t>شماره جایگاه: 219 (جهت بازدید)</t>
  </si>
  <si>
    <t>قیمت پايه کارشناسی: 3,900,000,000 (ریال)</t>
  </si>
  <si>
    <t>NJ363126</t>
  </si>
  <si>
    <t>178B0117786</t>
  </si>
  <si>
    <t>193-63ج87</t>
  </si>
  <si>
    <t>شماره بدنه: NJ363126</t>
  </si>
  <si>
    <t>شماره جایگاه: 221 (جهت بازدید)</t>
  </si>
  <si>
    <t>پژو پارس كلاس 28 سفيد دو پوششه</t>
  </si>
  <si>
    <t>EH193430</t>
  </si>
  <si>
    <t>124K0555900</t>
  </si>
  <si>
    <t>ايراد رنگي بدنه – صندليها و رودريها و لاستيكها مستعمل – ديسك و صفحه كلاچ عملكرد ضعيف دارد – جلوبندي ايراد دارد – خوردگي دورتادور و زيرخودرو – آثار روغن ريزي داخل موتور و گيربكس و محوطه موتور – خودرو با وضعيت فعلي بفروش ميرسد و هرگونه كسري احتمالي قطعات ديگر يا ايرادات ديگر بعهده برنده مزايده ميباشد و مزايده گذار هيچگونه تعهدي در اين خصوص ندارد - خط و خش و قري و كسري هاي ظاهري به رؤيت مشتري مي باشد</t>
  </si>
  <si>
    <t>488-99ه15</t>
  </si>
  <si>
    <t>شماره بدنه: EH193430</t>
  </si>
  <si>
    <t>شماره جایگاه: 223 (جهت بازدید)</t>
  </si>
  <si>
    <t>قیمت پايه کارشناسی: 3,100,000,000 (ریال)</t>
  </si>
  <si>
    <t>HH989390</t>
  </si>
  <si>
    <t>181B0010005</t>
  </si>
  <si>
    <t>916-44ق45</t>
  </si>
  <si>
    <t>شماره بدنه: HH989390</t>
  </si>
  <si>
    <t>شماره جایگاه: 225 (جهت بازدید)</t>
  </si>
  <si>
    <t>قیمت پايه کارشناسی: 4,500,000,000 (ریال)</t>
  </si>
  <si>
    <t>EF163891</t>
  </si>
  <si>
    <t>دوگانه سوز (بنزين و CNG)</t>
  </si>
  <si>
    <t>147H0070322</t>
  </si>
  <si>
    <t>صندليها و رودريها و داشبورد مستعمل - ايراد رنگي بدنه - زنگ زدگي و پوسيدگي نقاطي از بدنه ( به رؤيت مشتري ) - كسري برخي قطعات تزئيناتي داخل اتاق -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 - خوردگي دور تا دور بدنه ( به رؤيت مشتري ) - خط و خش و قري و كسري هاي ظاهري به رؤيت مشتري مي باشد</t>
  </si>
  <si>
    <t>616-11ن57</t>
  </si>
  <si>
    <t>شماره بدنه: EF163891</t>
  </si>
  <si>
    <t>شماره جایگاه: 227 (جهت بازدید)</t>
  </si>
  <si>
    <t>قیمت پايه کارشناسی: 2,100,000,000 (ریال)</t>
  </si>
  <si>
    <t>سمند SE كلاس2 سفيد دو پوششه</t>
  </si>
  <si>
    <t>EF231369</t>
  </si>
  <si>
    <t>124K0334557</t>
  </si>
  <si>
    <t>854-88و38</t>
  </si>
  <si>
    <t>شماره بدنه: EF231369</t>
  </si>
  <si>
    <t>شماره جایگاه: 230 (جهت بازدید)</t>
  </si>
  <si>
    <t>قیمت پايه کارشناسی: 2,300,000,000 (ریال)</t>
  </si>
  <si>
    <t>PK243120</t>
  </si>
  <si>
    <t>125K0127869</t>
  </si>
  <si>
    <t>971-21ج83</t>
  </si>
  <si>
    <t>شماره بدنه: PK243120</t>
  </si>
  <si>
    <t>شماره جایگاه: 202 (جهت بازدید)</t>
  </si>
  <si>
    <t>قیمت پايه کارشناسی: 1,900,000,000 (ریال)</t>
  </si>
  <si>
    <t>PK257041</t>
  </si>
  <si>
    <t>125K0160542</t>
  </si>
  <si>
    <t>751-24ج38</t>
  </si>
  <si>
    <t>شماره بدنه: PK257041</t>
  </si>
  <si>
    <t>شماره جایگاه: 204 (جهت بازدید)</t>
  </si>
  <si>
    <t>قیمت پايه کارشناسی: 1,700,000,000 (ریال)</t>
  </si>
  <si>
    <t>پژو 207i دستي کلاس 16 سفيد دو پوششه</t>
  </si>
  <si>
    <t>PJ650163</t>
  </si>
  <si>
    <t>172B0117896</t>
  </si>
  <si>
    <t>666-20ص55</t>
  </si>
  <si>
    <t>شماره بدنه: PJ650163</t>
  </si>
  <si>
    <t>شماره جایگاه: 206 (جهت بازدید)</t>
  </si>
  <si>
    <t>پژو پارس کلاس 42 مشكي متاليك</t>
  </si>
  <si>
    <t>NK905128</t>
  </si>
  <si>
    <t>مشكي متاليك</t>
  </si>
  <si>
    <t>124K1678809</t>
  </si>
  <si>
    <t>172-84ل93</t>
  </si>
  <si>
    <t>شماره بدنه: NK905128</t>
  </si>
  <si>
    <t>شماره جایگاه: 208 (جهت بازدید)</t>
  </si>
  <si>
    <t>NH420033</t>
  </si>
  <si>
    <t>125K0108170</t>
  </si>
  <si>
    <t>542-21ج16</t>
  </si>
  <si>
    <t>شماره بدنه: NH420033</t>
  </si>
  <si>
    <t>شماره جایگاه: 210 (جهت بازدید)</t>
  </si>
  <si>
    <t>سمند - ال ايكس كلاس 39 سفيد دو پوششه</t>
  </si>
  <si>
    <t>FF033328</t>
  </si>
  <si>
    <t>124K0701037</t>
  </si>
  <si>
    <t>375-44ص96</t>
  </si>
  <si>
    <t>شماره بدنه: FF033328</t>
  </si>
  <si>
    <t>شماره جایگاه: 212 (جهت بازدید)</t>
  </si>
  <si>
    <t>پژو 207i دستي کلاس 18 سفيد دو پوششه</t>
  </si>
  <si>
    <t>PJ552904</t>
  </si>
  <si>
    <t>174B0056046</t>
  </si>
  <si>
    <t>332-92س64</t>
  </si>
  <si>
    <t>شماره بدنه: PJ552904</t>
  </si>
  <si>
    <t>شماره جایگاه: 214 (جهت بازدید)</t>
  </si>
  <si>
    <t>قیمت پايه کارشناسی: 2,400,000,000 (ریال)</t>
  </si>
  <si>
    <t>NE493716</t>
  </si>
  <si>
    <t>153H0086357</t>
  </si>
  <si>
    <t>955-11ج84</t>
  </si>
  <si>
    <t>شماره بدنه: NE493716</t>
  </si>
  <si>
    <t>شماره جایگاه: 216 (جهت بازدید)</t>
  </si>
  <si>
    <t>قیمت پايه کارشناسی: 3,500,000,000 (ریال)</t>
  </si>
  <si>
    <t>MK165097</t>
  </si>
  <si>
    <t>124K1651499</t>
  </si>
  <si>
    <t>299-77د38</t>
  </si>
  <si>
    <t>شماره بدنه: MK165097</t>
  </si>
  <si>
    <t>شماره جایگاه: 218 (جهت بازدید)</t>
  </si>
  <si>
    <t>پژو 207i با موتور TU3 کلاس 2 سفيد دو پوششه</t>
  </si>
  <si>
    <t>PJ029930</t>
  </si>
  <si>
    <t>165A0232090</t>
  </si>
  <si>
    <t>239-50ن73</t>
  </si>
  <si>
    <t>207i TU3</t>
  </si>
  <si>
    <t>شماره بدنه: PJ029930</t>
  </si>
  <si>
    <t>شماره جایگاه: 220 (جهت بازدید)</t>
  </si>
  <si>
    <t>قیمت پايه کارشناسی: 2,900,000,000 (ریال)</t>
  </si>
  <si>
    <t>هايما S5 توربو اتوماتيك كلاس 2 سفيد دو پوششه</t>
  </si>
  <si>
    <t>JY715414</t>
  </si>
  <si>
    <t>GN15TF79019747</t>
  </si>
  <si>
    <t>797-44ج12</t>
  </si>
  <si>
    <t>شماره بدنه: JY715414</t>
  </si>
  <si>
    <t>شماره جایگاه: 222 (جهت بازدید)</t>
  </si>
  <si>
    <t>قیمت پايه کارشناسی: 5,600,000,000 (ریال)</t>
  </si>
  <si>
    <t>پژو پارس كلاس 32 خاكستري متاليك</t>
  </si>
  <si>
    <t>GH936544</t>
  </si>
  <si>
    <t>خاكستري متاليك</t>
  </si>
  <si>
    <t>124K0985673</t>
  </si>
  <si>
    <t>645-11ط59</t>
  </si>
  <si>
    <t>شماره بدنه: GH936544</t>
  </si>
  <si>
    <t>شماره جایگاه: 224 (جهت بازدید)</t>
  </si>
  <si>
    <t>قیمت پايه کارشناسی: 3,400,000,000 (ریال)</t>
  </si>
  <si>
    <t>H30 CROSS AT كلاس 3 مشكي متاليك</t>
  </si>
  <si>
    <t>JX105602</t>
  </si>
  <si>
    <t>FA173B0050980</t>
  </si>
  <si>
    <t>929-11س87</t>
  </si>
  <si>
    <t>شماره بدنه: JX105602</t>
  </si>
  <si>
    <t>شماره جایگاه: 226 (جهت بازدید)</t>
  </si>
  <si>
    <t>قیمت پايه کارشناسی: 4,900,000,000 (ریال)</t>
  </si>
  <si>
    <t>پژو پارس TU5 كلاس 9 سفيد دو پوششه</t>
  </si>
  <si>
    <t>EK678195</t>
  </si>
  <si>
    <t>139B0051869</t>
  </si>
  <si>
    <t>162-11ج33</t>
  </si>
  <si>
    <t>شماره بدنه: EK678195</t>
  </si>
  <si>
    <t>شماره جایگاه: 228 (جهت بازدید)</t>
  </si>
  <si>
    <t>پژو پارس TU5 كلاس 13 سفيد دو پوششه</t>
  </si>
  <si>
    <t>HH990264</t>
  </si>
  <si>
    <t>164B0138081</t>
  </si>
  <si>
    <t>خودرو قبلاً كارت طلائي داشته و تعويضي مشتري بوده و آسيب ديدگي شديد دارد خودرو با وضعيت فعلي به فروش ميرسد از جمله : تصادف و خوردگي دور تا دور و زير خودرو و درب موتور وسقف و درب صندوق و ركابها و چرخها و سپرها - موتور جاخورده - به گيربكس آسيب وارد شده - صندليها و رودريها و داشبورد مستعمل - جلوبندي و سيستم هاي تعليق جلو و عقب ايراد دارند - ايراد رنگي بدنه - زنگ زدگي و پوسيدگي نقاطي از بدنه ( به رؤيت مشتري ) - كسري برخي قطعات موتوري و محوطه موتور - كسري برخي قطعات تزئيناتي داخل اتاق - خوردگي مجموعه كامل فن و سيني فن و رادياتورها - فاقد جك و آچارچرخ مي باشد - خوردگي سرشاسي هاي جلو و عقب - شيشه ها شكسته - خوردگي سپرها - شكستگي آينه ها - شكستگي چراغ ها - باطري ندارد - خوردگي شديد از جلو و عقب و ...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 .</t>
  </si>
  <si>
    <t>575-24ج21</t>
  </si>
  <si>
    <t>شماره بدنه: HH990264</t>
  </si>
  <si>
    <t>شماره جایگاه: 101 (جهت بازدید)</t>
  </si>
  <si>
    <t>قیمت پايه کارشناسی: 1,600,000,000 (ریال)</t>
  </si>
  <si>
    <t>LJ031066</t>
  </si>
  <si>
    <t>165A0178280</t>
  </si>
  <si>
    <t>224-79ل44</t>
  </si>
  <si>
    <t>شماره بدنه: LJ031066</t>
  </si>
  <si>
    <t>شماره جایگاه: 103 (جهت بازدید)</t>
  </si>
  <si>
    <t>MT298748</t>
  </si>
  <si>
    <t>172B0079840</t>
  </si>
  <si>
    <t>911-91ب54</t>
  </si>
  <si>
    <t>شماره بدنه: MT298748</t>
  </si>
  <si>
    <t>شماره جایگاه: 105 (جهت بازدید)</t>
  </si>
  <si>
    <t>NK804141</t>
  </si>
  <si>
    <t>125K0068086</t>
  </si>
  <si>
    <t>177-49د31</t>
  </si>
  <si>
    <t>شماره بدنه: NK804141</t>
  </si>
  <si>
    <t>شماره جایگاه: 107 (جهت بازدید)</t>
  </si>
  <si>
    <t>GH735617</t>
  </si>
  <si>
    <t>164B0108156</t>
  </si>
  <si>
    <t>438-34ص15</t>
  </si>
  <si>
    <t>شماره بدنه: GH735617</t>
  </si>
  <si>
    <t>شماره جایگاه: 109 (جهت بازدید)</t>
  </si>
  <si>
    <t>NJ310609</t>
  </si>
  <si>
    <t>165A0209807</t>
  </si>
  <si>
    <t>245-84ل53</t>
  </si>
  <si>
    <t>شماره بدنه: NJ310609</t>
  </si>
  <si>
    <t>شماره جایگاه: 111 (جهت بازدید)</t>
  </si>
  <si>
    <t>پژو 206 معمولي کلاس35 سفيد دو پوششه</t>
  </si>
  <si>
    <t>NJ371884</t>
  </si>
  <si>
    <t>182A0185182</t>
  </si>
  <si>
    <t>586-37ن44</t>
  </si>
  <si>
    <t>شماره بدنه: NJ371884</t>
  </si>
  <si>
    <t>شماره جایگاه: 113 (جهت بازدید)</t>
  </si>
  <si>
    <t>MF901890</t>
  </si>
  <si>
    <t>147H0563011</t>
  </si>
  <si>
    <t>635-63ب89</t>
  </si>
  <si>
    <t>شماره بدنه: MF901890</t>
  </si>
  <si>
    <t>شماره جایگاه: 115 (جهت بازدید)</t>
  </si>
  <si>
    <t>وانت آريسان2 دوگانه سوز با موتور XU7P کلاس 3 خاكستري متاليك</t>
  </si>
  <si>
    <t>PK025540</t>
  </si>
  <si>
    <t>125K0180715</t>
  </si>
  <si>
    <t>389-13ج42</t>
  </si>
  <si>
    <t>P100 XU7P CNG</t>
  </si>
  <si>
    <t>وانت</t>
  </si>
  <si>
    <t>شماره بدنه: PK025540</t>
  </si>
  <si>
    <t>شماره جایگاه: 117 (جهت بازدید)</t>
  </si>
  <si>
    <t>PJ030792</t>
  </si>
  <si>
    <t>174B0060096</t>
  </si>
  <si>
    <t>352-13ب28</t>
  </si>
  <si>
    <t>شماره بدنه: PJ030792</t>
  </si>
  <si>
    <t>شماره جایگاه: 119 (جهت بازدید)</t>
  </si>
  <si>
    <t>قیمت پايه کارشناسی: 2,800,000,000 (ریال)</t>
  </si>
  <si>
    <t>NJ354622</t>
  </si>
  <si>
    <t>178B0112207</t>
  </si>
  <si>
    <t>996-73ه81</t>
  </si>
  <si>
    <t>شماره بدنه: NJ354622</t>
  </si>
  <si>
    <t>شماره جایگاه: 121 (جهت بازدید)</t>
  </si>
  <si>
    <t>PJ643791</t>
  </si>
  <si>
    <t>178B0148452</t>
  </si>
  <si>
    <t>851-84م11</t>
  </si>
  <si>
    <t>شماره بدنه: PJ643791</t>
  </si>
  <si>
    <t>شماره جایگاه: 123 (جهت بازدید)</t>
  </si>
  <si>
    <t>دنا پلاس توربو شارژ کلاس 10 خاكستري متاليك</t>
  </si>
  <si>
    <t>PE004929</t>
  </si>
  <si>
    <t>153H0124952</t>
  </si>
  <si>
    <t>362-51ط22</t>
  </si>
  <si>
    <t>شماره بدنه: PE004929</t>
  </si>
  <si>
    <t>شماره جایگاه: 125 (جهت بازدید)</t>
  </si>
  <si>
    <t>قیمت پايه کارشناسی: 3,600,000,000 (ریال)</t>
  </si>
  <si>
    <t>PK280849</t>
  </si>
  <si>
    <t>167B0191189</t>
  </si>
  <si>
    <t>565-14د68</t>
  </si>
  <si>
    <t>شماره بدنه: PK280849</t>
  </si>
  <si>
    <t>شماره جایگاه: 127 (جهت بازدید)</t>
  </si>
  <si>
    <t>پژو پارس - اي ال ايكس كلاس 9 سفيد دو پوششه</t>
  </si>
  <si>
    <t>CE004250</t>
  </si>
  <si>
    <t>329-36و52</t>
  </si>
  <si>
    <t>PARS XU7 JP4</t>
  </si>
  <si>
    <t>شماره بدنه: CE004250</t>
  </si>
  <si>
    <t>شماره جایگاه: 129 (جهت بازدید)</t>
  </si>
  <si>
    <t>قیمت پايه کارشناسی: 1,400,000,000 (ریال)</t>
  </si>
  <si>
    <t>JH944958</t>
  </si>
  <si>
    <t>164B0195947</t>
  </si>
  <si>
    <t>695-93ل35</t>
  </si>
  <si>
    <t>شماره بدنه: JH944958</t>
  </si>
  <si>
    <t>شماره جایگاه: 131 (جهت بازدید)</t>
  </si>
  <si>
    <t>NF159839</t>
  </si>
  <si>
    <t>147H0639687</t>
  </si>
  <si>
    <t>216-67ص84</t>
  </si>
  <si>
    <t>شماره بدنه: NF159839</t>
  </si>
  <si>
    <t>شماره جایگاه: 133 (جهت بازدید)</t>
  </si>
  <si>
    <t>پژو 206 معمولي كلاس34 سفيد دو پوششه</t>
  </si>
  <si>
    <t>KJ748141</t>
  </si>
  <si>
    <t>182A0076190</t>
  </si>
  <si>
    <t>132-14ه83</t>
  </si>
  <si>
    <t>شماره بدنه: KJ748141</t>
  </si>
  <si>
    <t>شماره جایگاه: 135 (جهت بازدید)</t>
  </si>
  <si>
    <t>PH947078</t>
  </si>
  <si>
    <t>125K0187085</t>
  </si>
  <si>
    <t>794-73ج53</t>
  </si>
  <si>
    <t>شماره بدنه: PH947078</t>
  </si>
  <si>
    <t>شماره جایگاه: 137 (جهت بازدید)</t>
  </si>
  <si>
    <t>MJ530581</t>
  </si>
  <si>
    <t>167B0128445</t>
  </si>
  <si>
    <t>244-63د93</t>
  </si>
  <si>
    <t>شماره بدنه: MJ530581</t>
  </si>
  <si>
    <t>شماره جایگاه: 139 (جهت بازدید)</t>
  </si>
  <si>
    <t>تارا دستي کلاس 7 مشكي متاليك (آبنوس)</t>
  </si>
  <si>
    <t>PD800701</t>
  </si>
  <si>
    <t>187B0038883</t>
  </si>
  <si>
    <t>979-50ط28</t>
  </si>
  <si>
    <t>شماره بدنه: PD800701</t>
  </si>
  <si>
    <t>شماره جایگاه: 141 (جهت بازدید)</t>
  </si>
  <si>
    <t>دنا كلاس 1 مشكي متاليك</t>
  </si>
  <si>
    <t>JE074028</t>
  </si>
  <si>
    <t>147H0379163</t>
  </si>
  <si>
    <t>969-82ق98</t>
  </si>
  <si>
    <t>شماره بدنه: JE074028</t>
  </si>
  <si>
    <t>شماره جایگاه: 143 (جهت بازدید)</t>
  </si>
  <si>
    <t>NH219161</t>
  </si>
  <si>
    <t>164B0308335</t>
  </si>
  <si>
    <t>964-50د22</t>
  </si>
  <si>
    <t>شماره بدنه: NH219161</t>
  </si>
  <si>
    <t>شماره جایگاه: 145 (جهت بازدید)</t>
  </si>
  <si>
    <t>LH297147</t>
  </si>
  <si>
    <t>167B0087047</t>
  </si>
  <si>
    <t>546-34ج65</t>
  </si>
  <si>
    <t>شماره بدنه: LH297147</t>
  </si>
  <si>
    <t>شماره جایگاه: 147 (جهت بازدید)</t>
  </si>
  <si>
    <t>دنا پلاس اتوماتيك با موتور EF7_TC کلاس 9 سفيد دوپوششه كانزاي</t>
  </si>
  <si>
    <t>PDA45391</t>
  </si>
  <si>
    <t>153H0166010</t>
  </si>
  <si>
    <t>889-45و91</t>
  </si>
  <si>
    <t>شماره بدنه: PDA45391</t>
  </si>
  <si>
    <t>شماره جایگاه: 149 (جهت بازدید)</t>
  </si>
  <si>
    <t>قیمت پايه کارشناسی: 4,200,000,000 (ریال)</t>
  </si>
  <si>
    <t>پژو پارس سال با موتور XU7 P کلاس 5 سفيد دو پوششه</t>
  </si>
  <si>
    <t>NK803254</t>
  </si>
  <si>
    <t>125K0066556</t>
  </si>
  <si>
    <t>759-14ه37</t>
  </si>
  <si>
    <t>شماره بدنه: NK803254</t>
  </si>
  <si>
    <t>شماره جایگاه: 151 (جهت بازدید)</t>
  </si>
  <si>
    <t>NJ244945</t>
  </si>
  <si>
    <t>185B0005269</t>
  </si>
  <si>
    <t>325-67ن81</t>
  </si>
  <si>
    <t>شماره بدنه: NJ244945</t>
  </si>
  <si>
    <t>شماره جایگاه: 153 (جهت بازدید)</t>
  </si>
  <si>
    <t>NK460102</t>
  </si>
  <si>
    <t>125K0005090</t>
  </si>
  <si>
    <t>544-75ق45</t>
  </si>
  <si>
    <t>شماره بدنه: NK460102</t>
  </si>
  <si>
    <t>شماره جایگاه: 155 (جهت بازدید)</t>
  </si>
  <si>
    <t>JH947406</t>
  </si>
  <si>
    <t>164B0199278</t>
  </si>
  <si>
    <t>815-91س72</t>
  </si>
  <si>
    <t>شماره بدنه: JH947406</t>
  </si>
  <si>
    <t>شماره جایگاه: 157 (جهت بازدید)</t>
  </si>
  <si>
    <t>پژو پارس TU5 كلاس19 سفيد دو پوششه</t>
  </si>
  <si>
    <t>KH541948</t>
  </si>
  <si>
    <t>139B0144981</t>
  </si>
  <si>
    <t>336-73ص46</t>
  </si>
  <si>
    <t>شماره بدنه: KH541948</t>
  </si>
  <si>
    <t>شماره جایگاه: 159 (جهت بازدید)</t>
  </si>
  <si>
    <t>پژو پارس سال با موتور XU7 P کلاس 7 سفيد دو پوششه</t>
  </si>
  <si>
    <t>PH949529</t>
  </si>
  <si>
    <t>125K0183161</t>
  </si>
  <si>
    <t>275-21ج35</t>
  </si>
  <si>
    <t>شماره بدنه: PH949529</t>
  </si>
  <si>
    <t>شماره جایگاه: 161 (جهت بازدید)</t>
  </si>
  <si>
    <t>NH441739</t>
  </si>
  <si>
    <t>125K0003365</t>
  </si>
  <si>
    <t>961-35ط95</t>
  </si>
  <si>
    <t>شماره بدنه: NH441739</t>
  </si>
  <si>
    <t>شماره جایگاه: 163 (جهت بازدید)</t>
  </si>
  <si>
    <t>PH895853</t>
  </si>
  <si>
    <t>125K0204469</t>
  </si>
  <si>
    <t>838-84ل97</t>
  </si>
  <si>
    <t>شماره بدنه: PH895853</t>
  </si>
  <si>
    <t>شماره جایگاه: 165 (جهت بازدید)</t>
  </si>
  <si>
    <t>پژو پارس سال با موتور XU7 P کلاس 8 سفيد دو پوششه</t>
  </si>
  <si>
    <t>PH949799</t>
  </si>
  <si>
    <t>125K0185069</t>
  </si>
  <si>
    <t>267-13ج59</t>
  </si>
  <si>
    <t>شماره بدنه: PH949799</t>
  </si>
  <si>
    <t>شماره جایگاه: 167 (جهت بازدید)</t>
  </si>
  <si>
    <t>MK118243</t>
  </si>
  <si>
    <t>139B0208144</t>
  </si>
  <si>
    <t>977-65ص55</t>
  </si>
  <si>
    <t>شماره بدنه: MK118243</t>
  </si>
  <si>
    <t>شماره جایگاه: 169 (جهت بازدید)</t>
  </si>
  <si>
    <t>NH437157</t>
  </si>
  <si>
    <t>124K1677997</t>
  </si>
  <si>
    <t>355-69ط79</t>
  </si>
  <si>
    <t>شماره بدنه: NH437157</t>
  </si>
  <si>
    <t>شماره جایگاه: 171 (جهت بازدید)</t>
  </si>
  <si>
    <t>پژو پارس TU5 کلاس 29 سفيد دو پوششه</t>
  </si>
  <si>
    <t>PH278207</t>
  </si>
  <si>
    <t>164B0320397</t>
  </si>
  <si>
    <t>225-14ص37</t>
  </si>
  <si>
    <t>شماره بدنه: PH278207</t>
  </si>
  <si>
    <t>شماره جایگاه: 173 (جهت بازدید)</t>
  </si>
  <si>
    <t>پژو پارس سال با موتور XU7 P کلاس 6 سفيد دوپوششه كانزاي</t>
  </si>
  <si>
    <t>PH931703</t>
  </si>
  <si>
    <t>125K0151612</t>
  </si>
  <si>
    <t>774-50ق27</t>
  </si>
  <si>
    <t>شماره بدنه: PH931703</t>
  </si>
  <si>
    <t>شماره جایگاه: 175 (جهت بازدید)</t>
  </si>
  <si>
    <t>NK186060</t>
  </si>
  <si>
    <t>خودرو ي سرقتي-قابليت نقل و انتقال دارد</t>
  </si>
  <si>
    <t>139B0274293</t>
  </si>
  <si>
    <t>خودروي فوق سرقتي مي باشد - صندليها و رودريها و داشبورد و لاستيكها مستعمل - ايراد رنگي بدنه - زنگ زدگي و پوسيدگي نقاطي از بدنه ( به رؤيت مشتري ) - كسري برخي قطعات تزئيناتي داخل اتاق -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 - خوردگي دور تا دور بدنه ( به رؤيت مشتري ) - خط و خش و قري و كسري هاي ظاهري به رؤيت مشتري مي باشد</t>
  </si>
  <si>
    <t>454-99ر99</t>
  </si>
  <si>
    <t>شماره بدنه: NK186060</t>
  </si>
  <si>
    <t>شماره جایگاه: 177 (جهت بازدید)</t>
  </si>
  <si>
    <t>پژو جي ال ايكس دوگانه سوز كلاس 15 نقره اي متاليك</t>
  </si>
  <si>
    <t>BE087335</t>
  </si>
  <si>
    <t>نقره اي متاليك</t>
  </si>
  <si>
    <t>137-55ر37</t>
  </si>
  <si>
    <t>شماره بدنه: BE087335</t>
  </si>
  <si>
    <t>شماره جایگاه: 179 (جهت بازدید)</t>
  </si>
  <si>
    <t>قیمت پايه کارشناسی: 1,500,000,000 (ریال)</t>
  </si>
  <si>
    <t>پژو جي ال ايكس انژكتوري كلاس 34 خاكستري متال</t>
  </si>
  <si>
    <t>HK583584</t>
  </si>
  <si>
    <t>خاكستري متال</t>
  </si>
  <si>
    <t>124K1043284</t>
  </si>
  <si>
    <t>217-10ر14</t>
  </si>
  <si>
    <t>شماره بدنه: HK583584</t>
  </si>
  <si>
    <t>شماره جایگاه: 181 (جهت بازدید)</t>
  </si>
  <si>
    <t>قیمت پايه کارشناسی: 2,500,000,000 (ریال)</t>
  </si>
  <si>
    <t>KK174246</t>
  </si>
  <si>
    <t>124K1343927</t>
  </si>
  <si>
    <t>821-99ر61</t>
  </si>
  <si>
    <t>شماره بدنه: KK174246</t>
  </si>
  <si>
    <t>شماره جایگاه: 183 (جهت بازدید)</t>
  </si>
  <si>
    <t>قیمت پايه کارشناسی: 3,000,000,000 (ریال)</t>
  </si>
  <si>
    <t>پژو پارس كلاس1 سفيد دو پوششه</t>
  </si>
  <si>
    <t>8E707618</t>
  </si>
  <si>
    <t>274-11ر43</t>
  </si>
  <si>
    <t>شماره بدنه: 8E707618</t>
  </si>
  <si>
    <t>شماره جایگاه: 185 (جهت بازدید)</t>
  </si>
  <si>
    <t>پژو پارس اتوماتيك TU5JP4 كلاس13 سفيد دو پوششه</t>
  </si>
  <si>
    <t>KH181461</t>
  </si>
  <si>
    <t>134B0008604</t>
  </si>
  <si>
    <t>خودرو سرقتي و مكشوفه مي باشد - خودرو قبلاً كارت طلائي داشته و تعويضي مشتري بوده و آسيب ديدگي شديد دارد از جمله : تصادف و خوردگي دور تا دور و زير خودرو و درب موتور وسقف و درب صندوق و ركابها و چرخها و سپرها - موتور جاخورده - به گيربكس آسيب وارد شده - صندليها و رودريها و داشبورد مستعمل - جلوبندي و سيستم هاي تعليق جلو و عقب ايراد دارند - ايراد رنگي بدنه - زنگ زدگي و پوسيدگي نقاطي از بدنه ( به رؤيت مشتري ) - كسري برخي قطعات موتوري و محوطه موتور - كسري برخي قطعات تزئيناتي داخل اتاق - خوردگي مجموعه كامل فن و سيني فن و رادياتورها - فاقد جك و آچارچرخ مي باشد - خوردگي سرشاسي هاي جلو و عقب - شيشه ها شكسته - خوردگي سپرها - شكستگي آينه ها - شكستگي چراغ ها - باطري ندارد - خوردگي شديد از جلو و عقب و ...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ندارد.</t>
  </si>
  <si>
    <t>256-99ر65</t>
  </si>
  <si>
    <t>PARS TU5 A</t>
  </si>
  <si>
    <t>شماره بدنه: KH181461</t>
  </si>
  <si>
    <t>شماره جایگاه: 187 (جهت بازدید)</t>
  </si>
  <si>
    <t>NH458531</t>
  </si>
  <si>
    <t>125K0034812</t>
  </si>
  <si>
    <t>414-10ر22</t>
  </si>
  <si>
    <t>شماره بدنه: NH458531</t>
  </si>
  <si>
    <t>شماره جایگاه: 189 (جهت بازدید)</t>
  </si>
  <si>
    <t>پژو پارس كلاس 21 سفيد دو پوششه</t>
  </si>
  <si>
    <t>EH103824</t>
  </si>
  <si>
    <t>124K0349917</t>
  </si>
  <si>
    <t>564-99ر81</t>
  </si>
  <si>
    <t>شماره بدنه: EH103824</t>
  </si>
  <si>
    <t>شماره جایگاه: 191 (جهت بازدید)</t>
  </si>
  <si>
    <t>NH156999</t>
  </si>
  <si>
    <t>125K0103794</t>
  </si>
  <si>
    <t>325-99ر67</t>
  </si>
  <si>
    <t>شماره بدنه: NH156999</t>
  </si>
  <si>
    <t>شماره جایگاه: 193 (جهت بازدید)</t>
  </si>
  <si>
    <t>پژو 206 اس دي 1600 سي سي كلاس33 سفيد دو پوششه</t>
  </si>
  <si>
    <t>LJ076314</t>
  </si>
  <si>
    <t>163B0331255</t>
  </si>
  <si>
    <t>548-99ر82</t>
  </si>
  <si>
    <t>شماره بدنه: LJ076314</t>
  </si>
  <si>
    <t>شماره جایگاه: 195 (جهت بازدید)</t>
  </si>
  <si>
    <t>FF500672</t>
  </si>
  <si>
    <t>147H0121036</t>
  </si>
  <si>
    <t>893-66ر39</t>
  </si>
  <si>
    <t>شماره بدنه: FF500672</t>
  </si>
  <si>
    <t>شماره جایگاه: 197 (جهت بازدید)</t>
  </si>
  <si>
    <t>پژو پارس كلاس34 سفيد دو پوششه</t>
  </si>
  <si>
    <t>KH226527</t>
  </si>
  <si>
    <t>124K1415715</t>
  </si>
  <si>
    <t>خودروي فوق سرقتي مي باشد - صندليها و رودريها و داشبورد مستعمل - ايراد رنگي بدنه - زنگ زدگي و پوسيدگي نقاطي از بدنه ( به رؤيت مشتري ) - كسري برخي قطعات تزئيناتي داخل اتاق -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 - خوردگي دور تا دور بدنه ( به رؤيت مشتري ) - خط و خش و قري و كسري هاي ظاهري به رؤيت مشتري مي باشد</t>
  </si>
  <si>
    <t>763-99ر67</t>
  </si>
  <si>
    <t>شماره بدنه: KH226527</t>
  </si>
  <si>
    <t>شماره جایگاه: 199 (جهت بازدید)</t>
  </si>
  <si>
    <t>دنا پلاس اتوماتيك با موتور EF7_TC کلاس 9 سفيد دو پوششه</t>
  </si>
  <si>
    <t>PE702738</t>
  </si>
  <si>
    <t>153H0135288</t>
  </si>
  <si>
    <t>144-14س93</t>
  </si>
  <si>
    <t>شماره بدنه: PE702738</t>
  </si>
  <si>
    <t>شماره جایگاه: 102 (جهت بازدید)</t>
  </si>
  <si>
    <t>قیمت پايه کارشناسی: 4,700,000,000 (ریال)</t>
  </si>
  <si>
    <t>PJ674754</t>
  </si>
  <si>
    <t>178B0148779</t>
  </si>
  <si>
    <t>391-19ي44</t>
  </si>
  <si>
    <t>شماره بدنه: PJ674754</t>
  </si>
  <si>
    <t>شماره جایگاه: 104 (جهت بازدید)</t>
  </si>
  <si>
    <t>LE233180</t>
  </si>
  <si>
    <t>147H0544364</t>
  </si>
  <si>
    <t>688-74ي16</t>
  </si>
  <si>
    <t>شماره بدنه: LE233180</t>
  </si>
  <si>
    <t>شماره جایگاه: 106 (جهت بازدید)</t>
  </si>
  <si>
    <t>NK465399</t>
  </si>
  <si>
    <t>125K0018510</t>
  </si>
  <si>
    <t>116-34ي69</t>
  </si>
  <si>
    <t>شماره بدنه: NK465399</t>
  </si>
  <si>
    <t>شماره جایگاه: 108 (جهت بازدید)</t>
  </si>
  <si>
    <t>NF164882</t>
  </si>
  <si>
    <t>147H0644699</t>
  </si>
  <si>
    <t>593-34ي92</t>
  </si>
  <si>
    <t>شماره بدنه: NF164882</t>
  </si>
  <si>
    <t>شماره جایگاه: 110 (جهت بازدید)</t>
  </si>
  <si>
    <t>NJ350039</t>
  </si>
  <si>
    <t>166B0073214</t>
  </si>
  <si>
    <t>467-50ب55</t>
  </si>
  <si>
    <t>شماره بدنه: NJ350039</t>
  </si>
  <si>
    <t>شماره جایگاه: 112 (جهت بازدید)</t>
  </si>
  <si>
    <t>NJ703622</t>
  </si>
  <si>
    <t>191B0004482</t>
  </si>
  <si>
    <t>961-14س59</t>
  </si>
  <si>
    <t>شماره بدنه: NJ703622</t>
  </si>
  <si>
    <t>شماره جایگاه: 114 (جهت بازدید)</t>
  </si>
  <si>
    <t>قیمت پايه کارشناسی: 3,200,000,000 (ریال)</t>
  </si>
  <si>
    <t>پژو 207i دستي کلاس 16 مشکي متاليک (آبنوس)</t>
  </si>
  <si>
    <t>PJ646345</t>
  </si>
  <si>
    <t>166B0110405</t>
  </si>
  <si>
    <t>873-41ن86</t>
  </si>
  <si>
    <t>شماره بدنه: PJ646345</t>
  </si>
  <si>
    <t>شماره جایگاه: 116 (جهت بازدید)</t>
  </si>
  <si>
    <t>DH008447</t>
  </si>
  <si>
    <t>126K0002051</t>
  </si>
  <si>
    <t>خودرو قبلاً كارت طلائي داشته و تعويضي مشتري بوده و آسيب ديدگي شديد دارد از جمله : تصادف و خوردگي دور تا دور و زير خودرو و درب موتور وسقف و درب صندوق و ركابها و چرخها و سپرها - موتور جاخورده - به گيربكس آسيب وارد شده - صندليها و رودريها و داشبورد مستعمل - جلوبندي و سيستم هاي تعليق جلو و عقب ايراد دارند - ايراد رنگي بدنه - زنگ زدگي و پوسيدگي نقاطي از بدنه ( به رؤيت مشتري ) - كسري برخي قطعات موتوري و محوطه موتور - كسري برخي قطعات تزئيناتي داخل اتاق - خوردگي مجموعه كامل فن و سيني فن و رادياتورها - فاقد جك و آچارچرخ مي باشد - خوردگي سرشاسي هاي جلو و عقب - شيشه ها شكسته - خوردگي سپرها - شكستگي آينه ها - شكستگي چراغ ها - باطري ندارد - خوردگي شديد از جلو و عقب و ...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ندارد.</t>
  </si>
  <si>
    <t>676-22ه39</t>
  </si>
  <si>
    <t>شماره بدنه: DH008447</t>
  </si>
  <si>
    <t>شماره جایگاه: 118 (جهت بازدید)</t>
  </si>
  <si>
    <t>GH745447</t>
  </si>
  <si>
    <t>164B0127572</t>
  </si>
  <si>
    <t>584-53ج65</t>
  </si>
  <si>
    <t>شماره بدنه: GH745447</t>
  </si>
  <si>
    <t>شماره جایگاه: 120 (جهت بازدید)</t>
  </si>
  <si>
    <t>هايماS7 توربو اتوماتيك كلاس 1 سفيد دوپوششه كانزاي</t>
  </si>
  <si>
    <t>LY005137</t>
  </si>
  <si>
    <t>484QT99001091A</t>
  </si>
  <si>
    <t>485-71س96</t>
  </si>
  <si>
    <t>شماره بدنه: LY005137</t>
  </si>
  <si>
    <t>شماره جایگاه: 122 (جهت بازدید)</t>
  </si>
  <si>
    <t>PH277939</t>
  </si>
  <si>
    <t>139B0322438</t>
  </si>
  <si>
    <t>691-24ب29</t>
  </si>
  <si>
    <t>شماره بدنه: PH277939</t>
  </si>
  <si>
    <t>شماره جایگاه: 124 (جهت بازدید)</t>
  </si>
  <si>
    <t>NJ356319</t>
  </si>
  <si>
    <t>178B0113481</t>
  </si>
  <si>
    <t>248-98د28</t>
  </si>
  <si>
    <t>شماره بدنه: NJ356319</t>
  </si>
  <si>
    <t>شماره جایگاه: 126 (جهت بازدید)</t>
  </si>
  <si>
    <t>NJ370846</t>
  </si>
  <si>
    <t>182A0182159</t>
  </si>
  <si>
    <t>924-91س48</t>
  </si>
  <si>
    <t>شماره بدنه: NJ370846</t>
  </si>
  <si>
    <t>شماره جایگاه: 128 (جهت بازدید)</t>
  </si>
  <si>
    <t>پژو اس ال ايكس انژكتوري SLX با موتور TU5 كلاس 11 سفيد دو پوششه</t>
  </si>
  <si>
    <t>MK653190</t>
  </si>
  <si>
    <t>164B0285476</t>
  </si>
  <si>
    <t>752-34ي11</t>
  </si>
  <si>
    <t>شماره بدنه: MK653190</t>
  </si>
  <si>
    <t>شماره جایگاه: 130 (جهت بازدید)</t>
  </si>
  <si>
    <t>NJ497600</t>
  </si>
  <si>
    <t>167B0173953</t>
  </si>
  <si>
    <t>746-36ص31</t>
  </si>
  <si>
    <t>شماره بدنه: NJ497600</t>
  </si>
  <si>
    <t>شماره جایگاه: 132 (جهت بازدید)</t>
  </si>
  <si>
    <t>NE540226</t>
  </si>
  <si>
    <t>153H0068523</t>
  </si>
  <si>
    <t>957-55د67</t>
  </si>
  <si>
    <t>شماره بدنه: NE540226</t>
  </si>
  <si>
    <t>شماره جایگاه: 134 (جهت بازدید)</t>
  </si>
  <si>
    <t>پژو پارس كلاس 32 سفيد دو پوششه</t>
  </si>
  <si>
    <t>JH075611</t>
  </si>
  <si>
    <t>124K1201458</t>
  </si>
  <si>
    <t>728-24ل35</t>
  </si>
  <si>
    <t>شماره بدنه: JH075611</t>
  </si>
  <si>
    <t>شماره جایگاه: 136 (جهت بازدید)</t>
  </si>
  <si>
    <t>سمند - ال ايكس كلاس46 سفيد دو پوششه</t>
  </si>
  <si>
    <t>KF562951</t>
  </si>
  <si>
    <t>124K1339844</t>
  </si>
  <si>
    <t>865-73ب34</t>
  </si>
  <si>
    <t>شماره بدنه: KF562951</t>
  </si>
  <si>
    <t>شماره جایگاه: 138 (جهت بازدید)</t>
  </si>
  <si>
    <t>پژو پارس كلاس 29 سفيد دو پوششه</t>
  </si>
  <si>
    <t>HH830006</t>
  </si>
  <si>
    <t>124K1056915</t>
  </si>
  <si>
    <t>783-34ج54</t>
  </si>
  <si>
    <t>شماره بدنه: HH830006</t>
  </si>
  <si>
    <t>شماره جایگاه: 140 (جهت بازدید)</t>
  </si>
  <si>
    <t>NJ271144</t>
  </si>
  <si>
    <t>178B0085319</t>
  </si>
  <si>
    <t>113-40ه63</t>
  </si>
  <si>
    <t>شماره بدنه: NJ271144</t>
  </si>
  <si>
    <t>شماره جایگاه: 142 (جهت بازدید)</t>
  </si>
  <si>
    <t>PJ678821</t>
  </si>
  <si>
    <t>172B0115813</t>
  </si>
  <si>
    <t>827-82ط12</t>
  </si>
  <si>
    <t>شماره بدنه: PJ678821</t>
  </si>
  <si>
    <t>شماره جایگاه: 144 (جهت بازدید)</t>
  </si>
  <si>
    <t>NH879932</t>
  </si>
  <si>
    <t>167B0170118</t>
  </si>
  <si>
    <t>865-72م35</t>
  </si>
  <si>
    <t>شماره بدنه: NH879932</t>
  </si>
  <si>
    <t>شماره جایگاه: 146 (جهت بازدید)</t>
  </si>
  <si>
    <t>MF902078</t>
  </si>
  <si>
    <t>147H0566409</t>
  </si>
  <si>
    <t>128-41ص63</t>
  </si>
  <si>
    <t>شماره بدنه: MF902078</t>
  </si>
  <si>
    <t>شماره جایگاه: 148 (جهت بازدید)</t>
  </si>
  <si>
    <t>NF125499</t>
  </si>
  <si>
    <t>147H0695458</t>
  </si>
  <si>
    <t>392-49ط93</t>
  </si>
  <si>
    <t>شماره بدنه: NF125499</t>
  </si>
  <si>
    <t>شماره جایگاه: 150 (جهت بازدید)</t>
  </si>
  <si>
    <t>PK103577</t>
  </si>
  <si>
    <t>125K0206034</t>
  </si>
  <si>
    <t>655-65ه34</t>
  </si>
  <si>
    <t>شماره بدنه: PK103577</t>
  </si>
  <si>
    <t>شماره جایگاه: 152 (جهت بازدید)</t>
  </si>
  <si>
    <t>NK800009</t>
  </si>
  <si>
    <t>125K0060066</t>
  </si>
  <si>
    <t>789-91س55</t>
  </si>
  <si>
    <t>شماره بدنه: NK800009</t>
  </si>
  <si>
    <t>شماره جایگاه: 154 (جهت بازدید)</t>
  </si>
  <si>
    <t>پژو پارس سال با موتور XU7 P کلاس 6 مشكي متاليك</t>
  </si>
  <si>
    <t>PK249214</t>
  </si>
  <si>
    <t>125K0143566</t>
  </si>
  <si>
    <t>923-97ن33</t>
  </si>
  <si>
    <t>شماره بدنه: PK249214</t>
  </si>
  <si>
    <t>شماره جایگاه: 156 (جهت بازدید)</t>
  </si>
  <si>
    <t>PH564020</t>
  </si>
  <si>
    <t>125K0125052</t>
  </si>
  <si>
    <t>827-20ج47</t>
  </si>
  <si>
    <t>شماره بدنه: PH564020</t>
  </si>
  <si>
    <t>شماره جایگاه: 158 (جهت بازدید)</t>
  </si>
  <si>
    <t>پژو 206 معمولي كلاس 28 سفيد دو پوششه</t>
  </si>
  <si>
    <t>HJ497023</t>
  </si>
  <si>
    <t>165A0128772</t>
  </si>
  <si>
    <t>917-83ن66</t>
  </si>
  <si>
    <t>شماره بدنه: HJ497023</t>
  </si>
  <si>
    <t>شماره جایگاه: 160 (جهت بازدید)</t>
  </si>
  <si>
    <t>PK245852</t>
  </si>
  <si>
    <t>125K0134097</t>
  </si>
  <si>
    <t>123-24ب52</t>
  </si>
  <si>
    <t>شماره بدنه: PK245852</t>
  </si>
  <si>
    <t>شماره جایگاه: 162 (جهت بازدید)</t>
  </si>
  <si>
    <t>MK165859</t>
  </si>
  <si>
    <t>124K1653945</t>
  </si>
  <si>
    <t>361-41س15</t>
  </si>
  <si>
    <t>شماره بدنه: MK165859</t>
  </si>
  <si>
    <t>شماره جایگاه: 164 (جهت بازدید)</t>
  </si>
  <si>
    <t>NH401271</t>
  </si>
  <si>
    <t>125K0036678</t>
  </si>
  <si>
    <t>322-58م98</t>
  </si>
  <si>
    <t>شماره بدنه: NH401271</t>
  </si>
  <si>
    <t>شماره جایگاه: 166 (جهت بازدید)</t>
  </si>
  <si>
    <t>NK859261</t>
  </si>
  <si>
    <t>125K0057898</t>
  </si>
  <si>
    <t>361-67ط63</t>
  </si>
  <si>
    <t>شماره بدنه: NK859261</t>
  </si>
  <si>
    <t>شماره جایگاه: 168 (جهت بازدید)</t>
  </si>
  <si>
    <t>NH447206</t>
  </si>
  <si>
    <t>125K0011462</t>
  </si>
  <si>
    <t>293-62ط52</t>
  </si>
  <si>
    <t>شماره بدنه: NH447206</t>
  </si>
  <si>
    <t>شماره جایگاه: 170 (جهت بازدید)</t>
  </si>
  <si>
    <t>NH488457</t>
  </si>
  <si>
    <t>139B0308207</t>
  </si>
  <si>
    <t>739-19ه73</t>
  </si>
  <si>
    <t>شماره بدنه: NH488457</t>
  </si>
  <si>
    <t>شماره جایگاه: 172 (جهت بازدید)</t>
  </si>
  <si>
    <t>پژو پارس سال با موتور XU7 P کلاس 2 مشكي متاليك</t>
  </si>
  <si>
    <t>NH407626</t>
  </si>
  <si>
    <t>125K0052750</t>
  </si>
  <si>
    <t>162-94د66</t>
  </si>
  <si>
    <t>شماره بدنه: NH407626</t>
  </si>
  <si>
    <t>شماره جایگاه: 174 (جهت بازدید)</t>
  </si>
  <si>
    <t>HH999321</t>
  </si>
  <si>
    <t>181B0019950</t>
  </si>
  <si>
    <t>851-73س95</t>
  </si>
  <si>
    <t>شماره بدنه: HH999321</t>
  </si>
  <si>
    <t>شماره جایگاه: 176 (جهت بازدید)</t>
  </si>
  <si>
    <t>پژو جي ال ايكس انژكتوري كلاس 14 نقره اي متاليك</t>
  </si>
  <si>
    <t>BE332732</t>
  </si>
  <si>
    <t>717-11ر11</t>
  </si>
  <si>
    <t>شماره بدنه: BE332732</t>
  </si>
  <si>
    <t>شماره جایگاه: 178 (جهت بازدید)</t>
  </si>
  <si>
    <t>MK137619</t>
  </si>
  <si>
    <t>139B0243323</t>
  </si>
  <si>
    <t>815-99ر94</t>
  </si>
  <si>
    <t>شماره بدنه: MK137619</t>
  </si>
  <si>
    <t>شماره جایگاه: 180 (جهت بازدید)</t>
  </si>
  <si>
    <t>JF415110</t>
  </si>
  <si>
    <t>147H0382922</t>
  </si>
  <si>
    <t>769-99ر91</t>
  </si>
  <si>
    <t>شماره بدنه: JF415110</t>
  </si>
  <si>
    <t>شماره جایگاه: 182 (جهت بازدید)</t>
  </si>
  <si>
    <t>NK194448</t>
  </si>
  <si>
    <t>139B0289505</t>
  </si>
  <si>
    <t>399-10ر27</t>
  </si>
  <si>
    <t>شماره بدنه: NK194448</t>
  </si>
  <si>
    <t>شماره جایگاه: 184 (جهت بازدید)</t>
  </si>
  <si>
    <t>MK067780</t>
  </si>
  <si>
    <t>124K1575164</t>
  </si>
  <si>
    <t>398-99ر84</t>
  </si>
  <si>
    <t>شماره بدنه: MK067780</t>
  </si>
  <si>
    <t>شماره جایگاه: 186 (جهت بازدید)</t>
  </si>
  <si>
    <t>پژو اس ال ايكس انژكتوري SLX با موتور TU5 کلاس 18 سفيد دو پوششه</t>
  </si>
  <si>
    <t>LK606160</t>
  </si>
  <si>
    <t>139B0172416</t>
  </si>
  <si>
    <t>424-99ر69</t>
  </si>
  <si>
    <t>شماره بدنه: LK606160</t>
  </si>
  <si>
    <t>شماره جایگاه: 188 (جهت بازدید)</t>
  </si>
  <si>
    <t>پژو پارس کلاس 38 سفيد دو پوششه</t>
  </si>
  <si>
    <t>KH218775</t>
  </si>
  <si>
    <t>124K1395853</t>
  </si>
  <si>
    <t>163-66ر42</t>
  </si>
  <si>
    <t>شماره بدنه: KH218775</t>
  </si>
  <si>
    <t>شماره جایگاه: 190 (جهت بازدید)</t>
  </si>
  <si>
    <t>پژو جي ال ايكس دوگانه سوز كلاس 22 نقره اي متاليك</t>
  </si>
  <si>
    <t>ER945414</t>
  </si>
  <si>
    <t>124K0498661</t>
  </si>
  <si>
    <t>982-99ر66</t>
  </si>
  <si>
    <t>شماره بدنه: ER945414</t>
  </si>
  <si>
    <t>شماره جایگاه: 192 (جهت بازدید)</t>
  </si>
  <si>
    <t>MJ230926</t>
  </si>
  <si>
    <t>166B0058819</t>
  </si>
  <si>
    <t>717-99ر91</t>
  </si>
  <si>
    <t>شماره بدنه: MJ230926</t>
  </si>
  <si>
    <t>شماره جایگاه: 194 (جهت بازدید)</t>
  </si>
  <si>
    <t>MK117161</t>
  </si>
  <si>
    <t>167B0103500</t>
  </si>
  <si>
    <t>911-99ر97</t>
  </si>
  <si>
    <t>شماره بدنه: MK117161</t>
  </si>
  <si>
    <t>شماره جایگاه: 196 (جهت بازدید)</t>
  </si>
  <si>
    <t>KH518163</t>
  </si>
  <si>
    <t>124K1374862</t>
  </si>
  <si>
    <t>476-99ر87</t>
  </si>
  <si>
    <t>شماره بدنه: KH518163</t>
  </si>
  <si>
    <t>شماره جایگاه: 198 (جهت بازدید)</t>
  </si>
  <si>
    <t>NH875208</t>
  </si>
  <si>
    <t>164B0299816</t>
  </si>
  <si>
    <t>662-83ي47</t>
  </si>
  <si>
    <t>شماره بدنه: NH875208</t>
  </si>
  <si>
    <t>شماره جایگاه: 200 (جهت بازدید)</t>
  </si>
  <si>
    <t>پژو اس ال ايكس انژكتوري SLX با موتور TU5 كلاس 4 سفيد دو پوششه</t>
  </si>
  <si>
    <t>DK866457</t>
  </si>
  <si>
    <t>139B0023947</t>
  </si>
  <si>
    <t>898-73ل14</t>
  </si>
  <si>
    <t>شماره بدنه: DK866457</t>
  </si>
  <si>
    <t>شماره جایگاه: 1 (جهت بازدید)</t>
  </si>
  <si>
    <t>NH423890</t>
  </si>
  <si>
    <t>125K0111307</t>
  </si>
  <si>
    <t>376-87ط88</t>
  </si>
  <si>
    <t>شماره بدنه: NH423890</t>
  </si>
  <si>
    <t>شماره جایگاه: 3 (جهت بازدید)</t>
  </si>
  <si>
    <t>پژو پارس اتوماتيك TU5JP4 كلاس 8 سفيد دو پوششه</t>
  </si>
  <si>
    <t>LH400923</t>
  </si>
  <si>
    <t>186B0000575</t>
  </si>
  <si>
    <t>432-93ه37</t>
  </si>
  <si>
    <t>شماره بدنه: LH400923</t>
  </si>
  <si>
    <t>شماره جایگاه: 5 (جهت بازدید)</t>
  </si>
  <si>
    <t>PH891516</t>
  </si>
  <si>
    <t>125K0195023</t>
  </si>
  <si>
    <t>894-54و13</t>
  </si>
  <si>
    <t>شماره بدنه: PH891516</t>
  </si>
  <si>
    <t>شماره جایگاه: 7 (جهت بازدید)</t>
  </si>
  <si>
    <t>NH155703</t>
  </si>
  <si>
    <t>125K0100776</t>
  </si>
  <si>
    <t>129-68و79</t>
  </si>
  <si>
    <t>شماره بدنه: NH155703</t>
  </si>
  <si>
    <t>شماره جایگاه: 9 (جهت بازدید)</t>
  </si>
  <si>
    <t>NF237291</t>
  </si>
  <si>
    <t>147H0666884</t>
  </si>
  <si>
    <t>613-34ي19</t>
  </si>
  <si>
    <t>شماره بدنه: NF237291</t>
  </si>
  <si>
    <t>شماره جایگاه: 11 (جهت بازدید)</t>
  </si>
  <si>
    <t>HH825390</t>
  </si>
  <si>
    <t>124K1046941</t>
  </si>
  <si>
    <t>318-10س31</t>
  </si>
  <si>
    <t>شماره بدنه: HH825390</t>
  </si>
  <si>
    <t>شماره جایگاه: 13 (جهت بازدید)</t>
  </si>
  <si>
    <t>قیمت پايه کارشناسی: 1,650,000,000 (ریال)</t>
  </si>
  <si>
    <t>NH406066</t>
  </si>
  <si>
    <t>125K0041675</t>
  </si>
  <si>
    <t>521-59س75</t>
  </si>
  <si>
    <t>شماره بدنه: NH406066</t>
  </si>
  <si>
    <t>شماره جایگاه: 15 (جهت بازدید)</t>
  </si>
  <si>
    <t>LH332138</t>
  </si>
  <si>
    <t>124K1513726</t>
  </si>
  <si>
    <t>367-73ه68</t>
  </si>
  <si>
    <t>شماره بدنه: LH332138</t>
  </si>
  <si>
    <t>شماره جایگاه: 17 (جهت بازدید)</t>
  </si>
  <si>
    <t>پژو اس ال ايكس انژكتوري SLX با موتور TU5 كلاس 9 سفيد دو پوششه</t>
  </si>
  <si>
    <t>GR035887</t>
  </si>
  <si>
    <t>164B0061781</t>
  </si>
  <si>
    <t>456-73ط38</t>
  </si>
  <si>
    <t>شماره بدنه: GR035887</t>
  </si>
  <si>
    <t>شماره جایگاه: 19 (جهت بازدید)</t>
  </si>
  <si>
    <t>رانا كلاس 6 آبي متاليك</t>
  </si>
  <si>
    <t>HT190512</t>
  </si>
  <si>
    <t>آبي متاليك</t>
  </si>
  <si>
    <t>172B0015034</t>
  </si>
  <si>
    <t>774-27ب33</t>
  </si>
  <si>
    <t>شماره بدنه: HT190512</t>
  </si>
  <si>
    <t>شماره جایگاه: 21 (جهت بازدید)</t>
  </si>
  <si>
    <t>پژو پارس TU5 كلاس 4 سفيد دو پوششه</t>
  </si>
  <si>
    <t>DK662684</t>
  </si>
  <si>
    <t>139B0016718</t>
  </si>
  <si>
    <t>555-83ق44</t>
  </si>
  <si>
    <t>شماره بدنه: DK662684</t>
  </si>
  <si>
    <t>شماره جایگاه: 23 (جهت بازدید)</t>
  </si>
  <si>
    <t>پژو 207i دستي کلاس 15 سفيد دو پوششه</t>
  </si>
  <si>
    <t>NJ214258</t>
  </si>
  <si>
    <t>166B0086658</t>
  </si>
  <si>
    <t>969-54ن73</t>
  </si>
  <si>
    <t>شماره بدنه: NJ214258</t>
  </si>
  <si>
    <t>شماره جایگاه: 25 (جهت بازدید)</t>
  </si>
  <si>
    <t>دنا پلاس اتوماتيك با موتور EF7_TC کلاس 9 خاكستري متاليك</t>
  </si>
  <si>
    <t>PE703810</t>
  </si>
  <si>
    <t>153H0139075</t>
  </si>
  <si>
    <t>368-45ن37</t>
  </si>
  <si>
    <t>شماره بدنه: PE703810</t>
  </si>
  <si>
    <t>شماره جایگاه: 27 (جهت بازدید)</t>
  </si>
  <si>
    <t>JK101846</t>
  </si>
  <si>
    <t>181B0049160</t>
  </si>
  <si>
    <t>621-63س28</t>
  </si>
  <si>
    <t>شماره بدنه: JK101846</t>
  </si>
  <si>
    <t>شماره جایگاه: 29 (جهت بازدید)</t>
  </si>
  <si>
    <t>پژو اس ال ايكس انژكتوري SLX با موتور TU5 كلاس 13 سفيد دو پوششه</t>
  </si>
  <si>
    <t>KK214795</t>
  </si>
  <si>
    <t>181B0110003</t>
  </si>
  <si>
    <t>434-73ص89</t>
  </si>
  <si>
    <t>شماره بدنه: KK214795</t>
  </si>
  <si>
    <t>شماره جایگاه: 31 (جهت بازدید)</t>
  </si>
  <si>
    <t>NF160245</t>
  </si>
  <si>
    <t>147H0640252</t>
  </si>
  <si>
    <t>179-34ج41</t>
  </si>
  <si>
    <t>شماره بدنه: NF160245</t>
  </si>
  <si>
    <t>شماره جایگاه: 33 (جهت بازدید)</t>
  </si>
  <si>
    <t>MD915645</t>
  </si>
  <si>
    <t>187B0005981</t>
  </si>
  <si>
    <t>512-75ج86</t>
  </si>
  <si>
    <t>شماره بدنه: MD915645</t>
  </si>
  <si>
    <t>شماره جایگاه: 35 (جهت بازدید)</t>
  </si>
  <si>
    <t>NE480320</t>
  </si>
  <si>
    <t>153H0047440</t>
  </si>
  <si>
    <t>499-62ق37</t>
  </si>
  <si>
    <t>شماره بدنه: NE480320</t>
  </si>
  <si>
    <t>شماره جایگاه: 37 (جهت بازدید)</t>
  </si>
  <si>
    <t>NE484798</t>
  </si>
  <si>
    <t>153H0054409</t>
  </si>
  <si>
    <t>172-34ي81</t>
  </si>
  <si>
    <t>شماره بدنه: NE484798</t>
  </si>
  <si>
    <t>شماره جایگاه: 39 (جهت بازدید)</t>
  </si>
  <si>
    <t>پژو پارس اتوماتيك TU5JP4 كلاس 6 سفيد دو پوششه</t>
  </si>
  <si>
    <t>JH902117</t>
  </si>
  <si>
    <t>134B0006349</t>
  </si>
  <si>
    <t>854-34ق81</t>
  </si>
  <si>
    <t>شماره بدنه: JH902117</t>
  </si>
  <si>
    <t>شماره جایگاه: 41 (جهت بازدید)</t>
  </si>
  <si>
    <t>دنا پلاس اتوماتيك با موتور EF7_TC كلاس2 مشكي متاليك (آبنوس)</t>
  </si>
  <si>
    <t>NE710249</t>
  </si>
  <si>
    <t>153H0093360</t>
  </si>
  <si>
    <t>962-63ب23</t>
  </si>
  <si>
    <t>شماره بدنه: NE710249</t>
  </si>
  <si>
    <t>شماره جایگاه: 43 (جهت بازدید)</t>
  </si>
  <si>
    <t>قیمت پايه کارشناسی: 3,700,000,000 (ریال)</t>
  </si>
  <si>
    <t>PK248171</t>
  </si>
  <si>
    <t>125K0141156</t>
  </si>
  <si>
    <t>384-84ل69</t>
  </si>
  <si>
    <t>شماره بدنه: PK248171</t>
  </si>
  <si>
    <t>شماره جایگاه: 45 (جهت بازدید)</t>
  </si>
  <si>
    <t>NE310155</t>
  </si>
  <si>
    <t>153H0106970</t>
  </si>
  <si>
    <t>432-50س26</t>
  </si>
  <si>
    <t>شماره بدنه: NE310155</t>
  </si>
  <si>
    <t>شماره جایگاه: 47 (جهت بازدید)</t>
  </si>
  <si>
    <t>دنا پلاس توربو شارژ کلاس 10 سفيد دو پوششه</t>
  </si>
  <si>
    <t>PE006980</t>
  </si>
  <si>
    <t>153H0142011</t>
  </si>
  <si>
    <t>378-53ب26</t>
  </si>
  <si>
    <t>شماره بدنه: PE006980</t>
  </si>
  <si>
    <t>شماره جایگاه: 49 (جهت بازدید)</t>
  </si>
  <si>
    <t>NE542919</t>
  </si>
  <si>
    <t>153H0082113</t>
  </si>
  <si>
    <t>511-34ي97</t>
  </si>
  <si>
    <t>شماره بدنه: NE542919</t>
  </si>
  <si>
    <t>شماره جایگاه: 51 (جهت بازدید)</t>
  </si>
  <si>
    <t>FK732792</t>
  </si>
  <si>
    <t>124K0736503</t>
  </si>
  <si>
    <t>239-63س94</t>
  </si>
  <si>
    <t>شماره بدنه: FK732792</t>
  </si>
  <si>
    <t>شماره جایگاه: 53 (جهت بازدید)</t>
  </si>
  <si>
    <t>قیمت پايه کارشناسی: 1,300,000,000 (ریال)</t>
  </si>
  <si>
    <t>ME341927</t>
  </si>
  <si>
    <t>147H0554877</t>
  </si>
  <si>
    <t>633-16و39</t>
  </si>
  <si>
    <t>شماره بدنه: ME341927</t>
  </si>
  <si>
    <t>شماره جایگاه: 55 (جهت بازدید)</t>
  </si>
  <si>
    <t>پژو 207i دستي كلاس 2 مشكي متاليك</t>
  </si>
  <si>
    <t>JJ621955</t>
  </si>
  <si>
    <t>179B0014662</t>
  </si>
  <si>
    <t>683-54و16</t>
  </si>
  <si>
    <t>شماره بدنه: JJ621955</t>
  </si>
  <si>
    <t>شماره جایگاه: 57 (جهت بازدید)</t>
  </si>
  <si>
    <t>MJ230408</t>
  </si>
  <si>
    <t>167B0146841</t>
  </si>
  <si>
    <t>574-24ط11</t>
  </si>
  <si>
    <t>شماره بدنه: MJ230408</t>
  </si>
  <si>
    <t>شماره جایگاه: 59 (جهت بازدید)</t>
  </si>
  <si>
    <t>JJ562571</t>
  </si>
  <si>
    <t>182A0037937</t>
  </si>
  <si>
    <t>141-92ج28</t>
  </si>
  <si>
    <t>شماره بدنه: JJ562571</t>
  </si>
  <si>
    <t>شماره جایگاه: 61 (جهت بازدید)</t>
  </si>
  <si>
    <t>NJ247146</t>
  </si>
  <si>
    <t>191B0000518</t>
  </si>
  <si>
    <t>175-63ج17</t>
  </si>
  <si>
    <t>شماره بدنه: NJ247146</t>
  </si>
  <si>
    <t>شماره جایگاه: 63 (جهت بازدید)</t>
  </si>
  <si>
    <t>MY050361</t>
  </si>
  <si>
    <t>484QT16001662A</t>
  </si>
  <si>
    <t>181-53ي94</t>
  </si>
  <si>
    <t>شماره بدنه: MY050361</t>
  </si>
  <si>
    <t>شماره جایگاه: 65 (جهت بازدید)</t>
  </si>
  <si>
    <t>NF152973</t>
  </si>
  <si>
    <t>147H0629666</t>
  </si>
  <si>
    <t>716-14ن89</t>
  </si>
  <si>
    <t>شماره بدنه: NF152973</t>
  </si>
  <si>
    <t>شماره جایگاه: 67 (جهت بازدید)</t>
  </si>
  <si>
    <t>PE704371</t>
  </si>
  <si>
    <t>153H0140398</t>
  </si>
  <si>
    <t>815-63ن65</t>
  </si>
  <si>
    <t>شماره بدنه: PE704371</t>
  </si>
  <si>
    <t>شماره جایگاه: 69 (جهت بازدید)</t>
  </si>
  <si>
    <t>LE241071</t>
  </si>
  <si>
    <t>153H0015294</t>
  </si>
  <si>
    <t>352-67د87</t>
  </si>
  <si>
    <t>شماره بدنه: LE241071</t>
  </si>
  <si>
    <t>شماره جایگاه: 71 (جهت بازدید)</t>
  </si>
  <si>
    <t>PJ564921</t>
  </si>
  <si>
    <t>178B0129813</t>
  </si>
  <si>
    <t>193-63ق94</t>
  </si>
  <si>
    <t>شماره بدنه: PJ564921</t>
  </si>
  <si>
    <t>شماره جایگاه: 73 (جهت بازدید)</t>
  </si>
  <si>
    <t>NJ485956</t>
  </si>
  <si>
    <t>178B0091950</t>
  </si>
  <si>
    <t>خط و خش و قري و كسري هاي ظاهري به رؤيت مشتري مي باشد – ايراد رنگي بدنه – زنگ زدگي و پوسيدگي نقاطي از بدنه – شيميايي بودن رنگ بدنه – صندليها مستعمل – ديسك و صفحه كلاچ عملكرد ضعيف دارد – جلوبندي ايراد دارد – خوردگي دورتادور و زيرخودرو – آثار روغن ريزي داخل موتور و گيربكس و محوطه موتور – خودرو با وضعيت فعلي بفروش ميرسد و هرگونه كسري احتمالي قطعات ديگر يا ايرادات ديگر بعهده برنده مزايده ميباشد و مزايده گذار هيچگونه تعهدي در اين خصوص ندارد</t>
  </si>
  <si>
    <t>288-66ن96</t>
  </si>
  <si>
    <t>شماره بدنه: NJ485956</t>
  </si>
  <si>
    <t>شماره جایگاه: 75 (جهت بازدید)</t>
  </si>
  <si>
    <t>قیمت پايه کارشناسی: 4,800,000,000 (ریال)</t>
  </si>
  <si>
    <t>NF160550</t>
  </si>
  <si>
    <t>147H0641162</t>
  </si>
  <si>
    <t>788-50ب11</t>
  </si>
  <si>
    <t>شماره بدنه: NF160550</t>
  </si>
  <si>
    <t>شماره جایگاه: 77 (جهت بازدید)</t>
  </si>
  <si>
    <t>PK244394</t>
  </si>
  <si>
    <t>125K0130507</t>
  </si>
  <si>
    <t>694-17ي55</t>
  </si>
  <si>
    <t>شماره بدنه: PK244394</t>
  </si>
  <si>
    <t>شماره جایگاه: 79 (جهت بازدید)</t>
  </si>
  <si>
    <t>NE523411</t>
  </si>
  <si>
    <t>147H0658680</t>
  </si>
  <si>
    <t>822-48ب21</t>
  </si>
  <si>
    <t>شماره بدنه: NE523411</t>
  </si>
  <si>
    <t>شماره جایگاه: 81 (جهت بازدید)</t>
  </si>
  <si>
    <t>پژو پارس معمولي دوگانه سوز كلاس 9 سفيد دو پوششه</t>
  </si>
  <si>
    <t>DK170281</t>
  </si>
  <si>
    <t>124K0207981</t>
  </si>
  <si>
    <t>195-36س17</t>
  </si>
  <si>
    <t>شماره بدنه: DK170281</t>
  </si>
  <si>
    <t>شماره جایگاه: 83 (جهت بازدید)</t>
  </si>
  <si>
    <t>GF318196</t>
  </si>
  <si>
    <t>147H0210261</t>
  </si>
  <si>
    <t>245-69ج56</t>
  </si>
  <si>
    <t>شماره بدنه: GF318196</t>
  </si>
  <si>
    <t>شماره جایگاه: 85 (جهت بازدید)</t>
  </si>
  <si>
    <t>NT367340</t>
  </si>
  <si>
    <t>167B0162921</t>
  </si>
  <si>
    <t>619-41س39</t>
  </si>
  <si>
    <t>شماره بدنه: NT367340</t>
  </si>
  <si>
    <t>شماره جایگاه: 87 (جهت بازدید)</t>
  </si>
  <si>
    <t>PK282342</t>
  </si>
  <si>
    <t>139B0320402</t>
  </si>
  <si>
    <t>852-73م25</t>
  </si>
  <si>
    <t>شماره بدنه: PK282342</t>
  </si>
  <si>
    <t>شماره جایگاه: 89 (جهت بازدید)</t>
  </si>
  <si>
    <t>PJ565024</t>
  </si>
  <si>
    <t>166B0092686</t>
  </si>
  <si>
    <t>361-75م76</t>
  </si>
  <si>
    <t>شماره بدنه: PJ565024</t>
  </si>
  <si>
    <t>شماره جایگاه: 91 (جهت بازدید)</t>
  </si>
  <si>
    <t>HJ493769</t>
  </si>
  <si>
    <t>182A0009494</t>
  </si>
  <si>
    <t>511-93ق45</t>
  </si>
  <si>
    <t>شماره بدنه: HJ493769</t>
  </si>
  <si>
    <t>شماره جایگاه: 93 (جهت بازدید)</t>
  </si>
  <si>
    <t>NH482850</t>
  </si>
  <si>
    <t>139B0300665</t>
  </si>
  <si>
    <t>413-41ق55</t>
  </si>
  <si>
    <t>شماره بدنه: NH482850</t>
  </si>
  <si>
    <t>شماره جایگاه: 95 (جهت بازدید)</t>
  </si>
  <si>
    <t>NH422128</t>
  </si>
  <si>
    <t>125K0111912</t>
  </si>
  <si>
    <t>122-14ل86</t>
  </si>
  <si>
    <t>شماره بدنه: NH422128</t>
  </si>
  <si>
    <t>شماره جایگاه: 97 (جهت بازدید)</t>
  </si>
  <si>
    <t>MH625867</t>
  </si>
  <si>
    <t>124K1606740</t>
  </si>
  <si>
    <t>287-98ط39</t>
  </si>
  <si>
    <t>شماره بدنه: MH625867</t>
  </si>
  <si>
    <t>شماره جایگاه: 99 (جهت بازدید)</t>
  </si>
  <si>
    <t>پژو پارس سال با موتور XU7 P کلاس 7 سفيد دوپوششه كانزاي</t>
  </si>
  <si>
    <t>PK101538</t>
  </si>
  <si>
    <t>125K0200675</t>
  </si>
  <si>
    <t>637-84م12</t>
  </si>
  <si>
    <t>شماره بدنه: PK101538</t>
  </si>
  <si>
    <t>شماره جایگاه: 2 (جهت بازدید)</t>
  </si>
  <si>
    <t>NH159280</t>
  </si>
  <si>
    <t>125K0106256</t>
  </si>
  <si>
    <t>746-50س53</t>
  </si>
  <si>
    <t>شماره بدنه: NH159280</t>
  </si>
  <si>
    <t>شماره جایگاه: 4 (جهت بازدید)</t>
  </si>
  <si>
    <t>NE500728</t>
  </si>
  <si>
    <t>153H0116758</t>
  </si>
  <si>
    <t>378-55م11</t>
  </si>
  <si>
    <t>شماره بدنه: NE500728</t>
  </si>
  <si>
    <t>شماره جایگاه: 6 (جهت بازدید)</t>
  </si>
  <si>
    <t>HH044920</t>
  </si>
  <si>
    <t>181B0037147</t>
  </si>
  <si>
    <t>567-13ب82</t>
  </si>
  <si>
    <t>شماره بدنه: HH044920</t>
  </si>
  <si>
    <t>شماره جایگاه: 8 (جهت بازدید)</t>
  </si>
  <si>
    <t>پژو جي ال ايكس انژكتوري كلاس 14 خاكستري متاليك</t>
  </si>
  <si>
    <t>DR522581</t>
  </si>
  <si>
    <t>124K0172865</t>
  </si>
  <si>
    <t>482-30ب67</t>
  </si>
  <si>
    <t>شماره بدنه: DR522581</t>
  </si>
  <si>
    <t>شماره جایگاه: 10 (جهت بازدید)</t>
  </si>
  <si>
    <t>GH914280</t>
  </si>
  <si>
    <t>124K0897593</t>
  </si>
  <si>
    <t>178-31ص96</t>
  </si>
  <si>
    <t>شماره بدنه: GH914280</t>
  </si>
  <si>
    <t>شماره جایگاه: 12 (جهت بازدید)</t>
  </si>
  <si>
    <t>HA282525</t>
  </si>
  <si>
    <t>سفيد شيري پرشين</t>
  </si>
  <si>
    <t>100014021RR220550</t>
  </si>
  <si>
    <t>169-18ط46</t>
  </si>
  <si>
    <t>شماره بدنه: HA282525</t>
  </si>
  <si>
    <t>شماره جایگاه: 14 (جهت بازدید)</t>
  </si>
  <si>
    <t>PD958293</t>
  </si>
  <si>
    <t>187B0045955</t>
  </si>
  <si>
    <t>617-50ق81</t>
  </si>
  <si>
    <t>شماره بدنه: PD958293</t>
  </si>
  <si>
    <t>شماره جایگاه: 16 (جهت بازدید)</t>
  </si>
  <si>
    <t>DK665545</t>
  </si>
  <si>
    <t>139B0024756</t>
  </si>
  <si>
    <t>877-11س87</t>
  </si>
  <si>
    <t>شماره بدنه: DK665545</t>
  </si>
  <si>
    <t>شماره جایگاه: 18 (جهت بازدید)</t>
  </si>
  <si>
    <t>NH926668</t>
  </si>
  <si>
    <t>125K0062029</t>
  </si>
  <si>
    <t>634-24د92</t>
  </si>
  <si>
    <t>شماره بدنه: NH926668</t>
  </si>
  <si>
    <t>شماره جایگاه: 20 (جهت بازدید)</t>
  </si>
  <si>
    <t>NK195758</t>
  </si>
  <si>
    <t>125K0107407</t>
  </si>
  <si>
    <t>827-49ص18</t>
  </si>
  <si>
    <t>شماره بدنه: NK195758</t>
  </si>
  <si>
    <t>شماره جایگاه: 22 (جهت بازدید)</t>
  </si>
  <si>
    <t>سورن EF7 بنزيني کلاس 27 سفيد دو پوششه</t>
  </si>
  <si>
    <t>PF304669</t>
  </si>
  <si>
    <t>147H0733547</t>
  </si>
  <si>
    <t>415-31ط19</t>
  </si>
  <si>
    <t>شماره بدنه: PF304669</t>
  </si>
  <si>
    <t>شماره جایگاه: 24 (جهت بازدید)</t>
  </si>
  <si>
    <t>NY061641</t>
  </si>
  <si>
    <t>484QT21000385A</t>
  </si>
  <si>
    <t>614-98ج62</t>
  </si>
  <si>
    <t>شماره بدنه: NY061641</t>
  </si>
  <si>
    <t>شماره جایگاه: 26 (جهت بازدید)</t>
  </si>
  <si>
    <t>پژو 207i دستي كلاس 5 سفيد دو پوششه</t>
  </si>
  <si>
    <t>KJ381884</t>
  </si>
  <si>
    <t>163B0308329</t>
  </si>
  <si>
    <t>583-40ص77</t>
  </si>
  <si>
    <t>شماره بدنه: KJ381884</t>
  </si>
  <si>
    <t>شماره جایگاه: 28 (جهت بازدید)</t>
  </si>
  <si>
    <t>NF128308</t>
  </si>
  <si>
    <t>147H0699174</t>
  </si>
  <si>
    <t>537-51ج75</t>
  </si>
  <si>
    <t>شماره بدنه: NF128308</t>
  </si>
  <si>
    <t>شماره جایگاه: 30 (جهت بازدید)</t>
  </si>
  <si>
    <t>سورن EF7 بنزيني کلاس 29 سفيد دو پوششه</t>
  </si>
  <si>
    <t>PF302152</t>
  </si>
  <si>
    <t>147H0727709</t>
  </si>
  <si>
    <t>369-24ط68</t>
  </si>
  <si>
    <t>شماره بدنه: PF302152</t>
  </si>
  <si>
    <t>شماره جایگاه: 32 (جهت بازدید)</t>
  </si>
  <si>
    <t>سمند - ال ايكس کلاس 52 سفيد دو پوششه</t>
  </si>
  <si>
    <t>LF708091</t>
  </si>
  <si>
    <t>124K1534434</t>
  </si>
  <si>
    <t>882-92ص21</t>
  </si>
  <si>
    <t>شماره بدنه: LF708091</t>
  </si>
  <si>
    <t>شماره جایگاه: 34 (جهت بازدید)</t>
  </si>
  <si>
    <t>NE568693</t>
  </si>
  <si>
    <t>153H0068449</t>
  </si>
  <si>
    <t>618-63ط19</t>
  </si>
  <si>
    <t>شماره بدنه: NE568693</t>
  </si>
  <si>
    <t>شماره جایگاه: 36 (جهت بازدید)</t>
  </si>
  <si>
    <t>MK160386</t>
  </si>
  <si>
    <t>124K1636240</t>
  </si>
  <si>
    <t>396-92ب95</t>
  </si>
  <si>
    <t>شماره بدنه: MK160386</t>
  </si>
  <si>
    <t>شماره جایگاه: 38 (جهت بازدید)</t>
  </si>
  <si>
    <t>ND938278</t>
  </si>
  <si>
    <t>187B0023664</t>
  </si>
  <si>
    <t>395-97ق52</t>
  </si>
  <si>
    <t>شماره بدنه: ND938278</t>
  </si>
  <si>
    <t>شماره جایگاه: 40 (جهت بازدید)</t>
  </si>
  <si>
    <t>دنا+ (پلاس) کلاس 22 مشكي متاليك (آبنوس)</t>
  </si>
  <si>
    <t>NE532889</t>
  </si>
  <si>
    <t>147H0695562</t>
  </si>
  <si>
    <t>395-91ج54</t>
  </si>
  <si>
    <t>شماره بدنه: NE532889</t>
  </si>
  <si>
    <t>شماره جایگاه: 42 (جهت بازدید)</t>
  </si>
  <si>
    <t>دنا كلاس15 سفيد دوپوششه كانزاي</t>
  </si>
  <si>
    <t>KE162234</t>
  </si>
  <si>
    <t>147H0448672</t>
  </si>
  <si>
    <t>818-83ه34</t>
  </si>
  <si>
    <t>شماره بدنه: KE162234</t>
  </si>
  <si>
    <t>شماره جایگاه: 44 (جهت بازدید)</t>
  </si>
  <si>
    <t>MF084756</t>
  </si>
  <si>
    <t>147H0618578</t>
  </si>
  <si>
    <t>411-17ي13</t>
  </si>
  <si>
    <t>شماره بدنه: MF084756</t>
  </si>
  <si>
    <t>شماره جایگاه: 46 (جهت بازدید)</t>
  </si>
  <si>
    <t>LK507412</t>
  </si>
  <si>
    <t>181B0129004</t>
  </si>
  <si>
    <t>779-24ص68</t>
  </si>
  <si>
    <t>شماره بدنه: LK507412</t>
  </si>
  <si>
    <t>شماره جایگاه: 48 (جهت بازدید)</t>
  </si>
  <si>
    <t>NY074083</t>
  </si>
  <si>
    <t>GN15TF26003130A</t>
  </si>
  <si>
    <t>153-50ج13</t>
  </si>
  <si>
    <t>شماره بدنه: NY074083</t>
  </si>
  <si>
    <t>شماره جایگاه: 50 (جهت بازدید)</t>
  </si>
  <si>
    <t>سمند ال ايكس با موتور EF7 بنزيني کلاس 12 آبي كبود متاليك</t>
  </si>
  <si>
    <t>EF581884</t>
  </si>
  <si>
    <t>آبي كبود متاليك</t>
  </si>
  <si>
    <t>147H0098495</t>
  </si>
  <si>
    <t>556-45د98</t>
  </si>
  <si>
    <t>LX EF7</t>
  </si>
  <si>
    <t>شماره بدنه: EF581884</t>
  </si>
  <si>
    <t>شماره جایگاه: 52 (جهت بازدید)</t>
  </si>
  <si>
    <t>NT443272</t>
  </si>
  <si>
    <t>172B0100264</t>
  </si>
  <si>
    <t>672-79م79</t>
  </si>
  <si>
    <t>شماره بدنه: NT443272</t>
  </si>
  <si>
    <t>شماره جایگاه: 54 (جهت بازدید)</t>
  </si>
  <si>
    <t>MK654315</t>
  </si>
  <si>
    <t>139B0218721</t>
  </si>
  <si>
    <t>747-34ن15</t>
  </si>
  <si>
    <t>شماره بدنه: MK654315</t>
  </si>
  <si>
    <t>شماره جایگاه: 56 (جهت بازدید)</t>
  </si>
  <si>
    <t>HJ054415</t>
  </si>
  <si>
    <t>165A0084634</t>
  </si>
  <si>
    <t>495-10ج28</t>
  </si>
  <si>
    <t>شماره بدنه: HJ054415</t>
  </si>
  <si>
    <t>شماره جایگاه: 58 (جهت بازدید)</t>
  </si>
  <si>
    <t>MT281967</t>
  </si>
  <si>
    <t>172B0062907</t>
  </si>
  <si>
    <t>532-40ص77</t>
  </si>
  <si>
    <t>شماره بدنه: MT281967</t>
  </si>
  <si>
    <t>شماره جایگاه: 60 (جهت بازدید)</t>
  </si>
  <si>
    <t>LJ072735</t>
  </si>
  <si>
    <t>166B0042949</t>
  </si>
  <si>
    <t>745-20ي57</t>
  </si>
  <si>
    <t>شماره بدنه: LJ072735</t>
  </si>
  <si>
    <t>شماره جایگاه: 62 (جهت بازدید)</t>
  </si>
  <si>
    <t>NJ366385</t>
  </si>
  <si>
    <t>167B0189533</t>
  </si>
  <si>
    <t>169-14ج96</t>
  </si>
  <si>
    <t>شماره بدنه: NJ366385</t>
  </si>
  <si>
    <t>شماره جایگاه: 64 (جهت بازدید)</t>
  </si>
  <si>
    <t>پژو 207i دستي کلاس 19 سفيد دو پوششه</t>
  </si>
  <si>
    <t>PJ030442</t>
  </si>
  <si>
    <t>178B0128977</t>
  </si>
  <si>
    <t>697-23ي59</t>
  </si>
  <si>
    <t>شماره بدنه: PJ030442</t>
  </si>
  <si>
    <t>شماره جایگاه: 66 (جهت بازدید)</t>
  </si>
  <si>
    <t>NJ366413</t>
  </si>
  <si>
    <t>178B0120088</t>
  </si>
  <si>
    <t>169-54ن74</t>
  </si>
  <si>
    <t>شماره بدنه: NJ366413</t>
  </si>
  <si>
    <t>شماره جایگاه: 68 (جهت بازدید)</t>
  </si>
  <si>
    <t>PJ013059</t>
  </si>
  <si>
    <t>191B0007600</t>
  </si>
  <si>
    <t>236-42ل65</t>
  </si>
  <si>
    <t>شماره بدنه: PJ013059</t>
  </si>
  <si>
    <t>شماره جایگاه: 70 (جهت بازدید)</t>
  </si>
  <si>
    <t>NF129959</t>
  </si>
  <si>
    <t>147H0701660</t>
  </si>
  <si>
    <t>814-58ب35</t>
  </si>
  <si>
    <t>شماره بدنه: NF129959</t>
  </si>
  <si>
    <t>شماره جایگاه: 72 (جهت بازدید)</t>
  </si>
  <si>
    <t>NH422358</t>
  </si>
  <si>
    <t>125K0112343</t>
  </si>
  <si>
    <t>965-34ب47</t>
  </si>
  <si>
    <t>شماره بدنه: NH422358</t>
  </si>
  <si>
    <t>شماره جایگاه: 74 (جهت بازدید)</t>
  </si>
  <si>
    <t>پژو 207i دستي کلاس 21 سفيد دو پوششه</t>
  </si>
  <si>
    <t>PJ680153</t>
  </si>
  <si>
    <t>172B0122636</t>
  </si>
  <si>
    <t>265-76ط52</t>
  </si>
  <si>
    <t>شماره بدنه: PJ680153</t>
  </si>
  <si>
    <t>شماره جایگاه: 76 (جهت بازدید)</t>
  </si>
  <si>
    <t>سورن EF7 بنزيني کلاس 26 سفيد دو پوششه</t>
  </si>
  <si>
    <t>PF075660</t>
  </si>
  <si>
    <t>147H0720125</t>
  </si>
  <si>
    <t>936-50ل48</t>
  </si>
  <si>
    <t>شماره بدنه: PF075660</t>
  </si>
  <si>
    <t>شماره جایگاه: 78 (جهت بازدید)</t>
  </si>
  <si>
    <t>KH220177</t>
  </si>
  <si>
    <t>124K1401046</t>
  </si>
  <si>
    <t>748-13د19</t>
  </si>
  <si>
    <t>شماره بدنه: KH220177</t>
  </si>
  <si>
    <t>شماره جایگاه: 80 (جهت بازدید)</t>
  </si>
  <si>
    <t>NF129440</t>
  </si>
  <si>
    <t>147H0701473</t>
  </si>
  <si>
    <t>664-75د96</t>
  </si>
  <si>
    <t>شماره بدنه: NF129440</t>
  </si>
  <si>
    <t>شماره جایگاه: 82 (جهت بازدید)</t>
  </si>
  <si>
    <t>پژو 207i اتوماتيک با موتور TU5P کلاس 3 مشكي متاليك (آبنوس)</t>
  </si>
  <si>
    <t>NJ701899</t>
  </si>
  <si>
    <t>191B0003065</t>
  </si>
  <si>
    <t>567-50د98</t>
  </si>
  <si>
    <t>شماره بدنه: NJ701899</t>
  </si>
  <si>
    <t>شماره جایگاه: 84 (جهت بازدید)</t>
  </si>
  <si>
    <t>PK240448</t>
  </si>
  <si>
    <t>125K0121199</t>
  </si>
  <si>
    <t>838-84ل63</t>
  </si>
  <si>
    <t>شماره بدنه: PK240448</t>
  </si>
  <si>
    <t>شماره جایگاه: 86 (جهت بازدید)</t>
  </si>
  <si>
    <t>پژو پارس TU5 كلاس18 سفيد دو پوششه</t>
  </si>
  <si>
    <t>KH536644</t>
  </si>
  <si>
    <t>164B0235328</t>
  </si>
  <si>
    <t>517-14ن52</t>
  </si>
  <si>
    <t>شماره بدنه: KH536644</t>
  </si>
  <si>
    <t>شماره جایگاه: 88 (جهت بازدید)</t>
  </si>
  <si>
    <t>HE489125</t>
  </si>
  <si>
    <t>147H0335461</t>
  </si>
  <si>
    <t>593-14و28</t>
  </si>
  <si>
    <t>شماره بدنه: HE489125</t>
  </si>
  <si>
    <t>شماره جایگاه: 90 (جهت بازدید)</t>
  </si>
  <si>
    <t>NJ353295</t>
  </si>
  <si>
    <t>178B0111096</t>
  </si>
  <si>
    <t>841-93م82</t>
  </si>
  <si>
    <t>شماره بدنه: NJ353295</t>
  </si>
  <si>
    <t>شماره جایگاه: 92 (جهت بازدید)</t>
  </si>
  <si>
    <t>پژو 207i اتوماتيک با موتور TU5P کلاس 7 مشکي متاليک (آبنوس)</t>
  </si>
  <si>
    <t>PJ012887</t>
  </si>
  <si>
    <t>191B0007053</t>
  </si>
  <si>
    <t>581-68ل13</t>
  </si>
  <si>
    <t>شماره بدنه: PJ012887</t>
  </si>
  <si>
    <t>شماره جایگاه: 94 (جهت بازدید)</t>
  </si>
  <si>
    <t>پژو پارس TU5 كلاس 12 سفيد دوپوششه كانزاي</t>
  </si>
  <si>
    <t>FH360751</t>
  </si>
  <si>
    <t>139B0118943</t>
  </si>
  <si>
    <t>973-27ي39</t>
  </si>
  <si>
    <t>شماره بدنه: FH360751</t>
  </si>
  <si>
    <t>شماره جایگاه: 96 (جهت بازدید)</t>
  </si>
  <si>
    <t>NH205605</t>
  </si>
  <si>
    <t>139B0287937</t>
  </si>
  <si>
    <t>285-24ط56</t>
  </si>
  <si>
    <t>شماره بدنه: NH205605</t>
  </si>
  <si>
    <t>شماره جایگاه: 98 (جهت بازدید)</t>
  </si>
  <si>
    <t>NH816489</t>
  </si>
  <si>
    <t>125K0092126</t>
  </si>
  <si>
    <t>886-75ق55</t>
  </si>
  <si>
    <t>شماره بدنه: NH816489</t>
  </si>
  <si>
    <t>شماره جایگاه: 100 (جهت بازدید)</t>
  </si>
  <si>
    <t xml:space="preserve">کد کلاس  </t>
  </si>
  <si>
    <t xml:space="preserve">شماره بدنه </t>
  </si>
  <si>
    <t xml:space="preserve">شماره جایگاه </t>
  </si>
  <si>
    <t>پژو اس ال ايكس انژكتوري SLX با موتور  TU5 كلاس 4 سفيد دو پوششه</t>
  </si>
  <si>
    <t>ردیف: 1  پژو اس ال ايكس انژكتوري SLX با موتور  TU5 كلاس 4 سفيد دو پوششه  شناسه خودرو  مبلغ پایه  قيمت برنده  جایگاه  DK866457  1,600,000,000  1,740,000,000  1</t>
  </si>
  <si>
    <t>ردیف: 2  پژو پارس سال با موتور XU7 P کلاس 7 سفيد دوپوششه كانزاي  شناسه خودرو  مبلغ پایه  قيمت برنده  جایگاه  PK101538  1,900,000,000  3,101,000,000  2</t>
  </si>
  <si>
    <t>ردیف: 3  پژو پارس سال با موتور XU7 P کلاس 1 سفيد دوپوششه كانزاي  شناسه خودرو  مبلغ پایه  قيمت برنده  جایگاه  NH423890  1,800,000,000  2,615,368,825  3</t>
  </si>
  <si>
    <t>ردیف: 4  پژو پارس سال با موتور XU7 P کلاس 3 سفيد دوپوششه كانزاي  شناسه خودرو  مبلغ پایه  قيمت برنده  جایگاه  NH159280  1,700,000,000  2,785,000,000  4</t>
  </si>
  <si>
    <t>ردیف: 5  پژو پارس اتوماتيك TU5JP4 كلاس 8 سفيد دو پوششه  شناسه خودرو  مبلغ پایه  قيمت برنده  جایگاه  LH400923  1,600,000,000  3,275,500,000  5</t>
  </si>
  <si>
    <t>ردیف: 6  دنا پلاس توربو شارژ کلاس 6 سفيد دو پوششه  شناسه خودرو  مبلغ پایه  قيمت برنده  جایگاه  NE500728  2,500,000,000  4,219,999,999  6</t>
  </si>
  <si>
    <t>ردیف: 7  پژو پارس سال با موتور XU7 P کلاس 7 سفيد دو پوششه  شناسه خودرو  مبلغ پایه  قيمت برنده  جایگاه  PH891516  1,800,000,000  2,600,000,000  7</t>
  </si>
  <si>
    <t>ردیف: 8  پژو پارس TU5 كلاس 15 سفيد دو پوششه  شناسه خودرو  مبلغ پایه  قيمت برنده  جایگاه  HH044920  1,700,000,000  2,852,000,000  8</t>
  </si>
  <si>
    <t>ردیف: 9  پژو پارس سال با موتور XU7 P کلاس 1 سفيد دوپوششه كانزاي  شناسه خودرو  مبلغ پایه  قيمت برنده  جایگاه  NH155703  1,800,000,000  2,363,000,000  9</t>
  </si>
  <si>
    <t>پژو  جي ال ايكس انژكتوري كلاس 14 خاكستري متاليك</t>
  </si>
  <si>
    <t>ردیف: 10  پژو  جي ال ايكس انژكتوري كلاس 14 خاكستري متاليك  شناسه خودرو  مبلغ پایه  قيمت برنده  جایگاه  DR522581  1,400,000,000    10</t>
  </si>
  <si>
    <t>ردیف: 11  سورن EF7 بنزيني کلاس 22 سفيد دو پوششه  شناسه خودرو  مبلغ پایه  قيمت برنده  جایگاه  NF237291  1,700,000,000  2,328,800,000  11</t>
  </si>
  <si>
    <t>ردیف: 12  پژو پارس كلاس 29 سفيد دو پوششه  شناسه خودرو  مبلغ پایه  قيمت برنده  جایگاه  GH914280  1,600,000,000    12</t>
  </si>
  <si>
    <t>ردیف: 13  پژو پارس كلاس 29 سفيد دو پوششه  شناسه خودرو  مبلغ پایه  قيمت برنده  جایگاه  HH825390  1,650,000,000    13</t>
  </si>
  <si>
    <t>ردیف: 14  تندر 90 E2 + 2 A/B سفيد شيري پرشين  شناسه خودرو  مبلغ پایه  قيمت برنده  جایگاه  HA282525  1,900,000,000  2,200,000,000  14</t>
  </si>
  <si>
    <t>ردیف: 15  پژو پارس سال با موتور XU7 P کلاس 1 سفيد دو پوششه  شناسه خودرو  مبلغ پایه  قيمت برنده  جایگاه  NH406066  1,800,000,000  2,433,000,000  15</t>
  </si>
  <si>
    <t>ردیف: 16  تارا اتوماتيک کلاس 1  مشكي متاليك (آبنوس)  شناسه خودرو  مبلغ پایه  قيمت برنده  جایگاه  PD958293  4,200,000,000  5,334,999,999  16</t>
  </si>
  <si>
    <t>ردیف: 17  پژو پارس کلاس 42 سفيد دوپوششه كانزاي  شناسه خودرو  مبلغ پایه  قيمت برنده  جایگاه  LH332138  1,800,000,000    17</t>
  </si>
  <si>
    <t>ردیف: 18  پژو پارس TU5 كلاس 4 سفيد دو پوششه  شناسه خودرو  مبلغ پایه  قيمت برنده  جایگاه  DK665545  2,400,000,000  4,369,999,999  18</t>
  </si>
  <si>
    <t>پژو اس ال ايكس انژكتوري SLX با موتور  TU5 كلاس 9 سفيد دو پوششه</t>
  </si>
  <si>
    <t>ردیف: 19  پژو اس ال ايكس انژكتوري SLX با موتور  TU5 كلاس 9 سفيد دو پوششه  شناسه خودرو  مبلغ پایه  قيمت برنده  جایگاه  GR035887  1,700,000,000  2,150,000,000  19</t>
  </si>
  <si>
    <t>ردیف: 20  پژو پارس سال با موتور XU7 P کلاس 1 سفيد دو پوششه  شناسه خودرو  مبلغ پایه  قيمت برنده  جایگاه  NH926668  1,800,000,000  3,569,999,999  20</t>
  </si>
  <si>
    <t>ردیف: 21  رانا كلاس 6 آبي متاليك  شناسه خودرو  مبلغ پایه  قيمت برنده  جایگاه  HT190512  1,600,000,000  2,030,000,000  21</t>
  </si>
  <si>
    <t>ردیف: 22  پژو پارس سال با موتور XU7 P کلاس 3 سفيد دو پوششه  شناسه خودرو  مبلغ پایه  قيمت برنده  جایگاه  NK195758  1,800,000,000  2,800,000,000  22</t>
  </si>
  <si>
    <t>ردیف: 23  پژو پارس TU5 كلاس 4 سفيد دو پوششه  شناسه خودرو  مبلغ پایه  قيمت برنده  جایگاه  DK662684  1,700,000,000    23</t>
  </si>
  <si>
    <t>ردیف: 24  سورن EF7 بنزيني کلاس 27 سفيد دو پوششه  شناسه خودرو  مبلغ پایه  قيمت برنده  جایگاه  PF304669  1,700,000,000  2,120,000,000  24</t>
  </si>
  <si>
    <t>ردیف: 25  پژو 207i دستي کلاس 15 سفيد دو پوششه  شناسه خودرو  مبلغ پایه  قيمت برنده  جایگاه  NJ214258  2,600,000,000  3,619,999,999  25</t>
  </si>
  <si>
    <t>ردیف: 26  هايماS7 توربو اتوماتيك كلاس2 مشكي متاليك  شناسه خودرو  مبلغ پایه  قيمت برنده  جایگاه  NY061641  3,500,000,000  6,166,666,667  26</t>
  </si>
  <si>
    <t>ردیف: 27  دنا پلاس اتوماتيك با موتور EF7_TC کلاس 9 خاكستري متاليك  شناسه خودرو  مبلغ پایه  قيمت برنده  جایگاه  PE703810  4,500,000,000  5,612,345,678  27</t>
  </si>
  <si>
    <t>ردیف: 28  پژو 207i دستي كلاس 5 سفيد دو پوششه  شناسه خودرو  مبلغ پایه  قيمت برنده  جایگاه  KJ381884  4,800,000,000  5,726,000,009  28</t>
  </si>
  <si>
    <t>ردیف: 29  پژو اس ال ايكس انژكتوري SLX با موتور  TU5 كلاس 9 سفيد دو پوششه  شناسه خودرو  مبلغ پایه  قيمت برنده  جایگاه  JK101846  1,500,000,000    29</t>
  </si>
  <si>
    <t>ردیف: 30  سورن EF7 بنزيني کلاس 19 سفيد دو پوششه  شناسه خودرو  مبلغ پایه  قيمت برنده  جایگاه  NF128308  1,700,000,000  2,844,444,444  30</t>
  </si>
  <si>
    <t>پژو اس ال ايكس انژكتوري SLX با موتور  TU5 كلاس 13 سفيد دو پوششه</t>
  </si>
  <si>
    <t>ردیف: 31  پژو اس ال ايكس انژكتوري SLX با موتور  TU5 كلاس 13 سفيد دو پوششه  شناسه خودرو  مبلغ پایه  قيمت برنده  جایگاه  KK214795  1,600,000,000  1,800,999,999  31</t>
  </si>
  <si>
    <t>ردیف: 32  سورن EF7 بنزيني کلاس 29 سفيد دو پوششه  شناسه خودرو  مبلغ پایه  قيمت برنده  جایگاه  PF302152  1,800,000,000  3,258,880,000  32</t>
  </si>
  <si>
    <t>ردیف: 33  سورن EF7 بنزيني کلاس 19 سفيد دو پوششه  شناسه خودرو  مبلغ پایه  قيمت برنده  جایگاه  NF160245  1,700,000,000  3,570,000,000  33</t>
  </si>
  <si>
    <t>ردیف: 34  سمند - ال ايكس کلاس 52 سفيد دو پوششه  شناسه خودرو  مبلغ پایه  قيمت برنده  جایگاه  LF708091  1,500,000,000  1,570,000,000  34</t>
  </si>
  <si>
    <t>ردیف: 35  تارا دستي کلاس 1 سفيد دوپوششه كانزاي  شناسه خودرو  مبلغ پایه  قيمت برنده  جایگاه  MD915645  3,800,000,000    35</t>
  </si>
  <si>
    <t>ردیف: 36  دنا پلاس اتوماتيك با موتور EF7_TC كلاس2 مشكي متاليك  شناسه خودرو  مبلغ پایه  قيمت برنده  جایگاه  NE568693  4,500,000,000  4,567,899,999  36</t>
  </si>
  <si>
    <t>ردیف: 37  دنا پلاس اتوماتيك با موتور EF7_TC كلاس2 مشكي متاليك  شناسه خودرو  مبلغ پایه  قيمت برنده  جایگاه  NE480320  4,200,000,000  5,250,000,009  37</t>
  </si>
  <si>
    <t>ردیف: 38  پژو پارس کلاس 42 سفيد دو پوششه  شناسه خودرو  مبلغ پایه  قيمت برنده  جایگاه  MK160386  1,800,000,000  2,709,999,990  38</t>
  </si>
  <si>
    <t>ردیف: 39  دنا پلاس اتوماتيك با موتور EF7_TC كلاس2 سفيد دو پوششه  شناسه خودرو  مبلغ پایه  قيمت برنده  جایگاه  NE484798  3,900,000,000  4,910,000,000  39</t>
  </si>
  <si>
    <t>ردیف: 40  تارا دستي کلاس 1 نقره اي متاليك  شناسه خودرو  مبلغ پایه  قيمت برنده  جایگاه  ND938278  3,400,000,000    40</t>
  </si>
  <si>
    <t>ردیف: 41  پژو پارس اتوماتيك TU5JP4 كلاس 6 سفيد دو پوششه  شناسه خودرو  مبلغ پایه  قيمت برنده  جایگاه  JH902117  1,600,000,000  3,619,999,999  41</t>
  </si>
  <si>
    <t>ردیف: 42  دنا+ (پلاس) کلاس 22 مشكي متاليك (آبنوس)  شناسه خودرو  مبلغ پایه  قيمت برنده  جایگاه  NE532889  3,200,000,000  3,333,000,000  42</t>
  </si>
  <si>
    <t>ردیف: 43  دنا پلاس اتوماتيك با موتور EF7_TC كلاس2 مشكي متاليك (آبنوس)  شناسه خودرو  مبلغ پایه  قيمت برنده  جایگاه  NE710249  3,700,000,000  3,950,000,000  43</t>
  </si>
  <si>
    <t>ردیف: 44  دنا كلاس15 سفيد دوپوششه كانزاي  شناسه خودرو  مبلغ پایه  قيمت برنده  جایگاه  KE162234  3,600,000,000    44</t>
  </si>
  <si>
    <t>ردیف: 45  پژو پارس سال با موتور XU7 P کلاس 6 مشكي متاليك  شناسه خودرو  مبلغ پایه  قيمت برنده  جایگاه  PK248171  1,900,000,000  2,743,000,000  45</t>
  </si>
  <si>
    <t>ردیف: 46  سورن EF7 بنزيني کلاس 19 سفيد دو پوششه  شناسه خودرو  مبلغ پایه  قيمت برنده  جایگاه  MF084756  1,700,000,000  3,110,000,000  46</t>
  </si>
  <si>
    <t>ردیف: 47  دنا پلاس اتوماتيك با موتور EF7_TC كلاس2 مشكي متاليك (آبنوس)  شناسه خودرو  مبلغ پایه  قيمت برنده  جایگاه  NE310155  3,800,000,000  5,000,000,000  47</t>
  </si>
  <si>
    <t>پژو اس ال ايكس انژكتوري SLX با موتور  TU5 كلاس 11 سفيد دو پوششه</t>
  </si>
  <si>
    <t>ردیف: 48  پژو اس ال ايكس انژكتوري SLX با موتور  TU5 كلاس 11 سفيد دو پوششه  شناسه خودرو  مبلغ پایه  قيمت برنده  جایگاه  LK507412  1,700,000,000  3,019,999,999  48</t>
  </si>
  <si>
    <t>ردیف: 49  دنا پلاس توربو شارژ کلاس 10 سفيد دو پوششه  شناسه خودرو  مبلغ پایه  قيمت برنده  جایگاه  PE006980  3,900,000,000  4,919,999,999  49</t>
  </si>
  <si>
    <t>ردیف: 50  هايما S5 توربو اتوماتيک کلاس 1 مشكي متاليك  شناسه خودرو  مبلغ پایه  قيمت برنده  جایگاه  NY074083  3,700,000,000  8,889,999,999  50</t>
  </si>
  <si>
    <t>ردیف: 51  دنا پلاس اتوماتيك با موتور EF7_TC كلاس2 مشكي متاليك  شناسه خودرو  مبلغ پایه  قيمت برنده  جایگاه  NE542919  3,800,000,000  5,510,000,018  51</t>
  </si>
  <si>
    <t>ردیف: 52  سمند ال ايكس با موتور EF7 بنزيني کلاس 12 آبي كبود متاليك  شناسه خودرو  مبلغ پایه  قيمت برنده  جایگاه  EF581884  1,400,000,000  1,759,999,999  52</t>
  </si>
  <si>
    <t>ردیف: 53  پژو جي ال ايكس دوگانه سوز كلاس 22 نقره اي متاليك  شناسه خودرو  مبلغ پایه  قيمت برنده  جایگاه  FK732792  1,300,000,000    53</t>
  </si>
  <si>
    <t>ردیف: 54  رانا کلاس 15 سفيد دو پوششه  شناسه خودرو  مبلغ پایه  قيمت برنده  جایگاه  NT443272  1,600,000,000  2,352,000,000  54</t>
  </si>
  <si>
    <t>ردیف: 55  دنا+ (پلاس) کلاس 17 سفيد دو پوششه  شناسه خودرو  مبلغ پایه  قيمت برنده  جایگاه  ME341927  3,000,000,000  3,919,999,999  55</t>
  </si>
  <si>
    <t>ردیف: 56  پژو اس ال ايكس انژكتوري SLX با موتور  TU5 كلاس 11 سفيد دو پوششه  شناسه خودرو  مبلغ پایه  قيمت برنده  جایگاه  MK654315  1,600,000,000  3,205,000,000  56</t>
  </si>
  <si>
    <t>ردیف: 57  پژو 207i دستي كلاس 2 مشكي متاليك  شناسه خودرو  مبلغ پایه  قيمت برنده  جایگاه  JJ621955  2,500,000,000    57</t>
  </si>
  <si>
    <t>ردیف: 58  پژو 206 معمولي كلاس 28 سفيد دو پوششه  شناسه خودرو  مبلغ پایه  قيمت برنده  جایگاه  HJ054415  1,700,000,000  2,531,234,567  58</t>
  </si>
  <si>
    <t>ردیف: 59  پژو 207i دستي کلاس 10 سفيد دو پوششه  شناسه خودرو  مبلغ پایه  قيمت برنده  جایگاه  MJ230408  2,700,000,000  3,500,000,000  59</t>
  </si>
  <si>
    <t>ردیف: 60  رانا کلاس 15 سفيد دو پوششه  شناسه خودرو  مبلغ پایه  قيمت برنده  جایگاه  MT281967  3,400,000,000  4,711,234,567  60</t>
  </si>
  <si>
    <t>ردیف: 61  پژو 206 معمولي كلاس 30 سفيد دو پوششه  شناسه خودرو  مبلغ پایه  قيمت برنده  جایگاه  JJ562571  1,700,000,000    61</t>
  </si>
  <si>
    <t>ردیف: 62  پژو 206 اس دي 1600 سي سي كلاس33 سفيد دو پوششه  شناسه خودرو  مبلغ پایه  قيمت برنده  جایگاه  LJ072735  2,800,000,000  4,888,888,888  62</t>
  </si>
  <si>
    <t>ردیف: 63  پژو 207i اتوماتيک با موتور TU5P  کلاس 2 مشكي متاليك  شناسه خودرو  مبلغ پایه  قيمت برنده  جایگاه  NJ247146  3,400,000,000  4,400,000,000  63</t>
  </si>
  <si>
    <t>ردیف: 64  پژو 207i دستي کلاس 10 سفيد دو پوششه  شناسه خودرو  مبلغ پایه  قيمت برنده  جایگاه  NJ366385  2,800,000,000  3,510,000,000  64</t>
  </si>
  <si>
    <t>ردیف: 65  هايماS7 توربو اتوماتيك كلاس2 سفيد دوپوششه كانزاي  شناسه خودرو  مبلغ پایه  قيمت برنده  جایگاه  MY050361  3,700,000,000  7,667,899,999  65</t>
  </si>
  <si>
    <t>ردیف: 66  پژو 207i دستي کلاس 19 سفيد دو پوششه  شناسه خودرو  مبلغ پایه  قيمت برنده  جایگاه  PJ030442  2,800,000,000  3,300,000,000  66</t>
  </si>
  <si>
    <t>ردیف: 67  سورن EF7 بنزيني کلاس 19 سفيد دوپوششه كانزاي  شناسه خودرو  مبلغ پایه  قيمت برنده  جایگاه  NF152973  1,700,000,000  3,210,000,000  67</t>
  </si>
  <si>
    <t>ردیف: 68  پژو 207i دستي کلاس 10 سفيد دو پوششه  شناسه خودرو  مبلغ پایه  قيمت برنده  جایگاه  NJ366413  2,800,000,000  3,550,000,000  68</t>
  </si>
  <si>
    <t>ردیف: 69  دنا پلاس اتوماتيك با موتور EF7_TC کلاس 9 سفيد دوپوششه كانزاي  شناسه خودرو  مبلغ پایه  قيمت برنده  جایگاه  PE704371  4,500,000,000  6,759,999,999  69</t>
  </si>
  <si>
    <t>پژو 207i اتوماتيک با موتور TU5P  کلاس 6 مشکي متاليک (آبنوس)</t>
  </si>
  <si>
    <t>ردیف: 70  پژو 207i اتوماتيک با موتور TU5P  کلاس 6 مشکي متاليک (آبنوس)  شناسه خودرو  مبلغ پایه  قيمت برنده  جایگاه  PJ013059  3,200,000,000  3,600,000,000  70</t>
  </si>
  <si>
    <t>ردیف: 71  دنا پلاس اتوماتيك با موتور EF7_TC كلاس2 خاكستري متال  شناسه خودرو  مبلغ پایه  قيمت برنده  جایگاه  LE241071  3,800,000,000  3,870,000,000  71</t>
  </si>
  <si>
    <t>ردیف: 72  سورن EF7 بنزيني کلاس 22 سفيد دوپوششه كانزاي  شناسه خودرو  مبلغ پایه  قيمت برنده  جایگاه  NF129959  1,700,000,000  2,620,000,999  72</t>
  </si>
  <si>
    <t>ردیف: 73  پژو 207i دستي کلاس 17 سفيد دو پوششه  شناسه خودرو  مبلغ پایه  قيمت برنده  جایگاه  PJ564921  2,900,000,000  3,999,500,000  73</t>
  </si>
  <si>
    <t>ردیف: 74  پژو پارس سال با موتور XU7 P کلاس 1 سفيد دو پوششه  شناسه خودرو  مبلغ پایه  قيمت برنده  جایگاه  NH422358  1,800,000,000  2,153,333,333  74</t>
  </si>
  <si>
    <t>ردیف: 75  پژو 207i دستي كلاس 6 سفيد دو پوششه  شناسه خودرو  مبلغ پایه  قيمت برنده  جایگاه  NJ485956  4,800,000,000  6,326,000,009  75</t>
  </si>
  <si>
    <t>ردیف: 76  پژو 207i دستي کلاس 21 سفيد دو پوششه  شناسه خودرو  مبلغ پایه  قيمت برنده  جایگاه  PJ680153  3,100,000,000  4,138,999,899  76</t>
  </si>
  <si>
    <t>ردیف: 77  سورن EF7 بنزيني کلاس 19 سفيد دو پوششه  شناسه خودرو  مبلغ پایه  قيمت برنده  جایگاه  NF160550  1,700,000,000  3,220,000,000  77</t>
  </si>
  <si>
    <t>ردیف: 78  سورن EF7 بنزيني کلاس 26 سفيد دو پوششه  شناسه خودرو  مبلغ پایه  قيمت برنده  جایگاه  PF075660  1,600,000,000  3,055,555,555  78</t>
  </si>
  <si>
    <t>ردیف: 79  پژو پارس سال با موتور XU7 P کلاس 2 سفيد دو پوششه  شناسه خودرو  مبلغ پایه  قيمت برنده  جایگاه  PK244394  2,000,000,000  3,021,000,000  79</t>
  </si>
  <si>
    <t>ردیف: 80  پژو پارس كلاس 32 سفيد دو پوششه  شناسه خودرو  مبلغ پایه  قيمت برنده  جایگاه  KH220177  1,800,000,000  2,330,000,999  80</t>
  </si>
  <si>
    <t>ردیف: 81  دنا+ (پلاس) کلاس 17 سفيد دوپوششه كانزاي  شناسه خودرو  مبلغ پایه  قيمت برنده  جایگاه  NE523411  3,700,000,000  4,510,000,000  81</t>
  </si>
  <si>
    <t>ردیف: 82  سورن EF7 بنزيني کلاس 19 سفيد دو پوششه  شناسه خودرو  مبلغ پایه  قيمت برنده  جایگاه  NF129440  1,600,000,000  1,800,000,000  82</t>
  </si>
  <si>
    <t>ردیف: 83  پژو پارس معمولي دوگانه سوز كلاس 9 سفيد دو پوششه  شناسه خودرو  مبلغ پایه  قيمت برنده  جایگاه  DK170281  1,600,000,000    83</t>
  </si>
  <si>
    <t>پژو 207i اتوماتيک با موتور TU5P  کلاس 3 مشكي متاليك (آبنوس)</t>
  </si>
  <si>
    <t>ردیف: 84  پژو 207i اتوماتيک با موتور TU5P  کلاس 3 مشكي متاليك (آبنوس)  شناسه خودرو  مبلغ پایه  قيمت برنده  جایگاه  NJ701899  2,900,000,000  4,688,888,000  84</t>
  </si>
  <si>
    <t>ردیف: 85  سمند ال ايكسEF7 كلاس 11 سفيد دو پوششه  شناسه خودرو  مبلغ پایه  قيمت برنده  جایگاه  GF318196  1,500,000,000  1,710,000,000  85</t>
  </si>
  <si>
    <t>ردیف: 86  پژو پارس سال با موتور XU7 P کلاس 3 مشكي متاليك  شناسه خودرو  مبلغ پایه  قيمت برنده  جایگاه  PK240448  1,900,000,000  2,900,000,000  86</t>
  </si>
  <si>
    <t>ردیف: 87  رانا کلاس 15 سفيد دو پوششه  شناسه خودرو  مبلغ پایه  قيمت برنده  جایگاه  NT367340  1,700,000,000  2,279,999,999  87</t>
  </si>
  <si>
    <t>ردیف: 88  پژو پارس TU5 كلاس18 سفيد دو پوششه  شناسه خودرو  مبلغ پایه  قيمت برنده  جایگاه  KH536644  2,000,000,000  2,910,009,999  88</t>
  </si>
  <si>
    <t>ردیف: 89  پژو پارس TU5 کلاس 29 سفيد دو پوششه  شناسه خودرو  مبلغ پایه  قيمت برنده  جایگاه  PK282342  2,300,000,000  5,222,000,000  89</t>
  </si>
  <si>
    <t>ردیف: 90  دنا+ (پلاس) كلاس 1 سفيد دو پوششه  شناسه خودرو  مبلغ پایه  قيمت برنده  جایگاه  HE489125  2,600,000,000  2,815,000,000  90</t>
  </si>
  <si>
    <t>ردیف: 91  پژو 207i دستي کلاس 17 سفيد دو پوششه  شناسه خودرو  مبلغ پایه  قيمت برنده  جایگاه  PJ565024  3,000,000,000  3,170,000,000  91</t>
  </si>
  <si>
    <t>ردیف: 92  پژو 207i دستي کلاس 10 سفيد دو پوششه  شناسه خودرو  مبلغ پایه  قيمت برنده  جایگاه  NJ353295  2,900,000,000  3,350,000,000  92</t>
  </si>
  <si>
    <t>ردیف: 93  پژو 206 معمولي كلاس 28 سفيد دو پوششه  شناسه خودرو  مبلغ پایه  قيمت برنده  جایگاه  HJ493769  1,800,000,000  2,488,888,000  93</t>
  </si>
  <si>
    <t>پژو 207i اتوماتيک با موتور TU5P  کلاس 7 مشکي متاليک (آبنوس)</t>
  </si>
  <si>
    <t>ردیف: 94  پژو 207i اتوماتيک با موتور TU5P  کلاس 7 مشکي متاليک (آبنوس)  شناسه خودرو  مبلغ پایه  قيمت برنده  جایگاه  PJ012887  3,500,000,000  5,080,000,000  94</t>
  </si>
  <si>
    <t>ردیف: 95  پژو پارس TU5 كلاس20 سفيد دو پوششه  شناسه خودرو  مبلغ پایه  قيمت برنده  جایگاه  NH482850  1,900,000,000  3,599,999,999  95</t>
  </si>
  <si>
    <t>ردیف: 96  پژو پارس TU5 كلاس 12 سفيد دوپوششه كانزاي  شناسه خودرو  مبلغ پایه  قيمت برنده  جایگاه  FH360751  1,700,000,000  2,350,000,000  96</t>
  </si>
  <si>
    <t>ردیف: 97  پژو پارس سال با موتور XU7 P کلاس 2 سفيد دو پوششه  شناسه خودرو  مبلغ پایه  قيمت برنده  جایگاه  NH422128  1,800,000,000  2,235,800,000  97</t>
  </si>
  <si>
    <t>ردیف: 98  پژو پارس TU5 كلاس20 سفيد دو پوششه  شناسه خودرو  مبلغ پایه  قيمت برنده  جایگاه  NH205605  2,200,000,000  3,650,000,000  98</t>
  </si>
  <si>
    <t>ردیف: 99  پژو پارس کلاس 42 سفيد دو پوششه  شناسه خودرو  مبلغ پایه  قيمت برنده  جایگاه  MH625867  1,800,000,000  2,655,850,000  99</t>
  </si>
  <si>
    <t>ردیف: 100  پژو پارس سال با موتور XU7 P کلاس 1 سفيد دو پوششه  شناسه خودرو  مبلغ پایه  قيمت برنده  جایگاه  NH816489  1,800,000,000  2,333,000,000  100</t>
  </si>
  <si>
    <t>ردیف: 101  پژو پارس TU5 كلاس 13 سفيد دو پوششه  شناسه خودرو  مبلغ پایه  قيمت برنده  جایگاه  HH990264  1,600,000,000  2,822,999,999  101</t>
  </si>
  <si>
    <t>ردیف: 102  دنا پلاس اتوماتيك با موتور EF7_TC کلاس 9 سفيد دو پوششه  شناسه خودرو  مبلغ پایه  قيمت برنده  جایگاه  PE702738  4,700,000,000  4,888,888,888  102</t>
  </si>
  <si>
    <t>ردیف: 103  پژو 206 معمولي كلاس 31 سفيد دو پوششه  شناسه خودرو  مبلغ پایه  قيمت برنده  جایگاه  LJ031066  1,700,000,000  1,799,999,999  103</t>
  </si>
  <si>
    <t>ردیف: 104  پژو 207i دستي کلاس 17 سفيد دو پوششه  شناسه خودرو  مبلغ پایه  قيمت برنده  جایگاه  PJ674754  2,800,000,000  4,050,000,000  104</t>
  </si>
  <si>
    <t>ردیف: 105  رانا کلاس 15 سفيد دو پوششه  شناسه خودرو  مبلغ پایه  قيمت برنده  جایگاه  MT298748  1,700,000,000    105</t>
  </si>
  <si>
    <t>ردیف: 106  دنا كلاس17 خاكستري متاليك  شناسه خودرو  مبلغ پایه  قيمت برنده  جایگاه  LE233180  2,700,000,000    106</t>
  </si>
  <si>
    <t>ردیف: 107  پژو پارس سال با موتور XU7 P کلاس 3 سفيد دو پوششه  شناسه خودرو  مبلغ پایه  قيمت برنده  جایگاه  NK804141  1,800,000,000  2,058,000,000  107</t>
  </si>
  <si>
    <t>ردیف: 108  پژو پارس سال با موتور XU7 P کلاس 3 سفيد دو پوششه  شناسه خودرو  مبلغ پایه  قيمت برنده  جایگاه  NK465399  1,700,000,000  1,955,555,555  108</t>
  </si>
  <si>
    <t>ردیف: 109  پژو پارس TU5 كلاس 13 سفيد دو پوششه  شناسه خودرو  مبلغ پایه  قيمت برنده  جایگاه  GH735617  1,700,000,000  2,719,999,999  109</t>
  </si>
  <si>
    <t>ردیف: 110  سورن EF7 بنزيني کلاس 19 سفيد دو پوششه  شناسه خودرو  مبلغ پایه  قيمت برنده  جایگاه  NF164882  1,700,000,000  2,100,999,999  110</t>
  </si>
  <si>
    <t>ردیف: 111  پژو 206 معمولي كلاس 31 سفيد دو پوششه  شناسه خودرو  مبلغ پایه  قيمت برنده  جایگاه  NJ310609  1,700,000,000  3,012,000,000  111</t>
  </si>
  <si>
    <t>ردیف: 112  پژو 207i دستي کلاس 10 سفيد دو پوششه  شناسه خودرو  مبلغ پایه  قيمت برنده  جایگاه  NJ350039  2,700,000,000  4,570,000,009  112</t>
  </si>
  <si>
    <t>ردیف: 113  پژو 206 معمولي کلاس35 سفيد دو پوششه  شناسه خودرو  مبلغ پایه  قيمت برنده  جایگاه  NJ371884  2,200,000,000  2,959,999,000  113</t>
  </si>
  <si>
    <t>ردیف: 114  پژو 207i اتوماتيک با موتور TU5P  کلاس 2 سفيد دو پوششه  شناسه خودرو  مبلغ پایه  قيمت برنده  جایگاه  NJ703622  3,200,000,000  4,355,000,000  114</t>
  </si>
  <si>
    <t>ردیف: 115  سورن EF7 بنزيني کلاس 19 سفيد دو پوششه  شناسه خودرو  مبلغ پایه  قيمت برنده  جایگاه  MF901890  1,700,000,000  3,300,009,999  115</t>
  </si>
  <si>
    <t>ردیف: 116  پژو 207i دستي کلاس 16 مشکي متاليک (آبنوس)  شناسه خودرو  مبلغ پایه  قيمت برنده  جایگاه  PJ646345  2,700,000,000  3,310,000,000  116</t>
  </si>
  <si>
    <t>ردیف: 117  وانت آريسان2 دوگانه سوز با موتور XU7P کلاس 3 خاكستري متاليك  شناسه خودرو  مبلغ پایه  قيمت برنده  جایگاه  PK025540  1,800,000,000  2,631,234,567  117</t>
  </si>
  <si>
    <t>ردیف: 118  پژو پارس - اي ال ايكس كلاس 9 سفيد دو پوششه  شناسه خودرو  مبلغ پایه  قيمت برنده  جایگاه  DH008447  1,800,000,000  3,679,999,900  118</t>
  </si>
  <si>
    <t>ردیف: 119  پژو 207i دستي کلاس 18 سفيد دو پوششه  شناسه خودرو  مبلغ پایه  قيمت برنده  جایگاه  PJ030792  2,800,000,000  3,333,333,333  119</t>
  </si>
  <si>
    <t>ردیف: 120  پژو پارس TU5 كلاس 13 سفيد دو پوششه  شناسه خودرو  مبلغ پایه  قيمت برنده  جایگاه  GH745447  1,800,000,000  2,611,555,000  120</t>
  </si>
  <si>
    <t>ردیف: 121  پژو 207i دستي کلاس 10 سفيد دو پوششه  شناسه خودرو  مبلغ پایه  قيمت برنده  جایگاه  NJ354622  2,700,000,000  3,200,000,000  121</t>
  </si>
  <si>
    <t>ردیف: 122  هايماS7 توربو اتوماتيك كلاس 1 سفيد دوپوششه كانزاي  شناسه خودرو  مبلغ پایه  قيمت برنده  جایگاه  LY005137  4,200,000,000  5,600,000,000  122</t>
  </si>
  <si>
    <t>ردیف: 123  پژو 207i دستي کلاس 16 سفيد دو پوششه  شناسه خودرو  مبلغ پایه  قيمت برنده  جایگاه  PJ643791  2,900,000,000    123</t>
  </si>
  <si>
    <t>ردیف: 124  پژو پارس TU5 کلاس 29 سفيد دو پوششه  شناسه خودرو  مبلغ پایه  قيمت برنده  جایگاه  PH277939  2,200,000,000  3,579,000,000  124</t>
  </si>
  <si>
    <t>ردیف: 125  دنا پلاس توربو شارژ کلاس 10 خاكستري متاليك  شناسه خودرو  مبلغ پایه  قيمت برنده  جایگاه  PE004929  3,600,000,000  3,824,000,000  125</t>
  </si>
  <si>
    <t>ردیف: 126  پژو 207i دستي کلاس 10 سفيد دو پوششه  شناسه خودرو  مبلغ پایه  قيمت برنده  جایگاه  NJ356319  2,600,000,000  3,670,000,000  126</t>
  </si>
  <si>
    <t>ردیف: 127  پژو پارس TU5 كلاس20 سفيد دو پوششه  شناسه خودرو  مبلغ پایه  قيمت برنده  جایگاه  PK280849  2,000,000,000  4,320,000,000  127</t>
  </si>
  <si>
    <t>ردیف: 128  پژو 206 معمولي کلاس35 سفيد دو پوششه  شناسه خودرو  مبلغ پایه  قيمت برنده  جایگاه  NJ370846  1,900,000,000  2,133,333,300  128</t>
  </si>
  <si>
    <t>ردیف: 129  پژو پارس - اي ال ايكس كلاس 9 سفيد دو پوششه  شناسه خودرو  مبلغ پایه  قيمت برنده  جایگاه  CE004250  1,400,000,000    129</t>
  </si>
  <si>
    <t>ردیف: 130  پژو اس ال ايكس انژكتوري SLX با موتور  TU5 كلاس 11 سفيد دو پوششه  شناسه خودرو  مبلغ پایه  قيمت برنده  جایگاه  MK653190  3,500,000,000  4,855,000,000  130</t>
  </si>
  <si>
    <t>ردیف: 131  پژو پارس TU5 كلاس 13 سفيد دو پوششه  شناسه خودرو  مبلغ پایه  قيمت برنده  جایگاه  JH944958  1,600,000,000  2,340,000,000  131</t>
  </si>
  <si>
    <t>ردیف: 132  پژو 207i دستي کلاس 10 سفيد دو پوششه  شناسه خودرو  مبلغ پایه  قيمت برنده  جایگاه  NJ497600  2,800,000,000  3,620,000,000  132</t>
  </si>
  <si>
    <t>ردیف: 133  سورن EF7 بنزيني کلاس 19 سفيد دو پوششه  شناسه خودرو  مبلغ پایه  قيمت برنده  جایگاه  NF159839  1,700,000,000  2,900,000,000  133</t>
  </si>
  <si>
    <t>ردیف: 134  دنا پلاس اتوماتيك با موتور EF7_TC كلاس2 سفيد دوپوششه كانزاي  شناسه خودرو  مبلغ پایه  قيمت برنده  جایگاه  NE540226  4,200,000,000  4,451,255,000  134</t>
  </si>
  <si>
    <t>ردیف: 135  پژو 206 معمولي كلاس34 سفيد دو پوششه  شناسه خودرو  مبلغ پایه  قيمت برنده  جایگاه  KJ748141  1,700,000,000  2,378,999,899  135</t>
  </si>
  <si>
    <t>ردیف: 136  پژو پارس كلاس 32 سفيد دو پوششه  شناسه خودرو  مبلغ پایه  قيمت برنده  جایگاه  JH075611  1,600,000,000  2,355,850,000  136</t>
  </si>
  <si>
    <t>ردیف: 137  پژو پارس سال با موتور XU7 P کلاس 6 سفيد دو پوششه  شناسه خودرو  مبلغ پایه  قيمت برنده  جایگاه  PH947078  1,900,000,000  3,020,000,000  137</t>
  </si>
  <si>
    <t>ردیف: 138  سمند - ال ايكس كلاس46 سفيد دو پوششه  شناسه خودرو  مبلغ پایه  قيمت برنده  جایگاه  KF562951  1,500,000,000  2,219,999,999  138</t>
  </si>
  <si>
    <t>ردیف: 139  پژو 207i دستي کلاس 10 سفيد دو پوششه  شناسه خودرو  مبلغ پایه  قيمت برنده  جایگاه  MJ530581  2,700,000,000  4,588,888,888  139</t>
  </si>
  <si>
    <t>ردیف: 140  پژو پارس كلاس 29 سفيد دو پوششه  شناسه خودرو  مبلغ پایه  قيمت برنده  جایگاه  HH830006  1,500,000,000  2,277,777,777  140</t>
  </si>
  <si>
    <t>ردیف: 141  تارا دستي کلاس 7 مشكي متاليك (آبنوس)  شناسه خودرو  مبلغ پایه  قيمت برنده  جایگاه  PD800701  3,900,000,000    141</t>
  </si>
  <si>
    <t>ردیف: 142  پژو 207i دستي کلاس 10 مشكي متاليك  شناسه خودرو  مبلغ پایه  قيمت برنده  جایگاه  NJ271144  2,700,000,000  3,717,777,777  142</t>
  </si>
  <si>
    <t>ردیف: 143  دنا كلاس 1 مشكي متاليك  شناسه خودرو  مبلغ پایه  قيمت برنده  جایگاه  JE074028  2,700,000,000  3,160,000,000  143</t>
  </si>
  <si>
    <t>ردیف: 144  پژو 207i دستي کلاس 17 سفيد دو پوششه  شناسه خودرو  مبلغ پایه  قيمت برنده  جایگاه  PJ678821  2,400,000,000  3,569,999,999  144</t>
  </si>
  <si>
    <t>ردیف: 145  پژو پارس TU5 كلاس20 سفيد دو پوششه  شناسه خودرو  مبلغ پایه  قيمت برنده  جایگاه  NH219161  1,900,000,000  3,721,234,567  145</t>
  </si>
  <si>
    <t>ردیف: 146  پژو پارس TU5 كلاس20 سفيد دو پوششه  شناسه خودرو  مبلغ پایه  قيمت برنده  جایگاه  NH879932  2,000,000,000  3,114,500,000  146</t>
  </si>
  <si>
    <t>ردیف: 147  پژو پارس TU5 كلاس20 سفيد دو پوششه  شناسه خودرو  مبلغ پایه  قيمت برنده  جایگاه  LH297147  1,900,000,000  2,700,999,999  147</t>
  </si>
  <si>
    <t>ردیف: 148  سورن EF7 بنزيني کلاس 19 سفيد دو پوششه  شناسه خودرو  مبلغ پایه  قيمت برنده  جایگاه  MF902078  1,700,000,000  1,933,333,300  148</t>
  </si>
  <si>
    <t>ردیف: 149  دنا پلاس اتوماتيك با موتور EF7_TC کلاس 9 سفيد دوپوششه كانزاي  شناسه خودرو  مبلغ پایه  قيمت برنده  جایگاه  PDA45391  4,200,000,000  4,451,255,000  149</t>
  </si>
  <si>
    <t>ردیف: 150  سورن EF7 بنزيني کلاس 22 سفيد دوپوششه كانزاي  شناسه خودرو  مبلغ پایه  قيمت برنده  جایگاه  NF125499  1,700,000,000    150</t>
  </si>
  <si>
    <t>ردیف: 151  پژو پارس سال با موتور XU7 P کلاس 5 سفيد دو پوششه  شناسه خودرو  مبلغ پایه  قيمت برنده  جایگاه  NK803254  2,000,000,000  2,921,000,000  151</t>
  </si>
  <si>
    <t>ردیف: 152  پژو پارس سال با موتور XU7 P کلاس 6 سفيد دو پوششه  شناسه خودرو  مبلغ پایه  قيمت برنده  جایگاه  PK103577  1,800,000,000  2,333,000,000  152</t>
  </si>
  <si>
    <t>ردیف: 153  پژو 207i اتوماتيک با موتور TU5P  کلاس 2 سفيد دو پوششه  شناسه خودرو  مبلغ پایه  قيمت برنده  جایگاه  NJ244945  2,700,000,000  4,313,630,430  153</t>
  </si>
  <si>
    <t>ردیف: 154  پژو پارس سال با موتور XU7 P کلاس 5 سفيد دو پوششه  شناسه خودرو  مبلغ پایه  قيمت برنده  جایگاه  NK800009  1,700,000,000  3,566,666,660  154</t>
  </si>
  <si>
    <t>ردیف: 155  پژو پارس سال با موتور XU7 P کلاس 3 سفيد دو پوششه  شناسه خودرو  مبلغ پایه  قيمت برنده  جایگاه  NK460102  1,900,000,000  2,433,000,000  155</t>
  </si>
  <si>
    <t>ردیف: 156  پژو پارس سال با موتور XU7 P کلاس 6 مشكي متاليك  شناسه خودرو  مبلغ پایه  قيمت برنده  جایگاه  PK249214  1,900,000,000  2,133,333,339  156</t>
  </si>
  <si>
    <t>ردیف: 157  پژو پارس TU5 كلاس 13 سفيد دو پوششه  شناسه خودرو  مبلغ پایه  قيمت برنده  جایگاه  JH947406  1,400,000,000  2,110,990,000  157</t>
  </si>
  <si>
    <t>ردیف: 158  پژو پارس سال با موتور XU7 P کلاس 1 سفيد دوپوششه كانزاي  شناسه خودرو  مبلغ پایه  قيمت برنده  جایگاه  PH564020  1,900,000,000  2,633,000,000  158</t>
  </si>
  <si>
    <t>ردیف: 159  پژو پارس TU5 كلاس19 سفيد دو پوششه  شناسه خودرو  مبلغ پایه  قيمت برنده  جایگاه  KH541948  1,900,000,000  2,080,000,000  159</t>
  </si>
  <si>
    <t>ردیف: 160  پژو 206 معمولي كلاس 28 سفيد دو پوششه  شناسه خودرو  مبلغ پایه  قيمت برنده  جایگاه  HJ497023  1,700,000,000    160</t>
  </si>
  <si>
    <t>ردیف: 161  پژو پارس سال با موتور XU7 P کلاس 7 سفيد دو پوششه  شناسه خودرو  مبلغ پایه  قيمت برنده  جایگاه  PH949529  1,800,000,000  3,800,000,000  161</t>
  </si>
  <si>
    <t>ردیف: 162  پژو پارس سال با موتور XU7 P کلاس 6 مشكي متاليك  شناسه خودرو  مبلغ پایه  قيمت برنده  جایگاه  PK245852  1,700,000,000  3,059,999,999  162</t>
  </si>
  <si>
    <t>ردیف: 163  پژو پارس سال با موتور XU7 P کلاس 1 سفيد دو پوششه  شناسه خودرو  مبلغ پایه  قيمت برنده  جایگاه  NH441739  1,700,000,000  2,284,500,000  163</t>
  </si>
  <si>
    <t>ردیف: 164  پژو پارس کلاس 42 سفيد دو پوششه  شناسه خودرو  مبلغ پایه  قيمت برنده  جایگاه  MK165859  1,600,000,000    164</t>
  </si>
  <si>
    <t>ردیف: 165  پژو پارس سال با موتور XU7 P کلاس 6 سفيد دو پوششه  شناسه خودرو  مبلغ پایه  قيمت برنده  جایگاه  PH895853  1,900,000,000  2,485,000,000  165</t>
  </si>
  <si>
    <t>ردیف: 166  پژو پارس سال با موتور XU7 P کلاس 1 سفيد دو پوششه  شناسه خودرو  مبلغ پایه  قيمت برنده  جایگاه  NH401271  1,800,000,000  1,810,000,000  166</t>
  </si>
  <si>
    <t>ردیف: 167  پژو پارس سال با موتور XU7 P کلاس 8 سفيد دو پوششه  شناسه خودرو  مبلغ پایه  قيمت برنده  جایگاه  PH949799  1,900,000,000  3,155,555,555  167</t>
  </si>
  <si>
    <t>ردیف: 168  پژو پارس سال با موتور XU7 P کلاس 5 سفيد دو پوششه  شناسه خودرو  مبلغ پایه  قيمت برنده  جایگاه  NK859261  1,800,000,000  2,921,000,000  168</t>
  </si>
  <si>
    <t>ردیف: 169  پژو پارس TU5 كلاس20 سفيد دو پوششه  شناسه خودرو  مبلغ پایه  قيمت برنده  جایگاه  MK118243  2,000,000,000  2,700,000,000  169</t>
  </si>
  <si>
    <t>ردیف: 170  پژو پارس سال با موتور XU7 P کلاس 3 سفيد دو پوششه  شناسه خودرو  مبلغ پایه  قيمت برنده  جایگاه  NH447206  1,900,000,000  2,346,800,000  170</t>
  </si>
  <si>
    <t>ردیف: 171  پژو پارس کلاس 42 سفيد دو پوششه  شناسه خودرو  مبلغ پایه  قيمت برنده  جایگاه  NH437157  1,800,000,000  2,239,000,000  171</t>
  </si>
  <si>
    <t>ردیف: 172  پژو پارس TU5 كلاس20 سفيد دو پوششه  شناسه خودرو  مبلغ پایه  قيمت برنده  جایگاه  NH488457  2,000,000,000  3,729,999,999  172</t>
  </si>
  <si>
    <t>ردیف: 173  پژو پارس TU5 کلاس 29 سفيد دو پوششه  شناسه خودرو  مبلغ پایه  قيمت برنده  جایگاه  PH278207  2,100,000,000  4,019,999,999  173</t>
  </si>
  <si>
    <t>ردیف: 174  پژو پارس سال با موتور XU7 P کلاس 2 مشكي متاليك  شناسه خودرو  مبلغ پایه  قيمت برنده  جایگاه  NH407626  1,800,000,000  2,468,500,000  174</t>
  </si>
  <si>
    <t>ردیف: 175  پژو پارس سال با موتور XU7 P کلاس 6 سفيد دوپوششه كانزاي  شناسه خودرو  مبلغ پایه  قيمت برنده  جایگاه  PH931703  1,900,000,000  2,810,000,000  175</t>
  </si>
  <si>
    <t>ردیف: 176  پژو پارس TU5 كلاس 15 سفيد دو پوششه  شناسه خودرو  مبلغ پایه  قيمت برنده  جایگاه  HH999321  1,700,000,000  2,710,000,000  176</t>
  </si>
  <si>
    <t>ردیف: 177  پژو پارس TU5 كلاس20 سفيد دوپوششه كانزاي  شناسه خودرو  مبلغ پایه  قيمت برنده  جایگاه  NK186060  4,500,000,000  6,666,666,999  177</t>
  </si>
  <si>
    <t>پژو  جي ال ايكس انژكتوري كلاس 14 نقره اي متاليك</t>
  </si>
  <si>
    <t>ردیف: 178  پژو  جي ال ايكس انژكتوري كلاس 14 نقره اي متاليك  شناسه خودرو  مبلغ پایه  قيمت برنده  جایگاه  BE332732  1,500,000,000  1,916,600,000  178</t>
  </si>
  <si>
    <t>ردیف: 179  پژو جي ال ايكس دوگانه سوز كلاس 15 نقره اي متاليك  شناسه خودرو  مبلغ پایه  قيمت برنده  جایگاه  BE087335  1,500,000,000  2,277,500,000  179</t>
  </si>
  <si>
    <t>ردیف: 180  پژو پارس TU5 كلاس20 سفيد دو پوششه  شناسه خودرو  مبلغ پایه  قيمت برنده  جایگاه  MK137619  3,500,000,000  5,166,666,999  180</t>
  </si>
  <si>
    <t>پژو  جي ال ايكس انژكتوري كلاس 34 خاكستري متال</t>
  </si>
  <si>
    <t>ردیف: 181  پژو  جي ال ايكس انژكتوري كلاس 34 خاكستري متال  شناسه خودرو  مبلغ پایه  قيمت برنده  جایگاه  HK583584  2,500,000,000  3,633,000,000  181</t>
  </si>
  <si>
    <t>ردیف: 182  سمند ال ايكسEF7 كلاس 16 سفيد دو پوششه  شناسه خودرو  مبلغ پایه  قيمت برنده  جایگاه  JF415110  1,500,000,000  3,888,888,888  182</t>
  </si>
  <si>
    <t>ردیف: 183  پژو  جي ال ايكس انژكتوري كلاس 37 خاكستري متال  شناسه خودرو  مبلغ پایه  قيمت برنده  جایگاه  KK174246  3,000,000,000  3,871,000,000  183</t>
  </si>
  <si>
    <t>ردیف: 184  پژو پارس TU5 كلاس20 سفيد دو پوششه  شناسه خودرو  مبلغ پایه  قيمت برنده  جایگاه  NK194448  4,500,000,000  6,470,000,000  184</t>
  </si>
  <si>
    <t>پژو پارس كلاس‏1  سفيد دو پوششه</t>
  </si>
  <si>
    <t>ردیف: 185  پژو پارس كلاس‏1  سفيد دو پوششه  شناسه خودرو  مبلغ پایه  قيمت برنده  جایگاه  8E707618  3,400,000,000    185</t>
  </si>
  <si>
    <t>ردیف: 186  پژو پارس کلاس 42 سفيد دو پوششه  شناسه خودرو  مبلغ پایه  قيمت برنده  جایگاه  MK067780  4,200,000,000  4,700,000,000  186</t>
  </si>
  <si>
    <t>ردیف: 187  پژو پارس اتوماتيك TU5JP4 كلاس13 سفيد دو پوششه  شناسه خودرو  مبلغ پایه  قيمت برنده  جایگاه  KH181461  3,800,000,000  4,126,789,999  187</t>
  </si>
  <si>
    <t>پژو اس ال ايكس انژكتوري SLX با موتور  TU5 کلاس 18 سفيد دو پوششه</t>
  </si>
  <si>
    <t>ردیف: 188  پژو اس ال ايكس انژكتوري SLX با موتور  TU5 کلاس 18 سفيد دو پوششه  شناسه خودرو  مبلغ پایه  قيمت برنده  جایگاه  LK606160  3,500,000,000  5,026,000,009  188</t>
  </si>
  <si>
    <t>ردیف: 189  پژو پارس سال با موتور XU7 P کلاس 3 سفيد دو پوششه  شناسه خودرو  مبلغ پایه  قيمت برنده  جایگاه  NH458531  3,400,000,000  4,028,888,888  189</t>
  </si>
  <si>
    <t>ردیف: 190  پژو پارس کلاس 38 سفيد دو پوششه  شناسه خودرو  مبلغ پایه  قيمت برنده  جایگاه  KH218775  3,000,000,000  4,110,110,110  190</t>
  </si>
  <si>
    <t>ردیف: 191  پژو پارس كلاس 21 سفيد دو پوششه  شناسه خودرو  مبلغ پایه  قيمت برنده  جایگاه  EH103824  3,000,000,000  3,012,222,222  191</t>
  </si>
  <si>
    <t>ردیف: 192  پژو جي ال ايكس دوگانه سوز كلاس 22 نقره اي متاليك  شناسه خودرو  مبلغ پایه  قيمت برنده  جایگاه  ER945414  2,500,000,000  3,110,000,000  192</t>
  </si>
  <si>
    <t>ردیف: 193  پژو پارس سال با موتور XU7 P کلاس 1 سفيد دو پوششه  شناسه خودرو  مبلغ پایه  قيمت برنده  جایگاه  NH156999  3,900,000,000  4,660,009,999  193</t>
  </si>
  <si>
    <t>ردیف: 194  پژو 207i دستي کلاس 10 سفيد دو پوششه  شناسه خودرو  مبلغ پایه  قيمت برنده  جایگاه  MJ230926  4,500,000,000  5,501,100,000  194</t>
  </si>
  <si>
    <t>ردیف: 195  پژو 206 اس دي 1600 سي سي كلاس33 سفيد دو پوششه  شناسه خودرو  مبلغ پایه  قيمت برنده  جایگاه  LJ076314  4,500,000,000  5,079,999,999  195</t>
  </si>
  <si>
    <t>ردیف: 196  پژو پارس TU5 كلاس20 سفيد دو پوششه  شناسه خودرو  مبلغ پایه  قيمت برنده  جایگاه  MK117161  4,200,000,000  5,566,666,999  196</t>
  </si>
  <si>
    <t>ردیف: 197  سمند ال ايكسEF7 كلاس 11 سفيد دو پوششه  شناسه خودرو  مبلغ پایه  قيمت برنده  جایگاه  FF500672  1,500,000,000  3,138,000,000  197</t>
  </si>
  <si>
    <t>ردیف: 198  پژو پارس كلاس 32 سفيد دو پوششه  شناسه خودرو  مبلغ پایه  قيمت برنده  جایگاه  KH518163  1,900,000,000  3,251,316,344  198</t>
  </si>
  <si>
    <t>ردیف: 199  پژو پارس كلاس34 سفيد دو پوششه  شناسه خودرو  مبلغ پایه  قيمت برنده  جایگاه  KH226527  1,600,000,000  2,888,888,888  199</t>
  </si>
  <si>
    <t>ردیف: 200  پژو پارس TU5 کلاس 27 سفيد دو پوششه  شناسه خودرو  مبلغ پایه  قيمت برنده  جایگاه  NH875208  2,000,000,000  3,890,000,000  200</t>
  </si>
  <si>
    <t>ردیف: 201  پژو پارس TU5 كلاس19 سفيد دوپوششه كانزاي  شناسه خودرو  مبلغ پایه  قيمت برنده  جایگاه  KH539880  1,800,000,000  2,995,000,000  201</t>
  </si>
  <si>
    <t>ردیف: 202  پژو پارس سال با موتور XU7 P کلاس 3 سفيد دو پوششه  شناسه خودرو  مبلغ پایه  قيمت برنده  جایگاه  PK243120  1,900,000,000  2,786,993,999  202</t>
  </si>
  <si>
    <t>ردیف: 203  پژو پارس سال با موتور XU7 P کلاس 3 سفيد دوپوششه كانزاي  شناسه خودرو  مبلغ پایه  قيمت برنده  جایگاه  NK661446  1,800,000,000  2,309,999,999  203</t>
  </si>
  <si>
    <t>ردیف: 204  پژو پارس سال با موتور XU7 P کلاس 6 سفيد دو پوششه  شناسه خودرو  مبلغ پایه  قيمت برنده  جایگاه  PK257041  1,700,000,000  4,200,999,999  204</t>
  </si>
  <si>
    <t>ردیف: 205  پژو پارس سال با موتور XU7 P کلاس 6 سفيد دو پوششه  شناسه خودرو  مبلغ پایه  قيمت برنده  جایگاه  PH238991  1,800,000,000  2,933,000,000  205</t>
  </si>
  <si>
    <t>ردیف: 206  پژو 207i دستي کلاس 16 سفيد دو پوششه  شناسه خودرو  مبلغ پایه  قيمت برنده  جایگاه  PJ650163  2,600,000,000  4,309,999,999  206</t>
  </si>
  <si>
    <t>ردیف: 207  دنا كلاس 2 قهوه اي روشن متاليك  شناسه خودرو  مبلغ پایه  قيمت برنده  جایگاه  GE408998  2,200,000,000    207</t>
  </si>
  <si>
    <t>ردیف: 208  پژو پارس کلاس 42 مشكي متاليك  شناسه خودرو  مبلغ پایه  قيمت برنده  جایگاه  NK905128  1,800,000,000  2,133,330,099  208</t>
  </si>
  <si>
    <t>ردیف: 209  پژو پارس TU5 كلاس20 سفيد دو پوششه  شناسه خودرو  مبلغ پایه  قيمت برنده  جایگاه  NH415947  2,000,000,000  3,333,000,000  209</t>
  </si>
  <si>
    <t>ردیف: 210  پژو پارس سال با موتور XU7 P کلاس 3 سفيد دوپوششه كانزاي  شناسه خودرو  مبلغ پایه  قيمت برنده  جایگاه  NH420033  1,700,000,000  3,777,777,777  210</t>
  </si>
  <si>
    <t>ردیف: 211  پژو پارس سال با موتور XU7 P کلاس 1 سفيد دو پوششه  شناسه خودرو  مبلغ پایه  قيمت برنده  جایگاه  NK467092  1,800,000,000  3,008,888,888  211</t>
  </si>
  <si>
    <t>ردیف: 212  سمند - ال ايكس كلاس 39 سفيد دو پوششه  شناسه خودرو  مبلغ پایه  قيمت برنده  جایگاه  FF033328  2,300,000,000  2,851,434,571  212</t>
  </si>
  <si>
    <t>ردیف: 213  پژو 207i اتوماتيک با موتور TU5P  کلاس 6 مشکي متاليک (آبنوس)  شناسه خودرو  مبلغ پایه  قيمت برنده  جایگاه  PJ015197  2,700,000,000  4,378,999,899  213</t>
  </si>
  <si>
    <t>ردیف: 214  پژو 207i دستي کلاس 18 سفيد دو پوششه  شناسه خودرو  مبلغ پایه  قيمت برنده  جایگاه  PJ552904  2,400,000,000  2,850,000,000  214</t>
  </si>
  <si>
    <t>ردیف: 215  تارا اتوماتيک کلاس 1  مشكي متاليك (آبنوس)  شناسه خودرو  مبلغ پایه  قيمت برنده  جایگاه  PD958152  3,800,000,000  5,556,789,999  215</t>
  </si>
  <si>
    <t>ردیف: 216  دنا پلاس توربو شارژ کلاس 6 مشكي متاليك  شناسه خودرو  مبلغ پایه  قيمت برنده  جایگاه  NE493716  3,500,000,000  5,719,999,999  216</t>
  </si>
  <si>
    <t>ردیف: 217  پژو 207i دستي کلاس 17 سفيد دو پوششه  شناسه خودرو  مبلغ پایه  قيمت برنده  جایگاه  PJ043290  2,600,000,000  4,110,110,110  217</t>
  </si>
  <si>
    <t>ردیف: 218  پژو پارس کلاس 42 سفيد دو پوششه  شناسه خودرو  مبلغ پایه  قيمت برنده  جایگاه  MK165097  1,700,000,000  2,819,999,999  218</t>
  </si>
  <si>
    <t>ردیف: 219  پژو پارس کلاس 42 سفيد دو پوششه  شناسه خودرو  مبلغ پایه  قيمت برنده  جایگاه  NH433439  3,900,000,000  4,921,234,567  219</t>
  </si>
  <si>
    <t>ردیف: 220  پژو 207i با موتور TU3 کلاس 2 سفيد دو پوششه  شناسه خودرو  مبلغ پایه  قيمت برنده  جایگاه  PJ029930  2,900,000,000  4,577,590,000  220</t>
  </si>
  <si>
    <t>ردیف: 221  پژو 207i دستي کلاس 10 سفيد دو پوششه  شناسه خودرو  مبلغ پایه  قيمت برنده  جایگاه  NJ363126  2,700,000,000  3,850,000,000  221</t>
  </si>
  <si>
    <t>هايما S5 توربو اتوماتيك  كلاس 2 سفيد دو پوششه</t>
  </si>
  <si>
    <t>ردیف: 222  هايما S5 توربو اتوماتيك  كلاس 2 سفيد دو پوششه  شناسه خودرو  مبلغ پایه  قيمت برنده  جایگاه  JY715414  5,600,000,000  10,067,896,789  222</t>
  </si>
  <si>
    <t>ردیف: 223  پژو پارس كلاس 28 سفيد دو پوششه  شناسه خودرو  مبلغ پایه  قيمت برنده  جایگاه  EH193430  3,100,000,000  3,611,234,567  223</t>
  </si>
  <si>
    <t>ردیف: 224  پژو پارس كلاس 32 خاكستري متاليك  شناسه خودرو  مبلغ پایه  قيمت برنده  جایگاه  GH936544  3,400,000,000  4,250,008,888  224</t>
  </si>
  <si>
    <t>ردیف: 225  پژو پارس TU5 كلاس 15 سفيد دو پوششه  شناسه خودرو  مبلغ پایه  قيمت برنده  جایگاه  HH989390  4,500,000,000  5,631,234,560  225</t>
  </si>
  <si>
    <t>ردیف: 226  H30 CROSS AT كلاس 3 مشكي متاليك  شناسه خودرو  مبلغ پایه  قيمت برنده  جایگاه  JX105602  4,900,000,000  5,464,000,000  226</t>
  </si>
  <si>
    <t>ردیف: 227  سمند ال ايكسEF7 كلاس 11 سفيد دو پوششه  شناسه خودرو  مبلغ پایه  قيمت برنده  جایگاه  EF163891  2,100,000,000  2,356,558,000  227</t>
  </si>
  <si>
    <t>ردیف: 228  پژو پارس TU5 كلاس 9 سفيد دو پوششه  شناسه خودرو  مبلغ پایه  قيمت برنده  جایگاه  EK678195  3,400,000,000  4,400,001,111  228</t>
  </si>
  <si>
    <t>ردیف: 229  سمند SE كلاس2 سفيد دو پوششه  شناسه خودرو  مبلغ پایه  قيمت برنده  جایگاه  EF231369  2,300,000,000  2,628,888,888  230</t>
  </si>
  <si>
    <t>قیمت</t>
  </si>
  <si>
    <t>کد کلاس: 28513</t>
  </si>
  <si>
    <t>PH270048</t>
  </si>
  <si>
    <t>164B0313151</t>
  </si>
  <si>
    <t>325-50ص87</t>
  </si>
  <si>
    <t>کد کلاس: 28520</t>
  </si>
  <si>
    <t>شماره بدنه: PH270048</t>
  </si>
  <si>
    <t>پژو پارس سال با موتور XU7 P کلاس 8 سفيد دوپوششه كانزاي</t>
  </si>
  <si>
    <t>PH933291</t>
  </si>
  <si>
    <t>125K0153878</t>
  </si>
  <si>
    <t>486-43د25</t>
  </si>
  <si>
    <t>کد کلاس: 35108</t>
  </si>
  <si>
    <t>شماره بدنه: PH933291</t>
  </si>
  <si>
    <t>LJ002136</t>
  </si>
  <si>
    <t>182A0091107</t>
  </si>
  <si>
    <t>299-38ص34</t>
  </si>
  <si>
    <t>کد کلاس: 26031</t>
  </si>
  <si>
    <t>شماره بدنه: LJ002136</t>
  </si>
  <si>
    <t>پژو 206 اس دي 1600 سي سي كلاس 30 سفيد دو پوششه</t>
  </si>
  <si>
    <t>FJ259203</t>
  </si>
  <si>
    <t>163B0145186</t>
  </si>
  <si>
    <t>617-75س75</t>
  </si>
  <si>
    <t>کد کلاس: 27430</t>
  </si>
  <si>
    <t>شماره بدنه: FJ259203</t>
  </si>
  <si>
    <t>NK855478</t>
  </si>
  <si>
    <t>125K0049176</t>
  </si>
  <si>
    <t>266-71ص48</t>
  </si>
  <si>
    <t>کد کلاس: 35101</t>
  </si>
  <si>
    <t>شماره بدنه: NK855478</t>
  </si>
  <si>
    <t>NH818929</t>
  </si>
  <si>
    <t>125K0094315</t>
  </si>
  <si>
    <t>151-63ج96</t>
  </si>
  <si>
    <t>شماره بدنه: NH818929</t>
  </si>
  <si>
    <t>NT442117</t>
  </si>
  <si>
    <t>172B0098797</t>
  </si>
  <si>
    <t>395-63د63</t>
  </si>
  <si>
    <t>کد کلاس: 61015</t>
  </si>
  <si>
    <t>شماره بدنه: NT442117</t>
  </si>
  <si>
    <t>سمند ال ايكسEF7 كلاس 10 سفيد دو پوششه</t>
  </si>
  <si>
    <t>HF278615</t>
  </si>
  <si>
    <t>147H0287097</t>
  </si>
  <si>
    <t>292-73ق77</t>
  </si>
  <si>
    <t>کد کلاس: 29110</t>
  </si>
  <si>
    <t>شماره بدنه: HF278615</t>
  </si>
  <si>
    <t>قیمت پايه کارشناسی: 1,100,000,000 (ریال)</t>
  </si>
  <si>
    <t>MK083395</t>
  </si>
  <si>
    <t>124K1625086</t>
  </si>
  <si>
    <t>814-81س96</t>
  </si>
  <si>
    <t>کد کلاس: 28242</t>
  </si>
  <si>
    <t>شماره بدنه: MK083395</t>
  </si>
  <si>
    <t>NJ492982</t>
  </si>
  <si>
    <t>178B0094201</t>
  </si>
  <si>
    <t>639-99ج16</t>
  </si>
  <si>
    <t>کد کلاس: 60010</t>
  </si>
  <si>
    <t>شماره بدنه: NJ492982</t>
  </si>
  <si>
    <t>PJ569418</t>
  </si>
  <si>
    <t>166B0096262</t>
  </si>
  <si>
    <t>839-72ج14</t>
  </si>
  <si>
    <t>کد کلاس: 60017</t>
  </si>
  <si>
    <t>شماره بدنه: PJ569418</t>
  </si>
  <si>
    <t>MH658348</t>
  </si>
  <si>
    <t>139B0212724</t>
  </si>
  <si>
    <t>951-69ه41</t>
  </si>
  <si>
    <t>شماره بدنه: MH658348</t>
  </si>
  <si>
    <t>MJ223148</t>
  </si>
  <si>
    <t>178B0076697</t>
  </si>
  <si>
    <t>932-91ي34</t>
  </si>
  <si>
    <t>شماره بدنه: MJ223148</t>
  </si>
  <si>
    <t>پژو پارس اتوماتيك TU5JP4 کلاس 14 سفيد دو پوششه</t>
  </si>
  <si>
    <t>LH400088</t>
  </si>
  <si>
    <t>134B0010974</t>
  </si>
  <si>
    <t>549-24ب72</t>
  </si>
  <si>
    <t>کد کلاس: 28714</t>
  </si>
  <si>
    <t>شماره بدنه: LH400088</t>
  </si>
  <si>
    <t>PJ021104</t>
  </si>
  <si>
    <t>165A0222439</t>
  </si>
  <si>
    <t>252-42س62</t>
  </si>
  <si>
    <t>کد کلاس: 26902</t>
  </si>
  <si>
    <t>شماره بدنه: PJ021104</t>
  </si>
  <si>
    <t>دنا+ (پلاس) کلاس 14 نقره اي متاليك</t>
  </si>
  <si>
    <t>LE275541</t>
  </si>
  <si>
    <t>147H0538238</t>
  </si>
  <si>
    <t>874-73و48</t>
  </si>
  <si>
    <t>کد کلاس: 70314</t>
  </si>
  <si>
    <t>شماره بدنه: LE275541</t>
  </si>
  <si>
    <t>NT374505</t>
  </si>
  <si>
    <t>172B0091364</t>
  </si>
  <si>
    <t>299-40ي98</t>
  </si>
  <si>
    <t>شماره بدنه: NT374505</t>
  </si>
  <si>
    <t>کد کلاس: 32207</t>
  </si>
  <si>
    <t>PH944218</t>
  </si>
  <si>
    <t>125K0170315</t>
  </si>
  <si>
    <t>327-24ي29</t>
  </si>
  <si>
    <t>شماره بدنه: PH944218</t>
  </si>
  <si>
    <t>پژو 207i اتوماتيک با موتور TU5P کلاس 7 سفيد دو پوششه</t>
  </si>
  <si>
    <t>PJ019518</t>
  </si>
  <si>
    <t>191B0012493</t>
  </si>
  <si>
    <t>788-75ط55</t>
  </si>
  <si>
    <t>کد کلاس: 60607</t>
  </si>
  <si>
    <t>شماره بدنه: PJ019518</t>
  </si>
  <si>
    <t>HJ127421</t>
  </si>
  <si>
    <t>172B0015766</t>
  </si>
  <si>
    <t>559-58د65</t>
  </si>
  <si>
    <t>کد کلاس: 26815</t>
  </si>
  <si>
    <t>شماره بدنه: HJ127421</t>
  </si>
  <si>
    <t>کد کلاس: 35105</t>
  </si>
  <si>
    <t>کد کلاس: 60602</t>
  </si>
  <si>
    <t>کد کلاس: 35103</t>
  </si>
  <si>
    <t>NK662734</t>
  </si>
  <si>
    <t>125K0085501</t>
  </si>
  <si>
    <t>863-25و49</t>
  </si>
  <si>
    <t>شماره بدنه: NK662734</t>
  </si>
  <si>
    <t>پژو پارس سال با موتور XU7 P کلاس 2 سفيد دوپوششه كانزاي</t>
  </si>
  <si>
    <t>NH155894</t>
  </si>
  <si>
    <t>125K0100992</t>
  </si>
  <si>
    <t>474-66ي39</t>
  </si>
  <si>
    <t>کد کلاس: 35102</t>
  </si>
  <si>
    <t>شماره بدنه: NH155894</t>
  </si>
  <si>
    <t>کد کلاس: 70117</t>
  </si>
  <si>
    <t>قیمت پايه کارشناسی: 5,100,000,000 (ریال)</t>
  </si>
  <si>
    <t>کد کلاس: 57519</t>
  </si>
  <si>
    <t>MK114242</t>
  </si>
  <si>
    <t>139B0201203</t>
  </si>
  <si>
    <t>286-82ه36</t>
  </si>
  <si>
    <t>شماره بدنه: MK114242</t>
  </si>
  <si>
    <t>PK246649</t>
  </si>
  <si>
    <t>125K0136741</t>
  </si>
  <si>
    <t>896-52د77</t>
  </si>
  <si>
    <t>کد کلاس: 35106</t>
  </si>
  <si>
    <t>شماره بدنه: PK246649</t>
  </si>
  <si>
    <t>NH407731</t>
  </si>
  <si>
    <t>125K0047177</t>
  </si>
  <si>
    <t>968-83ن98</t>
  </si>
  <si>
    <t>شماره بدنه: NH407731</t>
  </si>
  <si>
    <t>NH812939</t>
  </si>
  <si>
    <t>125K0085399</t>
  </si>
  <si>
    <t>718-84ق43</t>
  </si>
  <si>
    <t>شماره بدنه: NH812939</t>
  </si>
  <si>
    <t>PE695730</t>
  </si>
  <si>
    <t>153H0128821</t>
  </si>
  <si>
    <t>554-21ط21</t>
  </si>
  <si>
    <t>کد کلاس: 70709</t>
  </si>
  <si>
    <t>شماره بدنه: PE695730</t>
  </si>
  <si>
    <t>MK143142</t>
  </si>
  <si>
    <t>167B0129331</t>
  </si>
  <si>
    <t>214-73ه75</t>
  </si>
  <si>
    <t>شماره بدنه: MK143142</t>
  </si>
  <si>
    <t>دنا+ (پلاس) كلاس 1 خاكستري متاليك</t>
  </si>
  <si>
    <t>JE082556</t>
  </si>
  <si>
    <t>147H0378731</t>
  </si>
  <si>
    <t>727-82ن52</t>
  </si>
  <si>
    <t>کد کلاس: 70301</t>
  </si>
  <si>
    <t>شماره بدنه: JE082556</t>
  </si>
  <si>
    <t>NJ367288</t>
  </si>
  <si>
    <t>166B0078663</t>
  </si>
  <si>
    <t>716-20و53</t>
  </si>
  <si>
    <t>کد کلاس: 60006</t>
  </si>
  <si>
    <t>شماره بدنه: NJ367288</t>
  </si>
  <si>
    <t>دنا+ (پلاس) کلاس 17 مشكي متاليك</t>
  </si>
  <si>
    <t>ME357066</t>
  </si>
  <si>
    <t>147H0597377</t>
  </si>
  <si>
    <t>735-98ق51</t>
  </si>
  <si>
    <t>کد کلاس: 70317</t>
  </si>
  <si>
    <t>شماره بدنه: ME357066</t>
  </si>
  <si>
    <t>پژو اس ال ايكس انژكتوري SLX با موتور TU5 كلاس 9 سفيد دوپوششه كانزاي</t>
  </si>
  <si>
    <t>JK700653</t>
  </si>
  <si>
    <t>181B0073451</t>
  </si>
  <si>
    <t>323-84ط24</t>
  </si>
  <si>
    <t>کد کلاس: 22009</t>
  </si>
  <si>
    <t>شماره بدنه: JK700653</t>
  </si>
  <si>
    <t>NJ373089</t>
  </si>
  <si>
    <t>165A0220516</t>
  </si>
  <si>
    <t>735-18م45</t>
  </si>
  <si>
    <t>کد کلاس: 26035</t>
  </si>
  <si>
    <t>شماره بدنه: NJ373089</t>
  </si>
  <si>
    <t>تارا اتوماتيک کلاس 1 خاكستري متاليك</t>
  </si>
  <si>
    <t>PDA09909</t>
  </si>
  <si>
    <t>187B0064421</t>
  </si>
  <si>
    <t>512-31س63</t>
  </si>
  <si>
    <t>کد کلاس: 32301</t>
  </si>
  <si>
    <t>شماره بدنه: PDA09909</t>
  </si>
  <si>
    <t>FF512745</t>
  </si>
  <si>
    <t>147H0152286</t>
  </si>
  <si>
    <t>394-34ه23</t>
  </si>
  <si>
    <t>شماره بدنه: FF512745</t>
  </si>
  <si>
    <t>LK051663</t>
  </si>
  <si>
    <t>124K1511354</t>
  </si>
  <si>
    <t>176-61ج68</t>
  </si>
  <si>
    <t>شماره بدنه: LK051663</t>
  </si>
  <si>
    <t>HA611935</t>
  </si>
  <si>
    <t>100017827RR104383</t>
  </si>
  <si>
    <t>278-94ط13</t>
  </si>
  <si>
    <t>کد کلاس: 56679</t>
  </si>
  <si>
    <t>شماره بدنه: HA611935</t>
  </si>
  <si>
    <t>NJ356573</t>
  </si>
  <si>
    <t>166B0077344</t>
  </si>
  <si>
    <t>349-63د13</t>
  </si>
  <si>
    <t>شماره بدنه: NJ356573</t>
  </si>
  <si>
    <t>MD914743</t>
  </si>
  <si>
    <t>187B0005040</t>
  </si>
  <si>
    <t>434-19و86</t>
  </si>
  <si>
    <t>کد کلاس: 32201</t>
  </si>
  <si>
    <t>شماره بدنه: MD914743</t>
  </si>
  <si>
    <t>KK213963</t>
  </si>
  <si>
    <t>181B0109074</t>
  </si>
  <si>
    <t>952-24ص83</t>
  </si>
  <si>
    <t>شماره بدنه: KK213963</t>
  </si>
  <si>
    <t>سمند - ال ايكس كلاس 40 سفيد دو پوششه</t>
  </si>
  <si>
    <t>JF388385</t>
  </si>
  <si>
    <t>124K1244687</t>
  </si>
  <si>
    <t>284-14و94</t>
  </si>
  <si>
    <t>کد کلاس: 29340</t>
  </si>
  <si>
    <t>شماره بدنه: JF388385</t>
  </si>
  <si>
    <t>NJ353703</t>
  </si>
  <si>
    <t>166B0076412</t>
  </si>
  <si>
    <t>783-14ب99</t>
  </si>
  <si>
    <t>شماره بدنه: NJ353703</t>
  </si>
  <si>
    <t>ME396629</t>
  </si>
  <si>
    <t>153H0032696</t>
  </si>
  <si>
    <t>824-75ط36</t>
  </si>
  <si>
    <t>کد کلاس: 70702</t>
  </si>
  <si>
    <t>شماره بدنه: ME396629</t>
  </si>
  <si>
    <t>قیمت پايه کارشناسی: 5,000,000,000 (ریال)</t>
  </si>
  <si>
    <t>سورن EF7-TC توربوشارژ كلاس 2 سفيد دو پوششه</t>
  </si>
  <si>
    <t>JF430301</t>
  </si>
  <si>
    <t>153H0006994</t>
  </si>
  <si>
    <t>845-61ه16</t>
  </si>
  <si>
    <t>EF7-TC</t>
  </si>
  <si>
    <t>کد کلاس: 58202</t>
  </si>
  <si>
    <t>شماره بدنه: JF430301</t>
  </si>
  <si>
    <t>قیمت پايه کارشناسی: 1,150,000,000 (ریال)</t>
  </si>
  <si>
    <t>NJ922377</t>
  </si>
  <si>
    <t>166B0066925</t>
  </si>
  <si>
    <t>838-91ج79</t>
  </si>
  <si>
    <t>شماره بدنه: NJ922377</t>
  </si>
  <si>
    <t>MY021862</t>
  </si>
  <si>
    <t>484QT05002238A</t>
  </si>
  <si>
    <t>636-44و32</t>
  </si>
  <si>
    <t>کد کلاس: 51802</t>
  </si>
  <si>
    <t>شماره بدنه: MY021862</t>
  </si>
  <si>
    <t>قیمت پايه کارشناسی: 7,300,000,000 (ریال)</t>
  </si>
  <si>
    <t>NK805432</t>
  </si>
  <si>
    <t>125K0068412</t>
  </si>
  <si>
    <t>217-91د25</t>
  </si>
  <si>
    <t>شماره بدنه: NK805432</t>
  </si>
  <si>
    <t>وانت آريسان2 دوگانه سوز با موتور XU7P کلاس 1 خاكستري متاليك</t>
  </si>
  <si>
    <t>NK003512</t>
  </si>
  <si>
    <t>125K0095516</t>
  </si>
  <si>
    <t>969-35ص32</t>
  </si>
  <si>
    <t>کد کلاس: 16901</t>
  </si>
  <si>
    <t>شماره بدنه: NK003512</t>
  </si>
  <si>
    <t>NY075643</t>
  </si>
  <si>
    <t>GN15TF26003429A</t>
  </si>
  <si>
    <t>718-20ن97</t>
  </si>
  <si>
    <t>کد کلاس: 52201</t>
  </si>
  <si>
    <t>شماره بدنه: NY075643</t>
  </si>
  <si>
    <t>پژو جي ال ايكس انژكتوري كلاس 37 مشكي متاليك</t>
  </si>
  <si>
    <t>KK180297</t>
  </si>
  <si>
    <t>124K1361563</t>
  </si>
  <si>
    <t>اتاق تعويضي مي باشد - خودرو قبلاً كارت طلائي داشته و تعويضي مشتري بوده و آسيب ديدگي شديد دارد خودرو با وضعيت فعلي به فروش ميرسد از جمله : تصادف و خوردگي دور تا دور و زير خودرو و درب موتور وسقف و درب صندوق و ركابها و چرخها و سپرها - موتور جاخورده - به گيربكس آسيب وارد شده - صندليها و رودريها و داشبورد مستعمل - جلوبندي و سيستم هاي تعليق جلو و عقب ايراد دارند - ايراد رنگي بدنه - زنگ زدگي و پوسيدگي نقاطي از بدنه ( به رؤيت مشتري ) - كسري برخي قطعات موتوري و محوطه موتور - كسري برخي قطعات تزئيناتي داخل اتاق - خوردگي مجموعه كامل فن و سيني فن و رادياتورها - فاقد جك و آچارچرخ مي باشد - خوردگي سرشاسي هاي جلو و عقب - شيشه ها شكسته - خوردگي سپرها - شكستگي آينه ها - شكستگي چراغ ها - باطري ندارد - خوردگي شديد از جلو و عقب و ... خودرو با وضعيت فعلي به فروش ميرسد ( به رؤيت مشتري ) و هرگونه كسري قطعات ديگر و يا ايرادات ديگر به عهده برنده مزايده مي باشد و مزايده گذار هيچگونه تعهدي در اين خصوص ندارد .</t>
  </si>
  <si>
    <t>282-98د34</t>
  </si>
  <si>
    <t>کد کلاس: 25637</t>
  </si>
  <si>
    <t>شماره بدنه: KK180297</t>
  </si>
  <si>
    <t>NJ367937</t>
  </si>
  <si>
    <t>178B0115170</t>
  </si>
  <si>
    <t>225-63ج44</t>
  </si>
  <si>
    <t>شماره بدنه: NJ367937</t>
  </si>
  <si>
    <t>کد کلاس: 60015</t>
  </si>
  <si>
    <t>قیمت پايه کارشناسی: 4,000,000,000 (ریال)</t>
  </si>
  <si>
    <t>GH745053</t>
  </si>
  <si>
    <t>164B0126376</t>
  </si>
  <si>
    <t>568-48د69</t>
  </si>
  <si>
    <t>شماره بدنه: GH745053</t>
  </si>
  <si>
    <t>پژو پارس TU5 كلاس 16 سفيد دو پوششه</t>
  </si>
  <si>
    <t>JH959433</t>
  </si>
  <si>
    <t>164B0211778</t>
  </si>
  <si>
    <t>119-14ل97</t>
  </si>
  <si>
    <t>کد کلاس: 28516</t>
  </si>
  <si>
    <t>شماره بدنه: JH959433</t>
  </si>
  <si>
    <t>PYA28653</t>
  </si>
  <si>
    <t>125K0236874</t>
  </si>
  <si>
    <t>436-78ي42</t>
  </si>
  <si>
    <t>کد کلاس: 35107</t>
  </si>
  <si>
    <t>شماره بدنه: PYA28653</t>
  </si>
  <si>
    <t>NJ920984</t>
  </si>
  <si>
    <t>166B0066008</t>
  </si>
  <si>
    <t>166-94م58</t>
  </si>
  <si>
    <t>شماره بدنه: NJ920984</t>
  </si>
  <si>
    <t>H30 CROSS AT كلاس 1 سفيد دو پوششه</t>
  </si>
  <si>
    <t>HX044129</t>
  </si>
  <si>
    <t>FA173B0031542</t>
  </si>
  <si>
    <t>289-41ط14</t>
  </si>
  <si>
    <t>کد کلاس: 72301</t>
  </si>
  <si>
    <t>شماره بدنه: HX044129</t>
  </si>
  <si>
    <t>PH271092</t>
  </si>
  <si>
    <t>164B0313593</t>
  </si>
  <si>
    <t>822-25د17</t>
  </si>
  <si>
    <t>شماره بدنه: PH271092</t>
  </si>
  <si>
    <t>کد کلاس: 28706</t>
  </si>
  <si>
    <t>HX031416</t>
  </si>
  <si>
    <t>FA173B0018438</t>
  </si>
  <si>
    <t>265-34ج55</t>
  </si>
  <si>
    <t>شماره بدنه: HX031416</t>
  </si>
  <si>
    <t>NH423111</t>
  </si>
  <si>
    <t>125K0119897</t>
  </si>
  <si>
    <t>471-10ي74</t>
  </si>
  <si>
    <t>شماره بدنه: NH423111</t>
  </si>
  <si>
    <t>NH811237</t>
  </si>
  <si>
    <t>125K0080878</t>
  </si>
  <si>
    <t>594-95م65</t>
  </si>
  <si>
    <t>شماره بدنه: NH811237</t>
  </si>
  <si>
    <t>NJ923937</t>
  </si>
  <si>
    <t>166B0067732</t>
  </si>
  <si>
    <t>394-98م26</t>
  </si>
  <si>
    <t>شماره بدنه: NJ923937</t>
  </si>
  <si>
    <t>MJ633119</t>
  </si>
  <si>
    <t>182A0166201</t>
  </si>
  <si>
    <t>737-92ب49</t>
  </si>
  <si>
    <t>شماره بدنه: MJ633119</t>
  </si>
  <si>
    <t>MH664014</t>
  </si>
  <si>
    <t>139B0224568</t>
  </si>
  <si>
    <t>627-24ي79</t>
  </si>
  <si>
    <t>شماره بدنه: MH664014</t>
  </si>
  <si>
    <t>دنا پلاس توربو شارژ كلاس 1 مشكي متاليك</t>
  </si>
  <si>
    <t>KE200949</t>
  </si>
  <si>
    <t>153H0011320</t>
  </si>
  <si>
    <t>995-10س65</t>
  </si>
  <si>
    <t>کد کلاس: 70401</t>
  </si>
  <si>
    <t>شماره بدنه: KE200949</t>
  </si>
  <si>
    <t>NJ296963</t>
  </si>
  <si>
    <t>182A0179808</t>
  </si>
  <si>
    <t>885-96ب87</t>
  </si>
  <si>
    <t>شماره بدنه: NJ296963</t>
  </si>
  <si>
    <t>NF127356</t>
  </si>
  <si>
    <t>147H0698850</t>
  </si>
  <si>
    <t>789-35ب67</t>
  </si>
  <si>
    <t>کد کلاس: 57522</t>
  </si>
  <si>
    <t>شماره بدنه: NF127356</t>
  </si>
  <si>
    <t>NT378388</t>
  </si>
  <si>
    <t>172B0094690</t>
  </si>
  <si>
    <t>496-69ن98</t>
  </si>
  <si>
    <t>شماره بدنه: NT378388</t>
  </si>
  <si>
    <t>قیمت پايه کارشناسی: 5,800,000,000 (ریال)</t>
  </si>
  <si>
    <t>قیمت پايه کارشناسی: 4,100,000,000 (ریال)</t>
  </si>
  <si>
    <t>HF236087</t>
  </si>
  <si>
    <t>147H0339250</t>
  </si>
  <si>
    <t>845-75ص44</t>
  </si>
  <si>
    <t>شماره بدنه: HF236087</t>
  </si>
  <si>
    <t>قیمت پايه کارشناسی: 1,200,000,000 (ریال)</t>
  </si>
  <si>
    <t>EF185169</t>
  </si>
  <si>
    <t>147H0119309</t>
  </si>
  <si>
    <t>659-74ل75</t>
  </si>
  <si>
    <t>کد کلاس: 29111</t>
  </si>
  <si>
    <t>شماره بدنه: EF185169</t>
  </si>
  <si>
    <t>MY020074</t>
  </si>
  <si>
    <t>484QT05002259A</t>
  </si>
  <si>
    <t>287-40س98</t>
  </si>
  <si>
    <t>شماره بدنه: MY020074</t>
  </si>
  <si>
    <t>قیمت پايه کارشناسی: 8,700,000,000 (ریال)</t>
  </si>
  <si>
    <t>MH659252</t>
  </si>
  <si>
    <t>139B0213329</t>
  </si>
  <si>
    <t>181-83ج85</t>
  </si>
  <si>
    <t>شماره بدنه: MH659252</t>
  </si>
  <si>
    <t>NJ576443</t>
  </si>
  <si>
    <t>166B0090492</t>
  </si>
  <si>
    <t>879-35ب84</t>
  </si>
  <si>
    <t>شماره بدنه: NJ576443</t>
  </si>
  <si>
    <t>PE701828</t>
  </si>
  <si>
    <t>153H0137566</t>
  </si>
  <si>
    <t>894-50ق87</t>
  </si>
  <si>
    <t>شماره بدنه: PE701828</t>
  </si>
  <si>
    <t>قیمت پايه کارشناسی: 4,600,000,000 (ریال)</t>
  </si>
  <si>
    <t>قیمت پايه کارشناسی: 950,000,000 (ریال)</t>
  </si>
  <si>
    <t>NH440963</t>
  </si>
  <si>
    <t>125K0002191</t>
  </si>
  <si>
    <t>473-61ه33</t>
  </si>
  <si>
    <t>شماره بدنه: NH440963</t>
  </si>
  <si>
    <t>HH997982</t>
  </si>
  <si>
    <t>181B0018654</t>
  </si>
  <si>
    <t>181-34ط68</t>
  </si>
  <si>
    <t>کد کلاس: 28515</t>
  </si>
  <si>
    <t>شماره بدنه: HH997982</t>
  </si>
  <si>
    <t>JJ574157</t>
  </si>
  <si>
    <t>167B0036694</t>
  </si>
  <si>
    <t>723-93ق89</t>
  </si>
  <si>
    <t>شماره بدنه: JJ574157</t>
  </si>
  <si>
    <t>NK180810</t>
  </si>
  <si>
    <t>139B0266224</t>
  </si>
  <si>
    <t>284-95م54</t>
  </si>
  <si>
    <t>شماره بدنه: NK180810</t>
  </si>
  <si>
    <t>سورن پلاس با موتور EF7 پايه گازسوز كلاس 7 سفيد دوپوششه كانزاي</t>
  </si>
  <si>
    <t>PF250677</t>
  </si>
  <si>
    <t>147H0712436</t>
  </si>
  <si>
    <t>461-91ق53</t>
  </si>
  <si>
    <t>SOREN+EF7 CNG</t>
  </si>
  <si>
    <t>کد کلاس: 55507</t>
  </si>
  <si>
    <t>شماره بدنه: PF250677</t>
  </si>
  <si>
    <t>FF019479</t>
  </si>
  <si>
    <t>124K0615388</t>
  </si>
  <si>
    <t>638-99ب93</t>
  </si>
  <si>
    <t>کد کلاس: 29339</t>
  </si>
  <si>
    <t>شماره بدنه: FF019479</t>
  </si>
  <si>
    <t>سمند ال ايكسEF7 کلاس 26 سفيد دو پوششه</t>
  </si>
  <si>
    <t>MF862010</t>
  </si>
  <si>
    <t>147H0570308</t>
  </si>
  <si>
    <t>363-58م75</t>
  </si>
  <si>
    <t>کد کلاس: 29126</t>
  </si>
  <si>
    <t>شماره بدنه: MF862010</t>
  </si>
  <si>
    <t>ME406173</t>
  </si>
  <si>
    <t>153H0042470</t>
  </si>
  <si>
    <t>237-13ب84</t>
  </si>
  <si>
    <t>شماره بدنه: ME406173</t>
  </si>
  <si>
    <t>پژو پارس TU5 کلاس 27 سفيد دوپوششه كانزاي</t>
  </si>
  <si>
    <t>NH208302</t>
  </si>
  <si>
    <t>164B0301871</t>
  </si>
  <si>
    <t>775-58ج78</t>
  </si>
  <si>
    <t>کد کلاس: 28527</t>
  </si>
  <si>
    <t>شماره بدنه: NH208302</t>
  </si>
  <si>
    <t>NT360525</t>
  </si>
  <si>
    <t>172B0083900</t>
  </si>
  <si>
    <t>137-75ط43</t>
  </si>
  <si>
    <t>شماره بدنه: NT360525</t>
  </si>
  <si>
    <t>قیمت پايه کارشناسی: 5,700,000,000 (ریال)</t>
  </si>
  <si>
    <t>پژو پارس TU5 کلاس 23 خاكستري متاليك</t>
  </si>
  <si>
    <t>LH280962</t>
  </si>
  <si>
    <t>164B0253140</t>
  </si>
  <si>
    <t>821-73ل93</t>
  </si>
  <si>
    <t>کد کلاس: 28523</t>
  </si>
  <si>
    <t>شماره بدنه: LH280962</t>
  </si>
  <si>
    <t>MD920644</t>
  </si>
  <si>
    <t>187B0007797</t>
  </si>
  <si>
    <t>182-47ج76</t>
  </si>
  <si>
    <t>شماره بدنه: MD920644</t>
  </si>
  <si>
    <t>FH167168</t>
  </si>
  <si>
    <t>124K0605497</t>
  </si>
  <si>
    <t>353-67ب65</t>
  </si>
  <si>
    <t>کد کلاس: 28228</t>
  </si>
  <si>
    <t>شماره بدنه: FH167168</t>
  </si>
  <si>
    <t>قیمت پايه کارشناسی: 6,000,000,000 (ریال)</t>
  </si>
  <si>
    <t>پژو پارس TU5 کلاس 29 سفيد دوپوششه كانزاي</t>
  </si>
  <si>
    <t>PH275018</t>
  </si>
  <si>
    <t>164B0317426</t>
  </si>
  <si>
    <t>598-30و81</t>
  </si>
  <si>
    <t>کد کلاس: 28529</t>
  </si>
  <si>
    <t>شماره بدنه: PH275018</t>
  </si>
  <si>
    <t>EK300014</t>
  </si>
  <si>
    <t>124K0544396</t>
  </si>
  <si>
    <t>517-34ج13</t>
  </si>
  <si>
    <t>شماره بدنه: EK300014</t>
  </si>
  <si>
    <t>هايماS7 توربو اتوماتيك كلاس 1 خاكستري متاليك</t>
  </si>
  <si>
    <t>HY688657</t>
  </si>
  <si>
    <t>484QT74005618A</t>
  </si>
  <si>
    <t>575-56س56</t>
  </si>
  <si>
    <t>کد کلاس: 51801</t>
  </si>
  <si>
    <t>شماره بدنه: HY688657</t>
  </si>
  <si>
    <t>قیمت پايه کارشناسی: 4,300,000,000 (ریال)</t>
  </si>
  <si>
    <t>PH231903</t>
  </si>
  <si>
    <t>125K0131811</t>
  </si>
  <si>
    <t>766-94ل51</t>
  </si>
  <si>
    <t>شماره بدنه: PH231903</t>
  </si>
  <si>
    <t>NE499898</t>
  </si>
  <si>
    <t>153H0113802</t>
  </si>
  <si>
    <t>151-35و46</t>
  </si>
  <si>
    <t>کد کلاس: 70406</t>
  </si>
  <si>
    <t>شماره بدنه: NE499898</t>
  </si>
  <si>
    <t>PK022895</t>
  </si>
  <si>
    <t>125K0160276</t>
  </si>
  <si>
    <t>588-63ق97</t>
  </si>
  <si>
    <t>کد کلاس: 16903</t>
  </si>
  <si>
    <t>شماره بدنه: PK022895</t>
  </si>
  <si>
    <t>کد کلاس: 70322</t>
  </si>
  <si>
    <t>NF241281</t>
  </si>
  <si>
    <t>147H0690344</t>
  </si>
  <si>
    <t>528-34ه73</t>
  </si>
  <si>
    <t>شماره بدنه: NF241281</t>
  </si>
  <si>
    <t>NH422225</t>
  </si>
  <si>
    <t>125K0111319</t>
  </si>
  <si>
    <t>324-92س53</t>
  </si>
  <si>
    <t>شماره بدنه: NH422225</t>
  </si>
  <si>
    <t>پژو 207i دستي کلاس 21 تيتانيوم</t>
  </si>
  <si>
    <t>PDA27627</t>
  </si>
  <si>
    <t>تيتانيوم</t>
  </si>
  <si>
    <t>172B0135071</t>
  </si>
  <si>
    <t>228-66ل79</t>
  </si>
  <si>
    <t>کد کلاس: 60021</t>
  </si>
  <si>
    <t>شماره بدنه: PDA27627</t>
  </si>
  <si>
    <t>NF159177</t>
  </si>
  <si>
    <t>147H0638906</t>
  </si>
  <si>
    <t>294-69ج13</t>
  </si>
  <si>
    <t>شماره بدنه: NF159177</t>
  </si>
  <si>
    <t>NJ362961</t>
  </si>
  <si>
    <t>178B0118167</t>
  </si>
  <si>
    <t>646-50ق25</t>
  </si>
  <si>
    <t>شماره بدنه: NJ362961</t>
  </si>
  <si>
    <t>MH658541</t>
  </si>
  <si>
    <t>164B0284851</t>
  </si>
  <si>
    <t>587-17و39</t>
  </si>
  <si>
    <t>شماره بدنه: MH658541</t>
  </si>
  <si>
    <t>LF702859</t>
  </si>
  <si>
    <t>124K1514610</t>
  </si>
  <si>
    <t>183-35ي97</t>
  </si>
  <si>
    <t>کد کلاس: 29352</t>
  </si>
  <si>
    <t>شماره بدنه: LF702859</t>
  </si>
  <si>
    <t>MK149865</t>
  </si>
  <si>
    <t>139B0258046</t>
  </si>
  <si>
    <t>411-63ط62</t>
  </si>
  <si>
    <t>شماره بدنه: MK149865</t>
  </si>
  <si>
    <t>NH416490</t>
  </si>
  <si>
    <t>164B0297087</t>
  </si>
  <si>
    <t>842-92ص46</t>
  </si>
  <si>
    <t>شماره بدنه: NH416490</t>
  </si>
  <si>
    <t>ME408894</t>
  </si>
  <si>
    <t>153H0045080</t>
  </si>
  <si>
    <t>551-63ص44</t>
  </si>
  <si>
    <t>شماره بدنه: ME408894</t>
  </si>
  <si>
    <t>ردیف: 1  سمند - ال ايكس كلاس 40 سفيد دو پوششه  شناسه خودرو  مبلغ پایه  قيمت برنده  جایگاه  JF388385  1,500,000,000  1,622,222,222  1</t>
  </si>
  <si>
    <t>ردیف: 2  سورن پلاس با موتور EF7 پايه گازسوز كلاس 7 سفيد دوپوششه كانزاي  شناسه خودرو  مبلغ پایه  قيمت برنده  جایگاه  PF250677  3,000,000,000  3,900,000,999  2</t>
  </si>
  <si>
    <t>ردیف: 3  پژو 207i دستي کلاس 10 سفيد دو پوششه  شناسه خودرو  مبلغ پایه  قيمت برنده  جایگاه  NJ353703  3,200,000,000  3,622,222,222  3</t>
  </si>
  <si>
    <t>ردیف: 4  سمند - ال ايكس كلاس 39 سفيد دو پوششه  شناسه خودرو  مبلغ پایه  قيمت برنده  جایگاه  FF019479  1,100,000,000  1,511,111,111  4</t>
  </si>
  <si>
    <t>ردیف: 5  دنا پلاس اتوماتيك با موتور EF7_TC كلاس2 سفيد دو پوششه  شناسه خودرو  مبلغ پایه  قيمت برنده  جایگاه  ME396629  5,000,000,000  6,765,432,000  5</t>
  </si>
  <si>
    <t>ردیف: 6  سمند ال ايكسEF7 کلاس 26 سفيد دو پوششه  شناسه خودرو  مبلغ پایه  قيمت برنده  جایگاه  MF862010  1,400,000,000  2,412,000,000  6</t>
  </si>
  <si>
    <t>سورن EF7-TC توربوشارژ  كلاس 2 سفيد دو پوششه</t>
  </si>
  <si>
    <t>ردیف: 7  سورن EF7-TC توربوشارژ  كلاس 2 سفيد دو پوششه  شناسه خودرو  مبلغ پایه  قيمت برنده  جایگاه  JF430301  1,150,000,000  1,865,000,000  7</t>
  </si>
  <si>
    <t>ردیف: 8  پژو پارس TU5 كلاس 15 سفيد دو پوششه  شناسه خودرو  مبلغ پایه  قيمت برنده  جایگاه  HH044920  2,600,000,000  3,050,000,000  8</t>
  </si>
  <si>
    <t>ردیف: 9  پژو 207i دستي کلاس 10 مشكي متاليك  شناسه خودرو  مبلغ پایه  قيمت برنده  جایگاه  NJ922377  3,200,000,000  4,020,000,009  9</t>
  </si>
  <si>
    <t>ردیف: 10  دنا پلاس اتوماتيك با موتور EF7_TC كلاس2 سفيد دوپوششه كانزاي  شناسه خودرو  مبلغ پایه  قيمت برنده  جایگاه  ME406173  4,200,000,000  4,869,999,999  10</t>
  </si>
  <si>
    <t>ردیف: 11  هايماS7 توربو اتوماتيك كلاس2 سفيد دوپوششه كانزاي  شناسه خودرو  مبلغ پایه  قيمت برنده  جایگاه  MY021862  7,300,000,000  9,355,555,555  11</t>
  </si>
  <si>
    <t>ردیف: 12  پژو پارس TU5 کلاس 27 سفيد دوپوششه كانزاي  شناسه خودرو  مبلغ پایه  قيمت برنده  جایگاه  NH208302  3,800,000,000  3,820,000,999  12</t>
  </si>
  <si>
    <t>ردیف: 13  پژو پارس سال با موتور XU7 P کلاس 3 سفيد دو پوششه  شناسه خودرو  مبلغ پایه  قيمت برنده  جایگاه  NK805432  2,900,000,000  3,229,999,999  13</t>
  </si>
  <si>
    <t>ردیف: 14  رانا کلاس 15 سفيد دو پوششه  شناسه خودرو  مبلغ پایه  قيمت برنده  جایگاه  NT360525  2,900,000,000  3,366,666,666  14</t>
  </si>
  <si>
    <t>ردیف: 15  وانت آريسان2 دوگانه سوز با موتور XU7P کلاس 1 خاكستري متاليك  شناسه خودرو  مبلغ پایه  قيمت برنده  جایگاه  NK003512  1,800,000,000  2,220,000,100  15</t>
  </si>
  <si>
    <t>ردیف: 16  تارا اتوماتيک کلاس 1  مشكي متاليك (آبنوس)  شناسه خودرو  مبلغ پایه  قيمت برنده  جایگاه  PD958293  5,700,000,000    16</t>
  </si>
  <si>
    <t>ردیف: 17  پژو پارس کلاس 42 سفيد دوپوششه كانزاي  شناسه خودرو  مبلغ پایه  قيمت برنده  جایگاه  LH332138  2,400,000,000    17</t>
  </si>
  <si>
    <t>ردیف: 18  پژو پارس TU5 کلاس 23 خاكستري متاليك  شناسه خودرو  مبلغ پایه  قيمت برنده  جایگاه  LH280962  2,900,000,000  3,415,555,555  18</t>
  </si>
  <si>
    <t>ردیف: 19  هايما S5 توربو اتوماتيک کلاس 1 مشكي متاليك  شناسه خودرو  مبلغ پایه  قيمت برنده  جایگاه  NY075643  5,000,000,000  8,128,888,000  19</t>
  </si>
  <si>
    <t>ردیف: 20  تارا اتوماتيک کلاس 1  مشكي متاليك (آبنوس)  شناسه خودرو  مبلغ پایه  قيمت برنده  جایگاه  MD920644  4,000,000,000  4,124,000,000  20</t>
  </si>
  <si>
    <t>پژو  جي ال ايكس انژكتوري كلاس 37 مشكي متاليك</t>
  </si>
  <si>
    <t>ردیف: 21  پژو  جي ال ايكس انژكتوري كلاس 37 مشكي متاليك  شناسه خودرو  مبلغ پایه  قيمت برنده  جایگاه  KK180297  3,600,000,000  3,710,999,999  21</t>
  </si>
  <si>
    <t>ردیف: 22  پژو پارس سال با موتور XU7 P کلاس 3 سفيد دو پوششه  شناسه خودرو  مبلغ پایه  قيمت برنده  جایگاه  NK195758  3,500,000,000    22</t>
  </si>
  <si>
    <t>ردیف: 23  پژو 207i دستي كلاس 6 مشكي متاليك  شناسه خودرو  مبلغ پایه  قيمت برنده  جایگاه  NJ367937  3,100,000,000  4,660,000,000  23</t>
  </si>
  <si>
    <t>ردیف: 24  پژو پارس كلاس 28 سفيد دو پوششه  شناسه خودرو  مبلغ پایه  قيمت برنده  جایگاه  FH167168  2,300,000,000  2,659,999,999  24</t>
  </si>
  <si>
    <t>ردیف: 25  پژو 207i دستي کلاس 15 سفيد دو پوششه  شناسه خودرو  مبلغ پایه  قيمت برنده  جایگاه  NJ214258  4,000,000,000    25</t>
  </si>
  <si>
    <t>ردیف: 26  هايماS7 توربو اتوماتيك كلاس2 مشكي متاليك  شناسه خودرو  مبلغ پایه  قيمت برنده  جایگاه  NY061641  6,000,000,000  10,000,000,000  26</t>
  </si>
  <si>
    <t>ردیف: 27  پژو پارس TU5 كلاس 13 سفيد دو پوششه  شناسه خودرو  مبلغ پایه  قيمت برنده  جایگاه  GH745053  2,500,000,000  2,520,000,999  27</t>
  </si>
  <si>
    <t>ردیف: 28  پژو پارس TU5 کلاس 29 سفيد دوپوششه كانزاي  شناسه خودرو  مبلغ پایه  قيمت برنده  جایگاه  PH275018  4,200,000,000  6,480,000,000  28</t>
  </si>
  <si>
    <t>ردیف: 29  پژو پارس TU5 كلاس 16 سفيد دو پوششه  شناسه خودرو  مبلغ پایه  قيمت برنده  جایگاه  JH959433  2,100,000,000  2,329,999,999  29</t>
  </si>
  <si>
    <t>ردیف: 30  پژو پارس كلاس 28 سفيد دو پوششه  شناسه خودرو  مبلغ پایه  قيمت برنده  جایگاه  EK300014  1,200,000,000  2,015,999,999  30</t>
  </si>
  <si>
    <t>ردیف: 31  پژو پارس سال با موتور XU7 P کلاس 7 سفيد دو پوششه  شناسه خودرو  مبلغ پایه  قيمت برنده  جایگاه  PYA28653  3,800,000,000  4,855,150,000  31</t>
  </si>
  <si>
    <t>ردیف: 32  هايماS7 توربو اتوماتيك كلاس 1 خاكستري متاليك  شناسه خودرو  مبلغ پایه  قيمت برنده  جایگاه  HY688657  4,300,000,000  5,266,660,000  32</t>
  </si>
  <si>
    <t>ردیف: 33  پژو 207i دستي کلاس 10 سفيد دو پوششه  شناسه خودرو  مبلغ پایه  قيمت برنده  جایگاه  NJ920984  3,500,000,000  4,778,888,888  33</t>
  </si>
  <si>
    <t>ردیف: 34  پژو پارس سال با موتور XU7 P کلاس 2 سفيد دوپوششه كانزاي  شناسه خودرو  مبلغ پایه  قيمت برنده  جایگاه  PH231903  2,000,000,000  3,769,999,999  34</t>
  </si>
  <si>
    <t>ردیف: 35  تارا دستي کلاس 1 سفيد دوپوششه كانزاي  شناسه خودرو  مبلغ پایه  قيمت برنده  جایگاه  MD915645  3,100,000,000  3,660,000,000  35</t>
  </si>
  <si>
    <t>ردیف: 36  دنا پلاس توربو شارژ کلاس 6 سفيد دو پوششه  شناسه خودرو  مبلغ پایه  قيمت برنده  جایگاه  NE499898  2,900,000,000  5,009,999,999  36</t>
  </si>
  <si>
    <t>ردیف: 37  H30 CROSS AT كلاس 1 سفيد دو پوششه  شناسه خودرو  مبلغ پایه  قيمت برنده  جایگاه  HX044129  1,900,000,000  3,356,789,999  37</t>
  </si>
  <si>
    <t>ردیف: 38  پژو پارس کلاس 42 سفيد دو پوششه  شناسه خودرو  مبلغ پایه  قيمت برنده  جایگاه  MK160386  2,700,000,000  3,100,999,999  38</t>
  </si>
  <si>
    <t>ردیف: 39  پژو پارس TU5 كلاس20 سفيد دوپوششه كانزاي  شناسه خودرو  مبلغ پایه  قيمت برنده  جایگاه  PH271092  3,800,000,000  4,520,000,000  39</t>
  </si>
  <si>
    <t>ردیف: 40  وانت آريسان2 دوگانه سوز با موتور XU7P کلاس 3 خاكستري متاليك  شناسه خودرو  مبلغ پایه  قيمت برنده  جایگاه  PK022895  1,700,000,000  2,560,000,000  40</t>
  </si>
  <si>
    <t>ردیف: 41  پژو پارس اتوماتيك TU5JP4 كلاس 6 سفيد دو پوششه  شناسه خودرو  مبلغ پایه  قيمت برنده  جایگاه  JH902117  2,500,000,000  4,556,600,000  41</t>
  </si>
  <si>
    <t>ردیف: 42  دنا+ (پلاس) کلاس 22 مشكي متاليك (آبنوس)  شناسه خودرو  مبلغ پایه  قيمت برنده  جایگاه  NE532889  3,200,000,000    42</t>
  </si>
  <si>
    <t>ردیف: 43  H30 CROSS AT كلاس 1 سفيد دو پوششه  شناسه خودرو  مبلغ پایه  قيمت برنده  جایگاه  HX031416  1,800,000,000  2,155,555,000  43</t>
  </si>
  <si>
    <t>ردیف: 44  سورن EF7 بنزيني کلاس 19 سفيد دوپوششه كانزاي  شناسه خودرو  مبلغ پایه  قيمت برنده  جایگاه  NF241281  2,600,000,000  3,170,000,000  44</t>
  </si>
  <si>
    <t>ردیف: 45  پژو پارس سال با موتور XU7 P کلاس 6 مشكي متاليك  شناسه خودرو  مبلغ پایه  قيمت برنده  جایگاه  PK248171  3,600,000,000    45</t>
  </si>
  <si>
    <t>ردیف: 46  سورن EF7 بنزيني کلاس 19 سفيد دو پوششه  شناسه خودرو  مبلغ پایه  قيمت برنده  جایگاه  MF084756  2,900,000,000  3,546,666,666  46</t>
  </si>
  <si>
    <t>ردیف: 47  دنا پلاس اتوماتيك با موتور EF7_TC كلاس2 مشكي متاليك (آبنوس)  شناسه خودرو  مبلغ پایه  قيمت برنده  جایگاه  NE310155  5,000,000,000    47</t>
  </si>
  <si>
    <t>ردیف: 48  پژو پارس سال با موتور XU7 P کلاس 1 سفيد دو پوششه  شناسه خودرو  مبلغ پایه  قيمت برنده  جایگاه  NH422225  3,000,000,000  3,526,666,666  48</t>
  </si>
  <si>
    <t>ردیف: 49  پژو پارس سال با موتور XU7 P کلاس 1 سفيد دوپوششه كانزاي  شناسه خودرو  مبلغ پایه  قيمت برنده  جایگاه  NH423111  2,500,000,000  2,722,222,222  49</t>
  </si>
  <si>
    <t>ردیف: 50  پژو 207i دستي کلاس 21 تيتانيوم  شناسه خودرو  مبلغ پایه  قيمت برنده  جایگاه  PDA27627  4,100,000,000  4,793,000,000  50</t>
  </si>
  <si>
    <t>ردیف: 51  پژو پارس سال با موتور XU7 P کلاس 1 سفيد دو پوششه  شناسه خودرو  مبلغ پایه  قيمت برنده  جایگاه  NH811237  2,400,000,000  2,785,555,555  51</t>
  </si>
  <si>
    <t>ردیف: 52  سورن EF7 بنزيني کلاس 19 سفيد دو پوششه  شناسه خودرو  مبلغ پایه  قيمت برنده  جایگاه  NF159177  2,500,000,000  2,870,000,000  52</t>
  </si>
  <si>
    <t>ردیف: 53  پژو 207i دستي کلاس 10 سفيد دو پوششه  شناسه خودرو  مبلغ پایه  قيمت برنده  جایگاه  NJ923937  3,100,000,000  4,020,000,009  53</t>
  </si>
  <si>
    <t>ردیف: 54  پژو 207i دستي کلاس 10 سفيد دو پوششه  شناسه خودرو  مبلغ پایه  قيمت برنده  جایگاه  NJ362961  3,500,000,000  4,230,000,009  54</t>
  </si>
  <si>
    <t>ردیف: 55  پژو 206 معمولي كلاس 31 سفيد دو پوششه  شناسه خودرو  مبلغ پایه  قيمت برنده  جایگاه  MJ633119  2,300,000,000  2,810,000,000  55</t>
  </si>
  <si>
    <t>ردیف: 56  پژو پارس TU5 كلاس20 سفيد دو پوششه  شناسه خودرو  مبلغ پایه  قيمت برنده  جایگاه  MH658541  1,800,000,000  3,430,000,000  56</t>
  </si>
  <si>
    <t>ردیف: 57  پژو پارس TU5 كلاس20 سفيد دو پوششه  شناسه خودرو  مبلغ پایه  قيمت برنده  جایگاه  MH664014  2,100,000,000  3,520,000,000  57</t>
  </si>
  <si>
    <t>ردیف: 58  سمند - ال ايكس کلاس 52 سفيد دو پوششه  شناسه خودرو  مبلغ پایه  قيمت برنده  جایگاه  LF702859  1,200,000,000  3,078,888,888  58</t>
  </si>
  <si>
    <t>ردیف: 59  دنا پلاس توربو شارژ كلاس 1 مشكي متاليك  شناسه خودرو  مبلغ پایه  قيمت برنده  جایگاه  KE200949  2,700,000,000  3,730,000,000  59</t>
  </si>
  <si>
    <t>ردیف: 60  پژو پارس TU5 كلاس20 مشكي متاليك  شناسه خودرو  مبلغ پایه  قيمت برنده  جایگاه  MK149865  1,900,000,000  3,019,999,999  60</t>
  </si>
  <si>
    <t>ردیف: 61  پژو 206 معمولي كلاس 31 سفيد دو پوششه  شناسه خودرو  مبلغ پایه  قيمت برنده  جایگاه  NJ296963  1,800,000,000  2,835,555,555  61</t>
  </si>
  <si>
    <t>ردیف: 62  پژو پارس TU5 كلاس20 سفيد دو پوششه  شناسه خودرو  مبلغ پایه  قيمت برنده  جایگاه  NH416490  2,900,000,000  4,333,333,333  62</t>
  </si>
  <si>
    <t>ردیف: 63  سورن EF7 بنزيني کلاس 22 سفيد دوپوششه كانزاي  شناسه خودرو  مبلغ پایه  قيمت برنده  جایگاه  NF127356  2,700,000,000  4,055,898,569  63</t>
  </si>
  <si>
    <t>ردیف: 64  دنا پلاس اتوماتيك با موتور EF7_TC كلاس2 سفيد دوپوششه كانزاي  شناسه خودرو  مبلغ پایه  قيمت برنده  جایگاه  ME408894  2,800,000,000  3,955,000,000  64</t>
  </si>
  <si>
    <t>ردیف: 65  رانا کلاس 15 سفيد دو پوششه  شناسه خودرو  مبلغ پایه  قيمت برنده  جایگاه  NT378388  1,500,000,000  2,344,598,749  65</t>
  </si>
  <si>
    <t>ردیف: 66  پژو 207i دستي کلاس 19 سفيد دو پوششه  شناسه خودرو  مبلغ پایه  قيمت برنده  جایگاه  PJ030442  3,700,000,000    66</t>
  </si>
  <si>
    <t>ردیف: 67  سورن EF7 بنزيني کلاس 19 سفيد دوپوششه كانزاي  شناسه خودرو  مبلغ پایه  قيمت برنده  جایگاه  NF152973  2,800,000,000    67</t>
  </si>
  <si>
    <t>GF328546</t>
  </si>
  <si>
    <t>ردیف: 68  سمند ال ايكسEF7 كلاس 10 سفيد دو پوششه  شناسه خودرو  مبلغ پایه  قيمت برنده  جایگاه  GF328546  1,200,000,000  1,520,000,999  68</t>
  </si>
  <si>
    <t>ردیف: 69  دنا پلاس اتوماتيك با موتور EF7_TC کلاس 9 سفيد دوپوششه كانزاي  شناسه خودرو  مبلغ پایه  قيمت برنده  جایگاه  PE704371  5,800,000,000  8,319,999,999  69</t>
  </si>
  <si>
    <t>HF153994</t>
  </si>
  <si>
    <t>سمند - ال ايكس كلاس 40 آبي كبود متاليك</t>
  </si>
  <si>
    <t>ردیف: 70  سمند - ال ايكس كلاس 40 آبي كبود متاليك  شناسه خودرو  مبلغ پایه  قيمت برنده  جایگاه  HF153994  1,000,000,000  1,500,111,111  70</t>
  </si>
  <si>
    <t>ردیف: 71  دنا پلاس اتوماتيك با موتور EF7_TC كلاس2 خاكستري متال  شناسه خودرو  مبلغ پایه  قيمت برنده  جایگاه  LE241071  4,100,000,000    71</t>
  </si>
  <si>
    <t>PF259934</t>
  </si>
  <si>
    <t>سورن پلاس با موتور EF7 پايه گازسوز كلاس 7 سفيد دو پوششه</t>
  </si>
  <si>
    <t>ردیف: 72  سورن پلاس با موتور EF7 پايه گازسوز كلاس 7 سفيد دو پوششه  شناسه خودرو  مبلغ پایه  قيمت برنده  جایگاه  PF259934  2,800,000,000  3,288,888,888  72</t>
  </si>
  <si>
    <t>ردیف: 73  سمند ال ايكسEF7 كلاس 10 سفيد دو پوششه  شناسه خودرو  مبلغ پایه  قيمت برنده  جایگاه  HF236087  1,200,000,000  2,738,000,000  73</t>
  </si>
  <si>
    <t>HH755550</t>
  </si>
  <si>
    <t>پژو پارس معمولي دوگانه سوز كلاس 16 سفيد دو پوششه</t>
  </si>
  <si>
    <t>ردیف: 74  پژو پارس معمولي دوگانه سوز كلاس 16 سفيد دو پوششه  شناسه خودرو  مبلغ پایه  قيمت برنده  جایگاه  HH755550  1,800,000,000  2,868,999,999  74</t>
  </si>
  <si>
    <t>ردیف: 75  سمند ال ايكسEF7 كلاس 11 سفيد دو پوششه  شناسه خودرو  مبلغ پایه  قيمت برنده  جایگاه  EF185169  1,100,000,000  1,949,100,000  75</t>
  </si>
  <si>
    <t>NH492952</t>
  </si>
  <si>
    <t>ردیف: 76  پژو پارس TU5 كلاس20 سفيد دوپوششه كانزاي  شناسه خودرو  مبلغ پایه  قيمت برنده  جایگاه  NH492952  2,300,000,000  3,982,000,000  76</t>
  </si>
  <si>
    <t>ردیف: 77  هايماS7 توربو اتوماتيك كلاس2 سفيد دوپوششه كانزاي  شناسه خودرو  مبلغ پایه  قيمت برنده  جایگاه  MY020074  8,700,000,000  11,621,234,567  77</t>
  </si>
  <si>
    <t>LH321163</t>
  </si>
  <si>
    <t>ردیف: 78  پژو پارس TU5 كلاس20 خاكستري متاليك  شناسه خودرو  مبلغ پایه  قيمت برنده  جایگاه  LH321163  2,600,000,000  3,260,000,000  78</t>
  </si>
  <si>
    <t>ردیف: 79  پژو پارس TU5 كلاس20 سفيد دو پوششه  شناسه خودرو  مبلغ پایه  قيمت برنده  جایگاه  MH659252  2,700,000,000  3,820,000,000  79</t>
  </si>
  <si>
    <t>ردیف: 80  پژو پارس كلاس 32 سفيد دو پوششه  شناسه خودرو  مبلغ پایه  قيمت برنده  جایگاه  KH220177  2,200,000,000    80</t>
  </si>
  <si>
    <t>ردیف: 81  پژو 207i دستي کلاس 10 سفيد دو پوششه  شناسه خودرو  مبلغ پایه  قيمت برنده  جایگاه  NJ576443  3,400,000,000  4,432,000,111  81</t>
  </si>
  <si>
    <t>ردیف: 82  سورن EF7 بنزيني کلاس 19 سفيد دو پوششه  شناسه خودرو  مبلغ پایه  قيمت برنده  جایگاه  NF129440  2,400,000,000    82</t>
  </si>
  <si>
    <t>ردیف: 83  دنا پلاس اتوماتيك با موتور EF7_TC کلاس 9 سفيد دو پوششه  شناسه خودرو  مبلغ پایه  قيمت برنده  جایگاه  PE701828  4,600,000,000  5,108,888,888  83</t>
  </si>
  <si>
    <t>ردیف: 84  پژو 207i اتوماتيک با موتور TU5P  کلاس 3 مشكي متاليك (آبنوس)  شناسه خودرو  مبلغ پایه  قيمت برنده  جایگاه  NJ701899  5,100,000,000  5,810,000,000  84</t>
  </si>
  <si>
    <t>ردیف: 85  سمند ال ايكسEF7 كلاس 11 سفيد دو پوششه  شناسه خودرو  مبلغ پایه  قيمت برنده  جایگاه  GF318196  950,000,000  2,230,000,000  85</t>
  </si>
  <si>
    <t>KX088758</t>
  </si>
  <si>
    <t>H30 CROSS AT كلاس 4 آبي رويال</t>
  </si>
  <si>
    <t>ردیف: 86  H30 CROSS AT كلاس 4 آبي رويال  شناسه خودرو  مبلغ پایه  قيمت برنده  جایگاه  KX088758  3,800,000,000  3,820,000,009  86</t>
  </si>
  <si>
    <t>ردیف: 87  پژو پارس سال با موتور XU7 P کلاس 1 سفيد دو پوششه  شناسه خودرو  مبلغ پایه  قيمت برنده  جایگاه  NH440963  1,700,000,000  2,306,666,666  87</t>
  </si>
  <si>
    <t>ردیف: 88  پژو پارس TU5 كلاس18 سفيد دو پوششه  شناسه خودرو  مبلغ پایه  قيمت برنده  جایگاه  KH536644  2,700,000,000    88</t>
  </si>
  <si>
    <t>ردیف: 89  پژو پارس TU5 كلاس 15 سفيد دو پوششه  شناسه خودرو  مبلغ پایه  قيمت برنده  جایگاه  HH997982  2,900,000,000  3,510,000,000  89</t>
  </si>
  <si>
    <t>ردیف: 90  دنا+ (پلاس) كلاس 1 سفيد دو پوششه  شناسه خودرو  مبلغ پایه  قيمت برنده  جایگاه  HE489125  2,500,000,000  3,781,800,008  90</t>
  </si>
  <si>
    <t>ردیف: 91  پژو 207i دستي کلاس 17 سفيد دو پوششه  شناسه خودرو  مبلغ پایه  قيمت برنده  جایگاه  PJ565024  3,900,000,000  3,949,999,999  91</t>
  </si>
  <si>
    <t>GK267763</t>
  </si>
  <si>
    <t>پژو اس ال ايكس انژكتوري SLX با موتور  TU5 كلاس 9 سفيد دوپوششه كانزاي</t>
  </si>
  <si>
    <t>ردیف: 92  پژو اس ال ايكس انژكتوري SLX با موتور  TU5 كلاس 9 سفيد دوپوششه كانزاي  شناسه خودرو  مبلغ پایه  قيمت برنده  جایگاه  GK267763  1,700,000,000  2,380,000,099  92</t>
  </si>
  <si>
    <t>ردیف: 93  پژو 206 اس دي 1600 سي سي كلاس 30 سفيد دو پوششه  شناسه خودرو  مبلغ پایه  قيمت برنده  جایگاه  JJ574157  2,100,000,000  2,870,000,000  93</t>
  </si>
  <si>
    <t>KF553097</t>
  </si>
  <si>
    <t>سمند - ال ايكس كلاس 40 سفيد دوپوششه كانزاي</t>
  </si>
  <si>
    <t>ردیف: 94  سمند - ال ايكس كلاس 40 سفيد دوپوششه كانزاي  شناسه خودرو  مبلغ پایه  قيمت برنده  جایگاه  KF553097  900,000,000  2,305,000,000  94</t>
  </si>
  <si>
    <t>ردیف: 95  پژو پارس TU5 كلاس20 سفيد دو پوششه  شناسه خودرو  مبلغ پایه  قيمت برنده  جایگاه  NK180810  3,000,000,000  4,120,000,000  95</t>
  </si>
  <si>
    <t>ردیف: 96  پژو پارس TU5 كلاس 12 سفيد دوپوششه كانزاي  شناسه خودرو  مبلغ پایه  قيمت برنده  جایگاه  FH360751  2,700,000,000    96</t>
  </si>
  <si>
    <t>ردیف: 97  پژو پارس سال با موتور XU7 P کلاس 2 سفيد دو پوششه  شناسه خودرو  مبلغ پایه  قيمت برنده  جایگاه  NH422128  2,500,000,000  3,000,000,000  97</t>
  </si>
  <si>
    <t>JK701301</t>
  </si>
  <si>
    <t>ردیف: 98  پژو اس ال ايكس انژكتوري SLX با موتور  TU5 كلاس 9 سفيد دوپوششه كانزاي  شناسه خودرو  مبلغ پایه  قيمت برنده  جایگاه  JK701301  1,650,000,000  2,450,009,999  98</t>
  </si>
  <si>
    <t>ردیف: 99  پژو پارس کلاس 42 سفيد دو پوششه  شناسه خودرو  مبلغ پایه  قيمت برنده  جایگاه  MH625867  2,900,000,000    99</t>
  </si>
  <si>
    <t>PK026903</t>
  </si>
  <si>
    <t>وانت آريسان2 دوگانه سوز با موتور XU7P کلاس 3 نقره اي متاليك</t>
  </si>
  <si>
    <t>ردیف: 100  وانت آريسان2 دوگانه سوز با موتور XU7P کلاس 3 نقره اي متاليك  شناسه خودرو  مبلغ پایه  قيمت برنده  جایگاه  PK026903  1,500,000,000  2,613,000,000  100</t>
  </si>
  <si>
    <t>ردیف: 101  پژو پارس TU5 كلاس 13 سفيد دو پوششه  شناسه خودرو  مبلغ پایه  قيمت برنده  جایگاه  HH990264  1,900,000,000  3,651,699,999  101</t>
  </si>
  <si>
    <t>ردیف: 102  پژو پارس سال با موتور XU7 P کلاس 3 سفيد دوپوششه كانزاي  شناسه خودرو  مبلغ پایه  قيمت برنده  جایگاه  NK662734  3,000,000,000  3,333,333,333  102</t>
  </si>
  <si>
    <t>ردیف: 103  پژو پارس TU5 كلاس20 سفيد دوپوششه كانزاي  شناسه خودرو  مبلغ پایه  قيمت برنده  جایگاه  PH270048  3,100,000,000  3,164,500,000  103</t>
  </si>
  <si>
    <t>ردیف: 104  پژو پارس سال با موتور XU7 P کلاس 2 سفيد دوپوششه كانزاي  شناسه خودرو  مبلغ پایه  قيمت برنده  جایگاه  NH155894  2,900,000,000  2,942,222,222  104</t>
  </si>
  <si>
    <t>ردیف: 105  پژو پارس سال با موتور XU7 P کلاس 8 سفيد دوپوششه كانزاي  شناسه خودرو  مبلغ پایه  قيمت برنده  جایگاه  PH933291  2,700,000,000  4,555,000,000  105</t>
  </si>
  <si>
    <t>ردیف: 106  دنا كلاس17 خاكستري متاليك  شناسه خودرو  مبلغ پایه  قيمت برنده  جایگاه  LE233180  5,100,000,000    106</t>
  </si>
  <si>
    <t>ردیف: 107  پژو 206 معمولي كلاس 31 سفيد دو پوششه  شناسه خودرو  مبلغ پایه  قيمت برنده  جایگاه  LJ002136  1,900,000,000  3,059,999,999  107</t>
  </si>
  <si>
    <t>ردیف: 108  پژو پارس سال با موتور XU7 P کلاس 3 سفيد دو پوششه  شناسه خودرو  مبلغ پایه  قيمت برنده  جایگاه  NK465399  2,600,000,000    108</t>
  </si>
  <si>
    <t>ردیف: 109  پژو پارس TU5 كلاس 13 سفيد دو پوششه  شناسه خودرو  مبلغ پایه  قيمت برنده  جایگاه  GH735617  3,000,000,000    109</t>
  </si>
  <si>
    <t>ردیف: 110  سورن EF7 بنزيني کلاس 19 سفيد دو پوششه  شناسه خودرو  مبلغ پایه  قيمت برنده  جایگاه  NF164882  2,600,000,000    110</t>
  </si>
  <si>
    <t>ردیف: 111  پژو 206 اس دي 1600 سي سي كلاس 30 سفيد دو پوششه  شناسه خودرو  مبلغ پایه  قيمت برنده  جایگاه  FJ259203  2,100,000,000  2,515,000,000  111</t>
  </si>
  <si>
    <t>ردیف: 112  پژو پارس TU5 كلاس20 سفيد دو پوششه  شناسه خودرو  مبلغ پایه  قيمت برنده  جایگاه  MK114242  3,400,000,000  4,500,000,050  112</t>
  </si>
  <si>
    <t>ردیف: 113  پژو پارس سال با موتور XU7 P کلاس 1 مشكي متاليك  شناسه خودرو  مبلغ پایه  قيمت برنده  جایگاه  NK855478  2,800,000,000  3,119,999,999  113</t>
  </si>
  <si>
    <t>ردیف: 114  پژو 207i اتوماتيک با موتور TU5P  کلاس 2 سفيد دو پوششه  شناسه خودرو  مبلغ پایه  قيمت برنده  جایگاه  NJ703622  3,500,000,000  5,258,000,999  114</t>
  </si>
  <si>
    <t>ردیف: 115  پژو پارس سال با موتور XU7 P کلاس 1 سفيد دوپوششه كانزاي  شناسه خودرو  مبلغ پایه  قيمت برنده  جایگاه  NH818929  3,100,000,000  3,102,999,999  115</t>
  </si>
  <si>
    <t>ردیف: 116  پژو پارس سال با موتور XU7 P کلاس 6 سفيد دو پوششه  شناسه خودرو  مبلغ پایه  قيمت برنده  جایگاه  PK246649  2,900,000,000  2,900,000,001  116</t>
  </si>
  <si>
    <t>ردیف: 117  رانا کلاس 15 خاكستري متاليك  شناسه خودرو  مبلغ پایه  قيمت برنده  جایگاه  NT442117  1,900,000,000  3,323,254,500  117</t>
  </si>
  <si>
    <t>ردیف: 118  پژو پارس سال با موتور XU7 P کلاس 1 سفيد دو پوششه  شناسه خودرو  مبلغ پایه  قيمت برنده  جایگاه  NH407731  2,500,000,000  3,400,099,000  118</t>
  </si>
  <si>
    <t>ردیف: 119  سمند ال ايكسEF7 كلاس 10 سفيد دو پوششه  شناسه خودرو  مبلغ پایه  قيمت برنده  جایگاه  HF278615  1,100,000,000  2,100,000,000  119</t>
  </si>
  <si>
    <t>ردیف: 120  پژو پارس TU5 كلاس 13 سفيد دو پوششه  شناسه خودرو  مبلغ پایه  قيمت برنده  جایگاه  GH745447  2,200,000,000    120</t>
  </si>
  <si>
    <t>ردیف: 121  پژو پارس کلاس 42 سفيد دو پوششه  شناسه خودرو  مبلغ پایه  قيمت برنده  جایگاه  MK083395  1,800,000,000  2,456,666,666  121</t>
  </si>
  <si>
    <t>ردیف: 122  پژو پارس سال با موتور XU7 P کلاس 1 سفيد دو پوششه  شناسه خودرو  مبلغ پایه  قيمت برنده  جایگاه  NH812939  2,400,000,000  3,355,600,000  122</t>
  </si>
  <si>
    <t>ردیف: 123  پژو 207i دستي کلاس 10 مشكي متاليك  شناسه خودرو  مبلغ پایه  قيمت برنده  جایگاه  NJ492982  3,800,000,000  5,610,099,999  123</t>
  </si>
  <si>
    <t>ردیف: 124  دنا پلاس اتوماتيك با موتور EF7_TC کلاس 9 سفيد دو پوششه  شناسه خودرو  مبلغ پایه  قيمت برنده  جایگاه  PE695730  3,500,000,000  4,960,000,000  124</t>
  </si>
  <si>
    <t>ردیف: 125  پژو 207i دستي کلاس 17 سفيد دو پوششه  شناسه خودرو  مبلغ پایه  قيمت برنده  جایگاه  PJ569418  3,000,000,000  4,866,999,999  125</t>
  </si>
  <si>
    <t>ردیف: 126  پژو پارس TU5 كلاس20 سفيد دو پوششه  شناسه خودرو  مبلغ پایه  قيمت برنده  جایگاه  MK143142  3,000,000,000  3,680,000,000  126</t>
  </si>
  <si>
    <t>ردیف: 127  پژو پارس TU5 كلاس20 سفيد دو پوششه  شناسه خودرو  مبلغ پایه  قيمت برنده  جایگاه  MH658348  3,000,000,000  3,480,088,888  127</t>
  </si>
  <si>
    <t>ردیف: 128  دنا+ (پلاس) كلاس 1 خاكستري متاليك  شناسه خودرو  مبلغ پایه  قيمت برنده  جایگاه  JE082556  2,800,000,000  3,881,800,008  128</t>
  </si>
  <si>
    <t>ردیف: 129  پژو 207i دستي کلاس 10 مشكي متاليك  شناسه خودرو  مبلغ پایه  قيمت برنده  جایگاه  MJ223148  2,500,000,000  3,620,000,000  129</t>
  </si>
  <si>
    <t>ردیف: 130  پژو 207i دستي كلاس 6 سفيد دو پوششه  شناسه خودرو  مبلغ پایه  قيمت برنده  جایگاه  NJ367288  3,200,000,000  4,120,000,000  130</t>
  </si>
  <si>
    <t>ردیف: 131  پژو پارس اتوماتيك TU5JP4 کلاس 14 سفيد دو پوششه  شناسه خودرو  مبلغ پایه  قيمت برنده  جایگاه  LH400088  1,400,000,000  3,499,999,990  131</t>
  </si>
  <si>
    <t>ردیف: 132  دنا+ (پلاس) کلاس 17 مشكي متاليك  شناسه خودرو  مبلغ پایه  قيمت برنده  جایگاه  ME357066  2,700,000,000  3,722,222,222  132</t>
  </si>
  <si>
    <t>ردیف: 133  پژو 207i با موتور TU3 کلاس 2 سفيد دو پوششه  شناسه خودرو  مبلغ پایه  قيمت برنده  جایگاه  PJ021104  2,300,000,000  3,055,555,555  133</t>
  </si>
  <si>
    <t>ردیف: 134  پژو اس ال ايكس انژكتوري SLX با موتور  TU5 كلاس 9 سفيد دوپوششه كانزاي  شناسه خودرو  مبلغ پایه  قيمت برنده  جایگاه  JK700653  2,100,000,000  3,080,009,999  136</t>
  </si>
  <si>
    <t>ردیف: 135  دنا+ (پلاس) کلاس 14 نقره اي متاليك  شناسه خودرو  مبلغ پایه  قيمت برنده  جایگاه  LE275541  3,000,000,000  5,022,150,000  137</t>
  </si>
  <si>
    <t>ردیف: 136  پژو 206 معمولي کلاس35 سفيد دو پوششه  شناسه خودرو  مبلغ پایه  قيمت برنده  جایگاه  NJ373089  2,400,000,000  3,269,999,999  138</t>
  </si>
  <si>
    <t>ردیف: 137  رانا کلاس 15 خاكستري متاليك  شناسه خودرو  مبلغ پایه  قيمت برنده  جایگاه  NT374505  1,700,000,000  2,386,666,666  139</t>
  </si>
  <si>
    <t>تارا اتوماتيک کلاس 1  خاكستري متاليك</t>
  </si>
  <si>
    <t>ردیف: 138  تارا اتوماتيک کلاس 1  خاكستري متاليك  شناسه خودرو  مبلغ پایه  قيمت برنده  جایگاه  PDA09909  4,500,000,000  4,670,000,009  140</t>
  </si>
  <si>
    <t>ردیف: 139  تارا دستي کلاس 7 مشكي متاليك (آبنوس)  شناسه خودرو  مبلغ پایه  قيمت برنده  جایگاه  PD800701  3,600,000,000    141</t>
  </si>
  <si>
    <t>ردیف: 140  سمند ال ايكسEF7 كلاس 10 سفيد دو پوششه  شناسه خودرو  مبلغ پایه  قيمت برنده  جایگاه  FF512745  1,100,000,000  1,250,000,001  142</t>
  </si>
  <si>
    <t>ردیف: 141  پژو پارس سال با موتور XU7 P کلاس 8 سفيد دو پوششه  شناسه خودرو  مبلغ پایه  قيمت برنده  جایگاه  PH944218  1,400,000,000  3,409,528,600  143</t>
  </si>
  <si>
    <t>ردیف: 142  پژو پارس کلاس 42 سفيد دوپوششه كانزاي  شناسه خودرو  مبلغ پایه  قيمت برنده  جایگاه  LK051663  1,400,000,000  2,460,000,009  144</t>
  </si>
  <si>
    <t>ردیف: 143  پژو پارس TU5 كلاس20 سفيد دو پوششه  شناسه خودرو  مبلغ پایه  قيمت برنده  جایگاه  NH219161  2,700,000,000  4,012,000,000  145</t>
  </si>
  <si>
    <t>ردیف: 144   تندر90+ (پلاس) اتوماتيك تندر90+ (پلاس) اتوماتيك سفيد شيري پرشين  شناسه خودرو  مبلغ پایه  قيمت برنده  جایگاه  HA611935  2,600,000,000  4,125,000,000  146</t>
  </si>
  <si>
    <t>پژو 207i اتوماتيک با موتور TU5P  کلاس 7 سفيد دو پوششه</t>
  </si>
  <si>
    <t>ردیف: 145  پژو 207i اتوماتيک با موتور TU5P  کلاس 7 سفيد دو پوششه  شناسه خودرو  مبلغ پایه  قيمت برنده  جایگاه  PJ019518  3,500,000,000  4,348,888,800  147</t>
  </si>
  <si>
    <t>ردیف: 146  سورن EF7 بنزيني کلاس 19 سفيد دو پوششه  شناسه خودرو  مبلغ پایه  قيمت برنده  جایگاه  MF902078  2,500,000,000    148</t>
  </si>
  <si>
    <t>ردیف: 147  پژو 206 1600 سي سي كلاس 15 سفيد دو پوششه  شناسه خودرو  مبلغ پایه  قيمت برنده  جایگاه  HJ127421  2,300,000,000  3,055,000,000  149</t>
  </si>
  <si>
    <t>ردیف: 148  پژو 207i دستي کلاس 10 سفيد دو پوششه  شناسه خودرو  مبلغ پایه  قيمت برنده  جایگاه  NJ356573  3,200,000,000  4,030,000,009  150</t>
  </si>
  <si>
    <t>ردیف: 149  پژو پارس سال با موتور XU7 P کلاس 5 سفيد دو پوششه  شناسه خودرو  مبلغ پایه  قيمت برنده  جایگاه  NK803254  3,100,000,000    151</t>
  </si>
  <si>
    <t>ردیف: 150  پژو پارس سال با موتور XU7 P کلاس 6 سفيد دو پوششه  شناسه خودرو  مبلغ پایه  قيمت برنده  جایگاه  PK103577  2,600,000,000    152</t>
  </si>
  <si>
    <t>ردیف: 151  پژو 207i اتوماتيک با موتور TU5P  کلاس 2 سفيد دو پوششه  شناسه خودرو  مبلغ پایه  قيمت برنده  جایگاه  NJ244945  2,800,000,000  5,388,888,000  153</t>
  </si>
  <si>
    <t>ردیف: 152  پژو پارس سال با موتور XU7 P کلاس 5 سفيد دو پوششه  شناسه خودرو  مبلغ پایه  قيمت برنده  جایگاه  NK800009  2,700,000,000    154</t>
  </si>
  <si>
    <t>ردیف: 153  پژو پارس سال با موتور XU7 P کلاس 3 سفيد دو پوششه  شناسه خودرو  مبلغ پایه  قيمت برنده  جایگاه  NK460102  2,500,000,000    155</t>
  </si>
  <si>
    <t>ردیف: 154  تارا دستي کلاس 1 نقره اي متاليك  شناسه خودرو  مبلغ پایه  قيمت برنده  جایگاه  MD914743  2,700,000,000  3,300,000,000  156</t>
  </si>
  <si>
    <t>ردیف: 155  پژو پارس TU5 كلاس 13 سفيد دو پوششه  شناسه خودرو  مبلغ پایه  قيمت برنده  جایگاه  JH947406  2,500,000,000    157</t>
  </si>
  <si>
    <t>ردیف: 156  پژو اس ال ايكس انژكتوري SLX با موتور  TU5 كلاس 9 سفيد دوپوششه كانزاي  شناسه خودرو  مبلغ پایه  قيمت برنده  جایگاه  KK213963  1,300,000,000  2,240,800,999  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</si>
</sst>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212529"/>
      <name val="Tahoma"/>
      <family val="2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EAA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EAEA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11111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5">
    <xf numFmtId="0" fontId="0" fillId="0" borderId="0" xfId="0"/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22" fontId="0" fillId="0" borderId="0" xfId="0" applyNumberFormat="1" applyAlignment="1">
      <alignment horizontal="left"/>
    </xf>
    <xf numFmtId="0" fontId="4" fillId="2" borderId="2" xfId="0" applyFont="1" applyFill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0" fillId="4" borderId="4" xfId="0" applyFill="1" applyBorder="1"/>
    <xf numFmtId="3" fontId="0" fillId="0" borderId="3" xfId="0" applyNumberFormat="1" applyBorder="1"/>
    <xf numFmtId="0" fontId="0" fillId="0" borderId="4" xfId="0" applyBorder="1"/>
    <xf numFmtId="3" fontId="0" fillId="4" borderId="3" xfId="0" applyNumberFormat="1" applyFill="1" applyBorder="1"/>
    <xf numFmtId="0" fontId="0" fillId="0" borderId="3" xfId="0" applyBorder="1"/>
    <xf numFmtId="0" fontId="4" fillId="3" borderId="0" xfId="0" applyFont="1" applyFill="1"/>
    <xf numFmtId="0" fontId="5" fillId="6" borderId="0" xfId="0" applyFont="1" applyFill="1" applyAlignment="1">
      <alignment horizontal="right" vertical="center" wrapText="1" indent="1"/>
    </xf>
    <xf numFmtId="0" fontId="6" fillId="6" borderId="0" xfId="3" applyFill="1" applyAlignment="1">
      <alignment horizontal="right" vertical="center" wrapText="1" indent="1"/>
    </xf>
    <xf numFmtId="0" fontId="5" fillId="7" borderId="0" xfId="0" applyFont="1" applyFill="1" applyAlignment="1">
      <alignment horizontal="right" vertical="center" wrapText="1" indent="1"/>
    </xf>
    <xf numFmtId="3" fontId="5" fillId="8" borderId="0" xfId="0" applyNumberFormat="1" applyFont="1" applyFill="1" applyAlignment="1">
      <alignment horizontal="right" vertical="center" wrapText="1" indent="1"/>
    </xf>
    <xf numFmtId="0" fontId="5" fillId="5" borderId="6" xfId="0" applyFont="1" applyFill="1" applyBorder="1" applyAlignment="1">
      <alignment horizontal="right" vertical="center" wrapText="1" indent="1"/>
    </xf>
    <xf numFmtId="0" fontId="6" fillId="5" borderId="6" xfId="3" applyFill="1" applyBorder="1" applyAlignment="1">
      <alignment horizontal="right" vertical="center" wrapText="1" indent="1"/>
    </xf>
    <xf numFmtId="0" fontId="5" fillId="9" borderId="6" xfId="0" applyFont="1" applyFill="1" applyBorder="1" applyAlignment="1">
      <alignment horizontal="right" vertical="center" wrapText="1" indent="1"/>
    </xf>
    <xf numFmtId="3" fontId="5" fillId="8" borderId="6" xfId="0" applyNumberFormat="1" applyFont="1" applyFill="1" applyBorder="1" applyAlignment="1">
      <alignment horizontal="right" vertical="center" wrapText="1" indent="1"/>
    </xf>
    <xf numFmtId="0" fontId="5" fillId="6" borderId="6" xfId="0" applyFont="1" applyFill="1" applyBorder="1" applyAlignment="1">
      <alignment horizontal="right" vertical="center" wrapText="1" indent="1"/>
    </xf>
    <xf numFmtId="0" fontId="6" fillId="6" borderId="6" xfId="3" applyFill="1" applyBorder="1" applyAlignment="1">
      <alignment horizontal="right" vertical="center" wrapText="1" indent="1"/>
    </xf>
    <xf numFmtId="0" fontId="5" fillId="7" borderId="6" xfId="0" applyFont="1" applyFill="1" applyBorder="1" applyAlignment="1">
      <alignment horizontal="right" vertical="center" wrapText="1" indent="1"/>
    </xf>
    <xf numFmtId="0" fontId="5" fillId="8" borderId="6" xfId="0" applyFont="1" applyFill="1" applyBorder="1" applyAlignment="1">
      <alignment horizontal="right" vertical="center" wrapText="1" indent="1"/>
    </xf>
    <xf numFmtId="0" fontId="6" fillId="10" borderId="7" xfId="3" applyFill="1" applyBorder="1" applyAlignment="1">
      <alignment horizontal="right" vertical="center" wrapText="1" indent="1"/>
    </xf>
    <xf numFmtId="0" fontId="5" fillId="10" borderId="7" xfId="0" applyFont="1" applyFill="1" applyBorder="1" applyAlignment="1">
      <alignment horizontal="right" vertical="center" wrapText="1" indent="1"/>
    </xf>
    <xf numFmtId="0" fontId="5" fillId="11" borderId="7" xfId="0" applyFont="1" applyFill="1" applyBorder="1" applyAlignment="1">
      <alignment horizontal="right" vertical="center" wrapText="1" indent="1"/>
    </xf>
    <xf numFmtId="3" fontId="5" fillId="8" borderId="7" xfId="0" applyNumberFormat="1" applyFont="1" applyFill="1" applyBorder="1" applyAlignment="1">
      <alignment horizontal="right" vertical="center" wrapText="1" indent="1"/>
    </xf>
    <xf numFmtId="0" fontId="5" fillId="10" borderId="0" xfId="0" applyFont="1" applyFill="1" applyAlignment="1">
      <alignment horizontal="right" vertical="center" wrapText="1" indent="1"/>
    </xf>
    <xf numFmtId="0" fontId="6" fillId="10" borderId="0" xfId="3" applyFill="1" applyAlignment="1">
      <alignment horizontal="right" vertical="center" wrapText="1" indent="1"/>
    </xf>
    <xf numFmtId="0" fontId="5" fillId="11" borderId="0" xfId="0" applyFont="1" applyFill="1" applyAlignment="1">
      <alignment horizontal="right" vertical="center" wrapText="1" indent="1"/>
    </xf>
    <xf numFmtId="0" fontId="6" fillId="5" borderId="7" xfId="3" applyFill="1" applyBorder="1" applyAlignment="1">
      <alignment horizontal="right" vertical="center" wrapText="1" indent="1"/>
    </xf>
    <xf numFmtId="0" fontId="5" fillId="5" borderId="7" xfId="0" applyFont="1" applyFill="1" applyBorder="1" applyAlignment="1">
      <alignment horizontal="right" vertical="center" wrapText="1" indent="1"/>
    </xf>
    <xf numFmtId="0" fontId="5" fillId="9" borderId="7" xfId="0" applyFont="1" applyFill="1" applyBorder="1" applyAlignment="1">
      <alignment horizontal="right" vertical="center" wrapText="1" indent="1"/>
    </xf>
    <xf numFmtId="164" fontId="0" fillId="0" borderId="0" xfId="2" applyNumberFormat="1" applyFont="1"/>
    <xf numFmtId="9" fontId="0" fillId="0" borderId="0" xfId="1" applyFont="1"/>
    <xf numFmtId="0" fontId="0" fillId="4" borderId="0" xfId="0" applyFill="1"/>
    <xf numFmtId="0" fontId="0" fillId="4" borderId="3" xfId="0" applyFill="1" applyBorder="1"/>
    <xf numFmtId="0" fontId="0" fillId="0" borderId="5" xfId="0" applyBorder="1"/>
    <xf numFmtId="0" fontId="6" fillId="6" borderId="7" xfId="3" applyFill="1" applyBorder="1" applyAlignment="1">
      <alignment horizontal="right" vertical="center" wrapText="1" indent="1"/>
    </xf>
    <xf numFmtId="0" fontId="5" fillId="5" borderId="0" xfId="0" applyFont="1" applyFill="1" applyAlignment="1">
      <alignment horizontal="right" vertical="center" wrapText="1" indent="1"/>
    </xf>
    <xf numFmtId="0" fontId="6" fillId="5" borderId="0" xfId="3" applyFill="1" applyBorder="1" applyAlignment="1">
      <alignment horizontal="right" vertical="center" wrapText="1" indent="1"/>
    </xf>
    <xf numFmtId="0" fontId="5" fillId="9" borderId="0" xfId="0" applyFont="1" applyFill="1" applyAlignment="1">
      <alignment horizontal="right" vertical="center" wrapText="1" indent="1"/>
    </xf>
    <xf numFmtId="11" fontId="0" fillId="0" borderId="0" xfId="0" applyNumberFormat="1"/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5">
    <dxf>
      <numFmt numFmtId="14" formatCode="0.00%"/>
    </dxf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uctionScraper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auctionScraper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ef Farzi" refreshedDate="44873.534665509258" createdVersion="8" refreshedVersion="8" minRefreshableVersion="3" recordCount="30" xr:uid="{5B9B44FF-8974-4469-A5C1-07D8065009D3}">
  <cacheSource type="worksheet">
    <worksheetSource ref="A1:S76" sheet="Sheet3" r:id="rId2"/>
  </cacheSource>
  <cacheFields count="6">
    <cacheField name="نوع" numFmtId="0">
      <sharedItems count="3">
        <s v="عادی"/>
        <s v="طرح جوانی جمعیت"/>
        <s v="طرح جایگزینی خودرو فرسوده"/>
      </sharedItems>
    </cacheField>
    <cacheField name="فروش" numFmtId="0">
      <sharedItems count="2">
        <s v="فوق العاده"/>
        <s v="پیش فروش"/>
      </sharedItems>
    </cacheField>
    <cacheField name="خودرو" numFmtId="0">
      <sharedItems count="10">
        <s v="سورن پلاس"/>
        <s v="پارس XU7P"/>
        <s v="پارس XU7P سفارشی"/>
        <s v="207 دستی فرمان برقی"/>
        <s v="207 اتومات مولتی کالر"/>
        <s v="تارا دستی"/>
        <s v="تارا اتومات"/>
        <s v="دناپلاس توربو MT6"/>
        <s v="دناپلاس توربو اتومات"/>
        <s v="رانا پلاس"/>
      </sharedItems>
    </cacheField>
    <cacheField name="متقاضیان" numFmtId="0">
      <sharedItems containsSemiMixedTypes="0" containsString="0" containsNumber="1" containsInteger="1" minValue="739" maxValue="2056531"/>
    </cacheField>
    <cacheField name="ظرفیت فروش" numFmtId="0">
      <sharedItems containsSemiMixedTypes="0" containsString="0" containsNumber="1" containsInteger="1" minValue="70" maxValue="5500"/>
    </cacheField>
    <cacheField name="درصد" numFmtId="10">
      <sharedItems containsSemiMixedTypes="0" containsString="0" containsNumber="1" minValue="1.0613450824233958E-3" maxValue="1.07973421926910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ef Farzi" refreshedDate="44877.473937615738" createdVersion="8" refreshedVersion="8" minRefreshableVersion="3" recordCount="20" xr:uid="{8AAE8AFA-E90E-4678-8062-35FA74B89F5B}">
  <cacheSource type="worksheet">
    <worksheetSource ref="A1:L76" sheet="Sheet3" r:id="rId2"/>
  </cacheSource>
  <cacheFields count="10">
    <cacheField name="Price" numFmtId="3">
      <sharedItems containsSemiMixedTypes="0" containsString="0" containsNumber="1" containsInteger="1" minValue="309000000" maxValue="420000000"/>
    </cacheField>
    <cacheField name="description" numFmtId="0">
      <sharedItems/>
    </cacheField>
    <cacheField name="car name" numFmtId="0">
      <sharedItems/>
    </cacheField>
    <cacheField name="date posted" numFmtId="0">
      <sharedItems/>
    </cacheField>
    <cacheField name="type" numFmtId="0">
      <sharedItems containsBlank="1" count="3">
        <s v="نمایشگاه"/>
        <s v="Personal"/>
        <m u="1"/>
      </sharedItems>
    </cacheField>
    <cacheField name="identifier" numFmtId="0">
      <sharedItems count="15">
        <s v="xu5xt7yw"/>
        <s v="vky5aan"/>
        <s v="nu6gqdka"/>
        <s v="x7kfuc4f"/>
        <s v="xun1wnon"/>
        <s v="zwnjxzf5"/>
        <s v="pm47xjmz"/>
        <s v="fkeed39b"/>
        <s v="jt59hoa"/>
        <s v="q6egcxvm"/>
        <s v="xk2wh5cb"/>
        <s v="g7vf5q7b"/>
        <s v="dcmshnbt"/>
        <s v="3qxrv6p8"/>
        <s v="mux26ect"/>
      </sharedItems>
    </cacheField>
    <cacheField name="date scraped" numFmtId="22">
      <sharedItems containsSemiMixedTypes="0" containsNonDate="0" containsDate="1" containsString="0" minDate="2022-11-08T13:22:34" maxDate="2022-11-12T10:32:25" count="4">
        <d v="2022-11-08T13:22:34"/>
        <d v="2022-11-08T13:22:35"/>
        <d v="2022-11-08T13:22:36"/>
        <d v="2022-11-12T10:32:25"/>
      </sharedItems>
      <fieldGroup base="6">
        <rangePr groupBy="days" startDate="2022-11-08T13:22:34" endDate="2022-11-12T10:32:25"/>
        <groupItems count="368">
          <s v="&lt;11/8/2022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2/2022"/>
        </groupItems>
      </fieldGroup>
    </cacheField>
    <cacheField name="Column1" numFmtId="0">
      <sharedItems/>
    </cacheField>
    <cacheField name="realDatePosted" numFmtId="0">
      <sharedItems count="27">
        <s v="1401/8/16"/>
        <s v="1401/8/15"/>
        <s v="1401/8/14"/>
        <s v="1401/8/11"/>
        <s v="1401/8/2"/>
        <s v="1401/7/29"/>
        <s v="1401/7/21"/>
        <s v="1401/7/20"/>
        <s v="1401/7/18"/>
        <s v="1401/8/21"/>
        <s v="1401/8/10"/>
        <s v="1401/08/11" u="1"/>
        <s v="141/8/11" u="1"/>
        <s v="141/8/16" u="1"/>
        <s v="141/8/21" u="1"/>
        <s v="141/7/21" u="1"/>
        <s v="141/8/15" u="1"/>
        <s v="1401/08/14" u="1"/>
        <s v="1401/08/15" u="1"/>
        <s v="141/8/14" u="1"/>
        <s v="1401/08/16" u="1"/>
        <s v="141/7/29" u="1"/>
        <s v="141/8/1" u="1"/>
        <s v="1401/08/21" u="1"/>
        <s v="141/8/2" u="1"/>
        <s v="141/7/18" u="1"/>
        <s v="141/7/2" u="1"/>
      </sharedItems>
    </cacheField>
    <cacheField name="realScrapedDate" numFmtId="0">
      <sharedItems count="2">
        <s v="1401/8/17"/>
        <s v="1401/8/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n v="530905"/>
    <n v="800"/>
    <n v="1.5068609261543967E-3"/>
  </r>
  <r>
    <x v="0"/>
    <x v="0"/>
    <x v="1"/>
    <n v="2056531"/>
    <n v="4400"/>
    <n v="2.1395252490723454E-3"/>
  </r>
  <r>
    <x v="0"/>
    <x v="0"/>
    <x v="2"/>
    <n v="1507521"/>
    <n v="1600"/>
    <n v="1.0613450824233958E-3"/>
  </r>
  <r>
    <x v="0"/>
    <x v="0"/>
    <x v="3"/>
    <n v="1215167"/>
    <n v="2400"/>
    <n v="1.9750371759601768E-3"/>
  </r>
  <r>
    <x v="0"/>
    <x v="0"/>
    <x v="4"/>
    <n v="443901"/>
    <n v="800"/>
    <n v="1.8022036445063201E-3"/>
  </r>
  <r>
    <x v="0"/>
    <x v="1"/>
    <x v="5"/>
    <n v="44106"/>
    <n v="1657"/>
    <n v="3.7568584773046754E-2"/>
  </r>
  <r>
    <x v="0"/>
    <x v="1"/>
    <x v="6"/>
    <n v="42103"/>
    <n v="1040"/>
    <n v="2.4701327696363681E-2"/>
  </r>
  <r>
    <x v="0"/>
    <x v="1"/>
    <x v="7"/>
    <n v="56610"/>
    <n v="680"/>
    <n v="1.2012012012012012E-2"/>
  </r>
  <r>
    <x v="0"/>
    <x v="1"/>
    <x v="8"/>
    <n v="85173"/>
    <n v="2400"/>
    <n v="2.8177943714557431E-2"/>
  </r>
  <r>
    <x v="0"/>
    <x v="1"/>
    <x v="9"/>
    <n v="70679"/>
    <n v="280"/>
    <n v="3.961572744379519E-3"/>
  </r>
  <r>
    <x v="1"/>
    <x v="0"/>
    <x v="0"/>
    <n v="13389"/>
    <n v="1000"/>
    <n v="7.4688176861602812E-2"/>
  </r>
  <r>
    <x v="1"/>
    <x v="0"/>
    <x v="1"/>
    <n v="90677"/>
    <n v="5500"/>
    <n v="6.0654851836739195E-2"/>
  </r>
  <r>
    <x v="1"/>
    <x v="0"/>
    <x v="2"/>
    <n v="131314"/>
    <n v="5500"/>
    <n v="4.1884338303608146E-2"/>
  </r>
  <r>
    <x v="1"/>
    <x v="0"/>
    <x v="3"/>
    <n v="50848"/>
    <n v="3000"/>
    <n v="5.8999370673379486E-2"/>
  </r>
  <r>
    <x v="1"/>
    <x v="0"/>
    <x v="4"/>
    <n v="16881"/>
    <n v="1000"/>
    <n v="5.9238196789289731E-2"/>
  </r>
  <r>
    <x v="1"/>
    <x v="1"/>
    <x v="5"/>
    <n v="1043"/>
    <n v="1043"/>
    <n v="1"/>
  </r>
  <r>
    <x v="1"/>
    <x v="1"/>
    <x v="6"/>
    <n v="1204"/>
    <n v="1300"/>
    <n v="1.0797342192691031"/>
  </r>
  <r>
    <x v="1"/>
    <x v="1"/>
    <x v="7"/>
    <n v="1949"/>
    <n v="850"/>
    <n v="0.43612108773730118"/>
  </r>
  <r>
    <x v="1"/>
    <x v="1"/>
    <x v="8"/>
    <n v="2890"/>
    <n v="3000"/>
    <n v="1.0380622837370241"/>
  </r>
  <r>
    <x v="1"/>
    <x v="1"/>
    <x v="9"/>
    <n v="2084"/>
    <n v="350"/>
    <n v="0.16794625719769674"/>
  </r>
  <r>
    <x v="2"/>
    <x v="0"/>
    <x v="0"/>
    <n v="6928"/>
    <n v="200"/>
    <n v="2.8868360277136258E-2"/>
  </r>
  <r>
    <x v="2"/>
    <x v="0"/>
    <x v="1"/>
    <n v="63263"/>
    <n v="1100"/>
    <n v="1.73877305850181E-2"/>
  </r>
  <r>
    <x v="2"/>
    <x v="0"/>
    <x v="2"/>
    <n v="41855"/>
    <n v="400"/>
    <n v="9.556803249313104E-3"/>
  </r>
  <r>
    <x v="2"/>
    <x v="0"/>
    <x v="3"/>
    <n v="28938"/>
    <n v="600"/>
    <n v="2.0733982998133942E-2"/>
  </r>
  <r>
    <x v="2"/>
    <x v="0"/>
    <x v="4"/>
    <n v="7512"/>
    <n v="200"/>
    <n v="2.6624068157614485E-2"/>
  </r>
  <r>
    <x v="2"/>
    <x v="1"/>
    <x v="5"/>
    <n v="743"/>
    <n v="300"/>
    <n v="0.40376850605652759"/>
  </r>
  <r>
    <x v="2"/>
    <x v="1"/>
    <x v="6"/>
    <n v="739"/>
    <n v="260"/>
    <n v="0.35182679296346414"/>
  </r>
  <r>
    <x v="2"/>
    <x v="1"/>
    <x v="7"/>
    <n v="1070"/>
    <n v="170"/>
    <n v="0.15887850467289719"/>
  </r>
  <r>
    <x v="2"/>
    <x v="1"/>
    <x v="8"/>
    <n v="1624"/>
    <n v="600"/>
    <n v="0.36945812807881773"/>
  </r>
  <r>
    <x v="2"/>
    <x v="1"/>
    <x v="9"/>
    <n v="1877"/>
    <n v="70"/>
    <n v="3.729355354288758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407000000"/>
    <s v="1401_x000a_._x000a_کارکرد صفر_x000a_._x000a_LX"/>
    <s v="پژو، پارس"/>
    <s v="دیروز"/>
    <x v="0"/>
    <x v="0"/>
    <x v="0"/>
    <s v="1401/08/16"/>
    <x v="0"/>
    <x v="0"/>
  </r>
  <r>
    <n v="411500000"/>
    <s v="1401_x000a_._x000a_کارکرد صفر_x000a_._x000a_LX"/>
    <s v="پژو، پارس"/>
    <s v="دیروز"/>
    <x v="0"/>
    <x v="1"/>
    <x v="0"/>
    <s v="1401/08/16"/>
    <x v="0"/>
    <x v="0"/>
  </r>
  <r>
    <n v="413500000"/>
    <s v="1401_x000a_._x000a_کارکرد صفر_x000a_._x000a_LX"/>
    <s v="پژو، پارس"/>
    <s v="دیروز"/>
    <x v="0"/>
    <x v="2"/>
    <x v="0"/>
    <s v="1401/08/16"/>
    <x v="0"/>
    <x v="0"/>
  </r>
  <r>
    <n v="402000000"/>
    <s v="1401_x000a_._x000a_کارکرد صفر_x000a_._x000a_LX"/>
    <s v="پژو، پارس"/>
    <s v="دیروز"/>
    <x v="0"/>
    <x v="3"/>
    <x v="0"/>
    <s v="1401/08/16"/>
    <x v="0"/>
    <x v="0"/>
  </r>
  <r>
    <n v="401000000"/>
    <s v="1401_x000a_._x000a_کارکرد صفر_x000a_._x000a_LX"/>
    <s v="پژو، پارس"/>
    <s v="2 روز پیش"/>
    <x v="0"/>
    <x v="4"/>
    <x v="1"/>
    <s v="1401/08/15"/>
    <x v="1"/>
    <x v="0"/>
  </r>
  <r>
    <n v="420000000"/>
    <s v="1401_x000a_._x000a_کارکرد صفر_x000a_._x000a_LX"/>
    <s v="پژو، پارس"/>
    <s v="2 روز پیش"/>
    <x v="1"/>
    <x v="5"/>
    <x v="1"/>
    <s v="1401/08/15"/>
    <x v="1"/>
    <x v="0"/>
  </r>
  <r>
    <n v="402500000"/>
    <s v="1401_x000a_._x000a_کارکرد صفر_x000a_._x000a_LX"/>
    <s v="پژو، پارس"/>
    <s v="3 روز پیش"/>
    <x v="0"/>
    <x v="6"/>
    <x v="1"/>
    <s v="1401/08/14"/>
    <x v="2"/>
    <x v="0"/>
  </r>
  <r>
    <n v="405000000"/>
    <s v="1401_x000a_._x000a_کارکرد صفر_x000a_._x000a_LX"/>
    <s v="پژو، پارس"/>
    <s v="6 روز پیش"/>
    <x v="1"/>
    <x v="7"/>
    <x v="1"/>
    <s v="1401/08/11"/>
    <x v="3"/>
    <x v="0"/>
  </r>
  <r>
    <n v="407000000"/>
    <s v="1401_x000a_._x000a_کارکرد صفر_x000a_._x000a_LX"/>
    <s v="پژو، پارس"/>
    <s v="1401/8/2"/>
    <x v="1"/>
    <x v="8"/>
    <x v="2"/>
    <s v="1401/08/17"/>
    <x v="4"/>
    <x v="0"/>
  </r>
  <r>
    <n v="403000000"/>
    <s v="1401_x000a_._x000a_کارکرد صفر_x000a_._x000a_LX"/>
    <s v="پژو، پارس"/>
    <s v="1401/7/29"/>
    <x v="1"/>
    <x v="9"/>
    <x v="2"/>
    <s v="1401/08/17"/>
    <x v="5"/>
    <x v="0"/>
  </r>
  <r>
    <n v="397000000"/>
    <s v="1401_x000a_._x000a_کارکرد صفر_x000a_._x000a_LX"/>
    <s v="پژو، پارس"/>
    <s v="1401/7/21"/>
    <x v="1"/>
    <x v="10"/>
    <x v="2"/>
    <s v="1401/08/17"/>
    <x v="6"/>
    <x v="0"/>
  </r>
  <r>
    <n v="392000000"/>
    <s v="1401_x000a_._x000a_کارکرد صفر_x000a_._x000a_LX"/>
    <s v="پژو، پارس"/>
    <s v="1401/7/20"/>
    <x v="1"/>
    <x v="11"/>
    <x v="2"/>
    <s v="1401/08/17"/>
    <x v="7"/>
    <x v="0"/>
  </r>
  <r>
    <n v="309000000"/>
    <s v="1401_x000a_._x000a_کارکرد صفر_x000a_._x000a_LX"/>
    <s v="پژو، پارس"/>
    <s v="1401/7/18"/>
    <x v="1"/>
    <x v="12"/>
    <x v="2"/>
    <s v="1401/08/17"/>
    <x v="8"/>
    <x v="0"/>
  </r>
  <r>
    <n v="420000000"/>
    <s v="1401_x000a_._x000a_کارکرد صفر_x000a_._x000a_LX"/>
    <s v="پژو، پارس"/>
    <s v="دقایقی پیش"/>
    <x v="1"/>
    <x v="13"/>
    <x v="3"/>
    <s v="1401/08/21"/>
    <x v="9"/>
    <x v="1"/>
  </r>
  <r>
    <n v="415000000"/>
    <s v="1401_x000a_._x000a_کارکرد صفر_x000a_._x000a_LX"/>
    <s v="پژو، پارس"/>
    <s v="دقایقی پیش"/>
    <x v="0"/>
    <x v="14"/>
    <x v="3"/>
    <s v="1401/08/21"/>
    <x v="9"/>
    <x v="1"/>
  </r>
  <r>
    <n v="420000000"/>
    <s v="1401_x000a_._x000a_کارکرد صفر_x000a_._x000a_LX"/>
    <s v="پژو، پارس"/>
    <s v="6 روز پیش"/>
    <x v="1"/>
    <x v="5"/>
    <x v="3"/>
    <s v="1401/08/21"/>
    <x v="1"/>
    <x v="1"/>
  </r>
  <r>
    <n v="405000000"/>
    <s v="1401_x000a_._x000a_کارکرد صفر_x000a_._x000a_LX"/>
    <s v="پژو، پارس"/>
    <s v="1401/8/10"/>
    <x v="1"/>
    <x v="7"/>
    <x v="3"/>
    <s v="1401/08/21"/>
    <x v="10"/>
    <x v="1"/>
  </r>
  <r>
    <n v="407000000"/>
    <s v="1401_x000a_._x000a_کارکرد صفر_x000a_._x000a_LX"/>
    <s v="پژو، پارس"/>
    <s v="1401/8/2"/>
    <x v="1"/>
    <x v="8"/>
    <x v="3"/>
    <s v="1401/08/21"/>
    <x v="4"/>
    <x v="1"/>
  </r>
  <r>
    <n v="403000000"/>
    <s v="1401_x000a_._x000a_کارکرد صفر_x000a_._x000a_LX"/>
    <s v="پژو، پارس"/>
    <s v="1401/7/29"/>
    <x v="1"/>
    <x v="9"/>
    <x v="3"/>
    <s v="1401/08/21"/>
    <x v="5"/>
    <x v="1"/>
  </r>
  <r>
    <n v="397000000"/>
    <s v="1401_x000a_._x000a_کارکرد صفر_x000a_._x000a_LX"/>
    <s v="پژو، پارس"/>
    <s v="1401/7/21"/>
    <x v="1"/>
    <x v="10"/>
    <x v="3"/>
    <s v="1401/08/21"/>
    <x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E7C9D-CF06-4438-A089-D29A7AFA37EB}" name="PivotTable1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Y23" firstHeaderRow="1" firstDataRow="3" firstDataCol="1"/>
  <pivotFields count="10">
    <pivotField dataField="1" numFmtId="3" showAll="0"/>
    <pivotField showAll="0"/>
    <pivotField showAll="0"/>
    <pivotField showAll="0"/>
    <pivotField axis="axisRow" showAll="0">
      <items count="4">
        <item x="0"/>
        <item m="1" x="2"/>
        <item x="1"/>
        <item t="default"/>
      </items>
    </pivotField>
    <pivotField axis="axisRow" showAll="0">
      <items count="16">
        <item x="12"/>
        <item x="7"/>
        <item x="11"/>
        <item x="8"/>
        <item x="2"/>
        <item x="6"/>
        <item x="9"/>
        <item x="1"/>
        <item x="3"/>
        <item x="10"/>
        <item x="0"/>
        <item x="4"/>
        <item x="5"/>
        <item x="13"/>
        <item x="14"/>
        <item t="default"/>
      </items>
    </pivotField>
    <pivotField numFmtId="22" showAll="0"/>
    <pivotField showAll="0"/>
    <pivotField axis="axisCol" showAll="0">
      <items count="28">
        <item m="1" x="11"/>
        <item m="1" x="17"/>
        <item m="1" x="18"/>
        <item m="1" x="20"/>
        <item m="1" x="23"/>
        <item x="8"/>
        <item x="7"/>
        <item x="6"/>
        <item x="5"/>
        <item x="10"/>
        <item x="4"/>
        <item m="1" x="13"/>
        <item m="1" x="16"/>
        <item m="1" x="19"/>
        <item m="1" x="12"/>
        <item m="1" x="24"/>
        <item m="1" x="21"/>
        <item m="1" x="15"/>
        <item m="1" x="26"/>
        <item m="1" x="25"/>
        <item m="1" x="14"/>
        <item m="1" x="22"/>
        <item x="0"/>
        <item x="1"/>
        <item x="2"/>
        <item x="3"/>
        <item x="9"/>
        <item t="default"/>
      </items>
    </pivotField>
    <pivotField showAll="0"/>
  </pivotFields>
  <rowFields count="2">
    <field x="4"/>
    <field x="5"/>
  </rowFields>
  <rowItems count="18">
    <i>
      <x/>
    </i>
    <i r="1">
      <x v="4"/>
    </i>
    <i r="1">
      <x v="5"/>
    </i>
    <i r="1">
      <x v="7"/>
    </i>
    <i r="1">
      <x v="8"/>
    </i>
    <i r="1">
      <x v="10"/>
    </i>
    <i r="1">
      <x v="11"/>
    </i>
    <i r="1">
      <x v="14"/>
    </i>
    <i>
      <x v="2"/>
    </i>
    <i r="1">
      <x/>
    </i>
    <i r="1">
      <x v="1"/>
    </i>
    <i r="1">
      <x v="2"/>
    </i>
    <i r="1">
      <x v="3"/>
    </i>
    <i r="1">
      <x v="6"/>
    </i>
    <i r="1">
      <x v="9"/>
    </i>
    <i r="1">
      <x v="12"/>
    </i>
    <i r="1">
      <x v="13"/>
    </i>
    <i t="grand">
      <x/>
    </i>
  </rowItems>
  <colFields count="2">
    <field x="8"/>
    <field x="-2"/>
  </colFields>
  <colItems count="24"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 t="grand">
      <x/>
    </i>
    <i t="grand" i="1">
      <x/>
    </i>
  </colItems>
  <dataFields count="2">
    <dataField name="Average of Price" fld="0" subtotal="average" baseField="3" baseItem="0"/>
    <dataField name="Sum of Price" fld="0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1285E-79E6-4B8A-AD56-81D7E3D70EC4}" name="PivotTable3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0">
    <pivotField dataField="1" numFmtId="3" showAll="0"/>
    <pivotField showAll="0"/>
    <pivotField showAll="0"/>
    <pivotField showAll="0"/>
    <pivotField showAll="0"/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</pivotFields>
  <rowFields count="1">
    <field x="6"/>
  </rowFields>
  <rowItems count="3">
    <i>
      <x v="313"/>
    </i>
    <i>
      <x v="317"/>
    </i>
    <i t="grand">
      <x/>
    </i>
  </rowItems>
  <colItems count="1">
    <i/>
  </colItems>
  <dataFields count="1">
    <dataField name="Average of Price" fld="0" subtotal="average" baseField="6" baseItem="31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3317DE-A2A3-4BFF-8304-D8592A88E35D}" name="PivotTable5" cacheId="5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2:O30" firstHeaderRow="1" firstDataRow="2" firstDataCol="1"/>
  <pivotFields count="10">
    <pivotField dataField="1" numFmtId="3" showAll="0" defaultSubtotal="0"/>
    <pivotField showAll="0" defaultSubtotal="0"/>
    <pivotField showAll="0" defaultSubtotal="0"/>
    <pivotField showAll="0" sortType="descending" defaultSubtotal="0"/>
    <pivotField showAll="0" defaultSubtotal="0"/>
    <pivotField axis="axisRow" showAll="0" defaultSubtotal="0">
      <items count="15">
        <item x="13"/>
        <item x="12"/>
        <item x="7"/>
        <item x="11"/>
        <item x="8"/>
        <item x="14"/>
        <item x="2"/>
        <item x="6"/>
        <item x="9"/>
        <item x="1"/>
        <item x="3"/>
        <item x="10"/>
        <item x="0"/>
        <item x="4"/>
        <item x="5"/>
      </items>
    </pivotField>
    <pivotField numFmtId="22" showAll="0" defaultSubtotal="0"/>
    <pivotField showAll="0" defaultSubtotal="0"/>
    <pivotField axis="axisRow" showAll="0" sortType="descending" defaultSubtotal="0">
      <items count="27">
        <item m="1" x="14"/>
        <item m="1" x="24"/>
        <item m="1" x="13"/>
        <item m="1" x="16"/>
        <item m="1" x="19"/>
        <item m="1" x="12"/>
        <item m="1" x="22"/>
        <item m="1" x="21"/>
        <item m="1" x="15"/>
        <item m="1" x="26"/>
        <item m="1" x="25"/>
        <item x="9"/>
        <item x="4"/>
        <item x="0"/>
        <item x="1"/>
        <item x="2"/>
        <item x="3"/>
        <item x="10"/>
        <item x="5"/>
        <item x="6"/>
        <item x="7"/>
        <item x="8"/>
        <item m="1" x="23"/>
        <item m="1" x="20"/>
        <item m="1" x="18"/>
        <item m="1" x="17"/>
        <item m="1" x="11"/>
      </items>
    </pivotField>
    <pivotField axis="axisCol" showAll="0" defaultSubtotal="0">
      <items count="2">
        <item x="0"/>
        <item x="1"/>
      </items>
    </pivotField>
  </pivotFields>
  <rowFields count="2">
    <field x="8"/>
    <field x="5"/>
  </rowFields>
  <rowItems count="27">
    <i>
      <x v="11"/>
    </i>
    <i r="1">
      <x/>
    </i>
    <i r="1">
      <x v="5"/>
    </i>
    <i>
      <x v="12"/>
    </i>
    <i r="1">
      <x v="4"/>
    </i>
    <i>
      <x v="13"/>
    </i>
    <i r="1">
      <x v="6"/>
    </i>
    <i r="1">
      <x v="9"/>
    </i>
    <i r="1">
      <x v="10"/>
    </i>
    <i r="1">
      <x v="12"/>
    </i>
    <i>
      <x v="14"/>
    </i>
    <i r="1">
      <x v="13"/>
    </i>
    <i r="1">
      <x v="14"/>
    </i>
    <i>
      <x v="15"/>
    </i>
    <i r="1">
      <x v="7"/>
    </i>
    <i>
      <x v="16"/>
    </i>
    <i r="1">
      <x v="2"/>
    </i>
    <i>
      <x v="17"/>
    </i>
    <i r="1">
      <x v="2"/>
    </i>
    <i>
      <x v="18"/>
    </i>
    <i r="1">
      <x v="8"/>
    </i>
    <i>
      <x v="19"/>
    </i>
    <i r="1">
      <x v="11"/>
    </i>
    <i>
      <x v="20"/>
    </i>
    <i r="1">
      <x v="3"/>
    </i>
    <i>
      <x v="21"/>
    </i>
    <i r="1">
      <x v="1"/>
    </i>
  </rowItems>
  <colFields count="1">
    <field x="9"/>
  </colFields>
  <colItems count="2">
    <i>
      <x/>
    </i>
    <i>
      <x v="1"/>
    </i>
  </colItems>
  <dataFields count="1">
    <dataField name="Count of Price" fld="0" subtotal="count" baseField="8" baseItem="1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9EA7A-EF32-4C8F-92AA-D8188D16402B}" name="PivotTable4" cacheId="5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C31" firstHeaderRow="1" firstDataRow="2" firstDataCol="1"/>
  <pivotFields count="10">
    <pivotField dataField="1" numFmtId="3" showAll="0" defaultSubtotal="0"/>
    <pivotField showAll="0" defaultSubtotal="0"/>
    <pivotField showAll="0" defaultSubtotal="0"/>
    <pivotField showAll="0" sortType="descending" defaultSubtotal="0"/>
    <pivotField showAll="0" defaultSubtotal="0"/>
    <pivotField axis="axisRow" showAll="0" defaultSubtotal="0">
      <items count="15">
        <item x="13"/>
        <item x="12"/>
        <item x="7"/>
        <item x="11"/>
        <item x="8"/>
        <item x="14"/>
        <item x="2"/>
        <item x="6"/>
        <item x="9"/>
        <item x="1"/>
        <item x="3"/>
        <item x="10"/>
        <item x="0"/>
        <item x="4"/>
        <item x="5"/>
      </items>
    </pivotField>
    <pivotField numFmtId="22" showAll="0" defaultSubtotal="0"/>
    <pivotField showAll="0" defaultSubtotal="0"/>
    <pivotField axis="axisRow" showAll="0" sortType="descending" defaultSubtotal="0">
      <items count="27">
        <item m="1" x="14"/>
        <item m="1" x="24"/>
        <item m="1" x="13"/>
        <item m="1" x="16"/>
        <item m="1" x="19"/>
        <item m="1" x="12"/>
        <item m="1" x="22"/>
        <item m="1" x="21"/>
        <item m="1" x="15"/>
        <item m="1" x="26"/>
        <item m="1" x="25"/>
        <item x="9"/>
        <item x="4"/>
        <item x="0"/>
        <item x="1"/>
        <item x="2"/>
        <item x="3"/>
        <item x="10"/>
        <item x="5"/>
        <item x="6"/>
        <item x="7"/>
        <item x="8"/>
        <item m="1" x="23"/>
        <item m="1" x="20"/>
        <item m="1" x="18"/>
        <item m="1" x="17"/>
        <item m="1" x="11"/>
      </items>
    </pivotField>
    <pivotField axis="axisCol" showAll="0" defaultSubtotal="0">
      <items count="2">
        <item x="0"/>
        <item x="1"/>
      </items>
    </pivotField>
  </pivotFields>
  <rowFields count="2">
    <field x="8"/>
    <field x="5"/>
  </rowFields>
  <rowItems count="27">
    <i>
      <x v="11"/>
    </i>
    <i r="1">
      <x/>
    </i>
    <i r="1">
      <x v="5"/>
    </i>
    <i>
      <x v="12"/>
    </i>
    <i r="1">
      <x v="4"/>
    </i>
    <i>
      <x v="13"/>
    </i>
    <i r="1">
      <x v="6"/>
    </i>
    <i r="1">
      <x v="9"/>
    </i>
    <i r="1">
      <x v="10"/>
    </i>
    <i r="1">
      <x v="12"/>
    </i>
    <i>
      <x v="14"/>
    </i>
    <i r="1">
      <x v="13"/>
    </i>
    <i r="1">
      <x v="14"/>
    </i>
    <i>
      <x v="15"/>
    </i>
    <i r="1">
      <x v="7"/>
    </i>
    <i>
      <x v="16"/>
    </i>
    <i r="1">
      <x v="2"/>
    </i>
    <i>
      <x v="17"/>
    </i>
    <i r="1">
      <x v="2"/>
    </i>
    <i>
      <x v="18"/>
    </i>
    <i r="1">
      <x v="8"/>
    </i>
    <i>
      <x v="19"/>
    </i>
    <i r="1">
      <x v="11"/>
    </i>
    <i>
      <x v="20"/>
    </i>
    <i r="1">
      <x v="3"/>
    </i>
    <i>
      <x v="21"/>
    </i>
    <i r="1">
      <x v="1"/>
    </i>
  </rowItems>
  <colFields count="1">
    <field x="9"/>
  </colFields>
  <colItems count="2">
    <i>
      <x/>
    </i>
    <i>
      <x v="1"/>
    </i>
  </colItems>
  <dataFields count="1">
    <dataField name="Sum of Pric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E07D9-FEED-4A2D-920E-40E2230A9201}" name="PivotTable2" cacheId="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D16" firstHeaderRow="1" firstDataRow="2" firstDataCol="1"/>
  <pivotFields count="6">
    <pivotField axis="axisCol" showAll="0" sortType="descending" defaultSubtotal="0">
      <items count="3">
        <item x="0"/>
        <item x="1"/>
        <item x="2"/>
      </items>
    </pivotField>
    <pivotField axis="axisRow" showAll="0" defaultSubtotal="0">
      <items count="2">
        <item x="1"/>
        <item x="0"/>
      </items>
    </pivotField>
    <pivotField axis="axisRow" showAll="0" defaultSubtotal="0">
      <items count="10">
        <item x="4"/>
        <item x="3"/>
        <item x="1"/>
        <item x="2"/>
        <item x="6"/>
        <item x="5"/>
        <item x="7"/>
        <item x="8"/>
        <item x="9"/>
        <item x="0"/>
      </items>
    </pivotField>
    <pivotField showAll="0" defaultSubtotal="0"/>
    <pivotField showAll="0" defaultSubtotal="0"/>
    <pivotField dataField="1" numFmtId="10" showAll="0" defaultSubtotal="0"/>
  </pivotFields>
  <rowFields count="2">
    <field x="1"/>
    <field x="2"/>
  </rowFields>
  <rowItems count="12">
    <i>
      <x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9"/>
    </i>
  </rowItems>
  <colFields count="1">
    <field x="0"/>
  </colFields>
  <colItems count="3">
    <i>
      <x/>
    </i>
    <i>
      <x v="1"/>
    </i>
    <i>
      <x v="2"/>
    </i>
  </colItems>
  <dataFields count="1">
    <dataField name="Min of درصد" fld="5" subtotal="min" baseField="1" baseItem="0"/>
  </dataFields>
  <formats count="3">
    <format dxfId="2">
      <pivotArea collapsedLevelsAreSubtotals="1" fieldPosition="0">
        <references count="2">
          <reference field="1" count="1" selected="0">
            <x v="0"/>
          </reference>
          <reference field="2" count="5">
            <x v="4"/>
            <x v="5"/>
            <x v="6"/>
            <x v="7"/>
            <x v="8"/>
          </reference>
        </references>
      </pivotArea>
    </format>
    <format dxfId="1">
      <pivotArea collapsedLevelsAreSubtotals="1" fieldPosition="0">
        <references count="1">
          <reference field="1" count="1">
            <x v="1"/>
          </reference>
        </references>
      </pivotArea>
    </format>
    <format dxfId="0">
      <pivotArea collapsedLevelsAreSubtotals="1" fieldPosition="0">
        <references count="2">
          <reference field="1" count="1" selected="0">
            <x v="1"/>
          </reference>
          <reference field="2" count="5">
            <x v="0"/>
            <x v="1"/>
            <x v="2"/>
            <x v="3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522" Type="http://schemas.openxmlformats.org/officeDocument/2006/relationships/hyperlink" Target="https://auction.ikco.ir/auction/details/34?r=166" TargetMode="External"/><Relationship Id="rId21" Type="http://schemas.openxmlformats.org/officeDocument/2006/relationships/hyperlink" Target="javascript:void(0)" TargetMode="External"/><Relationship Id="rId170" Type="http://schemas.openxmlformats.org/officeDocument/2006/relationships/hyperlink" Target="https://auction.ikco.ir/auction/details/34?r=443" TargetMode="External"/><Relationship Id="rId268" Type="http://schemas.openxmlformats.org/officeDocument/2006/relationships/hyperlink" Target="https://auction.ikco.ir/auction/details/34?r=485" TargetMode="External"/><Relationship Id="rId475" Type="http://schemas.openxmlformats.org/officeDocument/2006/relationships/hyperlink" Target="https://auction.ikco.ir/auction/details/34?r=507" TargetMode="External"/><Relationship Id="rId682" Type="http://schemas.openxmlformats.org/officeDocument/2006/relationships/hyperlink" Target="javascript:void(0)" TargetMode="External"/><Relationship Id="rId128" Type="http://schemas.openxmlformats.org/officeDocument/2006/relationships/hyperlink" Target="https://auction.ikco.ir/auction/details/34?r=473" TargetMode="External"/><Relationship Id="rId335" Type="http://schemas.openxmlformats.org/officeDocument/2006/relationships/hyperlink" Target="javascript:void(0)" TargetMode="External"/><Relationship Id="rId542" Type="http://schemas.openxmlformats.org/officeDocument/2006/relationships/hyperlink" Target="javascript:void(0)" TargetMode="External"/><Relationship Id="rId987" Type="http://schemas.openxmlformats.org/officeDocument/2006/relationships/hyperlink" Target="https://auction.ikco.ir/auction/details/34?r=361" TargetMode="External"/><Relationship Id="rId1172" Type="http://schemas.openxmlformats.org/officeDocument/2006/relationships/hyperlink" Target="https://auction.ikco.ir/auction/details/34?r=59" TargetMode="External"/><Relationship Id="rId402" Type="http://schemas.openxmlformats.org/officeDocument/2006/relationships/hyperlink" Target="https://auction.ikco.ir/auction/details/34?r=278" TargetMode="External"/><Relationship Id="rId847" Type="http://schemas.openxmlformats.org/officeDocument/2006/relationships/hyperlink" Target="javascript:void(0)" TargetMode="External"/><Relationship Id="rId1032" Type="http://schemas.openxmlformats.org/officeDocument/2006/relationships/hyperlink" Target="javascript:void(0)" TargetMode="External"/><Relationship Id="rId1477" Type="http://schemas.openxmlformats.org/officeDocument/2006/relationships/hyperlink" Target="https://auction.ikco.ir/auction/details/34?r=484" TargetMode="External"/><Relationship Id="rId1684" Type="http://schemas.openxmlformats.org/officeDocument/2006/relationships/hyperlink" Target="javascript:void(0)" TargetMode="External"/><Relationship Id="rId707" Type="http://schemas.openxmlformats.org/officeDocument/2006/relationships/hyperlink" Target="https://auction.ikco.ir/auction/details/34?r=157" TargetMode="External"/><Relationship Id="rId914" Type="http://schemas.openxmlformats.org/officeDocument/2006/relationships/hyperlink" Target="https://auction.ikco.ir/auction/details/34?r=98" TargetMode="External"/><Relationship Id="rId1337" Type="http://schemas.openxmlformats.org/officeDocument/2006/relationships/hyperlink" Target="javascript:void(0)" TargetMode="External"/><Relationship Id="rId1544" Type="http://schemas.openxmlformats.org/officeDocument/2006/relationships/hyperlink" Target="javascript:void(0)" TargetMode="External"/><Relationship Id="rId43" Type="http://schemas.openxmlformats.org/officeDocument/2006/relationships/hyperlink" Target="https://auction.ikco.ir/auction/details/34?r=525" TargetMode="External"/><Relationship Id="rId1404" Type="http://schemas.openxmlformats.org/officeDocument/2006/relationships/hyperlink" Target="https://auction.ikco.ir/auction/details/34?r=198" TargetMode="External"/><Relationship Id="rId1611" Type="http://schemas.openxmlformats.org/officeDocument/2006/relationships/hyperlink" Target="https://auction.ikco.ir/auction/details/34?r=359" TargetMode="External"/><Relationship Id="rId192" Type="http://schemas.openxmlformats.org/officeDocument/2006/relationships/hyperlink" Target="javascript:void(0)" TargetMode="External"/><Relationship Id="rId497" Type="http://schemas.openxmlformats.org/officeDocument/2006/relationships/hyperlink" Target="javascript:void(0)" TargetMode="External"/><Relationship Id="rId357" Type="http://schemas.openxmlformats.org/officeDocument/2006/relationships/hyperlink" Target="https://auction.ikco.ir/auction/details/34?r=348" TargetMode="External"/><Relationship Id="rId1194" Type="http://schemas.openxmlformats.org/officeDocument/2006/relationships/hyperlink" Target="javascript:void(0)" TargetMode="External"/><Relationship Id="rId217" Type="http://schemas.openxmlformats.org/officeDocument/2006/relationships/hyperlink" Target="https://auction.ikco.ir/auction/details/34?r=511" TargetMode="External"/><Relationship Id="rId564" Type="http://schemas.openxmlformats.org/officeDocument/2006/relationships/hyperlink" Target="https://auction.ikco.ir/auction/details/34?r=494" TargetMode="External"/><Relationship Id="rId771" Type="http://schemas.openxmlformats.org/officeDocument/2006/relationships/hyperlink" Target="https://auction.ikco.ir/auction/details/34?r=135" TargetMode="External"/><Relationship Id="rId869" Type="http://schemas.openxmlformats.org/officeDocument/2006/relationships/hyperlink" Target="https://auction.ikco.ir/auction/details/34?r=233" TargetMode="External"/><Relationship Id="rId1499" Type="http://schemas.openxmlformats.org/officeDocument/2006/relationships/hyperlink" Target="javascript:void(0)" TargetMode="External"/><Relationship Id="rId424" Type="http://schemas.openxmlformats.org/officeDocument/2006/relationships/hyperlink" Target="https://auction.ikco.ir/auction/details/34?r=303" TargetMode="External"/><Relationship Id="rId631" Type="http://schemas.openxmlformats.org/officeDocument/2006/relationships/hyperlink" Target="javascript:void(0)" TargetMode="External"/><Relationship Id="rId729" Type="http://schemas.openxmlformats.org/officeDocument/2006/relationships/hyperlink" Target="https://auction.ikco.ir/auction/details/34?r=179" TargetMode="External"/><Relationship Id="rId1054" Type="http://schemas.openxmlformats.org/officeDocument/2006/relationships/hyperlink" Target="https://auction.ikco.ir/auction/details/34?r=41" TargetMode="External"/><Relationship Id="rId1261" Type="http://schemas.openxmlformats.org/officeDocument/2006/relationships/hyperlink" Target="https://auction.ikco.ir/auction/details/34?r=68" TargetMode="External"/><Relationship Id="rId1359" Type="http://schemas.openxmlformats.org/officeDocument/2006/relationships/hyperlink" Target="https://auction.ikco.ir/auction/details/34?r=334" TargetMode="External"/><Relationship Id="rId936" Type="http://schemas.openxmlformats.org/officeDocument/2006/relationships/hyperlink" Target="https://auction.ikco.ir/auction/details/34?r=220" TargetMode="External"/><Relationship Id="rId1121" Type="http://schemas.openxmlformats.org/officeDocument/2006/relationships/hyperlink" Target="https://auction.ikco.ir/auction/details/34?r=91" TargetMode="External"/><Relationship Id="rId1219" Type="http://schemas.openxmlformats.org/officeDocument/2006/relationships/hyperlink" Target="https://auction.ikco.ir/auction/details/34?r=6" TargetMode="External"/><Relationship Id="rId1566" Type="http://schemas.openxmlformats.org/officeDocument/2006/relationships/hyperlink" Target="https://auction.ikco.ir/auction/details/34?r=363" TargetMode="External"/><Relationship Id="rId65" Type="http://schemas.openxmlformats.org/officeDocument/2006/relationships/hyperlink" Target="https://auction.ikco.ir/auction/details/34?r=451" TargetMode="External"/><Relationship Id="rId1426" Type="http://schemas.openxmlformats.org/officeDocument/2006/relationships/hyperlink" Target="https://auction.ikco.ir/auction/details/34?r=282" TargetMode="External"/><Relationship Id="rId1633" Type="http://schemas.openxmlformats.org/officeDocument/2006/relationships/hyperlink" Target="javascript:void(0)" TargetMode="External"/><Relationship Id="rId281" Type="http://schemas.openxmlformats.org/officeDocument/2006/relationships/hyperlink" Target="https://auction.ikco.ir/auction/details/34?r=486" TargetMode="External"/><Relationship Id="rId141" Type="http://schemas.openxmlformats.org/officeDocument/2006/relationships/hyperlink" Target="javascript:void(0)" TargetMode="External"/><Relationship Id="rId379" Type="http://schemas.openxmlformats.org/officeDocument/2006/relationships/hyperlink" Target="https://auction.ikco.ir/auction/details/34?r=455" TargetMode="External"/><Relationship Id="rId586" Type="http://schemas.openxmlformats.org/officeDocument/2006/relationships/hyperlink" Target="https://auction.ikco.ir/auction/details/34?r=255" TargetMode="External"/><Relationship Id="rId793" Type="http://schemas.openxmlformats.org/officeDocument/2006/relationships/hyperlink" Target="javascript:void(0)" TargetMode="External"/><Relationship Id="rId7" Type="http://schemas.openxmlformats.org/officeDocument/2006/relationships/hyperlink" Target="https://auction.ikco.ir/auction/details/34?r=528" TargetMode="External"/><Relationship Id="rId239" Type="http://schemas.openxmlformats.org/officeDocument/2006/relationships/hyperlink" Target="https://auction.ikco.ir/auction/details/34?r=398" TargetMode="External"/><Relationship Id="rId446" Type="http://schemas.openxmlformats.org/officeDocument/2006/relationships/hyperlink" Target="javascript:void(0)" TargetMode="External"/><Relationship Id="rId653" Type="http://schemas.openxmlformats.org/officeDocument/2006/relationships/hyperlink" Target="javascript:void(0)" TargetMode="External"/><Relationship Id="rId1076" Type="http://schemas.openxmlformats.org/officeDocument/2006/relationships/hyperlink" Target="https://auction.ikco.ir/auction/details/34?r=142" TargetMode="External"/><Relationship Id="rId1283" Type="http://schemas.openxmlformats.org/officeDocument/2006/relationships/hyperlink" Target="https://auction.ikco.ir/auction/details/34?r=127" TargetMode="External"/><Relationship Id="rId1490" Type="http://schemas.openxmlformats.org/officeDocument/2006/relationships/hyperlink" Target="javascript:void(0)" TargetMode="External"/><Relationship Id="rId306" Type="http://schemas.openxmlformats.org/officeDocument/2006/relationships/hyperlink" Target="https://auction.ikco.ir/auction/details/34?r=270" TargetMode="External"/><Relationship Id="rId860" Type="http://schemas.openxmlformats.org/officeDocument/2006/relationships/hyperlink" Target="https://auction.ikco.ir/auction/details/34?r=184" TargetMode="External"/><Relationship Id="rId958" Type="http://schemas.openxmlformats.org/officeDocument/2006/relationships/hyperlink" Target="javascript:void(0)" TargetMode="External"/><Relationship Id="rId1143" Type="http://schemas.openxmlformats.org/officeDocument/2006/relationships/hyperlink" Target="javascript:void(0)" TargetMode="External"/><Relationship Id="rId1588" Type="http://schemas.openxmlformats.org/officeDocument/2006/relationships/hyperlink" Target="https://auction.ikco.ir/auction/details/34?r=245" TargetMode="External"/><Relationship Id="rId87" Type="http://schemas.openxmlformats.org/officeDocument/2006/relationships/hyperlink" Target="javascript:void(0)" TargetMode="External"/><Relationship Id="rId513" Type="http://schemas.openxmlformats.org/officeDocument/2006/relationships/hyperlink" Target="https://auction.ikco.ir/auction/details/34?r=329" TargetMode="External"/><Relationship Id="rId720" Type="http://schemas.openxmlformats.org/officeDocument/2006/relationships/hyperlink" Target="https://auction.ikco.ir/auction/details/34?r=419" TargetMode="External"/><Relationship Id="rId818" Type="http://schemas.openxmlformats.org/officeDocument/2006/relationships/hyperlink" Target="https://auction.ikco.ir/auction/details/34?r=150" TargetMode="External"/><Relationship Id="rId1350" Type="http://schemas.openxmlformats.org/officeDocument/2006/relationships/hyperlink" Target="https://auction.ikco.ir/auction/details/34?r=246" TargetMode="External"/><Relationship Id="rId1448" Type="http://schemas.openxmlformats.org/officeDocument/2006/relationships/hyperlink" Target="javascript:void(0)" TargetMode="External"/><Relationship Id="rId1655" Type="http://schemas.openxmlformats.org/officeDocument/2006/relationships/hyperlink" Target="https://auction.ikco.ir/auction/details/34?r=426" TargetMode="External"/><Relationship Id="rId1003" Type="http://schemas.openxmlformats.org/officeDocument/2006/relationships/hyperlink" Target="https://auction.ikco.ir/auction/details/34?r=92" TargetMode="External"/><Relationship Id="rId1210" Type="http://schemas.openxmlformats.org/officeDocument/2006/relationships/hyperlink" Target="https://auction.ikco.ir/auction/details/34?r=325" TargetMode="External"/><Relationship Id="rId1308" Type="http://schemas.openxmlformats.org/officeDocument/2006/relationships/hyperlink" Target="https://auction.ikco.ir/auction/details/34?r=385" TargetMode="External"/><Relationship Id="rId1515" Type="http://schemas.openxmlformats.org/officeDocument/2006/relationships/hyperlink" Target="https://auction.ikco.ir/auction/details/34?r=73" TargetMode="External"/><Relationship Id="rId14" Type="http://schemas.openxmlformats.org/officeDocument/2006/relationships/hyperlink" Target="https://auction.ikco.ir/auction/details/34?r=431" TargetMode="External"/><Relationship Id="rId163" Type="http://schemas.openxmlformats.org/officeDocument/2006/relationships/hyperlink" Target="https://auction.ikco.ir/auction/details/34?r=420" TargetMode="External"/><Relationship Id="rId370" Type="http://schemas.openxmlformats.org/officeDocument/2006/relationships/hyperlink" Target="https://auction.ikco.ir/auction/details/34?r=355" TargetMode="External"/><Relationship Id="rId230" Type="http://schemas.openxmlformats.org/officeDocument/2006/relationships/hyperlink" Target="https://auction.ikco.ir/auction/details/34?r=396" TargetMode="External"/><Relationship Id="rId468" Type="http://schemas.openxmlformats.org/officeDocument/2006/relationships/hyperlink" Target="https://auction.ikco.ir/auction/details/34?r=253" TargetMode="External"/><Relationship Id="rId675" Type="http://schemas.openxmlformats.org/officeDocument/2006/relationships/hyperlink" Target="javascript:void(0)" TargetMode="External"/><Relationship Id="rId882" Type="http://schemas.openxmlformats.org/officeDocument/2006/relationships/hyperlink" Target="https://auction.ikco.ir/auction/details/34?r=64" TargetMode="External"/><Relationship Id="rId1098" Type="http://schemas.openxmlformats.org/officeDocument/2006/relationships/hyperlink" Target="javascript:void(0)" TargetMode="External"/><Relationship Id="rId328" Type="http://schemas.openxmlformats.org/officeDocument/2006/relationships/hyperlink" Target="https://auction.ikco.ir/auction/details/34?r=295" TargetMode="External"/><Relationship Id="rId535" Type="http://schemas.openxmlformats.org/officeDocument/2006/relationships/hyperlink" Target="https://auction.ikco.ir/auction/details/34?r=288" TargetMode="External"/><Relationship Id="rId742" Type="http://schemas.openxmlformats.org/officeDocument/2006/relationships/hyperlink" Target="javascript:void(0)" TargetMode="External"/><Relationship Id="rId1165" Type="http://schemas.openxmlformats.org/officeDocument/2006/relationships/hyperlink" Target="https://auction.ikco.ir/auction/details/34?r=405" TargetMode="External"/><Relationship Id="rId1372" Type="http://schemas.openxmlformats.org/officeDocument/2006/relationships/hyperlink" Target="https://auction.ikco.ir/auction/details/34?r=32" TargetMode="External"/><Relationship Id="rId602" Type="http://schemas.openxmlformats.org/officeDocument/2006/relationships/hyperlink" Target="javascript:void(0)" TargetMode="External"/><Relationship Id="rId1025" Type="http://schemas.openxmlformats.org/officeDocument/2006/relationships/hyperlink" Target="https://auction.ikco.ir/auction/details/34?r=201" TargetMode="External"/><Relationship Id="rId1232" Type="http://schemas.openxmlformats.org/officeDocument/2006/relationships/hyperlink" Target="https://auction.ikco.ir/auction/details/34?r=25" TargetMode="External"/><Relationship Id="rId1677" Type="http://schemas.openxmlformats.org/officeDocument/2006/relationships/hyperlink" Target="https://auction.ikco.ir/auction/details/34?r=517" TargetMode="External"/><Relationship Id="rId907" Type="http://schemas.openxmlformats.org/officeDocument/2006/relationships/hyperlink" Target="javascript:void(0)" TargetMode="External"/><Relationship Id="rId1537" Type="http://schemas.openxmlformats.org/officeDocument/2006/relationships/hyperlink" Target="https://auction.ikco.ir/auction/details/34?r=330" TargetMode="External"/><Relationship Id="rId36" Type="http://schemas.openxmlformats.org/officeDocument/2006/relationships/hyperlink" Target="javascript:void(0)" TargetMode="External"/><Relationship Id="rId1604" Type="http://schemas.openxmlformats.org/officeDocument/2006/relationships/hyperlink" Target="https://auction.ikco.ir/auction/details/34?r=248" TargetMode="External"/><Relationship Id="rId185" Type="http://schemas.openxmlformats.org/officeDocument/2006/relationships/hyperlink" Target="https://auction.ikco.ir/auction/details/34?r=409" TargetMode="External"/><Relationship Id="rId392" Type="http://schemas.openxmlformats.org/officeDocument/2006/relationships/hyperlink" Target="javascript:void(0)" TargetMode="External"/><Relationship Id="rId697" Type="http://schemas.openxmlformats.org/officeDocument/2006/relationships/hyperlink" Target="javascript:void(0)" TargetMode="External"/><Relationship Id="rId252" Type="http://schemas.openxmlformats.org/officeDocument/2006/relationships/hyperlink" Target="javascript:void(0)" TargetMode="External"/><Relationship Id="rId1187" Type="http://schemas.openxmlformats.org/officeDocument/2006/relationships/hyperlink" Target="https://auction.ikco.ir/auction/details/34?r=163" TargetMode="External"/><Relationship Id="rId112" Type="http://schemas.openxmlformats.org/officeDocument/2006/relationships/hyperlink" Target="https://auction.ikco.ir/auction/details/34?r=429" TargetMode="External"/><Relationship Id="rId557" Type="http://schemas.openxmlformats.org/officeDocument/2006/relationships/hyperlink" Target="javascript:void(0)" TargetMode="External"/><Relationship Id="rId764" Type="http://schemas.openxmlformats.org/officeDocument/2006/relationships/hyperlink" Target="https://auction.ikco.ir/auction/details/34?r=423" TargetMode="External"/><Relationship Id="rId971" Type="http://schemas.openxmlformats.org/officeDocument/2006/relationships/hyperlink" Target="https://auction.ikco.ir/auction/details/34?r=162" TargetMode="External"/><Relationship Id="rId1394" Type="http://schemas.openxmlformats.org/officeDocument/2006/relationships/hyperlink" Target="javascript:void(0)" TargetMode="External"/><Relationship Id="rId417" Type="http://schemas.openxmlformats.org/officeDocument/2006/relationships/hyperlink" Target="https://auction.ikco.ir/auction/details/34?r=66" TargetMode="External"/><Relationship Id="rId624" Type="http://schemas.openxmlformats.org/officeDocument/2006/relationships/hyperlink" Target="javascript:void(0)" TargetMode="External"/><Relationship Id="rId831" Type="http://schemas.openxmlformats.org/officeDocument/2006/relationships/hyperlink" Target="https://auction.ikco.ir/auction/details/34?r=183" TargetMode="External"/><Relationship Id="rId1047" Type="http://schemas.openxmlformats.org/officeDocument/2006/relationships/hyperlink" Target="javascript:void(0)" TargetMode="External"/><Relationship Id="rId1254" Type="http://schemas.openxmlformats.org/officeDocument/2006/relationships/hyperlink" Target="javascript:void(0)" TargetMode="External"/><Relationship Id="rId1461" Type="http://schemas.openxmlformats.org/officeDocument/2006/relationships/hyperlink" Target="https://auction.ikco.ir/auction/details/34?r=285" TargetMode="External"/><Relationship Id="rId929" Type="http://schemas.openxmlformats.org/officeDocument/2006/relationships/hyperlink" Target="https://auction.ikco.ir/auction/details/34?r=159" TargetMode="External"/><Relationship Id="rId1114" Type="http://schemas.openxmlformats.org/officeDocument/2006/relationships/hyperlink" Target="https://auction.ikco.ir/auction/details/34?r=80" TargetMode="External"/><Relationship Id="rId1321" Type="http://schemas.openxmlformats.org/officeDocument/2006/relationships/hyperlink" Target="https://auction.ikco.ir/auction/details/34?r=95" TargetMode="External"/><Relationship Id="rId1559" Type="http://schemas.openxmlformats.org/officeDocument/2006/relationships/hyperlink" Target="javascript:void(0)" TargetMode="External"/><Relationship Id="rId58" Type="http://schemas.openxmlformats.org/officeDocument/2006/relationships/hyperlink" Target="https://auction.ikco.ir/auction/details/34?r=478" TargetMode="External"/><Relationship Id="rId1419" Type="http://schemas.openxmlformats.org/officeDocument/2006/relationships/hyperlink" Target="https://auction.ikco.ir/auction/details/34?r=229" TargetMode="External"/><Relationship Id="rId1626" Type="http://schemas.openxmlformats.org/officeDocument/2006/relationships/hyperlink" Target="https://auction.ikco.ir/auction/details/34?r=427" TargetMode="External"/><Relationship Id="rId274" Type="http://schemas.openxmlformats.org/officeDocument/2006/relationships/hyperlink" Target="https://auction.ikco.ir/auction/details/34?r=317" TargetMode="External"/><Relationship Id="rId481" Type="http://schemas.openxmlformats.org/officeDocument/2006/relationships/hyperlink" Target="https://auction.ikco.ir/auction/details/34?r=281" TargetMode="External"/><Relationship Id="rId134" Type="http://schemas.openxmlformats.org/officeDocument/2006/relationships/hyperlink" Target="https://auction.ikco.ir/auction/details/34?r=408" TargetMode="External"/><Relationship Id="rId579" Type="http://schemas.openxmlformats.org/officeDocument/2006/relationships/hyperlink" Target="https://auction.ikco.ir/auction/details/34?r=177" TargetMode="External"/><Relationship Id="rId786" Type="http://schemas.openxmlformats.org/officeDocument/2006/relationships/hyperlink" Target="https://auction.ikco.ir/auction/details/34?r=82" TargetMode="External"/><Relationship Id="rId993" Type="http://schemas.openxmlformats.org/officeDocument/2006/relationships/hyperlink" Target="https://auction.ikco.ir/auction/details/34?r=70" TargetMode="External"/><Relationship Id="rId341" Type="http://schemas.openxmlformats.org/officeDocument/2006/relationships/hyperlink" Target="javascript:void(0)" TargetMode="External"/><Relationship Id="rId439" Type="http://schemas.openxmlformats.org/officeDocument/2006/relationships/hyperlink" Target="https://auction.ikco.ir/auction/details/34?r=467" TargetMode="External"/><Relationship Id="rId646" Type="http://schemas.openxmlformats.org/officeDocument/2006/relationships/hyperlink" Target="javascript:void(0)" TargetMode="External"/><Relationship Id="rId1069" Type="http://schemas.openxmlformats.org/officeDocument/2006/relationships/hyperlink" Target="https://auction.ikco.ir/auction/details/34?r=105" TargetMode="External"/><Relationship Id="rId1276" Type="http://schemas.openxmlformats.org/officeDocument/2006/relationships/hyperlink" Target="https://auction.ikco.ir/auction/details/34?r=108" TargetMode="External"/><Relationship Id="rId1483" Type="http://schemas.openxmlformats.org/officeDocument/2006/relationships/hyperlink" Target="https://auction.ikco.ir/auction/details/34?r=43" TargetMode="External"/><Relationship Id="rId201" Type="http://schemas.openxmlformats.org/officeDocument/2006/relationships/hyperlink" Target="javascript:void(0)" TargetMode="External"/><Relationship Id="rId506" Type="http://schemas.openxmlformats.org/officeDocument/2006/relationships/hyperlink" Target="javascript:void(0)" TargetMode="External"/><Relationship Id="rId853" Type="http://schemas.openxmlformats.org/officeDocument/2006/relationships/hyperlink" Target="javascript:void(0)" TargetMode="External"/><Relationship Id="rId1136" Type="http://schemas.openxmlformats.org/officeDocument/2006/relationships/hyperlink" Target="https://auction.ikco.ir/auction/details/34?r=153" TargetMode="External"/><Relationship Id="rId713" Type="http://schemas.openxmlformats.org/officeDocument/2006/relationships/hyperlink" Target="https://auction.ikco.ir/auction/details/34?r=305" TargetMode="External"/><Relationship Id="rId920" Type="http://schemas.openxmlformats.org/officeDocument/2006/relationships/hyperlink" Target="https://auction.ikco.ir/auction/details/34?r=117" TargetMode="External"/><Relationship Id="rId1343" Type="http://schemas.openxmlformats.org/officeDocument/2006/relationships/hyperlink" Target="javascript:void(0)" TargetMode="External"/><Relationship Id="rId1550" Type="http://schemas.openxmlformats.org/officeDocument/2006/relationships/hyperlink" Target="javascript:void(0)" TargetMode="External"/><Relationship Id="rId1648" Type="http://schemas.openxmlformats.org/officeDocument/2006/relationships/hyperlink" Target="javascript:void(0)" TargetMode="External"/><Relationship Id="rId1203" Type="http://schemas.openxmlformats.org/officeDocument/2006/relationships/hyperlink" Target="javascript:void(0)" TargetMode="External"/><Relationship Id="rId1410" Type="http://schemas.openxmlformats.org/officeDocument/2006/relationships/hyperlink" Target="https://auction.ikco.ir/auction/details/34?r=204" TargetMode="External"/><Relationship Id="rId1508" Type="http://schemas.openxmlformats.org/officeDocument/2006/relationships/hyperlink" Target="javascript:void(0)" TargetMode="External"/><Relationship Id="rId296" Type="http://schemas.openxmlformats.org/officeDocument/2006/relationships/hyperlink" Target="https://auction.ikco.ir/auction/details/34?r=482" TargetMode="External"/><Relationship Id="rId156" Type="http://schemas.openxmlformats.org/officeDocument/2006/relationships/hyperlink" Target="javascript:void(0)" TargetMode="External"/><Relationship Id="rId363" Type="http://schemas.openxmlformats.org/officeDocument/2006/relationships/hyperlink" Target="https://auction.ikco.ir/auction/details/34?r=341" TargetMode="External"/><Relationship Id="rId570" Type="http://schemas.openxmlformats.org/officeDocument/2006/relationships/hyperlink" Target="https://auction.ikco.ir/auction/details/34?r=232" TargetMode="External"/><Relationship Id="rId223" Type="http://schemas.openxmlformats.org/officeDocument/2006/relationships/hyperlink" Target="https://auction.ikco.ir/auction/details/34?r=424" TargetMode="External"/><Relationship Id="rId430" Type="http://schemas.openxmlformats.org/officeDocument/2006/relationships/hyperlink" Target="https://auction.ikco.ir/auction/details/34?r=286" TargetMode="External"/><Relationship Id="rId668" Type="http://schemas.openxmlformats.org/officeDocument/2006/relationships/hyperlink" Target="javascript:void(0)" TargetMode="External"/><Relationship Id="rId875" Type="http://schemas.openxmlformats.org/officeDocument/2006/relationships/hyperlink" Target="https://auction.ikco.ir/auction/details/34?r=16" TargetMode="External"/><Relationship Id="rId1060" Type="http://schemas.openxmlformats.org/officeDocument/2006/relationships/hyperlink" Target="https://auction.ikco.ir/auction/details/34?r=97" TargetMode="External"/><Relationship Id="rId1298" Type="http://schemas.openxmlformats.org/officeDocument/2006/relationships/hyperlink" Target="javascript:void(0)" TargetMode="External"/><Relationship Id="rId528" Type="http://schemas.openxmlformats.org/officeDocument/2006/relationships/hyperlink" Target="https://auction.ikco.ir/auction/details/34?r=508" TargetMode="External"/><Relationship Id="rId735" Type="http://schemas.openxmlformats.org/officeDocument/2006/relationships/hyperlink" Target="https://auction.ikco.ir/auction/details/34?r=132" TargetMode="External"/><Relationship Id="rId942" Type="http://schemas.openxmlformats.org/officeDocument/2006/relationships/hyperlink" Target="https://auction.ikco.ir/auction/details/34?r=250" TargetMode="External"/><Relationship Id="rId1158" Type="http://schemas.openxmlformats.org/officeDocument/2006/relationships/hyperlink" Target="javascript:void(0)" TargetMode="External"/><Relationship Id="rId1365" Type="http://schemas.openxmlformats.org/officeDocument/2006/relationships/hyperlink" Target="https://auction.ikco.ir/auction/details/34?r=19" TargetMode="External"/><Relationship Id="rId1572" Type="http://schemas.openxmlformats.org/officeDocument/2006/relationships/hyperlink" Target="https://auction.ikco.ir/auction/details/34?r=374" TargetMode="External"/><Relationship Id="rId1018" Type="http://schemas.openxmlformats.org/officeDocument/2006/relationships/hyperlink" Target="https://auction.ikco.ir/auction/details/34?r=147" TargetMode="External"/><Relationship Id="rId1225" Type="http://schemas.openxmlformats.org/officeDocument/2006/relationships/hyperlink" Target="https://auction.ikco.ir/auction/details/34?r=22" TargetMode="External"/><Relationship Id="rId1432" Type="http://schemas.openxmlformats.org/officeDocument/2006/relationships/hyperlink" Target="https://auction.ikco.ir/auction/details/34?r=320" TargetMode="External"/><Relationship Id="rId71" Type="http://schemas.openxmlformats.org/officeDocument/2006/relationships/hyperlink" Target="https://auction.ikco.ir/auction/details/34?r=477" TargetMode="External"/><Relationship Id="rId802" Type="http://schemas.openxmlformats.org/officeDocument/2006/relationships/hyperlink" Target="javascript:void(0)" TargetMode="External"/><Relationship Id="rId29" Type="http://schemas.openxmlformats.org/officeDocument/2006/relationships/hyperlink" Target="https://auction.ikco.ir/auction/details/34?r=522" TargetMode="External"/><Relationship Id="rId178" Type="http://schemas.openxmlformats.org/officeDocument/2006/relationships/hyperlink" Target="https://auction.ikco.ir/auction/details/34?r=437" TargetMode="External"/><Relationship Id="rId385" Type="http://schemas.openxmlformats.org/officeDocument/2006/relationships/hyperlink" Target="https://auction.ikco.ir/auction/details/34?r=284" TargetMode="External"/><Relationship Id="rId592" Type="http://schemas.openxmlformats.org/officeDocument/2006/relationships/hyperlink" Target="https://auction.ikco.ir/auction/details/34?r=243" TargetMode="External"/><Relationship Id="rId245" Type="http://schemas.openxmlformats.org/officeDocument/2006/relationships/hyperlink" Target="https://auction.ikco.ir/auction/details/34?r=256" TargetMode="External"/><Relationship Id="rId452" Type="http://schemas.openxmlformats.org/officeDocument/2006/relationships/hyperlink" Target="javascript:void(0)" TargetMode="External"/><Relationship Id="rId897" Type="http://schemas.openxmlformats.org/officeDocument/2006/relationships/hyperlink" Target="https://auction.ikco.ir/auction/details/34?r=230" TargetMode="External"/><Relationship Id="rId1082" Type="http://schemas.openxmlformats.org/officeDocument/2006/relationships/hyperlink" Target="https://auction.ikco.ir/auction/details/34?r=173" TargetMode="External"/><Relationship Id="rId105" Type="http://schemas.openxmlformats.org/officeDocument/2006/relationships/hyperlink" Target="javascript:void(0)" TargetMode="External"/><Relationship Id="rId312" Type="http://schemas.openxmlformats.org/officeDocument/2006/relationships/hyperlink" Target="https://auction.ikco.ir/auction/details/34?r=378" TargetMode="External"/><Relationship Id="rId757" Type="http://schemas.openxmlformats.org/officeDocument/2006/relationships/hyperlink" Target="javascript:void(0)" TargetMode="External"/><Relationship Id="rId964" Type="http://schemas.openxmlformats.org/officeDocument/2006/relationships/hyperlink" Target="javascript:void(0)" TargetMode="External"/><Relationship Id="rId1387" Type="http://schemas.openxmlformats.org/officeDocument/2006/relationships/hyperlink" Target="https://auction.ikco.ir/auction/details/34?r=103" TargetMode="External"/><Relationship Id="rId1594" Type="http://schemas.openxmlformats.org/officeDocument/2006/relationships/hyperlink" Target="https://auction.ikco.ir/auction/details/34?r=236" TargetMode="External"/><Relationship Id="rId93" Type="http://schemas.openxmlformats.org/officeDocument/2006/relationships/hyperlink" Target="javascript:void(0)" TargetMode="External"/><Relationship Id="rId617" Type="http://schemas.openxmlformats.org/officeDocument/2006/relationships/hyperlink" Target="javascript:void(0)" TargetMode="External"/><Relationship Id="rId824" Type="http://schemas.openxmlformats.org/officeDocument/2006/relationships/hyperlink" Target="https://auction.ikco.ir/auction/details/34?r=155" TargetMode="External"/><Relationship Id="rId1247" Type="http://schemas.openxmlformats.org/officeDocument/2006/relationships/hyperlink" Target="https://auction.ikco.ir/auction/details/34?r=38" TargetMode="External"/><Relationship Id="rId1454" Type="http://schemas.openxmlformats.org/officeDocument/2006/relationships/hyperlink" Target="javascript:void(0)" TargetMode="External"/><Relationship Id="rId1661" Type="http://schemas.openxmlformats.org/officeDocument/2006/relationships/hyperlink" Target="https://auction.ikco.ir/auction/details/34?r=265" TargetMode="External"/><Relationship Id="rId1107" Type="http://schemas.openxmlformats.org/officeDocument/2006/relationships/hyperlink" Target="javascript:void(0)" TargetMode="External"/><Relationship Id="rId1314" Type="http://schemas.openxmlformats.org/officeDocument/2006/relationships/hyperlink" Target="https://auction.ikco.ir/auction/details/34?r=3" TargetMode="External"/><Relationship Id="rId1521" Type="http://schemas.openxmlformats.org/officeDocument/2006/relationships/hyperlink" Target="https://auction.ikco.ir/auction/details/34?r=166" TargetMode="External"/><Relationship Id="rId1619" Type="http://schemas.openxmlformats.org/officeDocument/2006/relationships/hyperlink" Target="https://auction.ikco.ir/auction/details/34?r=263" TargetMode="External"/><Relationship Id="rId20" Type="http://schemas.openxmlformats.org/officeDocument/2006/relationships/hyperlink" Target="https://auction.ikco.ir/auction/details/34?r=510" TargetMode="External"/><Relationship Id="rId267" Type="http://schemas.openxmlformats.org/officeDocument/2006/relationships/hyperlink" Target="javascript:void(0)" TargetMode="External"/><Relationship Id="rId474" Type="http://schemas.openxmlformats.org/officeDocument/2006/relationships/hyperlink" Target="https://auction.ikco.ir/auction/details/34?r=507" TargetMode="External"/><Relationship Id="rId127" Type="http://schemas.openxmlformats.org/officeDocument/2006/relationships/hyperlink" Target="https://auction.ikco.ir/auction/details/34?r=473" TargetMode="External"/><Relationship Id="rId681" Type="http://schemas.openxmlformats.org/officeDocument/2006/relationships/hyperlink" Target="javascript:void(0)" TargetMode="External"/><Relationship Id="rId779" Type="http://schemas.openxmlformats.org/officeDocument/2006/relationships/hyperlink" Target="https://auction.ikco.ir/auction/details/34?r=238" TargetMode="External"/><Relationship Id="rId986" Type="http://schemas.openxmlformats.org/officeDocument/2006/relationships/hyperlink" Target="https://auction.ikco.ir/auction/details/34?r=361" TargetMode="External"/><Relationship Id="rId334" Type="http://schemas.openxmlformats.org/officeDocument/2006/relationships/hyperlink" Target="https://auction.ikco.ir/auction/details/34?r=388" TargetMode="External"/><Relationship Id="rId541" Type="http://schemas.openxmlformats.org/officeDocument/2006/relationships/hyperlink" Target="https://auction.ikco.ir/auction/details/34?r=328" TargetMode="External"/><Relationship Id="rId639" Type="http://schemas.openxmlformats.org/officeDocument/2006/relationships/hyperlink" Target="javascript:void(0)" TargetMode="External"/><Relationship Id="rId1171" Type="http://schemas.openxmlformats.org/officeDocument/2006/relationships/hyperlink" Target="https://auction.ikco.ir/auction/details/34?r=59" TargetMode="External"/><Relationship Id="rId1269" Type="http://schemas.openxmlformats.org/officeDocument/2006/relationships/hyperlink" Target="javascript:void(0)" TargetMode="External"/><Relationship Id="rId1476" Type="http://schemas.openxmlformats.org/officeDocument/2006/relationships/hyperlink" Target="https://auction.ikco.ir/auction/details/34?r=484" TargetMode="External"/><Relationship Id="rId401" Type="http://schemas.openxmlformats.org/officeDocument/2006/relationships/hyperlink" Target="javascript:void(0)" TargetMode="External"/><Relationship Id="rId846" Type="http://schemas.openxmlformats.org/officeDocument/2006/relationships/hyperlink" Target="https://auction.ikco.ir/auction/details/34?r=13" TargetMode="External"/><Relationship Id="rId1031" Type="http://schemas.openxmlformats.org/officeDocument/2006/relationships/hyperlink" Target="https://auction.ikco.ir/auction/details/34?r=215" TargetMode="External"/><Relationship Id="rId1129" Type="http://schemas.openxmlformats.org/officeDocument/2006/relationships/hyperlink" Target="https://auction.ikco.ir/auction/details/34?r=138" TargetMode="External"/><Relationship Id="rId1683" Type="http://schemas.openxmlformats.org/officeDocument/2006/relationships/hyperlink" Target="https://auction.ikco.ir/auction/details/34?r=518" TargetMode="External"/><Relationship Id="rId706" Type="http://schemas.openxmlformats.org/officeDocument/2006/relationships/hyperlink" Target="javascript:void(0)" TargetMode="External"/><Relationship Id="rId913" Type="http://schemas.openxmlformats.org/officeDocument/2006/relationships/hyperlink" Target="javascript:void(0)" TargetMode="External"/><Relationship Id="rId1336" Type="http://schemas.openxmlformats.org/officeDocument/2006/relationships/hyperlink" Target="https://auction.ikco.ir/auction/details/34?r=145" TargetMode="External"/><Relationship Id="rId1543" Type="http://schemas.openxmlformats.org/officeDocument/2006/relationships/hyperlink" Target="https://auction.ikco.ir/auction/details/34?r=364" TargetMode="External"/><Relationship Id="rId42" Type="http://schemas.openxmlformats.org/officeDocument/2006/relationships/hyperlink" Target="javascript:void(0)" TargetMode="External"/><Relationship Id="rId1403" Type="http://schemas.openxmlformats.org/officeDocument/2006/relationships/hyperlink" Target="javascript:void(0)" TargetMode="External"/><Relationship Id="rId1610" Type="http://schemas.openxmlformats.org/officeDocument/2006/relationships/hyperlink" Target="https://auction.ikco.ir/auction/details/34?r=359" TargetMode="External"/><Relationship Id="rId191" Type="http://schemas.openxmlformats.org/officeDocument/2006/relationships/hyperlink" Target="https://auction.ikco.ir/auction/details/34?r=488" TargetMode="External"/><Relationship Id="rId289" Type="http://schemas.openxmlformats.org/officeDocument/2006/relationships/hyperlink" Target="https://auction.ikco.ir/auction/details/34?r=300" TargetMode="External"/><Relationship Id="rId496" Type="http://schemas.openxmlformats.org/officeDocument/2006/relationships/hyperlink" Target="https://auction.ikco.ir/auction/details/34?r=310" TargetMode="External"/><Relationship Id="rId149" Type="http://schemas.openxmlformats.org/officeDocument/2006/relationships/hyperlink" Target="https://auction.ikco.ir/auction/details/34?r=513" TargetMode="External"/><Relationship Id="rId356" Type="http://schemas.openxmlformats.org/officeDocument/2006/relationships/hyperlink" Target="javascript:void(0)" TargetMode="External"/><Relationship Id="rId563" Type="http://schemas.openxmlformats.org/officeDocument/2006/relationships/hyperlink" Target="javascript:void(0)" TargetMode="External"/><Relationship Id="rId770" Type="http://schemas.openxmlformats.org/officeDocument/2006/relationships/hyperlink" Target="https://auction.ikco.ir/auction/details/34?r=135" TargetMode="External"/><Relationship Id="rId1193" Type="http://schemas.openxmlformats.org/officeDocument/2006/relationships/hyperlink" Target="https://auction.ikco.ir/auction/details/34?r=195" TargetMode="External"/><Relationship Id="rId216" Type="http://schemas.openxmlformats.org/officeDocument/2006/relationships/hyperlink" Target="javascript:void(0)" TargetMode="External"/><Relationship Id="rId423" Type="http://schemas.openxmlformats.org/officeDocument/2006/relationships/hyperlink" Target="https://auction.ikco.ir/auction/details/34?r=303" TargetMode="External"/><Relationship Id="rId868" Type="http://schemas.openxmlformats.org/officeDocument/2006/relationships/hyperlink" Target="javascript:void(0)" TargetMode="External"/><Relationship Id="rId1053" Type="http://schemas.openxmlformats.org/officeDocument/2006/relationships/hyperlink" Target="javascript:void(0)" TargetMode="External"/><Relationship Id="rId1260" Type="http://schemas.openxmlformats.org/officeDocument/2006/relationships/hyperlink" Target="javascript:void(0)" TargetMode="External"/><Relationship Id="rId1498" Type="http://schemas.openxmlformats.org/officeDocument/2006/relationships/hyperlink" Target="https://auction.ikco.ir/auction/details/34?r=109" TargetMode="External"/><Relationship Id="rId630" Type="http://schemas.openxmlformats.org/officeDocument/2006/relationships/hyperlink" Target="javascript:void(0)" TargetMode="External"/><Relationship Id="rId728" Type="http://schemas.openxmlformats.org/officeDocument/2006/relationships/hyperlink" Target="https://auction.ikco.ir/auction/details/34?r=179" TargetMode="External"/><Relationship Id="rId935" Type="http://schemas.openxmlformats.org/officeDocument/2006/relationships/hyperlink" Target="https://auction.ikco.ir/auction/details/34?r=220" TargetMode="External"/><Relationship Id="rId1358" Type="http://schemas.openxmlformats.org/officeDocument/2006/relationships/hyperlink" Target="javascript:void(0)" TargetMode="External"/><Relationship Id="rId1565" Type="http://schemas.openxmlformats.org/officeDocument/2006/relationships/hyperlink" Target="javascript:void(0)" TargetMode="External"/><Relationship Id="rId64" Type="http://schemas.openxmlformats.org/officeDocument/2006/relationships/hyperlink" Target="https://auction.ikco.ir/auction/details/34?r=451" TargetMode="External"/><Relationship Id="rId1120" Type="http://schemas.openxmlformats.org/officeDocument/2006/relationships/hyperlink" Target="https://auction.ikco.ir/auction/details/34?r=91" TargetMode="External"/><Relationship Id="rId1218" Type="http://schemas.openxmlformats.org/officeDocument/2006/relationships/hyperlink" Target="javascript:void(0)" TargetMode="External"/><Relationship Id="rId1425" Type="http://schemas.openxmlformats.org/officeDocument/2006/relationships/hyperlink" Target="https://auction.ikco.ir/auction/details/34?r=282" TargetMode="External"/><Relationship Id="rId1632" Type="http://schemas.openxmlformats.org/officeDocument/2006/relationships/hyperlink" Target="https://auction.ikco.ir/auction/details/34?r=386" TargetMode="External"/><Relationship Id="rId280" Type="http://schemas.openxmlformats.org/officeDocument/2006/relationships/hyperlink" Target="https://auction.ikco.ir/auction/details/34?r=486" TargetMode="External"/><Relationship Id="rId140" Type="http://schemas.openxmlformats.org/officeDocument/2006/relationships/hyperlink" Target="https://auction.ikco.ir/auction/details/34?r=472" TargetMode="External"/><Relationship Id="rId378" Type="http://schemas.openxmlformats.org/officeDocument/2006/relationships/hyperlink" Target="https://auction.ikco.ir/auction/details/34?r=455" TargetMode="External"/><Relationship Id="rId585" Type="http://schemas.openxmlformats.org/officeDocument/2006/relationships/hyperlink" Target="https://auction.ikco.ir/auction/details/34?r=255" TargetMode="External"/><Relationship Id="rId792" Type="http://schemas.openxmlformats.org/officeDocument/2006/relationships/hyperlink" Target="https://auction.ikco.ir/auction/details/34?r=187" TargetMode="External"/><Relationship Id="rId6" Type="http://schemas.openxmlformats.org/officeDocument/2006/relationships/hyperlink" Target="javascript:void(0)" TargetMode="External"/><Relationship Id="rId238" Type="http://schemas.openxmlformats.org/officeDocument/2006/relationships/hyperlink" Target="https://auction.ikco.ir/auction/details/34?r=398" TargetMode="External"/><Relationship Id="rId445" Type="http://schemas.openxmlformats.org/officeDocument/2006/relationships/hyperlink" Target="https://auction.ikco.ir/auction/details/34?r=293" TargetMode="External"/><Relationship Id="rId652" Type="http://schemas.openxmlformats.org/officeDocument/2006/relationships/hyperlink" Target="javascript:void(0)" TargetMode="External"/><Relationship Id="rId1075" Type="http://schemas.openxmlformats.org/officeDocument/2006/relationships/hyperlink" Target="https://auction.ikco.ir/auction/details/34?r=142" TargetMode="External"/><Relationship Id="rId1282" Type="http://schemas.openxmlformats.org/officeDocument/2006/relationships/hyperlink" Target="https://auction.ikco.ir/auction/details/34?r=127" TargetMode="External"/><Relationship Id="rId305" Type="http://schemas.openxmlformats.org/officeDocument/2006/relationships/hyperlink" Target="javascript:void(0)" TargetMode="External"/><Relationship Id="rId512" Type="http://schemas.openxmlformats.org/officeDocument/2006/relationships/hyperlink" Target="javascript:void(0)" TargetMode="External"/><Relationship Id="rId957" Type="http://schemas.openxmlformats.org/officeDocument/2006/relationships/hyperlink" Target="https://auction.ikco.ir/auction/details/34?r=49" TargetMode="External"/><Relationship Id="rId1142" Type="http://schemas.openxmlformats.org/officeDocument/2006/relationships/hyperlink" Target="https://auction.ikco.ir/auction/details/34?r=185" TargetMode="External"/><Relationship Id="rId1587" Type="http://schemas.openxmlformats.org/officeDocument/2006/relationships/hyperlink" Target="https://auction.ikco.ir/auction/details/34?r=245" TargetMode="External"/><Relationship Id="rId86" Type="http://schemas.openxmlformats.org/officeDocument/2006/relationships/hyperlink" Target="https://auction.ikco.ir/auction/details/34?r=432" TargetMode="External"/><Relationship Id="rId817" Type="http://schemas.openxmlformats.org/officeDocument/2006/relationships/hyperlink" Target="javascript:void(0)" TargetMode="External"/><Relationship Id="rId1002" Type="http://schemas.openxmlformats.org/officeDocument/2006/relationships/hyperlink" Target="javascript:void(0)" TargetMode="External"/><Relationship Id="rId1447" Type="http://schemas.openxmlformats.org/officeDocument/2006/relationships/hyperlink" Target="https://auction.ikco.ir/auction/details/34?r=14" TargetMode="External"/><Relationship Id="rId1654" Type="http://schemas.openxmlformats.org/officeDocument/2006/relationships/hyperlink" Target="javascript:void(0)" TargetMode="External"/><Relationship Id="rId1307" Type="http://schemas.openxmlformats.org/officeDocument/2006/relationships/hyperlink" Target="javascript:void(0)" TargetMode="External"/><Relationship Id="rId1514" Type="http://schemas.openxmlformats.org/officeDocument/2006/relationships/hyperlink" Target="javascript:void(0)" TargetMode="External"/><Relationship Id="rId13" Type="http://schemas.openxmlformats.org/officeDocument/2006/relationships/hyperlink" Target="https://auction.ikco.ir/auction/details/34?r=431" TargetMode="External"/><Relationship Id="rId162" Type="http://schemas.openxmlformats.org/officeDocument/2006/relationships/hyperlink" Target="javascript:void(0)" TargetMode="External"/><Relationship Id="rId467" Type="http://schemas.openxmlformats.org/officeDocument/2006/relationships/hyperlink" Target="javascript:void(0)" TargetMode="External"/><Relationship Id="rId1097" Type="http://schemas.openxmlformats.org/officeDocument/2006/relationships/hyperlink" Target="https://auction.ikco.ir/auction/details/34?r=371" TargetMode="External"/><Relationship Id="rId674" Type="http://schemas.openxmlformats.org/officeDocument/2006/relationships/hyperlink" Target="javascript:void(0)" TargetMode="External"/><Relationship Id="rId881" Type="http://schemas.openxmlformats.org/officeDocument/2006/relationships/hyperlink" Target="https://auction.ikco.ir/auction/details/34?r=64" TargetMode="External"/><Relationship Id="rId979" Type="http://schemas.openxmlformats.org/officeDocument/2006/relationships/hyperlink" Target="javascript:void(0)" TargetMode="External"/><Relationship Id="rId327" Type="http://schemas.openxmlformats.org/officeDocument/2006/relationships/hyperlink" Target="https://auction.ikco.ir/auction/details/34?r=295" TargetMode="External"/><Relationship Id="rId534" Type="http://schemas.openxmlformats.org/officeDocument/2006/relationships/hyperlink" Target="https://auction.ikco.ir/auction/details/34?r=288" TargetMode="External"/><Relationship Id="rId741" Type="http://schemas.openxmlformats.org/officeDocument/2006/relationships/hyperlink" Target="https://auction.ikco.ir/auction/details/34?r=176" TargetMode="External"/><Relationship Id="rId839" Type="http://schemas.openxmlformats.org/officeDocument/2006/relationships/hyperlink" Target="https://auction.ikco.ir/auction/details/34?r=352" TargetMode="External"/><Relationship Id="rId1164" Type="http://schemas.openxmlformats.org/officeDocument/2006/relationships/hyperlink" Target="javascript:void(0)" TargetMode="External"/><Relationship Id="rId1371" Type="http://schemas.openxmlformats.org/officeDocument/2006/relationships/hyperlink" Target="https://auction.ikco.ir/auction/details/34?r=32" TargetMode="External"/><Relationship Id="rId1469" Type="http://schemas.openxmlformats.org/officeDocument/2006/relationships/hyperlink" Target="javascript:void(0)" TargetMode="External"/><Relationship Id="rId601" Type="http://schemas.openxmlformats.org/officeDocument/2006/relationships/hyperlink" Target="javascript:void(0)" TargetMode="External"/><Relationship Id="rId1024" Type="http://schemas.openxmlformats.org/officeDocument/2006/relationships/hyperlink" Target="https://auction.ikco.ir/auction/details/34?r=201" TargetMode="External"/><Relationship Id="rId1231" Type="http://schemas.openxmlformats.org/officeDocument/2006/relationships/hyperlink" Target="https://auction.ikco.ir/auction/details/34?r=25" TargetMode="External"/><Relationship Id="rId1676" Type="http://schemas.openxmlformats.org/officeDocument/2006/relationships/hyperlink" Target="https://auction.ikco.ir/auction/details/34?r=517" TargetMode="External"/><Relationship Id="rId906" Type="http://schemas.openxmlformats.org/officeDocument/2006/relationships/hyperlink" Target="https://auction.ikco.ir/auction/details/34?r=506" TargetMode="External"/><Relationship Id="rId1329" Type="http://schemas.openxmlformats.org/officeDocument/2006/relationships/hyperlink" Target="https://auction.ikco.ir/auction/details/34?r=128" TargetMode="External"/><Relationship Id="rId1536" Type="http://schemas.openxmlformats.org/officeDocument/2006/relationships/hyperlink" Target="https://auction.ikco.ir/auction/details/34?r=330" TargetMode="External"/><Relationship Id="rId35" Type="http://schemas.openxmlformats.org/officeDocument/2006/relationships/hyperlink" Target="https://auction.ikco.ir/auction/details/34?r=521" TargetMode="External"/><Relationship Id="rId1603" Type="http://schemas.openxmlformats.org/officeDocument/2006/relationships/hyperlink" Target="javascript:void(0)" TargetMode="External"/><Relationship Id="rId184" Type="http://schemas.openxmlformats.org/officeDocument/2006/relationships/hyperlink" Target="https://auction.ikco.ir/auction/details/34?r=409" TargetMode="External"/><Relationship Id="rId391" Type="http://schemas.openxmlformats.org/officeDocument/2006/relationships/hyperlink" Target="https://auction.ikco.ir/auction/details/34?r=154" TargetMode="External"/><Relationship Id="rId251" Type="http://schemas.openxmlformats.org/officeDocument/2006/relationships/hyperlink" Target="https://auction.ikco.ir/auction/details/34?r=399" TargetMode="External"/><Relationship Id="rId489" Type="http://schemas.openxmlformats.org/officeDocument/2006/relationships/hyperlink" Target="https://auction.ikco.ir/auction/details/34?r=501" TargetMode="External"/><Relationship Id="rId696" Type="http://schemas.openxmlformats.org/officeDocument/2006/relationships/hyperlink" Target="javascript:void(0)" TargetMode="External"/><Relationship Id="rId349" Type="http://schemas.openxmlformats.org/officeDocument/2006/relationships/hyperlink" Target="https://auction.ikco.ir/auction/details/34?r=520" TargetMode="External"/><Relationship Id="rId556" Type="http://schemas.openxmlformats.org/officeDocument/2006/relationships/hyperlink" Target="https://auction.ikco.ir/auction/details/34?r=291" TargetMode="External"/><Relationship Id="rId763" Type="http://schemas.openxmlformats.org/officeDocument/2006/relationships/hyperlink" Target="javascript:void(0)" TargetMode="External"/><Relationship Id="rId1186" Type="http://schemas.openxmlformats.org/officeDocument/2006/relationships/hyperlink" Target="https://auction.ikco.ir/auction/details/34?r=163" TargetMode="External"/><Relationship Id="rId1393" Type="http://schemas.openxmlformats.org/officeDocument/2006/relationships/hyperlink" Target="https://auction.ikco.ir/auction/details/34?r=139" TargetMode="External"/><Relationship Id="rId111" Type="http://schemas.openxmlformats.org/officeDocument/2006/relationships/hyperlink" Target="javascript:void(0)" TargetMode="External"/><Relationship Id="rId209" Type="http://schemas.openxmlformats.org/officeDocument/2006/relationships/hyperlink" Target="https://auction.ikco.ir/auction/details/34?r=403" TargetMode="External"/><Relationship Id="rId416" Type="http://schemas.openxmlformats.org/officeDocument/2006/relationships/hyperlink" Target="javascript:void(0)" TargetMode="External"/><Relationship Id="rId970" Type="http://schemas.openxmlformats.org/officeDocument/2006/relationships/hyperlink" Target="javascript:void(0)" TargetMode="External"/><Relationship Id="rId1046" Type="http://schemas.openxmlformats.org/officeDocument/2006/relationships/hyperlink" Target="https://auction.ikco.ir/auction/details/34?r=375" TargetMode="External"/><Relationship Id="rId1253" Type="http://schemas.openxmlformats.org/officeDocument/2006/relationships/hyperlink" Target="https://auction.ikco.ir/auction/details/34?r=53" TargetMode="External"/><Relationship Id="rId623" Type="http://schemas.openxmlformats.org/officeDocument/2006/relationships/hyperlink" Target="javascript:void(0)" TargetMode="External"/><Relationship Id="rId830" Type="http://schemas.openxmlformats.org/officeDocument/2006/relationships/hyperlink" Target="https://auction.ikco.ir/auction/details/34?r=183" TargetMode="External"/><Relationship Id="rId928" Type="http://schemas.openxmlformats.org/officeDocument/2006/relationships/hyperlink" Target="javascript:void(0)" TargetMode="External"/><Relationship Id="rId1460" Type="http://schemas.openxmlformats.org/officeDocument/2006/relationships/hyperlink" Target="javascript:void(0)" TargetMode="External"/><Relationship Id="rId1558" Type="http://schemas.openxmlformats.org/officeDocument/2006/relationships/hyperlink" Target="https://auction.ikco.ir/auction/details/34?r=254" TargetMode="External"/><Relationship Id="rId57" Type="http://schemas.openxmlformats.org/officeDocument/2006/relationships/hyperlink" Target="javascript:void(0)" TargetMode="External"/><Relationship Id="rId1113" Type="http://schemas.openxmlformats.org/officeDocument/2006/relationships/hyperlink" Target="javascript:void(0)" TargetMode="External"/><Relationship Id="rId1320" Type="http://schemas.openxmlformats.org/officeDocument/2006/relationships/hyperlink" Target="https://auction.ikco.ir/auction/details/34?r=95" TargetMode="External"/><Relationship Id="rId1418" Type="http://schemas.openxmlformats.org/officeDocument/2006/relationships/hyperlink" Target="javascript:void(0)" TargetMode="External"/><Relationship Id="rId1625" Type="http://schemas.openxmlformats.org/officeDocument/2006/relationships/hyperlink" Target="https://auction.ikco.ir/auction/details/34?r=427" TargetMode="External"/><Relationship Id="rId273" Type="http://schemas.openxmlformats.org/officeDocument/2006/relationships/hyperlink" Target="javascript:void(0)" TargetMode="External"/><Relationship Id="rId480" Type="http://schemas.openxmlformats.org/officeDocument/2006/relationships/hyperlink" Target="https://auction.ikco.ir/auction/details/34?r=281" TargetMode="External"/><Relationship Id="rId133" Type="http://schemas.openxmlformats.org/officeDocument/2006/relationships/hyperlink" Target="https://auction.ikco.ir/auction/details/34?r=408" TargetMode="External"/><Relationship Id="rId340" Type="http://schemas.openxmlformats.org/officeDocument/2006/relationships/hyperlink" Target="https://auction.ikco.ir/auction/details/34?r=249" TargetMode="External"/><Relationship Id="rId578" Type="http://schemas.openxmlformats.org/officeDocument/2006/relationships/hyperlink" Target="javascript:void(0)" TargetMode="External"/><Relationship Id="rId785" Type="http://schemas.openxmlformats.org/officeDocument/2006/relationships/hyperlink" Target="https://auction.ikco.ir/auction/details/34?r=82" TargetMode="External"/><Relationship Id="rId992" Type="http://schemas.openxmlformats.org/officeDocument/2006/relationships/hyperlink" Target="https://auction.ikco.ir/auction/details/34?r=70" TargetMode="External"/><Relationship Id="rId200" Type="http://schemas.openxmlformats.org/officeDocument/2006/relationships/hyperlink" Target="https://auction.ikco.ir/auction/details/34?r=461" TargetMode="External"/><Relationship Id="rId438" Type="http://schemas.openxmlformats.org/officeDocument/2006/relationships/hyperlink" Target="https://auction.ikco.ir/auction/details/34?r=467" TargetMode="External"/><Relationship Id="rId645" Type="http://schemas.openxmlformats.org/officeDocument/2006/relationships/hyperlink" Target="javascript:void(0)" TargetMode="External"/><Relationship Id="rId852" Type="http://schemas.openxmlformats.org/officeDocument/2006/relationships/hyperlink" Target="https://auction.ikco.ir/auction/details/34?r=110" TargetMode="External"/><Relationship Id="rId1068" Type="http://schemas.openxmlformats.org/officeDocument/2006/relationships/hyperlink" Target="javascript:void(0)" TargetMode="External"/><Relationship Id="rId1275" Type="http://schemas.openxmlformats.org/officeDocument/2006/relationships/hyperlink" Target="javascript:void(0)" TargetMode="External"/><Relationship Id="rId1482" Type="http://schemas.openxmlformats.org/officeDocument/2006/relationships/hyperlink" Target="https://auction.ikco.ir/auction/details/34?r=43" TargetMode="External"/><Relationship Id="rId505" Type="http://schemas.openxmlformats.org/officeDocument/2006/relationships/hyperlink" Target="https://auction.ikco.ir/auction/details/34?r=277" TargetMode="External"/><Relationship Id="rId712" Type="http://schemas.openxmlformats.org/officeDocument/2006/relationships/hyperlink" Target="javascript:void(0)" TargetMode="External"/><Relationship Id="rId1135" Type="http://schemas.openxmlformats.org/officeDocument/2006/relationships/hyperlink" Target="https://auction.ikco.ir/auction/details/34?r=153" TargetMode="External"/><Relationship Id="rId1342" Type="http://schemas.openxmlformats.org/officeDocument/2006/relationships/hyperlink" Target="https://auction.ikco.ir/auction/details/34?r=200" TargetMode="External"/><Relationship Id="rId79" Type="http://schemas.openxmlformats.org/officeDocument/2006/relationships/hyperlink" Target="https://auction.ikco.ir/auction/details/34?r=418" TargetMode="External"/><Relationship Id="rId1202" Type="http://schemas.openxmlformats.org/officeDocument/2006/relationships/hyperlink" Target="https://auction.ikco.ir/auction/details/34?r=283" TargetMode="External"/><Relationship Id="rId1647" Type="http://schemas.openxmlformats.org/officeDocument/2006/relationships/hyperlink" Target="https://auction.ikco.ir/auction/details/34?r=165" TargetMode="External"/><Relationship Id="rId1507" Type="http://schemas.openxmlformats.org/officeDocument/2006/relationships/hyperlink" Target="https://auction.ikco.ir/auction/details/34?r=360" TargetMode="External"/><Relationship Id="rId295" Type="http://schemas.openxmlformats.org/officeDocument/2006/relationships/hyperlink" Target="https://auction.ikco.ir/auction/details/34?r=482" TargetMode="External"/><Relationship Id="rId155" Type="http://schemas.openxmlformats.org/officeDocument/2006/relationships/hyperlink" Target="https://auction.ikco.ir/auction/details/34?r=415" TargetMode="External"/><Relationship Id="rId362" Type="http://schemas.openxmlformats.org/officeDocument/2006/relationships/hyperlink" Target="javascript:void(0)" TargetMode="External"/><Relationship Id="rId1297" Type="http://schemas.openxmlformats.org/officeDocument/2006/relationships/hyperlink" Target="https://auction.ikco.ir/auction/details/34?r=186" TargetMode="External"/><Relationship Id="rId222" Type="http://schemas.openxmlformats.org/officeDocument/2006/relationships/hyperlink" Target="javascript:void(0)" TargetMode="External"/><Relationship Id="rId667" Type="http://schemas.openxmlformats.org/officeDocument/2006/relationships/hyperlink" Target="javascript:void(0)" TargetMode="External"/><Relationship Id="rId874" Type="http://schemas.openxmlformats.org/officeDocument/2006/relationships/hyperlink" Target="javascript:void(0)" TargetMode="External"/><Relationship Id="rId527" Type="http://schemas.openxmlformats.org/officeDocument/2006/relationships/hyperlink" Target="javascript:void(0)" TargetMode="External"/><Relationship Id="rId734" Type="http://schemas.openxmlformats.org/officeDocument/2006/relationships/hyperlink" Target="https://auction.ikco.ir/auction/details/34?r=132" TargetMode="External"/><Relationship Id="rId941" Type="http://schemas.openxmlformats.org/officeDocument/2006/relationships/hyperlink" Target="https://auction.ikco.ir/auction/details/34?r=250" TargetMode="External"/><Relationship Id="rId1157" Type="http://schemas.openxmlformats.org/officeDocument/2006/relationships/hyperlink" Target="https://auction.ikco.ir/auction/details/34?r=240" TargetMode="External"/><Relationship Id="rId1364" Type="http://schemas.openxmlformats.org/officeDocument/2006/relationships/hyperlink" Target="javascript:void(0)" TargetMode="External"/><Relationship Id="rId1571" Type="http://schemas.openxmlformats.org/officeDocument/2006/relationships/hyperlink" Target="javascript:void(0)" TargetMode="External"/><Relationship Id="rId70" Type="http://schemas.openxmlformats.org/officeDocument/2006/relationships/hyperlink" Target="https://auction.ikco.ir/auction/details/34?r=477" TargetMode="External"/><Relationship Id="rId801" Type="http://schemas.openxmlformats.org/officeDocument/2006/relationships/hyperlink" Target="https://auction.ikco.ir/auction/details/34?r=377" TargetMode="External"/><Relationship Id="rId1017" Type="http://schemas.openxmlformats.org/officeDocument/2006/relationships/hyperlink" Target="javascript:void(0)" TargetMode="External"/><Relationship Id="rId1224" Type="http://schemas.openxmlformats.org/officeDocument/2006/relationships/hyperlink" Target="javascript:void(0)" TargetMode="External"/><Relationship Id="rId1431" Type="http://schemas.openxmlformats.org/officeDocument/2006/relationships/hyperlink" Target="https://auction.ikco.ir/auction/details/34?r=320" TargetMode="External"/><Relationship Id="rId1669" Type="http://schemas.openxmlformats.org/officeDocument/2006/relationships/hyperlink" Target="javascript:void(0)" TargetMode="External"/><Relationship Id="rId1529" Type="http://schemas.openxmlformats.org/officeDocument/2006/relationships/hyperlink" Target="javascript:void(0)" TargetMode="External"/><Relationship Id="rId28" Type="http://schemas.openxmlformats.org/officeDocument/2006/relationships/hyperlink" Target="https://auction.ikco.ir/auction/details/34?r=522" TargetMode="External"/><Relationship Id="rId177" Type="http://schemas.openxmlformats.org/officeDocument/2006/relationships/hyperlink" Target="javascript:void(0)" TargetMode="External"/><Relationship Id="rId384" Type="http://schemas.openxmlformats.org/officeDocument/2006/relationships/hyperlink" Target="https://auction.ikco.ir/auction/details/34?r=284" TargetMode="External"/><Relationship Id="rId591" Type="http://schemas.openxmlformats.org/officeDocument/2006/relationships/hyperlink" Target="https://auction.ikco.ir/auction/details/34?r=243" TargetMode="External"/><Relationship Id="rId244" Type="http://schemas.openxmlformats.org/officeDocument/2006/relationships/hyperlink" Target="https://auction.ikco.ir/auction/details/34?r=256" TargetMode="External"/><Relationship Id="rId689" Type="http://schemas.openxmlformats.org/officeDocument/2006/relationships/hyperlink" Target="javascript:void(0)" TargetMode="External"/><Relationship Id="rId896" Type="http://schemas.openxmlformats.org/officeDocument/2006/relationships/hyperlink" Target="https://auction.ikco.ir/auction/details/34?r=230" TargetMode="External"/><Relationship Id="rId1081" Type="http://schemas.openxmlformats.org/officeDocument/2006/relationships/hyperlink" Target="https://auction.ikco.ir/auction/details/34?r=173" TargetMode="External"/><Relationship Id="rId451" Type="http://schemas.openxmlformats.org/officeDocument/2006/relationships/hyperlink" Target="https://auction.ikco.ir/auction/details/34?r=275" TargetMode="External"/><Relationship Id="rId549" Type="http://schemas.openxmlformats.org/officeDocument/2006/relationships/hyperlink" Target="https://auction.ikco.ir/auction/details/34?r=402" TargetMode="External"/><Relationship Id="rId756" Type="http://schemas.openxmlformats.org/officeDocument/2006/relationships/hyperlink" Target="https://auction.ikco.ir/auction/details/34?r=287" TargetMode="External"/><Relationship Id="rId1179" Type="http://schemas.openxmlformats.org/officeDocument/2006/relationships/hyperlink" Target="javascript:void(0)" TargetMode="External"/><Relationship Id="rId1386" Type="http://schemas.openxmlformats.org/officeDocument/2006/relationships/hyperlink" Target="https://auction.ikco.ir/auction/details/34?r=103" TargetMode="External"/><Relationship Id="rId1593" Type="http://schemas.openxmlformats.org/officeDocument/2006/relationships/hyperlink" Target="https://auction.ikco.ir/auction/details/34?r=236" TargetMode="External"/><Relationship Id="rId104" Type="http://schemas.openxmlformats.org/officeDocument/2006/relationships/hyperlink" Target="https://auction.ikco.ir/auction/details/34?r=491" TargetMode="External"/><Relationship Id="rId311" Type="http://schemas.openxmlformats.org/officeDocument/2006/relationships/hyperlink" Target="javascript:void(0)" TargetMode="External"/><Relationship Id="rId409" Type="http://schemas.openxmlformats.org/officeDocument/2006/relationships/hyperlink" Target="https://auction.ikco.ir/auction/details/34?r=257" TargetMode="External"/><Relationship Id="rId963" Type="http://schemas.openxmlformats.org/officeDocument/2006/relationships/hyperlink" Target="https://auction.ikco.ir/auction/details/34?r=54" TargetMode="External"/><Relationship Id="rId1039" Type="http://schemas.openxmlformats.org/officeDocument/2006/relationships/hyperlink" Target="https://auction.ikco.ir/auction/details/34?r=234" TargetMode="External"/><Relationship Id="rId1246" Type="http://schemas.openxmlformats.org/officeDocument/2006/relationships/hyperlink" Target="https://auction.ikco.ir/auction/details/34?r=38" TargetMode="External"/><Relationship Id="rId92" Type="http://schemas.openxmlformats.org/officeDocument/2006/relationships/hyperlink" Target="https://auction.ikco.ir/auction/details/34?r=430" TargetMode="External"/><Relationship Id="rId616" Type="http://schemas.openxmlformats.org/officeDocument/2006/relationships/hyperlink" Target="javascript:void(0)" TargetMode="External"/><Relationship Id="rId823" Type="http://schemas.openxmlformats.org/officeDocument/2006/relationships/hyperlink" Target="javascript:void(0)" TargetMode="External"/><Relationship Id="rId1453" Type="http://schemas.openxmlformats.org/officeDocument/2006/relationships/hyperlink" Target="https://auction.ikco.ir/auction/details/34?r=114" TargetMode="External"/><Relationship Id="rId1660" Type="http://schemas.openxmlformats.org/officeDocument/2006/relationships/hyperlink" Target="javascript:void(0)" TargetMode="External"/><Relationship Id="rId1106" Type="http://schemas.openxmlformats.org/officeDocument/2006/relationships/hyperlink" Target="https://auction.ikco.ir/auction/details/34?r=28" TargetMode="External"/><Relationship Id="rId1313" Type="http://schemas.openxmlformats.org/officeDocument/2006/relationships/hyperlink" Target="javascript:void(0)" TargetMode="External"/><Relationship Id="rId1520" Type="http://schemas.openxmlformats.org/officeDocument/2006/relationships/hyperlink" Target="javascript:void(0)" TargetMode="External"/><Relationship Id="rId1618" Type="http://schemas.openxmlformats.org/officeDocument/2006/relationships/hyperlink" Target="javascript:void(0)" TargetMode="External"/><Relationship Id="rId199" Type="http://schemas.openxmlformats.org/officeDocument/2006/relationships/hyperlink" Target="https://auction.ikco.ir/auction/details/34?r=461" TargetMode="External"/><Relationship Id="rId266" Type="http://schemas.openxmlformats.org/officeDocument/2006/relationships/hyperlink" Target="https://auction.ikco.ir/auction/details/34?r=384" TargetMode="External"/><Relationship Id="rId473" Type="http://schemas.openxmlformats.org/officeDocument/2006/relationships/hyperlink" Target="javascript:void(0)" TargetMode="External"/><Relationship Id="rId680" Type="http://schemas.openxmlformats.org/officeDocument/2006/relationships/hyperlink" Target="javascript:void(0)" TargetMode="External"/><Relationship Id="rId126" Type="http://schemas.openxmlformats.org/officeDocument/2006/relationships/hyperlink" Target="javascript:void(0)" TargetMode="External"/><Relationship Id="rId333" Type="http://schemas.openxmlformats.org/officeDocument/2006/relationships/hyperlink" Target="https://auction.ikco.ir/auction/details/34?r=388" TargetMode="External"/><Relationship Id="rId540" Type="http://schemas.openxmlformats.org/officeDocument/2006/relationships/hyperlink" Target="https://auction.ikco.ir/auction/details/34?r=328" TargetMode="External"/><Relationship Id="rId778" Type="http://schemas.openxmlformats.org/officeDocument/2006/relationships/hyperlink" Target="javascript:void(0)" TargetMode="External"/><Relationship Id="rId985" Type="http://schemas.openxmlformats.org/officeDocument/2006/relationships/hyperlink" Target="javascript:void(0)" TargetMode="External"/><Relationship Id="rId1170" Type="http://schemas.openxmlformats.org/officeDocument/2006/relationships/hyperlink" Target="javascript:void(0)" TargetMode="External"/><Relationship Id="rId638" Type="http://schemas.openxmlformats.org/officeDocument/2006/relationships/hyperlink" Target="javascript:void(0)" TargetMode="External"/><Relationship Id="rId845" Type="http://schemas.openxmlformats.org/officeDocument/2006/relationships/hyperlink" Target="https://auction.ikco.ir/auction/details/34?r=13" TargetMode="External"/><Relationship Id="rId1030" Type="http://schemas.openxmlformats.org/officeDocument/2006/relationships/hyperlink" Target="https://auction.ikco.ir/auction/details/34?r=215" TargetMode="External"/><Relationship Id="rId1268" Type="http://schemas.openxmlformats.org/officeDocument/2006/relationships/hyperlink" Target="https://auction.ikco.ir/auction/details/34?r=89" TargetMode="External"/><Relationship Id="rId1475" Type="http://schemas.openxmlformats.org/officeDocument/2006/relationships/hyperlink" Target="javascript:void(0)" TargetMode="External"/><Relationship Id="rId1682" Type="http://schemas.openxmlformats.org/officeDocument/2006/relationships/hyperlink" Target="https://auction.ikco.ir/auction/details/34?r=518" TargetMode="External"/><Relationship Id="rId400" Type="http://schemas.openxmlformats.org/officeDocument/2006/relationships/hyperlink" Target="https://auction.ikco.ir/auction/details/34?r=244" TargetMode="External"/><Relationship Id="rId705" Type="http://schemas.openxmlformats.org/officeDocument/2006/relationships/hyperlink" Target="https://auction.ikco.ir/auction/details/34?r=26" TargetMode="External"/><Relationship Id="rId1128" Type="http://schemas.openxmlformats.org/officeDocument/2006/relationships/hyperlink" Target="javascript:void(0)" TargetMode="External"/><Relationship Id="rId1335" Type="http://schemas.openxmlformats.org/officeDocument/2006/relationships/hyperlink" Target="https://auction.ikco.ir/auction/details/34?r=145" TargetMode="External"/><Relationship Id="rId1542" Type="http://schemas.openxmlformats.org/officeDocument/2006/relationships/hyperlink" Target="https://auction.ikco.ir/auction/details/34?r=364" TargetMode="External"/><Relationship Id="rId912" Type="http://schemas.openxmlformats.org/officeDocument/2006/relationships/hyperlink" Target="https://auction.ikco.ir/auction/details/34?r=34" TargetMode="External"/><Relationship Id="rId41" Type="http://schemas.openxmlformats.org/officeDocument/2006/relationships/hyperlink" Target="https://auction.ikco.ir/auction/details/34?r=531" TargetMode="External"/><Relationship Id="rId1402" Type="http://schemas.openxmlformats.org/officeDocument/2006/relationships/hyperlink" Target="https://auction.ikco.ir/auction/details/34?r=197" TargetMode="External"/><Relationship Id="rId190" Type="http://schemas.openxmlformats.org/officeDocument/2006/relationships/hyperlink" Target="https://auction.ikco.ir/auction/details/34?r=488" TargetMode="External"/><Relationship Id="rId288" Type="http://schemas.openxmlformats.org/officeDocument/2006/relationships/hyperlink" Target="javascript:void(0)" TargetMode="External"/><Relationship Id="rId495" Type="http://schemas.openxmlformats.org/officeDocument/2006/relationships/hyperlink" Target="https://auction.ikco.ir/auction/details/34?r=310" TargetMode="External"/><Relationship Id="rId148" Type="http://schemas.openxmlformats.org/officeDocument/2006/relationships/hyperlink" Target="https://auction.ikco.ir/auction/details/34?r=513" TargetMode="External"/><Relationship Id="rId355" Type="http://schemas.openxmlformats.org/officeDocument/2006/relationships/hyperlink" Target="https://auction.ikco.ir/auction/details/34?r=434" TargetMode="External"/><Relationship Id="rId562" Type="http://schemas.openxmlformats.org/officeDocument/2006/relationships/hyperlink" Target="https://auction.ikco.ir/auction/details/34?r=337" TargetMode="External"/><Relationship Id="rId1192" Type="http://schemas.openxmlformats.org/officeDocument/2006/relationships/hyperlink" Target="https://auction.ikco.ir/auction/details/34?r=195" TargetMode="External"/><Relationship Id="rId215" Type="http://schemas.openxmlformats.org/officeDocument/2006/relationships/hyperlink" Target="https://auction.ikco.ir/auction/details/34?r=357" TargetMode="External"/><Relationship Id="rId422" Type="http://schemas.openxmlformats.org/officeDocument/2006/relationships/hyperlink" Target="javascript:void(0)" TargetMode="External"/><Relationship Id="rId867" Type="http://schemas.openxmlformats.org/officeDocument/2006/relationships/hyperlink" Target="https://auction.ikco.ir/auction/details/34?r=208" TargetMode="External"/><Relationship Id="rId1052" Type="http://schemas.openxmlformats.org/officeDocument/2006/relationships/hyperlink" Target="https://auction.ikco.ir/auction/details/34?r=20" TargetMode="External"/><Relationship Id="rId1497" Type="http://schemas.openxmlformats.org/officeDocument/2006/relationships/hyperlink" Target="https://auction.ikco.ir/auction/details/34?r=109" TargetMode="External"/><Relationship Id="rId727" Type="http://schemas.openxmlformats.org/officeDocument/2006/relationships/hyperlink" Target="javascript:void(0)" TargetMode="External"/><Relationship Id="rId934" Type="http://schemas.openxmlformats.org/officeDocument/2006/relationships/hyperlink" Target="javascript:void(0)" TargetMode="External"/><Relationship Id="rId1357" Type="http://schemas.openxmlformats.org/officeDocument/2006/relationships/hyperlink" Target="https://auction.ikco.ir/auction/details/34?r=312" TargetMode="External"/><Relationship Id="rId1564" Type="http://schemas.openxmlformats.org/officeDocument/2006/relationships/hyperlink" Target="https://auction.ikco.ir/auction/details/34?r=307" TargetMode="External"/><Relationship Id="rId63" Type="http://schemas.openxmlformats.org/officeDocument/2006/relationships/hyperlink" Target="javascript:void(0)" TargetMode="External"/><Relationship Id="rId1217" Type="http://schemas.openxmlformats.org/officeDocument/2006/relationships/hyperlink" Target="https://auction.ikco.ir/auction/details/34?r=1" TargetMode="External"/><Relationship Id="rId1424" Type="http://schemas.openxmlformats.org/officeDocument/2006/relationships/hyperlink" Target="javascript:void(0)" TargetMode="External"/><Relationship Id="rId1631" Type="http://schemas.openxmlformats.org/officeDocument/2006/relationships/hyperlink" Target="https://auction.ikco.ir/auction/details/34?r=386" TargetMode="External"/><Relationship Id="rId377" Type="http://schemas.openxmlformats.org/officeDocument/2006/relationships/hyperlink" Target="javascript:void(0)" TargetMode="External"/><Relationship Id="rId584" Type="http://schemas.openxmlformats.org/officeDocument/2006/relationships/hyperlink" Target="javascript:void(0)" TargetMode="External"/><Relationship Id="rId5" Type="http://schemas.openxmlformats.org/officeDocument/2006/relationships/hyperlink" Target="https://auction.ikco.ir/auction/details/34?r=411" TargetMode="External"/><Relationship Id="rId237" Type="http://schemas.openxmlformats.org/officeDocument/2006/relationships/hyperlink" Target="javascript:void(0)" TargetMode="External"/><Relationship Id="rId791" Type="http://schemas.openxmlformats.org/officeDocument/2006/relationships/hyperlink" Target="https://auction.ikco.ir/auction/details/34?r=187" TargetMode="External"/><Relationship Id="rId889" Type="http://schemas.openxmlformats.org/officeDocument/2006/relationships/hyperlink" Target="javascript:void(0)" TargetMode="External"/><Relationship Id="rId1074" Type="http://schemas.openxmlformats.org/officeDocument/2006/relationships/hyperlink" Target="javascript:void(0)" TargetMode="External"/><Relationship Id="rId444" Type="http://schemas.openxmlformats.org/officeDocument/2006/relationships/hyperlink" Target="https://auction.ikco.ir/auction/details/34?r=293" TargetMode="External"/><Relationship Id="rId651" Type="http://schemas.openxmlformats.org/officeDocument/2006/relationships/hyperlink" Target="javascript:void(0)" TargetMode="External"/><Relationship Id="rId749" Type="http://schemas.openxmlformats.org/officeDocument/2006/relationships/hyperlink" Target="https://auction.ikco.ir/auction/details/34?r=231" TargetMode="External"/><Relationship Id="rId1281" Type="http://schemas.openxmlformats.org/officeDocument/2006/relationships/hyperlink" Target="javascript:void(0)" TargetMode="External"/><Relationship Id="rId1379" Type="http://schemas.openxmlformats.org/officeDocument/2006/relationships/hyperlink" Target="javascript:void(0)" TargetMode="External"/><Relationship Id="rId1586" Type="http://schemas.openxmlformats.org/officeDocument/2006/relationships/hyperlink" Target="javascript:void(0)" TargetMode="External"/><Relationship Id="rId304" Type="http://schemas.openxmlformats.org/officeDocument/2006/relationships/hyperlink" Target="https://auction.ikco.ir/auction/details/34?r=387" TargetMode="External"/><Relationship Id="rId511" Type="http://schemas.openxmlformats.org/officeDocument/2006/relationships/hyperlink" Target="https://auction.ikco.ir/auction/details/34?r=493" TargetMode="External"/><Relationship Id="rId609" Type="http://schemas.openxmlformats.org/officeDocument/2006/relationships/hyperlink" Target="javascript:void(0)" TargetMode="External"/><Relationship Id="rId956" Type="http://schemas.openxmlformats.org/officeDocument/2006/relationships/hyperlink" Target="https://auction.ikco.ir/auction/details/34?r=49" TargetMode="External"/><Relationship Id="rId1141" Type="http://schemas.openxmlformats.org/officeDocument/2006/relationships/hyperlink" Target="https://auction.ikco.ir/auction/details/34?r=185" TargetMode="External"/><Relationship Id="rId1239" Type="http://schemas.openxmlformats.org/officeDocument/2006/relationships/hyperlink" Target="javascript:void(0)" TargetMode="External"/><Relationship Id="rId85" Type="http://schemas.openxmlformats.org/officeDocument/2006/relationships/hyperlink" Target="https://auction.ikco.ir/auction/details/34?r=432" TargetMode="External"/><Relationship Id="rId816" Type="http://schemas.openxmlformats.org/officeDocument/2006/relationships/hyperlink" Target="https://auction.ikco.ir/auction/details/34?r=149" TargetMode="External"/><Relationship Id="rId1001" Type="http://schemas.openxmlformats.org/officeDocument/2006/relationships/hyperlink" Target="https://auction.ikco.ir/auction/details/34?r=90" TargetMode="External"/><Relationship Id="rId1446" Type="http://schemas.openxmlformats.org/officeDocument/2006/relationships/hyperlink" Target="https://auction.ikco.ir/auction/details/34?r=14" TargetMode="External"/><Relationship Id="rId1653" Type="http://schemas.openxmlformats.org/officeDocument/2006/relationships/hyperlink" Target="https://auction.ikco.ir/auction/details/34?r=391" TargetMode="External"/><Relationship Id="rId1306" Type="http://schemas.openxmlformats.org/officeDocument/2006/relationships/hyperlink" Target="https://auction.ikco.ir/auction/details/34?r=209" TargetMode="External"/><Relationship Id="rId1513" Type="http://schemas.openxmlformats.org/officeDocument/2006/relationships/hyperlink" Target="https://auction.ikco.ir/auction/details/34?r=42" TargetMode="External"/><Relationship Id="rId12" Type="http://schemas.openxmlformats.org/officeDocument/2006/relationships/hyperlink" Target="javascript:void(0)" TargetMode="External"/><Relationship Id="rId161" Type="http://schemas.openxmlformats.org/officeDocument/2006/relationships/hyperlink" Target="https://auction.ikco.ir/auction/details/34?r=471" TargetMode="External"/><Relationship Id="rId399" Type="http://schemas.openxmlformats.org/officeDocument/2006/relationships/hyperlink" Target="https://auction.ikco.ir/auction/details/34?r=244" TargetMode="External"/><Relationship Id="rId259" Type="http://schemas.openxmlformats.org/officeDocument/2006/relationships/hyperlink" Target="https://auction.ikco.ir/auction/details/34?r=489" TargetMode="External"/><Relationship Id="rId466" Type="http://schemas.openxmlformats.org/officeDocument/2006/relationships/hyperlink" Target="https://auction.ikco.ir/auction/details/34?r=23" TargetMode="External"/><Relationship Id="rId673" Type="http://schemas.openxmlformats.org/officeDocument/2006/relationships/hyperlink" Target="javascript:void(0)" TargetMode="External"/><Relationship Id="rId880" Type="http://schemas.openxmlformats.org/officeDocument/2006/relationships/hyperlink" Target="javascript:void(0)" TargetMode="External"/><Relationship Id="rId1096" Type="http://schemas.openxmlformats.org/officeDocument/2006/relationships/hyperlink" Target="https://auction.ikco.ir/auction/details/34?r=371" TargetMode="External"/><Relationship Id="rId119" Type="http://schemas.openxmlformats.org/officeDocument/2006/relationships/hyperlink" Target="https://auction.ikco.ir/auction/details/34?r=412" TargetMode="External"/><Relationship Id="rId326" Type="http://schemas.openxmlformats.org/officeDocument/2006/relationships/hyperlink" Target="javascript:void(0)" TargetMode="External"/><Relationship Id="rId533" Type="http://schemas.openxmlformats.org/officeDocument/2006/relationships/hyperlink" Target="javascript:void(0)" TargetMode="External"/><Relationship Id="rId978" Type="http://schemas.openxmlformats.org/officeDocument/2006/relationships/hyperlink" Target="https://auction.ikco.ir/auction/details/34?r=239" TargetMode="External"/><Relationship Id="rId1163" Type="http://schemas.openxmlformats.org/officeDocument/2006/relationships/hyperlink" Target="https://auction.ikco.ir/auction/details/34?r=366" TargetMode="External"/><Relationship Id="rId1370" Type="http://schemas.openxmlformats.org/officeDocument/2006/relationships/hyperlink" Target="javascript:void(0)" TargetMode="External"/><Relationship Id="rId740" Type="http://schemas.openxmlformats.org/officeDocument/2006/relationships/hyperlink" Target="https://auction.ikco.ir/auction/details/34?r=176" TargetMode="External"/><Relationship Id="rId838" Type="http://schemas.openxmlformats.org/officeDocument/2006/relationships/hyperlink" Target="javascript:void(0)" TargetMode="External"/><Relationship Id="rId1023" Type="http://schemas.openxmlformats.org/officeDocument/2006/relationships/hyperlink" Target="javascript:void(0)" TargetMode="External"/><Relationship Id="rId1468" Type="http://schemas.openxmlformats.org/officeDocument/2006/relationships/hyperlink" Target="https://auction.ikco.ir/auction/details/34?r=381" TargetMode="External"/><Relationship Id="rId1675" Type="http://schemas.openxmlformats.org/officeDocument/2006/relationships/hyperlink" Target="javascript:void(0)" TargetMode="External"/><Relationship Id="rId600" Type="http://schemas.openxmlformats.org/officeDocument/2006/relationships/hyperlink" Target="javascript:void(0)" TargetMode="External"/><Relationship Id="rId1230" Type="http://schemas.openxmlformats.org/officeDocument/2006/relationships/hyperlink" Target="javascript:void(0)" TargetMode="External"/><Relationship Id="rId1328" Type="http://schemas.openxmlformats.org/officeDocument/2006/relationships/hyperlink" Target="javascript:void(0)" TargetMode="External"/><Relationship Id="rId1535" Type="http://schemas.openxmlformats.org/officeDocument/2006/relationships/hyperlink" Target="javascript:void(0)" TargetMode="External"/><Relationship Id="rId905" Type="http://schemas.openxmlformats.org/officeDocument/2006/relationships/hyperlink" Target="https://auction.ikco.ir/auction/details/34?r=506" TargetMode="External"/><Relationship Id="rId34" Type="http://schemas.openxmlformats.org/officeDocument/2006/relationships/hyperlink" Target="https://auction.ikco.ir/auction/details/34?r=521" TargetMode="External"/><Relationship Id="rId1602" Type="http://schemas.openxmlformats.org/officeDocument/2006/relationships/hyperlink" Target="https://auction.ikco.ir/auction/details/34?r=168" TargetMode="External"/><Relationship Id="rId183" Type="http://schemas.openxmlformats.org/officeDocument/2006/relationships/hyperlink" Target="javascript:void(0)" TargetMode="External"/><Relationship Id="rId390" Type="http://schemas.openxmlformats.org/officeDocument/2006/relationships/hyperlink" Target="https://auction.ikco.ir/auction/details/34?r=154" TargetMode="External"/><Relationship Id="rId250" Type="http://schemas.openxmlformats.org/officeDocument/2006/relationships/hyperlink" Target="https://auction.ikco.ir/auction/details/34?r=399" TargetMode="External"/><Relationship Id="rId488" Type="http://schemas.openxmlformats.org/officeDocument/2006/relationships/hyperlink" Target="javascript:void(0)" TargetMode="External"/><Relationship Id="rId695" Type="http://schemas.openxmlformats.org/officeDocument/2006/relationships/hyperlink" Target="javascript:void(0)" TargetMode="External"/><Relationship Id="rId110" Type="http://schemas.openxmlformats.org/officeDocument/2006/relationships/hyperlink" Target="https://auction.ikco.ir/auction/details/34?r=492" TargetMode="External"/><Relationship Id="rId348" Type="http://schemas.openxmlformats.org/officeDocument/2006/relationships/hyperlink" Target="https://auction.ikco.ir/auction/details/34?r=520" TargetMode="External"/><Relationship Id="rId555" Type="http://schemas.openxmlformats.org/officeDocument/2006/relationships/hyperlink" Target="https://auction.ikco.ir/auction/details/34?r=291" TargetMode="External"/><Relationship Id="rId762" Type="http://schemas.openxmlformats.org/officeDocument/2006/relationships/hyperlink" Target="https://auction.ikco.ir/auction/details/34?r=339" TargetMode="External"/><Relationship Id="rId1185" Type="http://schemas.openxmlformats.org/officeDocument/2006/relationships/hyperlink" Target="javascript:void(0)" TargetMode="External"/><Relationship Id="rId1392" Type="http://schemas.openxmlformats.org/officeDocument/2006/relationships/hyperlink" Target="https://auction.ikco.ir/auction/details/34?r=139" TargetMode="External"/><Relationship Id="rId208" Type="http://schemas.openxmlformats.org/officeDocument/2006/relationships/hyperlink" Target="https://auction.ikco.ir/auction/details/34?r=403" TargetMode="External"/><Relationship Id="rId415" Type="http://schemas.openxmlformats.org/officeDocument/2006/relationships/hyperlink" Target="https://auction.ikco.ir/auction/details/34?r=273" TargetMode="External"/><Relationship Id="rId622" Type="http://schemas.openxmlformats.org/officeDocument/2006/relationships/hyperlink" Target="javascript:void(0)" TargetMode="External"/><Relationship Id="rId1045" Type="http://schemas.openxmlformats.org/officeDocument/2006/relationships/hyperlink" Target="https://auction.ikco.ir/auction/details/34?r=375" TargetMode="External"/><Relationship Id="rId1252" Type="http://schemas.openxmlformats.org/officeDocument/2006/relationships/hyperlink" Target="https://auction.ikco.ir/auction/details/34?r=53" TargetMode="External"/><Relationship Id="rId927" Type="http://schemas.openxmlformats.org/officeDocument/2006/relationships/hyperlink" Target="https://auction.ikco.ir/auction/details/34?r=140" TargetMode="External"/><Relationship Id="rId1112" Type="http://schemas.openxmlformats.org/officeDocument/2006/relationships/hyperlink" Target="https://auction.ikco.ir/auction/details/34?r=46" TargetMode="External"/><Relationship Id="rId1557" Type="http://schemas.openxmlformats.org/officeDocument/2006/relationships/hyperlink" Target="https://auction.ikco.ir/auction/details/34?r=254" TargetMode="External"/><Relationship Id="rId56" Type="http://schemas.openxmlformats.org/officeDocument/2006/relationships/hyperlink" Target="https://auction.ikco.ir/auction/details/34?r=530" TargetMode="External"/><Relationship Id="rId1417" Type="http://schemas.openxmlformats.org/officeDocument/2006/relationships/hyperlink" Target="https://auction.ikco.ir/auction/details/34?r=217" TargetMode="External"/><Relationship Id="rId1624" Type="http://schemas.openxmlformats.org/officeDocument/2006/relationships/hyperlink" Target="javascript:void(0)" TargetMode="External"/><Relationship Id="rId272" Type="http://schemas.openxmlformats.org/officeDocument/2006/relationships/hyperlink" Target="https://auction.ikco.ir/auction/details/34?r=324" TargetMode="External"/><Relationship Id="rId577" Type="http://schemas.openxmlformats.org/officeDocument/2006/relationships/hyperlink" Target="https://auction.ikco.ir/auction/details/34?r=148" TargetMode="External"/><Relationship Id="rId132" Type="http://schemas.openxmlformats.org/officeDocument/2006/relationships/hyperlink" Target="javascript:void(0)" TargetMode="External"/><Relationship Id="rId784" Type="http://schemas.openxmlformats.org/officeDocument/2006/relationships/hyperlink" Target="javascript:void(0)" TargetMode="External"/><Relationship Id="rId991" Type="http://schemas.openxmlformats.org/officeDocument/2006/relationships/hyperlink" Target="javascript:void(0)" TargetMode="External"/><Relationship Id="rId1067" Type="http://schemas.openxmlformats.org/officeDocument/2006/relationships/hyperlink" Target="https://auction.ikco.ir/auction/details/34?r=101" TargetMode="External"/><Relationship Id="rId437" Type="http://schemas.openxmlformats.org/officeDocument/2006/relationships/hyperlink" Target="javascript:void(0)" TargetMode="External"/><Relationship Id="rId644" Type="http://schemas.openxmlformats.org/officeDocument/2006/relationships/hyperlink" Target="javascript:void(0)" TargetMode="External"/><Relationship Id="rId851" Type="http://schemas.openxmlformats.org/officeDocument/2006/relationships/hyperlink" Target="https://auction.ikco.ir/auction/details/34?r=110" TargetMode="External"/><Relationship Id="rId1274" Type="http://schemas.openxmlformats.org/officeDocument/2006/relationships/hyperlink" Target="https://auction.ikco.ir/auction/details/34?r=99" TargetMode="External"/><Relationship Id="rId1481" Type="http://schemas.openxmlformats.org/officeDocument/2006/relationships/hyperlink" Target="javascript:void(0)" TargetMode="External"/><Relationship Id="rId1579" Type="http://schemas.openxmlformats.org/officeDocument/2006/relationships/hyperlink" Target="https://auction.ikco.ir/auction/details/34?r=483" TargetMode="External"/><Relationship Id="rId504" Type="http://schemas.openxmlformats.org/officeDocument/2006/relationships/hyperlink" Target="https://auction.ikco.ir/auction/details/34?r=277" TargetMode="External"/><Relationship Id="rId711" Type="http://schemas.openxmlformats.org/officeDocument/2006/relationships/hyperlink" Target="https://auction.ikco.ir/auction/details/34?r=292" TargetMode="External"/><Relationship Id="rId949" Type="http://schemas.openxmlformats.org/officeDocument/2006/relationships/hyperlink" Target="javascript:void(0)" TargetMode="External"/><Relationship Id="rId1134" Type="http://schemas.openxmlformats.org/officeDocument/2006/relationships/hyperlink" Target="javascript:void(0)" TargetMode="External"/><Relationship Id="rId1341" Type="http://schemas.openxmlformats.org/officeDocument/2006/relationships/hyperlink" Target="https://auction.ikco.ir/auction/details/34?r=200" TargetMode="External"/><Relationship Id="rId78" Type="http://schemas.openxmlformats.org/officeDocument/2006/relationships/hyperlink" Target="javascript:void(0)" TargetMode="External"/><Relationship Id="rId809" Type="http://schemas.openxmlformats.org/officeDocument/2006/relationships/hyperlink" Target="https://auction.ikco.ir/auction/details/34?r=102" TargetMode="External"/><Relationship Id="rId1201" Type="http://schemas.openxmlformats.org/officeDocument/2006/relationships/hyperlink" Target="https://auction.ikco.ir/auction/details/34?r=283" TargetMode="External"/><Relationship Id="rId1439" Type="http://schemas.openxmlformats.org/officeDocument/2006/relationships/hyperlink" Target="javascript:void(0)" TargetMode="External"/><Relationship Id="rId1646" Type="http://schemas.openxmlformats.org/officeDocument/2006/relationships/hyperlink" Target="https://auction.ikco.ir/auction/details/34?r=165" TargetMode="External"/><Relationship Id="rId1506" Type="http://schemas.openxmlformats.org/officeDocument/2006/relationships/hyperlink" Target="https://auction.ikco.ir/auction/details/34?r=360" TargetMode="External"/><Relationship Id="rId294" Type="http://schemas.openxmlformats.org/officeDocument/2006/relationships/hyperlink" Target="javascript:void(0)" TargetMode="External"/><Relationship Id="rId154" Type="http://schemas.openxmlformats.org/officeDocument/2006/relationships/hyperlink" Target="https://auction.ikco.ir/auction/details/34?r=415" TargetMode="External"/><Relationship Id="rId361" Type="http://schemas.openxmlformats.org/officeDocument/2006/relationships/hyperlink" Target="https://auction.ikco.ir/auction/details/34?r=343" TargetMode="External"/><Relationship Id="rId599" Type="http://schemas.openxmlformats.org/officeDocument/2006/relationships/hyperlink" Target="javascript:void(0)" TargetMode="External"/><Relationship Id="rId459" Type="http://schemas.openxmlformats.org/officeDocument/2006/relationships/hyperlink" Target="https://auction.ikco.ir/auction/details/34?r=358" TargetMode="External"/><Relationship Id="rId666" Type="http://schemas.openxmlformats.org/officeDocument/2006/relationships/hyperlink" Target="javascript:void(0)" TargetMode="External"/><Relationship Id="rId873" Type="http://schemas.openxmlformats.org/officeDocument/2006/relationships/hyperlink" Target="https://auction.ikco.ir/auction/details/34?r=327" TargetMode="External"/><Relationship Id="rId1089" Type="http://schemas.openxmlformats.org/officeDocument/2006/relationships/hyperlink" Target="javascript:void(0)" TargetMode="External"/><Relationship Id="rId1296" Type="http://schemas.openxmlformats.org/officeDocument/2006/relationships/hyperlink" Target="https://auction.ikco.ir/auction/details/34?r=186" TargetMode="External"/><Relationship Id="rId221" Type="http://schemas.openxmlformats.org/officeDocument/2006/relationships/hyperlink" Target="https://auction.ikco.ir/auction/details/34?r=383" TargetMode="External"/><Relationship Id="rId319" Type="http://schemas.openxmlformats.org/officeDocument/2006/relationships/hyperlink" Target="https://auction.ikco.ir/auction/details/34?r=314" TargetMode="External"/><Relationship Id="rId526" Type="http://schemas.openxmlformats.org/officeDocument/2006/relationships/hyperlink" Target="https://auction.ikco.ir/auction/details/34?r=56" TargetMode="External"/><Relationship Id="rId1156" Type="http://schemas.openxmlformats.org/officeDocument/2006/relationships/hyperlink" Target="https://auction.ikco.ir/auction/details/34?r=240" TargetMode="External"/><Relationship Id="rId1363" Type="http://schemas.openxmlformats.org/officeDocument/2006/relationships/hyperlink" Target="https://auction.ikco.ir/auction/details/34?r=9" TargetMode="External"/><Relationship Id="rId733" Type="http://schemas.openxmlformats.org/officeDocument/2006/relationships/hyperlink" Target="javascript:void(0)" TargetMode="External"/><Relationship Id="rId940" Type="http://schemas.openxmlformats.org/officeDocument/2006/relationships/hyperlink" Target="javascript:void(0)" TargetMode="External"/><Relationship Id="rId1016" Type="http://schemas.openxmlformats.org/officeDocument/2006/relationships/hyperlink" Target="https://auction.ikco.ir/auction/details/34?r=146" TargetMode="External"/><Relationship Id="rId1570" Type="http://schemas.openxmlformats.org/officeDocument/2006/relationships/hyperlink" Target="https://auction.ikco.ir/auction/details/34?r=368" TargetMode="External"/><Relationship Id="rId1668" Type="http://schemas.openxmlformats.org/officeDocument/2006/relationships/hyperlink" Target="https://auction.ikco.ir/auction/details/34?r=516" TargetMode="External"/><Relationship Id="rId800" Type="http://schemas.openxmlformats.org/officeDocument/2006/relationships/hyperlink" Target="https://auction.ikco.ir/auction/details/34?r=377" TargetMode="External"/><Relationship Id="rId1223" Type="http://schemas.openxmlformats.org/officeDocument/2006/relationships/hyperlink" Target="https://auction.ikco.ir/auction/details/34?r=7" TargetMode="External"/><Relationship Id="rId1430" Type="http://schemas.openxmlformats.org/officeDocument/2006/relationships/hyperlink" Target="javascript:void(0)" TargetMode="External"/><Relationship Id="rId1528" Type="http://schemas.openxmlformats.org/officeDocument/2006/relationships/hyperlink" Target="https://auction.ikco.ir/auction/details/34?r=191" TargetMode="External"/><Relationship Id="rId232" Type="http://schemas.openxmlformats.org/officeDocument/2006/relationships/hyperlink" Target="https://auction.ikco.ir/auction/details/34?r=441" TargetMode="External"/><Relationship Id="rId884" Type="http://schemas.openxmlformats.org/officeDocument/2006/relationships/hyperlink" Target="https://auction.ikco.ir/auction/details/34?r=79" TargetMode="External"/><Relationship Id="rId27" Type="http://schemas.openxmlformats.org/officeDocument/2006/relationships/hyperlink" Target="javascript:void(0)" TargetMode="External"/><Relationship Id="rId537" Type="http://schemas.openxmlformats.org/officeDocument/2006/relationships/hyperlink" Target="https://auction.ikco.ir/auction/details/34?r=336" TargetMode="External"/><Relationship Id="rId744" Type="http://schemas.openxmlformats.org/officeDocument/2006/relationships/hyperlink" Target="https://auction.ikco.ir/auction/details/34?r=190" TargetMode="External"/><Relationship Id="rId951" Type="http://schemas.openxmlformats.org/officeDocument/2006/relationships/hyperlink" Target="https://auction.ikco.ir/auction/details/34?r=397" TargetMode="External"/><Relationship Id="rId1167" Type="http://schemas.openxmlformats.org/officeDocument/2006/relationships/hyperlink" Target="javascript:void(0)" TargetMode="External"/><Relationship Id="rId1374" Type="http://schemas.openxmlformats.org/officeDocument/2006/relationships/hyperlink" Target="https://auction.ikco.ir/auction/details/34?r=37" TargetMode="External"/><Relationship Id="rId1581" Type="http://schemas.openxmlformats.org/officeDocument/2006/relationships/hyperlink" Target="https://auction.ikco.ir/auction/details/34?r=83" TargetMode="External"/><Relationship Id="rId1679" Type="http://schemas.openxmlformats.org/officeDocument/2006/relationships/hyperlink" Target="https://auction.ikco.ir/auction/details/34?r=481" TargetMode="External"/><Relationship Id="rId80" Type="http://schemas.openxmlformats.org/officeDocument/2006/relationships/hyperlink" Target="https://auction.ikco.ir/auction/details/34?r=418" TargetMode="External"/><Relationship Id="rId176" Type="http://schemas.openxmlformats.org/officeDocument/2006/relationships/hyperlink" Target="https://auction.ikco.ir/auction/details/34?r=422" TargetMode="External"/><Relationship Id="rId383" Type="http://schemas.openxmlformats.org/officeDocument/2006/relationships/hyperlink" Target="javascript:void(0)" TargetMode="External"/><Relationship Id="rId590" Type="http://schemas.openxmlformats.org/officeDocument/2006/relationships/hyperlink" Target="javascript:void(0)" TargetMode="External"/><Relationship Id="rId604" Type="http://schemas.openxmlformats.org/officeDocument/2006/relationships/hyperlink" Target="javascript:void(0)" TargetMode="External"/><Relationship Id="rId811" Type="http://schemas.openxmlformats.org/officeDocument/2006/relationships/hyperlink" Target="javascript:void(0)" TargetMode="External"/><Relationship Id="rId1027" Type="http://schemas.openxmlformats.org/officeDocument/2006/relationships/hyperlink" Target="https://auction.ikco.ir/auction/details/34?r=211" TargetMode="External"/><Relationship Id="rId1234" Type="http://schemas.openxmlformats.org/officeDocument/2006/relationships/hyperlink" Target="https://auction.ikco.ir/auction/details/34?r=27" TargetMode="External"/><Relationship Id="rId1441" Type="http://schemas.openxmlformats.org/officeDocument/2006/relationships/hyperlink" Target="https://auction.ikco.ir/auction/details/34?r=365" TargetMode="External"/><Relationship Id="rId243" Type="http://schemas.openxmlformats.org/officeDocument/2006/relationships/hyperlink" Target="javascript:void(0)" TargetMode="External"/><Relationship Id="rId450" Type="http://schemas.openxmlformats.org/officeDocument/2006/relationships/hyperlink" Target="https://auction.ikco.ir/auction/details/34?r=275" TargetMode="External"/><Relationship Id="rId688" Type="http://schemas.openxmlformats.org/officeDocument/2006/relationships/hyperlink" Target="javascript:void(0)" TargetMode="External"/><Relationship Id="rId895" Type="http://schemas.openxmlformats.org/officeDocument/2006/relationships/hyperlink" Target="javascript:void(0)" TargetMode="External"/><Relationship Id="rId909" Type="http://schemas.openxmlformats.org/officeDocument/2006/relationships/hyperlink" Target="https://auction.ikco.ir/auction/details/34?r=5" TargetMode="External"/><Relationship Id="rId1080" Type="http://schemas.openxmlformats.org/officeDocument/2006/relationships/hyperlink" Target="javascript:void(0)" TargetMode="External"/><Relationship Id="rId1301" Type="http://schemas.openxmlformats.org/officeDocument/2006/relationships/hyperlink" Target="javascript:void(0)" TargetMode="External"/><Relationship Id="rId1539" Type="http://schemas.openxmlformats.org/officeDocument/2006/relationships/hyperlink" Target="https://auction.ikco.ir/auction/details/34?r=342" TargetMode="External"/><Relationship Id="rId38" Type="http://schemas.openxmlformats.org/officeDocument/2006/relationships/hyperlink" Target="https://auction.ikco.ir/auction/details/34?r=527" TargetMode="External"/><Relationship Id="rId103" Type="http://schemas.openxmlformats.org/officeDocument/2006/relationships/hyperlink" Target="https://auction.ikco.ir/auction/details/34?r=491" TargetMode="External"/><Relationship Id="rId310" Type="http://schemas.openxmlformats.org/officeDocument/2006/relationships/hyperlink" Target="https://auction.ikco.ir/auction/details/34?r=382" TargetMode="External"/><Relationship Id="rId548" Type="http://schemas.openxmlformats.org/officeDocument/2006/relationships/hyperlink" Target="javascript:void(0)" TargetMode="External"/><Relationship Id="rId755" Type="http://schemas.openxmlformats.org/officeDocument/2006/relationships/hyperlink" Target="https://auction.ikco.ir/auction/details/34?r=287" TargetMode="External"/><Relationship Id="rId962" Type="http://schemas.openxmlformats.org/officeDocument/2006/relationships/hyperlink" Target="https://auction.ikco.ir/auction/details/34?r=54" TargetMode="External"/><Relationship Id="rId1178" Type="http://schemas.openxmlformats.org/officeDocument/2006/relationships/hyperlink" Target="https://auction.ikco.ir/auction/details/34?r=75" TargetMode="External"/><Relationship Id="rId1385" Type="http://schemas.openxmlformats.org/officeDocument/2006/relationships/hyperlink" Target="javascript:void(0)" TargetMode="External"/><Relationship Id="rId1592" Type="http://schemas.openxmlformats.org/officeDocument/2006/relationships/hyperlink" Target="javascript:void(0)" TargetMode="External"/><Relationship Id="rId1606" Type="http://schemas.openxmlformats.org/officeDocument/2006/relationships/hyperlink" Target="javascript:void(0)" TargetMode="External"/><Relationship Id="rId91" Type="http://schemas.openxmlformats.org/officeDocument/2006/relationships/hyperlink" Target="https://auction.ikco.ir/auction/details/34?r=430" TargetMode="External"/><Relationship Id="rId187" Type="http://schemas.openxmlformats.org/officeDocument/2006/relationships/hyperlink" Target="https://auction.ikco.ir/auction/details/34?r=228" TargetMode="External"/><Relationship Id="rId394" Type="http://schemas.openxmlformats.org/officeDocument/2006/relationships/hyperlink" Target="https://auction.ikco.ir/auction/details/34?r=505" TargetMode="External"/><Relationship Id="rId408" Type="http://schemas.openxmlformats.org/officeDocument/2006/relationships/hyperlink" Target="https://auction.ikco.ir/auction/details/34?r=257" TargetMode="External"/><Relationship Id="rId615" Type="http://schemas.openxmlformats.org/officeDocument/2006/relationships/hyperlink" Target="javascript:void(0)" TargetMode="External"/><Relationship Id="rId822" Type="http://schemas.openxmlformats.org/officeDocument/2006/relationships/hyperlink" Target="https://auction.ikco.ir/auction/details/34?r=151" TargetMode="External"/><Relationship Id="rId1038" Type="http://schemas.openxmlformats.org/officeDocument/2006/relationships/hyperlink" Target="javascript:void(0)" TargetMode="External"/><Relationship Id="rId1245" Type="http://schemas.openxmlformats.org/officeDocument/2006/relationships/hyperlink" Target="javascript:void(0)" TargetMode="External"/><Relationship Id="rId1452" Type="http://schemas.openxmlformats.org/officeDocument/2006/relationships/hyperlink" Target="https://auction.ikco.ir/auction/details/34?r=114" TargetMode="External"/><Relationship Id="rId254" Type="http://schemas.openxmlformats.org/officeDocument/2006/relationships/hyperlink" Target="https://auction.ikco.ir/auction/details/34?r=400" TargetMode="External"/><Relationship Id="rId699" Type="http://schemas.openxmlformats.org/officeDocument/2006/relationships/hyperlink" Target="https://auction.ikco.ir/auction/details/34?r=4" TargetMode="External"/><Relationship Id="rId1091" Type="http://schemas.openxmlformats.org/officeDocument/2006/relationships/hyperlink" Target="https://auction.ikco.ir/auction/details/34?r=299" TargetMode="External"/><Relationship Id="rId1105" Type="http://schemas.openxmlformats.org/officeDocument/2006/relationships/hyperlink" Target="https://auction.ikco.ir/auction/details/34?r=28" TargetMode="External"/><Relationship Id="rId1312" Type="http://schemas.openxmlformats.org/officeDocument/2006/relationships/hyperlink" Target="https://auction.ikco.ir/auction/details/34?r=389" TargetMode="External"/><Relationship Id="rId49" Type="http://schemas.openxmlformats.org/officeDocument/2006/relationships/hyperlink" Target="https://auction.ikco.ir/auction/details/34?r=526" TargetMode="External"/><Relationship Id="rId114" Type="http://schemas.openxmlformats.org/officeDocument/2006/relationships/hyperlink" Target="javascript:void(0)" TargetMode="External"/><Relationship Id="rId461" Type="http://schemas.openxmlformats.org/officeDocument/2006/relationships/hyperlink" Target="javascript:void(0)" TargetMode="External"/><Relationship Id="rId559" Type="http://schemas.openxmlformats.org/officeDocument/2006/relationships/hyperlink" Target="https://auction.ikco.ir/auction/details/34?r=323" TargetMode="External"/><Relationship Id="rId766" Type="http://schemas.openxmlformats.org/officeDocument/2006/relationships/hyperlink" Target="javascript:void(0)" TargetMode="External"/><Relationship Id="rId1189" Type="http://schemas.openxmlformats.org/officeDocument/2006/relationships/hyperlink" Target="https://auction.ikco.ir/auction/details/34?r=189" TargetMode="External"/><Relationship Id="rId1396" Type="http://schemas.openxmlformats.org/officeDocument/2006/relationships/hyperlink" Target="https://auction.ikco.ir/auction/details/34?r=160" TargetMode="External"/><Relationship Id="rId1617" Type="http://schemas.openxmlformats.org/officeDocument/2006/relationships/hyperlink" Target="https://auction.ikco.ir/auction/details/34?r=393" TargetMode="External"/><Relationship Id="rId198" Type="http://schemas.openxmlformats.org/officeDocument/2006/relationships/hyperlink" Target="javascript:void(0)" TargetMode="External"/><Relationship Id="rId321" Type="http://schemas.openxmlformats.org/officeDocument/2006/relationships/hyperlink" Target="https://auction.ikco.ir/auction/details/34?r=311" TargetMode="External"/><Relationship Id="rId419" Type="http://schemas.openxmlformats.org/officeDocument/2006/relationships/hyperlink" Target="javascript:void(0)" TargetMode="External"/><Relationship Id="rId626" Type="http://schemas.openxmlformats.org/officeDocument/2006/relationships/hyperlink" Target="javascript:void(0)" TargetMode="External"/><Relationship Id="rId973" Type="http://schemas.openxmlformats.org/officeDocument/2006/relationships/hyperlink" Target="javascript:void(0)" TargetMode="External"/><Relationship Id="rId1049" Type="http://schemas.openxmlformats.org/officeDocument/2006/relationships/hyperlink" Target="https://auction.ikco.ir/auction/details/34?r=15" TargetMode="External"/><Relationship Id="rId1256" Type="http://schemas.openxmlformats.org/officeDocument/2006/relationships/hyperlink" Target="https://auction.ikco.ir/auction/details/34?r=60" TargetMode="External"/><Relationship Id="rId833" Type="http://schemas.openxmlformats.org/officeDocument/2006/relationships/hyperlink" Target="https://auction.ikco.ir/auction/details/34?r=206" TargetMode="External"/><Relationship Id="rId1116" Type="http://schemas.openxmlformats.org/officeDocument/2006/relationships/hyperlink" Target="javascript:void(0)" TargetMode="External"/><Relationship Id="rId1463" Type="http://schemas.openxmlformats.org/officeDocument/2006/relationships/hyperlink" Target="javascript:void(0)" TargetMode="External"/><Relationship Id="rId1670" Type="http://schemas.openxmlformats.org/officeDocument/2006/relationships/hyperlink" Target="https://auction.ikco.ir/auction/details/34?r=457" TargetMode="External"/><Relationship Id="rId265" Type="http://schemas.openxmlformats.org/officeDocument/2006/relationships/hyperlink" Target="https://auction.ikco.ir/auction/details/34?r=384" TargetMode="External"/><Relationship Id="rId472" Type="http://schemas.openxmlformats.org/officeDocument/2006/relationships/hyperlink" Target="https://auction.ikco.ir/auction/details/34?r=326" TargetMode="External"/><Relationship Id="rId900" Type="http://schemas.openxmlformats.org/officeDocument/2006/relationships/hyperlink" Target="https://auction.ikco.ir/auction/details/34?r=306" TargetMode="External"/><Relationship Id="rId1323" Type="http://schemas.openxmlformats.org/officeDocument/2006/relationships/hyperlink" Target="https://auction.ikco.ir/auction/details/34?r=106" TargetMode="External"/><Relationship Id="rId1530" Type="http://schemas.openxmlformats.org/officeDocument/2006/relationships/hyperlink" Target="https://auction.ikco.ir/auction/details/34?r=259" TargetMode="External"/><Relationship Id="rId1628" Type="http://schemas.openxmlformats.org/officeDocument/2006/relationships/hyperlink" Target="https://auction.ikco.ir/auction/details/34?r=416" TargetMode="External"/><Relationship Id="rId125" Type="http://schemas.openxmlformats.org/officeDocument/2006/relationships/hyperlink" Target="https://auction.ikco.ir/auction/details/34?r=453" TargetMode="External"/><Relationship Id="rId332" Type="http://schemas.openxmlformats.org/officeDocument/2006/relationships/hyperlink" Target="javascript:void(0)" TargetMode="External"/><Relationship Id="rId777" Type="http://schemas.openxmlformats.org/officeDocument/2006/relationships/hyperlink" Target="https://auction.ikco.ir/auction/details/34?r=212" TargetMode="External"/><Relationship Id="rId984" Type="http://schemas.openxmlformats.org/officeDocument/2006/relationships/hyperlink" Target="https://auction.ikco.ir/auction/details/34?r=268" TargetMode="External"/><Relationship Id="rId637" Type="http://schemas.openxmlformats.org/officeDocument/2006/relationships/hyperlink" Target="javascript:void(0)" TargetMode="External"/><Relationship Id="rId844" Type="http://schemas.openxmlformats.org/officeDocument/2006/relationships/hyperlink" Target="javascript:void(0)" TargetMode="External"/><Relationship Id="rId1267" Type="http://schemas.openxmlformats.org/officeDocument/2006/relationships/hyperlink" Target="https://auction.ikco.ir/auction/details/34?r=89" TargetMode="External"/><Relationship Id="rId1474" Type="http://schemas.openxmlformats.org/officeDocument/2006/relationships/hyperlink" Target="https://auction.ikco.ir/auction/details/34?r=395" TargetMode="External"/><Relationship Id="rId1681" Type="http://schemas.openxmlformats.org/officeDocument/2006/relationships/hyperlink" Target="javascript:void(0)" TargetMode="External"/><Relationship Id="rId276" Type="http://schemas.openxmlformats.org/officeDocument/2006/relationships/hyperlink" Target="javascript:void(0)" TargetMode="External"/><Relationship Id="rId483" Type="http://schemas.openxmlformats.org/officeDocument/2006/relationships/hyperlink" Target="https://auction.ikco.ir/auction/details/34?r=276" TargetMode="External"/><Relationship Id="rId690" Type="http://schemas.openxmlformats.org/officeDocument/2006/relationships/hyperlink" Target="javascript:void(0)" TargetMode="External"/><Relationship Id="rId704" Type="http://schemas.openxmlformats.org/officeDocument/2006/relationships/hyperlink" Target="https://auction.ikco.ir/auction/details/34?r=26" TargetMode="External"/><Relationship Id="rId911" Type="http://schemas.openxmlformats.org/officeDocument/2006/relationships/hyperlink" Target="https://auction.ikco.ir/auction/details/34?r=34" TargetMode="External"/><Relationship Id="rId1127" Type="http://schemas.openxmlformats.org/officeDocument/2006/relationships/hyperlink" Target="https://auction.ikco.ir/auction/details/34?r=125" TargetMode="External"/><Relationship Id="rId1334" Type="http://schemas.openxmlformats.org/officeDocument/2006/relationships/hyperlink" Target="javascript:void(0)" TargetMode="External"/><Relationship Id="rId1541" Type="http://schemas.openxmlformats.org/officeDocument/2006/relationships/hyperlink" Target="javascript:void(0)" TargetMode="External"/><Relationship Id="rId40" Type="http://schemas.openxmlformats.org/officeDocument/2006/relationships/hyperlink" Target="https://auction.ikco.ir/auction/details/34?r=531" TargetMode="External"/><Relationship Id="rId136" Type="http://schemas.openxmlformats.org/officeDocument/2006/relationships/hyperlink" Target="https://auction.ikco.ir/auction/details/34?r=421" TargetMode="External"/><Relationship Id="rId343" Type="http://schemas.openxmlformats.org/officeDocument/2006/relationships/hyperlink" Target="https://auction.ikco.ir/auction/details/34?r=120" TargetMode="External"/><Relationship Id="rId550" Type="http://schemas.openxmlformats.org/officeDocument/2006/relationships/hyperlink" Target="https://auction.ikco.ir/auction/details/34?r=402" TargetMode="External"/><Relationship Id="rId788" Type="http://schemas.openxmlformats.org/officeDocument/2006/relationships/hyperlink" Target="https://auction.ikco.ir/auction/details/34?r=158" TargetMode="External"/><Relationship Id="rId995" Type="http://schemas.openxmlformats.org/officeDocument/2006/relationships/hyperlink" Target="https://auction.ikco.ir/auction/details/34?r=71" TargetMode="External"/><Relationship Id="rId1180" Type="http://schemas.openxmlformats.org/officeDocument/2006/relationships/hyperlink" Target="https://auction.ikco.ir/auction/details/34?r=88" TargetMode="External"/><Relationship Id="rId1401" Type="http://schemas.openxmlformats.org/officeDocument/2006/relationships/hyperlink" Target="https://auction.ikco.ir/auction/details/34?r=197" TargetMode="External"/><Relationship Id="rId1639" Type="http://schemas.openxmlformats.org/officeDocument/2006/relationships/hyperlink" Target="javascript:void(0)" TargetMode="External"/><Relationship Id="rId203" Type="http://schemas.openxmlformats.org/officeDocument/2006/relationships/hyperlink" Target="https://auction.ikco.ir/auction/details/34?r=464" TargetMode="External"/><Relationship Id="rId648" Type="http://schemas.openxmlformats.org/officeDocument/2006/relationships/hyperlink" Target="javascript:void(0)" TargetMode="External"/><Relationship Id="rId855" Type="http://schemas.openxmlformats.org/officeDocument/2006/relationships/hyperlink" Target="https://auction.ikco.ir/auction/details/34?r=156" TargetMode="External"/><Relationship Id="rId1040" Type="http://schemas.openxmlformats.org/officeDocument/2006/relationships/hyperlink" Target="https://auction.ikco.ir/auction/details/34?r=234" TargetMode="External"/><Relationship Id="rId1278" Type="http://schemas.openxmlformats.org/officeDocument/2006/relationships/hyperlink" Target="javascript:void(0)" TargetMode="External"/><Relationship Id="rId1485" Type="http://schemas.openxmlformats.org/officeDocument/2006/relationships/hyperlink" Target="https://auction.ikco.ir/auction/details/34?r=48" TargetMode="External"/><Relationship Id="rId287" Type="http://schemas.openxmlformats.org/officeDocument/2006/relationships/hyperlink" Target="https://auction.ikco.ir/auction/details/34?r=251" TargetMode="External"/><Relationship Id="rId410" Type="http://schemas.openxmlformats.org/officeDocument/2006/relationships/hyperlink" Target="javascript:void(0)" TargetMode="External"/><Relationship Id="rId494" Type="http://schemas.openxmlformats.org/officeDocument/2006/relationships/hyperlink" Target="javascript:void(0)" TargetMode="External"/><Relationship Id="rId508" Type="http://schemas.openxmlformats.org/officeDocument/2006/relationships/hyperlink" Target="https://auction.ikco.ir/auction/details/34?r=315" TargetMode="External"/><Relationship Id="rId715" Type="http://schemas.openxmlformats.org/officeDocument/2006/relationships/hyperlink" Target="javascript:void(0)" TargetMode="External"/><Relationship Id="rId922" Type="http://schemas.openxmlformats.org/officeDocument/2006/relationships/hyperlink" Target="javascript:void(0)" TargetMode="External"/><Relationship Id="rId1138" Type="http://schemas.openxmlformats.org/officeDocument/2006/relationships/hyperlink" Target="https://auction.ikco.ir/auction/details/34?r=178" TargetMode="External"/><Relationship Id="rId1345" Type="http://schemas.openxmlformats.org/officeDocument/2006/relationships/hyperlink" Target="https://auction.ikco.ir/auction/details/34?r=207" TargetMode="External"/><Relationship Id="rId1552" Type="http://schemas.openxmlformats.org/officeDocument/2006/relationships/hyperlink" Target="https://auction.ikco.ir/auction/details/34?r=170" TargetMode="External"/><Relationship Id="rId147" Type="http://schemas.openxmlformats.org/officeDocument/2006/relationships/hyperlink" Target="javascript:void(0)" TargetMode="External"/><Relationship Id="rId354" Type="http://schemas.openxmlformats.org/officeDocument/2006/relationships/hyperlink" Target="https://auction.ikco.ir/auction/details/34?r=434" TargetMode="External"/><Relationship Id="rId799" Type="http://schemas.openxmlformats.org/officeDocument/2006/relationships/hyperlink" Target="javascript:void(0)" TargetMode="External"/><Relationship Id="rId1191" Type="http://schemas.openxmlformats.org/officeDocument/2006/relationships/hyperlink" Target="javascript:void(0)" TargetMode="External"/><Relationship Id="rId1205" Type="http://schemas.openxmlformats.org/officeDocument/2006/relationships/hyperlink" Target="https://auction.ikco.ir/auction/details/34?r=297" TargetMode="External"/><Relationship Id="rId51" Type="http://schemas.openxmlformats.org/officeDocument/2006/relationships/hyperlink" Target="javascript:void(0)" TargetMode="External"/><Relationship Id="rId561" Type="http://schemas.openxmlformats.org/officeDocument/2006/relationships/hyperlink" Target="https://auction.ikco.ir/auction/details/34?r=337" TargetMode="External"/><Relationship Id="rId659" Type="http://schemas.openxmlformats.org/officeDocument/2006/relationships/hyperlink" Target="javascript:void(0)" TargetMode="External"/><Relationship Id="rId866" Type="http://schemas.openxmlformats.org/officeDocument/2006/relationships/hyperlink" Target="https://auction.ikco.ir/auction/details/34?r=208" TargetMode="External"/><Relationship Id="rId1289" Type="http://schemas.openxmlformats.org/officeDocument/2006/relationships/hyperlink" Target="https://auction.ikco.ir/auction/details/34?r=131" TargetMode="External"/><Relationship Id="rId1412" Type="http://schemas.openxmlformats.org/officeDocument/2006/relationships/hyperlink" Target="javascript:void(0)" TargetMode="External"/><Relationship Id="rId1496" Type="http://schemas.openxmlformats.org/officeDocument/2006/relationships/hyperlink" Target="javascript:void(0)" TargetMode="External"/><Relationship Id="rId214" Type="http://schemas.openxmlformats.org/officeDocument/2006/relationships/hyperlink" Target="https://auction.ikco.ir/auction/details/34?r=357" TargetMode="External"/><Relationship Id="rId298" Type="http://schemas.openxmlformats.org/officeDocument/2006/relationships/hyperlink" Target="https://auction.ikco.ir/auction/details/34?r=394" TargetMode="External"/><Relationship Id="rId421" Type="http://schemas.openxmlformats.org/officeDocument/2006/relationships/hyperlink" Target="https://auction.ikco.ir/auction/details/34?r=346" TargetMode="External"/><Relationship Id="rId519" Type="http://schemas.openxmlformats.org/officeDocument/2006/relationships/hyperlink" Target="https://auction.ikco.ir/auction/details/34?r=294" TargetMode="External"/><Relationship Id="rId1051" Type="http://schemas.openxmlformats.org/officeDocument/2006/relationships/hyperlink" Target="https://auction.ikco.ir/auction/details/34?r=20" TargetMode="External"/><Relationship Id="rId1149" Type="http://schemas.openxmlformats.org/officeDocument/2006/relationships/hyperlink" Target="javascript:void(0)" TargetMode="External"/><Relationship Id="rId1356" Type="http://schemas.openxmlformats.org/officeDocument/2006/relationships/hyperlink" Target="https://auction.ikco.ir/auction/details/34?r=312" TargetMode="External"/><Relationship Id="rId158" Type="http://schemas.openxmlformats.org/officeDocument/2006/relationships/hyperlink" Target="https://auction.ikco.ir/auction/details/34?r=447" TargetMode="External"/><Relationship Id="rId726" Type="http://schemas.openxmlformats.org/officeDocument/2006/relationships/hyperlink" Target="https://auction.ikco.ir/auction/details/34?r=18" TargetMode="External"/><Relationship Id="rId933" Type="http://schemas.openxmlformats.org/officeDocument/2006/relationships/hyperlink" Target="https://auction.ikco.ir/auction/details/34?r=188" TargetMode="External"/><Relationship Id="rId1009" Type="http://schemas.openxmlformats.org/officeDocument/2006/relationships/hyperlink" Target="https://auction.ikco.ir/auction/details/34?r=123" TargetMode="External"/><Relationship Id="rId1563" Type="http://schemas.openxmlformats.org/officeDocument/2006/relationships/hyperlink" Target="https://auction.ikco.ir/auction/details/34?r=307" TargetMode="External"/><Relationship Id="rId62" Type="http://schemas.openxmlformats.org/officeDocument/2006/relationships/hyperlink" Target="https://auction.ikco.ir/auction/details/34?r=523" TargetMode="External"/><Relationship Id="rId365" Type="http://schemas.openxmlformats.org/officeDocument/2006/relationships/hyperlink" Target="javascript:void(0)" TargetMode="External"/><Relationship Id="rId572" Type="http://schemas.openxmlformats.org/officeDocument/2006/relationships/hyperlink" Target="javascript:void(0)" TargetMode="External"/><Relationship Id="rId1216" Type="http://schemas.openxmlformats.org/officeDocument/2006/relationships/hyperlink" Target="https://auction.ikco.ir/auction/details/34?r=1" TargetMode="External"/><Relationship Id="rId1423" Type="http://schemas.openxmlformats.org/officeDocument/2006/relationships/hyperlink" Target="https://auction.ikco.ir/auction/details/34?r=262" TargetMode="External"/><Relationship Id="rId1630" Type="http://schemas.openxmlformats.org/officeDocument/2006/relationships/hyperlink" Target="javascript:void(0)" TargetMode="External"/><Relationship Id="rId225" Type="http://schemas.openxmlformats.org/officeDocument/2006/relationships/hyperlink" Target="javascript:void(0)" TargetMode="External"/><Relationship Id="rId432" Type="http://schemas.openxmlformats.org/officeDocument/2006/relationships/hyperlink" Target="https://auction.ikco.ir/auction/details/34?r=495" TargetMode="External"/><Relationship Id="rId877" Type="http://schemas.openxmlformats.org/officeDocument/2006/relationships/hyperlink" Target="javascript:void(0)" TargetMode="External"/><Relationship Id="rId1062" Type="http://schemas.openxmlformats.org/officeDocument/2006/relationships/hyperlink" Target="javascript:void(0)" TargetMode="External"/><Relationship Id="rId737" Type="http://schemas.openxmlformats.org/officeDocument/2006/relationships/hyperlink" Target="https://auction.ikco.ir/auction/details/34?r=143" TargetMode="External"/><Relationship Id="rId944" Type="http://schemas.openxmlformats.org/officeDocument/2006/relationships/hyperlink" Target="https://auction.ikco.ir/auction/details/34?r=260" TargetMode="External"/><Relationship Id="rId1367" Type="http://schemas.openxmlformats.org/officeDocument/2006/relationships/hyperlink" Target="javascript:void(0)" TargetMode="External"/><Relationship Id="rId1574" Type="http://schemas.openxmlformats.org/officeDocument/2006/relationships/hyperlink" Target="javascript:void(0)" TargetMode="External"/><Relationship Id="rId73" Type="http://schemas.openxmlformats.org/officeDocument/2006/relationships/hyperlink" Target="https://auction.ikco.ir/auction/details/34?r=438" TargetMode="External"/><Relationship Id="rId169" Type="http://schemas.openxmlformats.org/officeDocument/2006/relationships/hyperlink" Target="https://auction.ikco.ir/auction/details/34?r=443" TargetMode="External"/><Relationship Id="rId376" Type="http://schemas.openxmlformats.org/officeDocument/2006/relationships/hyperlink" Target="https://auction.ikco.ir/auction/details/34?r=372" TargetMode="External"/><Relationship Id="rId583" Type="http://schemas.openxmlformats.org/officeDocument/2006/relationships/hyperlink" Target="https://auction.ikco.ir/auction/details/34?r=351" TargetMode="External"/><Relationship Id="rId790" Type="http://schemas.openxmlformats.org/officeDocument/2006/relationships/hyperlink" Target="javascript:void(0)" TargetMode="External"/><Relationship Id="rId804" Type="http://schemas.openxmlformats.org/officeDocument/2006/relationships/hyperlink" Target="https://auction.ikco.ir/auction/details/34?r=36" TargetMode="External"/><Relationship Id="rId1227" Type="http://schemas.openxmlformats.org/officeDocument/2006/relationships/hyperlink" Target="javascript:void(0)" TargetMode="External"/><Relationship Id="rId1434" Type="http://schemas.openxmlformats.org/officeDocument/2006/relationships/hyperlink" Target="https://auction.ikco.ir/auction/details/34?r=335" TargetMode="External"/><Relationship Id="rId1641" Type="http://schemas.openxmlformats.org/officeDocument/2006/relationships/hyperlink" Target="https://auction.ikco.ir/auction/details/34?r=454" TargetMode="External"/><Relationship Id="rId4" Type="http://schemas.openxmlformats.org/officeDocument/2006/relationships/hyperlink" Target="https://auction.ikco.ir/auction/details/34?r=411" TargetMode="External"/><Relationship Id="rId236" Type="http://schemas.openxmlformats.org/officeDocument/2006/relationships/hyperlink" Target="https://auction.ikco.ir/auction/details/34?r=448" TargetMode="External"/><Relationship Id="rId443" Type="http://schemas.openxmlformats.org/officeDocument/2006/relationships/hyperlink" Target="javascript:void(0)" TargetMode="External"/><Relationship Id="rId650" Type="http://schemas.openxmlformats.org/officeDocument/2006/relationships/hyperlink" Target="javascript:void(0)" TargetMode="External"/><Relationship Id="rId888" Type="http://schemas.openxmlformats.org/officeDocument/2006/relationships/hyperlink" Target="https://auction.ikco.ir/auction/details/34?r=104" TargetMode="External"/><Relationship Id="rId1073" Type="http://schemas.openxmlformats.org/officeDocument/2006/relationships/hyperlink" Target="https://auction.ikco.ir/auction/details/34?r=129" TargetMode="External"/><Relationship Id="rId1280" Type="http://schemas.openxmlformats.org/officeDocument/2006/relationships/hyperlink" Target="https://auction.ikco.ir/auction/details/34?r=116" TargetMode="External"/><Relationship Id="rId1501" Type="http://schemas.openxmlformats.org/officeDocument/2006/relationships/hyperlink" Target="https://auction.ikco.ir/auction/details/34?r=252" TargetMode="External"/><Relationship Id="rId303" Type="http://schemas.openxmlformats.org/officeDocument/2006/relationships/hyperlink" Target="https://auction.ikco.ir/auction/details/34?r=387" TargetMode="External"/><Relationship Id="rId748" Type="http://schemas.openxmlformats.org/officeDocument/2006/relationships/hyperlink" Target="javascript:void(0)" TargetMode="External"/><Relationship Id="rId955" Type="http://schemas.openxmlformats.org/officeDocument/2006/relationships/hyperlink" Target="javascript:void(0)" TargetMode="External"/><Relationship Id="rId1140" Type="http://schemas.openxmlformats.org/officeDocument/2006/relationships/hyperlink" Target="javascript:void(0)" TargetMode="External"/><Relationship Id="rId1378" Type="http://schemas.openxmlformats.org/officeDocument/2006/relationships/hyperlink" Target="https://auction.ikco.ir/auction/details/34?r=45" TargetMode="External"/><Relationship Id="rId1585" Type="http://schemas.openxmlformats.org/officeDocument/2006/relationships/hyperlink" Target="https://auction.ikco.ir/auction/details/34?r=175" TargetMode="External"/><Relationship Id="rId84" Type="http://schemas.openxmlformats.org/officeDocument/2006/relationships/hyperlink" Target="javascript:void(0)" TargetMode="External"/><Relationship Id="rId387" Type="http://schemas.openxmlformats.org/officeDocument/2006/relationships/hyperlink" Target="https://auction.ikco.ir/auction/details/34?r=340" TargetMode="External"/><Relationship Id="rId510" Type="http://schemas.openxmlformats.org/officeDocument/2006/relationships/hyperlink" Target="https://auction.ikco.ir/auction/details/34?r=493" TargetMode="External"/><Relationship Id="rId594" Type="http://schemas.openxmlformats.org/officeDocument/2006/relationships/hyperlink" Target="https://auction.ikco.ir/auction/details/34?r=302" TargetMode="External"/><Relationship Id="rId608" Type="http://schemas.openxmlformats.org/officeDocument/2006/relationships/hyperlink" Target="javascript:void(0)" TargetMode="External"/><Relationship Id="rId815" Type="http://schemas.openxmlformats.org/officeDocument/2006/relationships/hyperlink" Target="https://auction.ikco.ir/auction/details/34?r=149" TargetMode="External"/><Relationship Id="rId1238" Type="http://schemas.openxmlformats.org/officeDocument/2006/relationships/hyperlink" Target="https://auction.ikco.ir/auction/details/34?r=31" TargetMode="External"/><Relationship Id="rId1445" Type="http://schemas.openxmlformats.org/officeDocument/2006/relationships/hyperlink" Target="javascript:void(0)" TargetMode="External"/><Relationship Id="rId1652" Type="http://schemas.openxmlformats.org/officeDocument/2006/relationships/hyperlink" Target="https://auction.ikco.ir/auction/details/34?r=391" TargetMode="External"/><Relationship Id="rId247" Type="http://schemas.openxmlformats.org/officeDocument/2006/relationships/hyperlink" Target="https://auction.ikco.ir/auction/details/34?r=404" TargetMode="External"/><Relationship Id="rId899" Type="http://schemas.openxmlformats.org/officeDocument/2006/relationships/hyperlink" Target="https://auction.ikco.ir/auction/details/34?r=306" TargetMode="External"/><Relationship Id="rId1000" Type="http://schemas.openxmlformats.org/officeDocument/2006/relationships/hyperlink" Target="https://auction.ikco.ir/auction/details/34?r=90" TargetMode="External"/><Relationship Id="rId1084" Type="http://schemas.openxmlformats.org/officeDocument/2006/relationships/hyperlink" Target="https://auction.ikco.ir/auction/details/34?r=193" TargetMode="External"/><Relationship Id="rId1305" Type="http://schemas.openxmlformats.org/officeDocument/2006/relationships/hyperlink" Target="https://auction.ikco.ir/auction/details/34?r=209" TargetMode="External"/><Relationship Id="rId107" Type="http://schemas.openxmlformats.org/officeDocument/2006/relationships/hyperlink" Target="https://auction.ikco.ir/auction/details/34?r=440" TargetMode="External"/><Relationship Id="rId454" Type="http://schemas.openxmlformats.org/officeDocument/2006/relationships/hyperlink" Target="https://auction.ikco.ir/auction/details/34?r=137" TargetMode="External"/><Relationship Id="rId661" Type="http://schemas.openxmlformats.org/officeDocument/2006/relationships/hyperlink" Target="javascript:void(0)" TargetMode="External"/><Relationship Id="rId759" Type="http://schemas.openxmlformats.org/officeDocument/2006/relationships/hyperlink" Target="https://auction.ikco.ir/auction/details/34?r=321" TargetMode="External"/><Relationship Id="rId966" Type="http://schemas.openxmlformats.org/officeDocument/2006/relationships/hyperlink" Target="https://auction.ikco.ir/auction/details/34?r=63" TargetMode="External"/><Relationship Id="rId1291" Type="http://schemas.openxmlformats.org/officeDocument/2006/relationships/hyperlink" Target="https://auction.ikco.ir/auction/details/34?r=133" TargetMode="External"/><Relationship Id="rId1389" Type="http://schemas.openxmlformats.org/officeDocument/2006/relationships/hyperlink" Target="https://auction.ikco.ir/auction/details/34?r=121" TargetMode="External"/><Relationship Id="rId1512" Type="http://schemas.openxmlformats.org/officeDocument/2006/relationships/hyperlink" Target="https://auction.ikco.ir/auction/details/34?r=42" TargetMode="External"/><Relationship Id="rId1596" Type="http://schemas.openxmlformats.org/officeDocument/2006/relationships/hyperlink" Target="https://auction.ikco.ir/auction/details/34?r=514" TargetMode="External"/><Relationship Id="rId11" Type="http://schemas.openxmlformats.org/officeDocument/2006/relationships/hyperlink" Target="https://auction.ikco.ir/auction/details/34?r=413" TargetMode="External"/><Relationship Id="rId314" Type="http://schemas.openxmlformats.org/officeDocument/2006/relationships/hyperlink" Target="javascript:void(0)" TargetMode="External"/><Relationship Id="rId398" Type="http://schemas.openxmlformats.org/officeDocument/2006/relationships/hyperlink" Target="javascript:void(0)" TargetMode="External"/><Relationship Id="rId521" Type="http://schemas.openxmlformats.org/officeDocument/2006/relationships/hyperlink" Target="javascript:void(0)" TargetMode="External"/><Relationship Id="rId619" Type="http://schemas.openxmlformats.org/officeDocument/2006/relationships/hyperlink" Target="javascript:void(0)" TargetMode="External"/><Relationship Id="rId1151" Type="http://schemas.openxmlformats.org/officeDocument/2006/relationships/hyperlink" Target="https://auction.ikco.ir/auction/details/34?r=224" TargetMode="External"/><Relationship Id="rId1249" Type="http://schemas.openxmlformats.org/officeDocument/2006/relationships/hyperlink" Target="https://auction.ikco.ir/auction/details/34?r=39" TargetMode="External"/><Relationship Id="rId95" Type="http://schemas.openxmlformats.org/officeDocument/2006/relationships/hyperlink" Target="https://auction.ikco.ir/auction/details/34?r=433" TargetMode="External"/><Relationship Id="rId160" Type="http://schemas.openxmlformats.org/officeDocument/2006/relationships/hyperlink" Target="https://auction.ikco.ir/auction/details/34?r=471" TargetMode="External"/><Relationship Id="rId826" Type="http://schemas.openxmlformats.org/officeDocument/2006/relationships/hyperlink" Target="javascript:void(0)" TargetMode="External"/><Relationship Id="rId1011" Type="http://schemas.openxmlformats.org/officeDocument/2006/relationships/hyperlink" Target="javascript:void(0)" TargetMode="External"/><Relationship Id="rId1109" Type="http://schemas.openxmlformats.org/officeDocument/2006/relationships/hyperlink" Target="https://auction.ikco.ir/auction/details/34?r=40" TargetMode="External"/><Relationship Id="rId1456" Type="http://schemas.openxmlformats.org/officeDocument/2006/relationships/hyperlink" Target="https://auction.ikco.ir/auction/details/34?r=118" TargetMode="External"/><Relationship Id="rId1663" Type="http://schemas.openxmlformats.org/officeDocument/2006/relationships/hyperlink" Target="javascript:void(0)" TargetMode="External"/><Relationship Id="rId258" Type="http://schemas.openxmlformats.org/officeDocument/2006/relationships/hyperlink" Target="javascript:void(0)" TargetMode="External"/><Relationship Id="rId465" Type="http://schemas.openxmlformats.org/officeDocument/2006/relationships/hyperlink" Target="https://auction.ikco.ir/auction/details/34?r=23" TargetMode="External"/><Relationship Id="rId672" Type="http://schemas.openxmlformats.org/officeDocument/2006/relationships/hyperlink" Target="javascript:void(0)" TargetMode="External"/><Relationship Id="rId1095" Type="http://schemas.openxmlformats.org/officeDocument/2006/relationships/hyperlink" Target="javascript:void(0)" TargetMode="External"/><Relationship Id="rId1316" Type="http://schemas.openxmlformats.org/officeDocument/2006/relationships/hyperlink" Target="javascript:void(0)" TargetMode="External"/><Relationship Id="rId1523" Type="http://schemas.openxmlformats.org/officeDocument/2006/relationships/hyperlink" Target="javascript:void(0)" TargetMode="External"/><Relationship Id="rId22" Type="http://schemas.openxmlformats.org/officeDocument/2006/relationships/hyperlink" Target="https://auction.ikco.ir/auction/details/34?r=479" TargetMode="External"/><Relationship Id="rId118" Type="http://schemas.openxmlformats.org/officeDocument/2006/relationships/hyperlink" Target="https://auction.ikco.ir/auction/details/34?r=412" TargetMode="External"/><Relationship Id="rId325" Type="http://schemas.openxmlformats.org/officeDocument/2006/relationships/hyperlink" Target="https://auction.ikco.ir/auction/details/34?r=512" TargetMode="External"/><Relationship Id="rId532" Type="http://schemas.openxmlformats.org/officeDocument/2006/relationships/hyperlink" Target="https://auction.ikco.ir/auction/details/34?r=247" TargetMode="External"/><Relationship Id="rId977" Type="http://schemas.openxmlformats.org/officeDocument/2006/relationships/hyperlink" Target="https://auction.ikco.ir/auction/details/34?r=239" TargetMode="External"/><Relationship Id="rId1162" Type="http://schemas.openxmlformats.org/officeDocument/2006/relationships/hyperlink" Target="https://auction.ikco.ir/auction/details/34?r=366" TargetMode="External"/><Relationship Id="rId171" Type="http://schemas.openxmlformats.org/officeDocument/2006/relationships/hyperlink" Target="javascript:void(0)" TargetMode="External"/><Relationship Id="rId837" Type="http://schemas.openxmlformats.org/officeDocument/2006/relationships/hyperlink" Target="https://auction.ikco.ir/auction/details/34?r=280" TargetMode="External"/><Relationship Id="rId1022" Type="http://schemas.openxmlformats.org/officeDocument/2006/relationships/hyperlink" Target="https://auction.ikco.ir/auction/details/34?r=181" TargetMode="External"/><Relationship Id="rId1467" Type="http://schemas.openxmlformats.org/officeDocument/2006/relationships/hyperlink" Target="https://auction.ikco.ir/auction/details/34?r=381" TargetMode="External"/><Relationship Id="rId1674" Type="http://schemas.openxmlformats.org/officeDocument/2006/relationships/hyperlink" Target="https://auction.ikco.ir/auction/details/34?r=425" TargetMode="External"/><Relationship Id="rId269" Type="http://schemas.openxmlformats.org/officeDocument/2006/relationships/hyperlink" Target="https://auction.ikco.ir/auction/details/34?r=485" TargetMode="External"/><Relationship Id="rId476" Type="http://schemas.openxmlformats.org/officeDocument/2006/relationships/hyperlink" Target="javascript:void(0)" TargetMode="External"/><Relationship Id="rId683" Type="http://schemas.openxmlformats.org/officeDocument/2006/relationships/hyperlink" Target="javascript:void(0)" TargetMode="External"/><Relationship Id="rId890" Type="http://schemas.openxmlformats.org/officeDocument/2006/relationships/hyperlink" Target="https://auction.ikco.ir/auction/details/34?r=169" TargetMode="External"/><Relationship Id="rId904" Type="http://schemas.openxmlformats.org/officeDocument/2006/relationships/hyperlink" Target="javascript:void(0)" TargetMode="External"/><Relationship Id="rId1327" Type="http://schemas.openxmlformats.org/officeDocument/2006/relationships/hyperlink" Target="https://auction.ikco.ir/auction/details/34?r=112" TargetMode="External"/><Relationship Id="rId1534" Type="http://schemas.openxmlformats.org/officeDocument/2006/relationships/hyperlink" Target="https://auction.ikco.ir/auction/details/34?r=274" TargetMode="External"/><Relationship Id="rId33" Type="http://schemas.openxmlformats.org/officeDocument/2006/relationships/hyperlink" Target="javascript:void(0)" TargetMode="External"/><Relationship Id="rId129" Type="http://schemas.openxmlformats.org/officeDocument/2006/relationships/hyperlink" Target="javascript:void(0)" TargetMode="External"/><Relationship Id="rId336" Type="http://schemas.openxmlformats.org/officeDocument/2006/relationships/hyperlink" Target="https://auction.ikco.ir/auction/details/34?r=468" TargetMode="External"/><Relationship Id="rId543" Type="http://schemas.openxmlformats.org/officeDocument/2006/relationships/hyperlink" Target="https://auction.ikco.ir/auction/details/34?r=458" TargetMode="External"/><Relationship Id="rId988" Type="http://schemas.openxmlformats.org/officeDocument/2006/relationships/hyperlink" Target="javascript:void(0)" TargetMode="External"/><Relationship Id="rId1173" Type="http://schemas.openxmlformats.org/officeDocument/2006/relationships/hyperlink" Target="javascript:void(0)" TargetMode="External"/><Relationship Id="rId1380" Type="http://schemas.openxmlformats.org/officeDocument/2006/relationships/hyperlink" Target="https://auction.ikco.ir/auction/details/34?r=50" TargetMode="External"/><Relationship Id="rId1601" Type="http://schemas.openxmlformats.org/officeDocument/2006/relationships/hyperlink" Target="https://auction.ikco.ir/auction/details/34?r=168" TargetMode="External"/><Relationship Id="rId182" Type="http://schemas.openxmlformats.org/officeDocument/2006/relationships/hyperlink" Target="https://auction.ikco.ir/auction/details/34?r=470" TargetMode="External"/><Relationship Id="rId403" Type="http://schemas.openxmlformats.org/officeDocument/2006/relationships/hyperlink" Target="https://auction.ikco.ir/auction/details/34?r=278" TargetMode="External"/><Relationship Id="rId750" Type="http://schemas.openxmlformats.org/officeDocument/2006/relationships/hyperlink" Target="https://auction.ikco.ir/auction/details/34?r=231" TargetMode="External"/><Relationship Id="rId848" Type="http://schemas.openxmlformats.org/officeDocument/2006/relationships/hyperlink" Target="https://auction.ikco.ir/auction/details/34?r=107" TargetMode="External"/><Relationship Id="rId1033" Type="http://schemas.openxmlformats.org/officeDocument/2006/relationships/hyperlink" Target="https://auction.ikco.ir/auction/details/34?r=219" TargetMode="External"/><Relationship Id="rId1478" Type="http://schemas.openxmlformats.org/officeDocument/2006/relationships/hyperlink" Target="javascript:void(0)" TargetMode="External"/><Relationship Id="rId1685" Type="http://schemas.openxmlformats.org/officeDocument/2006/relationships/hyperlink" Target="https://auction.ikco.ir/auction/details/34?r=519" TargetMode="External"/><Relationship Id="rId487" Type="http://schemas.openxmlformats.org/officeDocument/2006/relationships/hyperlink" Target="https://auction.ikco.ir/auction/details/34?r=504" TargetMode="External"/><Relationship Id="rId610" Type="http://schemas.openxmlformats.org/officeDocument/2006/relationships/hyperlink" Target="javascript:void(0)" TargetMode="External"/><Relationship Id="rId694" Type="http://schemas.openxmlformats.org/officeDocument/2006/relationships/hyperlink" Target="javascript:void(0)" TargetMode="External"/><Relationship Id="rId708" Type="http://schemas.openxmlformats.org/officeDocument/2006/relationships/hyperlink" Target="https://auction.ikco.ir/auction/details/34?r=157" TargetMode="External"/><Relationship Id="rId915" Type="http://schemas.openxmlformats.org/officeDocument/2006/relationships/hyperlink" Target="https://auction.ikco.ir/auction/details/34?r=98" TargetMode="External"/><Relationship Id="rId1240" Type="http://schemas.openxmlformats.org/officeDocument/2006/relationships/hyperlink" Target="https://auction.ikco.ir/auction/details/34?r=33" TargetMode="External"/><Relationship Id="rId1338" Type="http://schemas.openxmlformats.org/officeDocument/2006/relationships/hyperlink" Target="https://auction.ikco.ir/auction/details/34?r=174" TargetMode="External"/><Relationship Id="rId1545" Type="http://schemas.openxmlformats.org/officeDocument/2006/relationships/hyperlink" Target="https://auction.ikco.ir/auction/details/34?r=136" TargetMode="External"/><Relationship Id="rId347" Type="http://schemas.openxmlformats.org/officeDocument/2006/relationships/hyperlink" Target="javascript:void(0)" TargetMode="External"/><Relationship Id="rId999" Type="http://schemas.openxmlformats.org/officeDocument/2006/relationships/hyperlink" Target="javascript:void(0)" TargetMode="External"/><Relationship Id="rId1100" Type="http://schemas.openxmlformats.org/officeDocument/2006/relationships/hyperlink" Target="https://auction.ikco.ir/auction/details/34?r=373" TargetMode="External"/><Relationship Id="rId1184" Type="http://schemas.openxmlformats.org/officeDocument/2006/relationships/hyperlink" Target="https://auction.ikco.ir/auction/details/34?r=113" TargetMode="External"/><Relationship Id="rId1405" Type="http://schemas.openxmlformats.org/officeDocument/2006/relationships/hyperlink" Target="https://auction.ikco.ir/auction/details/34?r=198" TargetMode="External"/><Relationship Id="rId44" Type="http://schemas.openxmlformats.org/officeDocument/2006/relationships/hyperlink" Target="https://auction.ikco.ir/auction/details/34?r=525" TargetMode="External"/><Relationship Id="rId554" Type="http://schemas.openxmlformats.org/officeDocument/2006/relationships/hyperlink" Target="javascript:void(0)" TargetMode="External"/><Relationship Id="rId761" Type="http://schemas.openxmlformats.org/officeDocument/2006/relationships/hyperlink" Target="https://auction.ikco.ir/auction/details/34?r=339" TargetMode="External"/><Relationship Id="rId859" Type="http://schemas.openxmlformats.org/officeDocument/2006/relationships/hyperlink" Target="javascript:void(0)" TargetMode="External"/><Relationship Id="rId1391" Type="http://schemas.openxmlformats.org/officeDocument/2006/relationships/hyperlink" Target="javascript:void(0)" TargetMode="External"/><Relationship Id="rId1489" Type="http://schemas.openxmlformats.org/officeDocument/2006/relationships/hyperlink" Target="https://auction.ikco.ir/auction/details/34?r=55" TargetMode="External"/><Relationship Id="rId1612" Type="http://schemas.openxmlformats.org/officeDocument/2006/relationships/hyperlink" Target="javascript:void(0)" TargetMode="External"/><Relationship Id="rId193" Type="http://schemas.openxmlformats.org/officeDocument/2006/relationships/hyperlink" Target="https://auction.ikco.ir/auction/details/34?r=370" TargetMode="External"/><Relationship Id="rId207" Type="http://schemas.openxmlformats.org/officeDocument/2006/relationships/hyperlink" Target="javascript:void(0)" TargetMode="External"/><Relationship Id="rId414" Type="http://schemas.openxmlformats.org/officeDocument/2006/relationships/hyperlink" Target="https://auction.ikco.ir/auction/details/34?r=273" TargetMode="External"/><Relationship Id="rId498" Type="http://schemas.openxmlformats.org/officeDocument/2006/relationships/hyperlink" Target="https://auction.ikco.ir/auction/details/34?r=499" TargetMode="External"/><Relationship Id="rId621" Type="http://schemas.openxmlformats.org/officeDocument/2006/relationships/hyperlink" Target="javascript:void(0)" TargetMode="External"/><Relationship Id="rId1044" Type="http://schemas.openxmlformats.org/officeDocument/2006/relationships/hyperlink" Target="javascript:void(0)" TargetMode="External"/><Relationship Id="rId1251" Type="http://schemas.openxmlformats.org/officeDocument/2006/relationships/hyperlink" Target="javascript:void(0)" TargetMode="External"/><Relationship Id="rId1349" Type="http://schemas.openxmlformats.org/officeDocument/2006/relationships/hyperlink" Target="javascript:void(0)" TargetMode="External"/><Relationship Id="rId260" Type="http://schemas.openxmlformats.org/officeDocument/2006/relationships/hyperlink" Target="https://auction.ikco.ir/auction/details/34?r=489" TargetMode="External"/><Relationship Id="rId719" Type="http://schemas.openxmlformats.org/officeDocument/2006/relationships/hyperlink" Target="https://auction.ikco.ir/auction/details/34?r=419" TargetMode="External"/><Relationship Id="rId926" Type="http://schemas.openxmlformats.org/officeDocument/2006/relationships/hyperlink" Target="https://auction.ikco.ir/auction/details/34?r=140" TargetMode="External"/><Relationship Id="rId1111" Type="http://schemas.openxmlformats.org/officeDocument/2006/relationships/hyperlink" Target="https://auction.ikco.ir/auction/details/34?r=46" TargetMode="External"/><Relationship Id="rId1556" Type="http://schemas.openxmlformats.org/officeDocument/2006/relationships/hyperlink" Target="javascript:void(0)" TargetMode="External"/><Relationship Id="rId55" Type="http://schemas.openxmlformats.org/officeDocument/2006/relationships/hyperlink" Target="https://auction.ikco.ir/auction/details/34?r=530" TargetMode="External"/><Relationship Id="rId120" Type="http://schemas.openxmlformats.org/officeDocument/2006/relationships/hyperlink" Target="javascript:void(0)" TargetMode="External"/><Relationship Id="rId358" Type="http://schemas.openxmlformats.org/officeDocument/2006/relationships/hyperlink" Target="https://auction.ikco.ir/auction/details/34?r=348" TargetMode="External"/><Relationship Id="rId565" Type="http://schemas.openxmlformats.org/officeDocument/2006/relationships/hyperlink" Target="https://auction.ikco.ir/auction/details/34?r=494" TargetMode="External"/><Relationship Id="rId772" Type="http://schemas.openxmlformats.org/officeDocument/2006/relationships/hyperlink" Target="javascript:void(0)" TargetMode="External"/><Relationship Id="rId1195" Type="http://schemas.openxmlformats.org/officeDocument/2006/relationships/hyperlink" Target="https://auction.ikco.ir/auction/details/34?r=237" TargetMode="External"/><Relationship Id="rId1209" Type="http://schemas.openxmlformats.org/officeDocument/2006/relationships/hyperlink" Target="javascript:void(0)" TargetMode="External"/><Relationship Id="rId1416" Type="http://schemas.openxmlformats.org/officeDocument/2006/relationships/hyperlink" Target="https://auction.ikco.ir/auction/details/34?r=217" TargetMode="External"/><Relationship Id="rId1623" Type="http://schemas.openxmlformats.org/officeDocument/2006/relationships/hyperlink" Target="https://auction.ikco.ir/auction/details/34?r=271" TargetMode="External"/><Relationship Id="rId218" Type="http://schemas.openxmlformats.org/officeDocument/2006/relationships/hyperlink" Target="https://auction.ikco.ir/auction/details/34?r=511" TargetMode="External"/><Relationship Id="rId425" Type="http://schemas.openxmlformats.org/officeDocument/2006/relationships/hyperlink" Target="javascript:void(0)" TargetMode="External"/><Relationship Id="rId632" Type="http://schemas.openxmlformats.org/officeDocument/2006/relationships/hyperlink" Target="javascript:void(0)" TargetMode="External"/><Relationship Id="rId1055" Type="http://schemas.openxmlformats.org/officeDocument/2006/relationships/hyperlink" Target="https://auction.ikco.ir/auction/details/34?r=41" TargetMode="External"/><Relationship Id="rId1262" Type="http://schemas.openxmlformats.org/officeDocument/2006/relationships/hyperlink" Target="https://auction.ikco.ir/auction/details/34?r=68" TargetMode="External"/><Relationship Id="rId271" Type="http://schemas.openxmlformats.org/officeDocument/2006/relationships/hyperlink" Target="https://auction.ikco.ir/auction/details/34?r=324" TargetMode="External"/><Relationship Id="rId937" Type="http://schemas.openxmlformats.org/officeDocument/2006/relationships/hyperlink" Target="javascript:void(0)" TargetMode="External"/><Relationship Id="rId1122" Type="http://schemas.openxmlformats.org/officeDocument/2006/relationships/hyperlink" Target="javascript:void(0)" TargetMode="External"/><Relationship Id="rId1567" Type="http://schemas.openxmlformats.org/officeDocument/2006/relationships/hyperlink" Target="https://auction.ikco.ir/auction/details/34?r=363" TargetMode="External"/><Relationship Id="rId66" Type="http://schemas.openxmlformats.org/officeDocument/2006/relationships/hyperlink" Target="javascript:void(0)" TargetMode="External"/><Relationship Id="rId131" Type="http://schemas.openxmlformats.org/officeDocument/2006/relationships/hyperlink" Target="https://auction.ikco.ir/auction/details/34?r=439" TargetMode="External"/><Relationship Id="rId369" Type="http://schemas.openxmlformats.org/officeDocument/2006/relationships/hyperlink" Target="https://auction.ikco.ir/auction/details/34?r=355" TargetMode="External"/><Relationship Id="rId576" Type="http://schemas.openxmlformats.org/officeDocument/2006/relationships/hyperlink" Target="https://auction.ikco.ir/auction/details/34?r=148" TargetMode="External"/><Relationship Id="rId783" Type="http://schemas.openxmlformats.org/officeDocument/2006/relationships/hyperlink" Target="https://auction.ikco.ir/auction/details/34?r=72" TargetMode="External"/><Relationship Id="rId990" Type="http://schemas.openxmlformats.org/officeDocument/2006/relationships/hyperlink" Target="https://auction.ikco.ir/auction/details/34?r=57" TargetMode="External"/><Relationship Id="rId1427" Type="http://schemas.openxmlformats.org/officeDocument/2006/relationships/hyperlink" Target="javascript:void(0)" TargetMode="External"/><Relationship Id="rId1634" Type="http://schemas.openxmlformats.org/officeDocument/2006/relationships/hyperlink" Target="https://auction.ikco.ir/auction/details/34?r=380" TargetMode="External"/><Relationship Id="rId229" Type="http://schemas.openxmlformats.org/officeDocument/2006/relationships/hyperlink" Target="https://auction.ikco.ir/auction/details/34?r=396" TargetMode="External"/><Relationship Id="rId436" Type="http://schemas.openxmlformats.org/officeDocument/2006/relationships/hyperlink" Target="https://auction.ikco.ir/auction/details/34?r=61" TargetMode="External"/><Relationship Id="rId643" Type="http://schemas.openxmlformats.org/officeDocument/2006/relationships/hyperlink" Target="javascript:void(0)" TargetMode="External"/><Relationship Id="rId1066" Type="http://schemas.openxmlformats.org/officeDocument/2006/relationships/hyperlink" Target="https://auction.ikco.ir/auction/details/34?r=101" TargetMode="External"/><Relationship Id="rId1273" Type="http://schemas.openxmlformats.org/officeDocument/2006/relationships/hyperlink" Target="https://auction.ikco.ir/auction/details/34?r=99" TargetMode="External"/><Relationship Id="rId1480" Type="http://schemas.openxmlformats.org/officeDocument/2006/relationships/hyperlink" Target="https://auction.ikco.ir/auction/details/34?r=8" TargetMode="External"/><Relationship Id="rId850" Type="http://schemas.openxmlformats.org/officeDocument/2006/relationships/hyperlink" Target="javascript:void(0)" TargetMode="External"/><Relationship Id="rId948" Type="http://schemas.openxmlformats.org/officeDocument/2006/relationships/hyperlink" Target="https://auction.ikco.ir/auction/details/34?r=349" TargetMode="External"/><Relationship Id="rId1133" Type="http://schemas.openxmlformats.org/officeDocument/2006/relationships/hyperlink" Target="https://auction.ikco.ir/auction/details/34?r=152" TargetMode="External"/><Relationship Id="rId1578" Type="http://schemas.openxmlformats.org/officeDocument/2006/relationships/hyperlink" Target="https://auction.ikco.ir/auction/details/34?r=483" TargetMode="External"/><Relationship Id="rId77" Type="http://schemas.openxmlformats.org/officeDocument/2006/relationships/hyperlink" Target="https://auction.ikco.ir/auction/details/34?r=444" TargetMode="External"/><Relationship Id="rId282" Type="http://schemas.openxmlformats.org/officeDocument/2006/relationships/hyperlink" Target="javascript:void(0)" TargetMode="External"/><Relationship Id="rId503" Type="http://schemas.openxmlformats.org/officeDocument/2006/relationships/hyperlink" Target="javascript:void(0)" TargetMode="External"/><Relationship Id="rId587" Type="http://schemas.openxmlformats.org/officeDocument/2006/relationships/hyperlink" Target="javascript:void(0)" TargetMode="External"/><Relationship Id="rId710" Type="http://schemas.openxmlformats.org/officeDocument/2006/relationships/hyperlink" Target="https://auction.ikco.ir/auction/details/34?r=292" TargetMode="External"/><Relationship Id="rId808" Type="http://schemas.openxmlformats.org/officeDocument/2006/relationships/hyperlink" Target="javascript:void(0)" TargetMode="External"/><Relationship Id="rId1340" Type="http://schemas.openxmlformats.org/officeDocument/2006/relationships/hyperlink" Target="javascript:void(0)" TargetMode="External"/><Relationship Id="rId1438" Type="http://schemas.openxmlformats.org/officeDocument/2006/relationships/hyperlink" Target="https://auction.ikco.ir/auction/details/34?r=356" TargetMode="External"/><Relationship Id="rId1645" Type="http://schemas.openxmlformats.org/officeDocument/2006/relationships/hyperlink" Target="javascript:void(0)" TargetMode="External"/><Relationship Id="rId8" Type="http://schemas.openxmlformats.org/officeDocument/2006/relationships/hyperlink" Target="https://auction.ikco.ir/auction/details/34?r=528" TargetMode="External"/><Relationship Id="rId142" Type="http://schemas.openxmlformats.org/officeDocument/2006/relationships/hyperlink" Target="https://auction.ikco.ir/auction/details/34?r=445" TargetMode="External"/><Relationship Id="rId447" Type="http://schemas.openxmlformats.org/officeDocument/2006/relationships/hyperlink" Target="https://auction.ikco.ir/auction/details/34?r=500" TargetMode="External"/><Relationship Id="rId794" Type="http://schemas.openxmlformats.org/officeDocument/2006/relationships/hyperlink" Target="https://auction.ikco.ir/auction/details/34?r=289" TargetMode="External"/><Relationship Id="rId1077" Type="http://schemas.openxmlformats.org/officeDocument/2006/relationships/hyperlink" Target="javascript:void(0)" TargetMode="External"/><Relationship Id="rId1200" Type="http://schemas.openxmlformats.org/officeDocument/2006/relationships/hyperlink" Target="javascript:void(0)" TargetMode="External"/><Relationship Id="rId654" Type="http://schemas.openxmlformats.org/officeDocument/2006/relationships/hyperlink" Target="javascript:void(0)" TargetMode="External"/><Relationship Id="rId861" Type="http://schemas.openxmlformats.org/officeDocument/2006/relationships/hyperlink" Target="https://auction.ikco.ir/auction/details/34?r=184" TargetMode="External"/><Relationship Id="rId959" Type="http://schemas.openxmlformats.org/officeDocument/2006/relationships/hyperlink" Target="https://auction.ikco.ir/auction/details/34?r=51" TargetMode="External"/><Relationship Id="rId1284" Type="http://schemas.openxmlformats.org/officeDocument/2006/relationships/hyperlink" Target="javascript:void(0)" TargetMode="External"/><Relationship Id="rId1491" Type="http://schemas.openxmlformats.org/officeDocument/2006/relationships/hyperlink" Target="https://auction.ikco.ir/auction/details/34?r=58" TargetMode="External"/><Relationship Id="rId1505" Type="http://schemas.openxmlformats.org/officeDocument/2006/relationships/hyperlink" Target="javascript:void(0)" TargetMode="External"/><Relationship Id="rId1589" Type="http://schemas.openxmlformats.org/officeDocument/2006/relationships/hyperlink" Target="javascript:void(0)" TargetMode="External"/><Relationship Id="rId293" Type="http://schemas.openxmlformats.org/officeDocument/2006/relationships/hyperlink" Target="https://auction.ikco.ir/auction/details/34?r=390" TargetMode="External"/><Relationship Id="rId307" Type="http://schemas.openxmlformats.org/officeDocument/2006/relationships/hyperlink" Target="https://auction.ikco.ir/auction/details/34?r=270" TargetMode="External"/><Relationship Id="rId514" Type="http://schemas.openxmlformats.org/officeDocument/2006/relationships/hyperlink" Target="https://auction.ikco.ir/auction/details/34?r=329" TargetMode="External"/><Relationship Id="rId721" Type="http://schemas.openxmlformats.org/officeDocument/2006/relationships/hyperlink" Target="javascript:void(0)" TargetMode="External"/><Relationship Id="rId1144" Type="http://schemas.openxmlformats.org/officeDocument/2006/relationships/hyperlink" Target="https://auction.ikco.ir/auction/details/34?r=218" TargetMode="External"/><Relationship Id="rId1351" Type="http://schemas.openxmlformats.org/officeDocument/2006/relationships/hyperlink" Target="https://auction.ikco.ir/auction/details/34?r=246" TargetMode="External"/><Relationship Id="rId1449" Type="http://schemas.openxmlformats.org/officeDocument/2006/relationships/hyperlink" Target="https://auction.ikco.ir/auction/details/34?r=78" TargetMode="External"/><Relationship Id="rId88" Type="http://schemas.openxmlformats.org/officeDocument/2006/relationships/hyperlink" Target="https://auction.ikco.ir/auction/details/34?r=476" TargetMode="External"/><Relationship Id="rId153" Type="http://schemas.openxmlformats.org/officeDocument/2006/relationships/hyperlink" Target="javascript:void(0)" TargetMode="External"/><Relationship Id="rId360" Type="http://schemas.openxmlformats.org/officeDocument/2006/relationships/hyperlink" Target="https://auction.ikco.ir/auction/details/34?r=343" TargetMode="External"/><Relationship Id="rId598" Type="http://schemas.openxmlformats.org/officeDocument/2006/relationships/hyperlink" Target="https://auction.ikco.ir/auction/details/34?r=10" TargetMode="External"/><Relationship Id="rId819" Type="http://schemas.openxmlformats.org/officeDocument/2006/relationships/hyperlink" Target="https://auction.ikco.ir/auction/details/34?r=150" TargetMode="External"/><Relationship Id="rId1004" Type="http://schemas.openxmlformats.org/officeDocument/2006/relationships/hyperlink" Target="https://auction.ikco.ir/auction/details/34?r=92" TargetMode="External"/><Relationship Id="rId1211" Type="http://schemas.openxmlformats.org/officeDocument/2006/relationships/hyperlink" Target="https://auction.ikco.ir/auction/details/34?r=325" TargetMode="External"/><Relationship Id="rId1656" Type="http://schemas.openxmlformats.org/officeDocument/2006/relationships/hyperlink" Target="https://auction.ikco.ir/auction/details/34?r=426" TargetMode="External"/><Relationship Id="rId220" Type="http://schemas.openxmlformats.org/officeDocument/2006/relationships/hyperlink" Target="https://auction.ikco.ir/auction/details/34?r=383" TargetMode="External"/><Relationship Id="rId458" Type="http://schemas.openxmlformats.org/officeDocument/2006/relationships/hyperlink" Target="javascript:void(0)" TargetMode="External"/><Relationship Id="rId665" Type="http://schemas.openxmlformats.org/officeDocument/2006/relationships/hyperlink" Target="javascript:void(0)" TargetMode="External"/><Relationship Id="rId872" Type="http://schemas.openxmlformats.org/officeDocument/2006/relationships/hyperlink" Target="https://auction.ikco.ir/auction/details/34?r=327" TargetMode="External"/><Relationship Id="rId1088" Type="http://schemas.openxmlformats.org/officeDocument/2006/relationships/hyperlink" Target="https://auction.ikco.ir/auction/details/34?r=223" TargetMode="External"/><Relationship Id="rId1295" Type="http://schemas.openxmlformats.org/officeDocument/2006/relationships/hyperlink" Target="https://auction.ikco.ir/auction/details/34?r=141" TargetMode="External"/><Relationship Id="rId1309" Type="http://schemas.openxmlformats.org/officeDocument/2006/relationships/hyperlink" Target="https://auction.ikco.ir/auction/details/34?r=385" TargetMode="External"/><Relationship Id="rId1516" Type="http://schemas.openxmlformats.org/officeDocument/2006/relationships/hyperlink" Target="https://auction.ikco.ir/auction/details/34?r=73" TargetMode="External"/><Relationship Id="rId15" Type="http://schemas.openxmlformats.org/officeDocument/2006/relationships/hyperlink" Target="javascript:void(0)" TargetMode="External"/><Relationship Id="rId318" Type="http://schemas.openxmlformats.org/officeDocument/2006/relationships/hyperlink" Target="https://auction.ikco.ir/auction/details/34?r=314" TargetMode="External"/><Relationship Id="rId525" Type="http://schemas.openxmlformats.org/officeDocument/2006/relationships/hyperlink" Target="https://auction.ikco.ir/auction/details/34?r=56" TargetMode="External"/><Relationship Id="rId732" Type="http://schemas.openxmlformats.org/officeDocument/2006/relationships/hyperlink" Target="https://auction.ikco.ir/auction/details/34?r=67" TargetMode="External"/><Relationship Id="rId1155" Type="http://schemas.openxmlformats.org/officeDocument/2006/relationships/hyperlink" Target="javascript:void(0)" TargetMode="External"/><Relationship Id="rId1362" Type="http://schemas.openxmlformats.org/officeDocument/2006/relationships/hyperlink" Target="https://auction.ikco.ir/auction/details/34?r=9" TargetMode="External"/><Relationship Id="rId99" Type="http://schemas.openxmlformats.org/officeDocument/2006/relationships/hyperlink" Target="javascript:void(0)" TargetMode="External"/><Relationship Id="rId164" Type="http://schemas.openxmlformats.org/officeDocument/2006/relationships/hyperlink" Target="https://auction.ikco.ir/auction/details/34?r=420" TargetMode="External"/><Relationship Id="rId371" Type="http://schemas.openxmlformats.org/officeDocument/2006/relationships/hyperlink" Target="javascript:void(0)" TargetMode="External"/><Relationship Id="rId1015" Type="http://schemas.openxmlformats.org/officeDocument/2006/relationships/hyperlink" Target="https://auction.ikco.ir/auction/details/34?r=146" TargetMode="External"/><Relationship Id="rId1222" Type="http://schemas.openxmlformats.org/officeDocument/2006/relationships/hyperlink" Target="https://auction.ikco.ir/auction/details/34?r=7" TargetMode="External"/><Relationship Id="rId1667" Type="http://schemas.openxmlformats.org/officeDocument/2006/relationships/hyperlink" Target="https://auction.ikco.ir/auction/details/34?r=516" TargetMode="External"/><Relationship Id="rId469" Type="http://schemas.openxmlformats.org/officeDocument/2006/relationships/hyperlink" Target="https://auction.ikco.ir/auction/details/34?r=253" TargetMode="External"/><Relationship Id="rId676" Type="http://schemas.openxmlformats.org/officeDocument/2006/relationships/hyperlink" Target="javascript:void(0)" TargetMode="External"/><Relationship Id="rId883" Type="http://schemas.openxmlformats.org/officeDocument/2006/relationships/hyperlink" Target="javascript:void(0)" TargetMode="External"/><Relationship Id="rId1099" Type="http://schemas.openxmlformats.org/officeDocument/2006/relationships/hyperlink" Target="https://auction.ikco.ir/auction/details/34?r=373" TargetMode="External"/><Relationship Id="rId1527" Type="http://schemas.openxmlformats.org/officeDocument/2006/relationships/hyperlink" Target="https://auction.ikco.ir/auction/details/34?r=191" TargetMode="External"/><Relationship Id="rId26" Type="http://schemas.openxmlformats.org/officeDocument/2006/relationships/hyperlink" Target="https://auction.ikco.ir/auction/details/34?r=480" TargetMode="External"/><Relationship Id="rId231" Type="http://schemas.openxmlformats.org/officeDocument/2006/relationships/hyperlink" Target="javascript:void(0)" TargetMode="External"/><Relationship Id="rId329" Type="http://schemas.openxmlformats.org/officeDocument/2006/relationships/hyperlink" Target="javascript:void(0)" TargetMode="External"/><Relationship Id="rId536" Type="http://schemas.openxmlformats.org/officeDocument/2006/relationships/hyperlink" Target="javascript:void(0)" TargetMode="External"/><Relationship Id="rId1166" Type="http://schemas.openxmlformats.org/officeDocument/2006/relationships/hyperlink" Target="https://auction.ikco.ir/auction/details/34?r=405" TargetMode="External"/><Relationship Id="rId1373" Type="http://schemas.openxmlformats.org/officeDocument/2006/relationships/hyperlink" Target="javascript:void(0)" TargetMode="External"/><Relationship Id="rId175" Type="http://schemas.openxmlformats.org/officeDocument/2006/relationships/hyperlink" Target="https://auction.ikco.ir/auction/details/34?r=422" TargetMode="External"/><Relationship Id="rId743" Type="http://schemas.openxmlformats.org/officeDocument/2006/relationships/hyperlink" Target="https://auction.ikco.ir/auction/details/34?r=190" TargetMode="External"/><Relationship Id="rId950" Type="http://schemas.openxmlformats.org/officeDocument/2006/relationships/hyperlink" Target="https://auction.ikco.ir/auction/details/34?r=397" TargetMode="External"/><Relationship Id="rId1026" Type="http://schemas.openxmlformats.org/officeDocument/2006/relationships/hyperlink" Target="javascript:void(0)" TargetMode="External"/><Relationship Id="rId1580" Type="http://schemas.openxmlformats.org/officeDocument/2006/relationships/hyperlink" Target="javascript:void(0)" TargetMode="External"/><Relationship Id="rId1678" Type="http://schemas.openxmlformats.org/officeDocument/2006/relationships/hyperlink" Target="javascript:void(0)" TargetMode="External"/><Relationship Id="rId382" Type="http://schemas.openxmlformats.org/officeDocument/2006/relationships/hyperlink" Target="https://auction.ikco.ir/auction/details/34?r=465" TargetMode="External"/><Relationship Id="rId603" Type="http://schemas.openxmlformats.org/officeDocument/2006/relationships/hyperlink" Target="javascript:void(0)" TargetMode="External"/><Relationship Id="rId687" Type="http://schemas.openxmlformats.org/officeDocument/2006/relationships/hyperlink" Target="javascript:void(0)" TargetMode="External"/><Relationship Id="rId810" Type="http://schemas.openxmlformats.org/officeDocument/2006/relationships/hyperlink" Target="https://auction.ikco.ir/auction/details/34?r=102" TargetMode="External"/><Relationship Id="rId908" Type="http://schemas.openxmlformats.org/officeDocument/2006/relationships/hyperlink" Target="https://auction.ikco.ir/auction/details/34?r=5" TargetMode="External"/><Relationship Id="rId1233" Type="http://schemas.openxmlformats.org/officeDocument/2006/relationships/hyperlink" Target="javascript:void(0)" TargetMode="External"/><Relationship Id="rId1440" Type="http://schemas.openxmlformats.org/officeDocument/2006/relationships/hyperlink" Target="https://auction.ikco.ir/auction/details/34?r=365" TargetMode="External"/><Relationship Id="rId1538" Type="http://schemas.openxmlformats.org/officeDocument/2006/relationships/hyperlink" Target="javascript:void(0)" TargetMode="External"/><Relationship Id="rId242" Type="http://schemas.openxmlformats.org/officeDocument/2006/relationships/hyperlink" Target="https://auction.ikco.ir/auction/details/34?r=414" TargetMode="External"/><Relationship Id="rId894" Type="http://schemas.openxmlformats.org/officeDocument/2006/relationships/hyperlink" Target="https://auction.ikco.ir/auction/details/34?r=214" TargetMode="External"/><Relationship Id="rId1177" Type="http://schemas.openxmlformats.org/officeDocument/2006/relationships/hyperlink" Target="https://auction.ikco.ir/auction/details/34?r=75" TargetMode="External"/><Relationship Id="rId1300" Type="http://schemas.openxmlformats.org/officeDocument/2006/relationships/hyperlink" Target="https://auction.ikco.ir/auction/details/34?r=203" TargetMode="External"/><Relationship Id="rId37" Type="http://schemas.openxmlformats.org/officeDocument/2006/relationships/hyperlink" Target="https://auction.ikco.ir/auction/details/34?r=527" TargetMode="External"/><Relationship Id="rId102" Type="http://schemas.openxmlformats.org/officeDocument/2006/relationships/hyperlink" Target="javascript:void(0)" TargetMode="External"/><Relationship Id="rId547" Type="http://schemas.openxmlformats.org/officeDocument/2006/relationships/hyperlink" Target="https://auction.ikco.ir/auction/details/34?r=369" TargetMode="External"/><Relationship Id="rId754" Type="http://schemas.openxmlformats.org/officeDocument/2006/relationships/hyperlink" Target="javascript:void(0)" TargetMode="External"/><Relationship Id="rId961" Type="http://schemas.openxmlformats.org/officeDocument/2006/relationships/hyperlink" Target="javascript:void(0)" TargetMode="External"/><Relationship Id="rId1384" Type="http://schemas.openxmlformats.org/officeDocument/2006/relationships/hyperlink" Target="https://auction.ikco.ir/auction/details/34?r=52" TargetMode="External"/><Relationship Id="rId1591" Type="http://schemas.openxmlformats.org/officeDocument/2006/relationships/hyperlink" Target="https://auction.ikco.ir/auction/details/34?r=331" TargetMode="External"/><Relationship Id="rId1605" Type="http://schemas.openxmlformats.org/officeDocument/2006/relationships/hyperlink" Target="https://auction.ikco.ir/auction/details/34?r=248" TargetMode="External"/><Relationship Id="rId90" Type="http://schemas.openxmlformats.org/officeDocument/2006/relationships/hyperlink" Target="javascript:void(0)" TargetMode="External"/><Relationship Id="rId186" Type="http://schemas.openxmlformats.org/officeDocument/2006/relationships/hyperlink" Target="javascript:void(0)" TargetMode="External"/><Relationship Id="rId393" Type="http://schemas.openxmlformats.org/officeDocument/2006/relationships/hyperlink" Target="https://auction.ikco.ir/auction/details/34?r=505" TargetMode="External"/><Relationship Id="rId407" Type="http://schemas.openxmlformats.org/officeDocument/2006/relationships/hyperlink" Target="javascript:void(0)" TargetMode="External"/><Relationship Id="rId614" Type="http://schemas.openxmlformats.org/officeDocument/2006/relationships/hyperlink" Target="javascript:void(0)" TargetMode="External"/><Relationship Id="rId821" Type="http://schemas.openxmlformats.org/officeDocument/2006/relationships/hyperlink" Target="https://auction.ikco.ir/auction/details/34?r=151" TargetMode="External"/><Relationship Id="rId1037" Type="http://schemas.openxmlformats.org/officeDocument/2006/relationships/hyperlink" Target="https://auction.ikco.ir/auction/details/34?r=222" TargetMode="External"/><Relationship Id="rId1244" Type="http://schemas.openxmlformats.org/officeDocument/2006/relationships/hyperlink" Target="https://auction.ikco.ir/auction/details/34?r=35" TargetMode="External"/><Relationship Id="rId1451" Type="http://schemas.openxmlformats.org/officeDocument/2006/relationships/hyperlink" Target="javascript:void(0)" TargetMode="External"/><Relationship Id="rId253" Type="http://schemas.openxmlformats.org/officeDocument/2006/relationships/hyperlink" Target="https://auction.ikco.ir/auction/details/34?r=400" TargetMode="External"/><Relationship Id="rId460" Type="http://schemas.openxmlformats.org/officeDocument/2006/relationships/hyperlink" Target="https://auction.ikco.ir/auction/details/34?r=358" TargetMode="External"/><Relationship Id="rId698" Type="http://schemas.openxmlformats.org/officeDocument/2006/relationships/hyperlink" Target="https://auction.ikco.ir/auction/details/34?r=4" TargetMode="External"/><Relationship Id="rId919" Type="http://schemas.openxmlformats.org/officeDocument/2006/relationships/hyperlink" Target="javascript:void(0)" TargetMode="External"/><Relationship Id="rId1090" Type="http://schemas.openxmlformats.org/officeDocument/2006/relationships/hyperlink" Target="https://auction.ikco.ir/auction/details/34?r=299" TargetMode="External"/><Relationship Id="rId1104" Type="http://schemas.openxmlformats.org/officeDocument/2006/relationships/hyperlink" Target="javascript:void(0)" TargetMode="External"/><Relationship Id="rId1311" Type="http://schemas.openxmlformats.org/officeDocument/2006/relationships/hyperlink" Target="https://auction.ikco.ir/auction/details/34?r=389" TargetMode="External"/><Relationship Id="rId1549" Type="http://schemas.openxmlformats.org/officeDocument/2006/relationships/hyperlink" Target="https://auction.ikco.ir/auction/details/34?r=167" TargetMode="External"/><Relationship Id="rId48" Type="http://schemas.openxmlformats.org/officeDocument/2006/relationships/hyperlink" Target="javascript:void(0)" TargetMode="External"/><Relationship Id="rId113" Type="http://schemas.openxmlformats.org/officeDocument/2006/relationships/hyperlink" Target="https://auction.ikco.ir/auction/details/34?r=429" TargetMode="External"/><Relationship Id="rId320" Type="http://schemas.openxmlformats.org/officeDocument/2006/relationships/hyperlink" Target="javascript:void(0)" TargetMode="External"/><Relationship Id="rId558" Type="http://schemas.openxmlformats.org/officeDocument/2006/relationships/hyperlink" Target="https://auction.ikco.ir/auction/details/34?r=323" TargetMode="External"/><Relationship Id="rId765" Type="http://schemas.openxmlformats.org/officeDocument/2006/relationships/hyperlink" Target="https://auction.ikco.ir/auction/details/34?r=423" TargetMode="External"/><Relationship Id="rId972" Type="http://schemas.openxmlformats.org/officeDocument/2006/relationships/hyperlink" Target="https://auction.ikco.ir/auction/details/34?r=162" TargetMode="External"/><Relationship Id="rId1188" Type="http://schemas.openxmlformats.org/officeDocument/2006/relationships/hyperlink" Target="javascript:void(0)" TargetMode="External"/><Relationship Id="rId1395" Type="http://schemas.openxmlformats.org/officeDocument/2006/relationships/hyperlink" Target="https://auction.ikco.ir/auction/details/34?r=160" TargetMode="External"/><Relationship Id="rId1409" Type="http://schemas.openxmlformats.org/officeDocument/2006/relationships/hyperlink" Target="javascript:void(0)" TargetMode="External"/><Relationship Id="rId1616" Type="http://schemas.openxmlformats.org/officeDocument/2006/relationships/hyperlink" Target="https://auction.ikco.ir/auction/details/34?r=393" TargetMode="External"/><Relationship Id="rId197" Type="http://schemas.openxmlformats.org/officeDocument/2006/relationships/hyperlink" Target="https://auction.ikco.ir/auction/details/34?r=487" TargetMode="External"/><Relationship Id="rId418" Type="http://schemas.openxmlformats.org/officeDocument/2006/relationships/hyperlink" Target="https://auction.ikco.ir/auction/details/34?r=66" TargetMode="External"/><Relationship Id="rId625" Type="http://schemas.openxmlformats.org/officeDocument/2006/relationships/hyperlink" Target="javascript:void(0)" TargetMode="External"/><Relationship Id="rId832" Type="http://schemas.openxmlformats.org/officeDocument/2006/relationships/hyperlink" Target="javascript:void(0)" TargetMode="External"/><Relationship Id="rId1048" Type="http://schemas.openxmlformats.org/officeDocument/2006/relationships/hyperlink" Target="https://auction.ikco.ir/auction/details/34?r=15" TargetMode="External"/><Relationship Id="rId1255" Type="http://schemas.openxmlformats.org/officeDocument/2006/relationships/hyperlink" Target="https://auction.ikco.ir/auction/details/34?r=60" TargetMode="External"/><Relationship Id="rId1462" Type="http://schemas.openxmlformats.org/officeDocument/2006/relationships/hyperlink" Target="https://auction.ikco.ir/auction/details/34?r=285" TargetMode="External"/><Relationship Id="rId264" Type="http://schemas.openxmlformats.org/officeDocument/2006/relationships/hyperlink" Target="javascript:void(0)" TargetMode="External"/><Relationship Id="rId471" Type="http://schemas.openxmlformats.org/officeDocument/2006/relationships/hyperlink" Target="https://auction.ikco.ir/auction/details/34?r=326" TargetMode="External"/><Relationship Id="rId1115" Type="http://schemas.openxmlformats.org/officeDocument/2006/relationships/hyperlink" Target="https://auction.ikco.ir/auction/details/34?r=80" TargetMode="External"/><Relationship Id="rId1322" Type="http://schemas.openxmlformats.org/officeDocument/2006/relationships/hyperlink" Target="javascript:void(0)" TargetMode="External"/><Relationship Id="rId59" Type="http://schemas.openxmlformats.org/officeDocument/2006/relationships/hyperlink" Target="https://auction.ikco.ir/auction/details/34?r=478" TargetMode="External"/><Relationship Id="rId124" Type="http://schemas.openxmlformats.org/officeDocument/2006/relationships/hyperlink" Target="https://auction.ikco.ir/auction/details/34?r=453" TargetMode="External"/><Relationship Id="rId569" Type="http://schemas.openxmlformats.org/officeDocument/2006/relationships/hyperlink" Target="javascript:void(0)" TargetMode="External"/><Relationship Id="rId776" Type="http://schemas.openxmlformats.org/officeDocument/2006/relationships/hyperlink" Target="https://auction.ikco.ir/auction/details/34?r=212" TargetMode="External"/><Relationship Id="rId983" Type="http://schemas.openxmlformats.org/officeDocument/2006/relationships/hyperlink" Target="https://auction.ikco.ir/auction/details/34?r=268" TargetMode="External"/><Relationship Id="rId1199" Type="http://schemas.openxmlformats.org/officeDocument/2006/relationships/hyperlink" Target="https://auction.ikco.ir/auction/details/34?r=266" TargetMode="External"/><Relationship Id="rId1627" Type="http://schemas.openxmlformats.org/officeDocument/2006/relationships/hyperlink" Target="javascript:void(0)" TargetMode="External"/><Relationship Id="rId331" Type="http://schemas.openxmlformats.org/officeDocument/2006/relationships/hyperlink" Target="https://auction.ikco.ir/auction/details/34?r=490" TargetMode="External"/><Relationship Id="rId429" Type="http://schemas.openxmlformats.org/officeDocument/2006/relationships/hyperlink" Target="https://auction.ikco.ir/auction/details/34?r=286" TargetMode="External"/><Relationship Id="rId636" Type="http://schemas.openxmlformats.org/officeDocument/2006/relationships/hyperlink" Target="javascript:void(0)" TargetMode="External"/><Relationship Id="rId1059" Type="http://schemas.openxmlformats.org/officeDocument/2006/relationships/hyperlink" Target="javascript:void(0)" TargetMode="External"/><Relationship Id="rId1266" Type="http://schemas.openxmlformats.org/officeDocument/2006/relationships/hyperlink" Target="javascript:void(0)" TargetMode="External"/><Relationship Id="rId1473" Type="http://schemas.openxmlformats.org/officeDocument/2006/relationships/hyperlink" Target="https://auction.ikco.ir/auction/details/34?r=395" TargetMode="External"/><Relationship Id="rId843" Type="http://schemas.openxmlformats.org/officeDocument/2006/relationships/hyperlink" Target="https://auction.ikco.ir/auction/details/34?r=12" TargetMode="External"/><Relationship Id="rId1126" Type="http://schemas.openxmlformats.org/officeDocument/2006/relationships/hyperlink" Target="https://auction.ikco.ir/auction/details/34?r=125" TargetMode="External"/><Relationship Id="rId1680" Type="http://schemas.openxmlformats.org/officeDocument/2006/relationships/hyperlink" Target="https://auction.ikco.ir/auction/details/34?r=481" TargetMode="External"/><Relationship Id="rId275" Type="http://schemas.openxmlformats.org/officeDocument/2006/relationships/hyperlink" Target="https://auction.ikco.ir/auction/details/34?r=317" TargetMode="External"/><Relationship Id="rId482" Type="http://schemas.openxmlformats.org/officeDocument/2006/relationships/hyperlink" Target="javascript:void(0)" TargetMode="External"/><Relationship Id="rId703" Type="http://schemas.openxmlformats.org/officeDocument/2006/relationships/hyperlink" Target="javascript:void(0)" TargetMode="External"/><Relationship Id="rId910" Type="http://schemas.openxmlformats.org/officeDocument/2006/relationships/hyperlink" Target="javascript:void(0)" TargetMode="External"/><Relationship Id="rId1333" Type="http://schemas.openxmlformats.org/officeDocument/2006/relationships/hyperlink" Target="https://auction.ikco.ir/auction/details/34?r=134" TargetMode="External"/><Relationship Id="rId1540" Type="http://schemas.openxmlformats.org/officeDocument/2006/relationships/hyperlink" Target="https://auction.ikco.ir/auction/details/34?r=342" TargetMode="External"/><Relationship Id="rId1638" Type="http://schemas.openxmlformats.org/officeDocument/2006/relationships/hyperlink" Target="https://auction.ikco.ir/auction/details/34?r=428" TargetMode="External"/><Relationship Id="rId135" Type="http://schemas.openxmlformats.org/officeDocument/2006/relationships/hyperlink" Target="javascript:void(0)" TargetMode="External"/><Relationship Id="rId342" Type="http://schemas.openxmlformats.org/officeDocument/2006/relationships/hyperlink" Target="https://auction.ikco.ir/auction/details/34?r=120" TargetMode="External"/><Relationship Id="rId787" Type="http://schemas.openxmlformats.org/officeDocument/2006/relationships/hyperlink" Target="javascript:void(0)" TargetMode="External"/><Relationship Id="rId994" Type="http://schemas.openxmlformats.org/officeDocument/2006/relationships/hyperlink" Target="javascript:void(0)" TargetMode="External"/><Relationship Id="rId1400" Type="http://schemas.openxmlformats.org/officeDocument/2006/relationships/hyperlink" Target="javascript:void(0)" TargetMode="External"/><Relationship Id="rId202" Type="http://schemas.openxmlformats.org/officeDocument/2006/relationships/hyperlink" Target="https://auction.ikco.ir/auction/details/34?r=464" TargetMode="External"/><Relationship Id="rId647" Type="http://schemas.openxmlformats.org/officeDocument/2006/relationships/hyperlink" Target="javascript:void(0)" TargetMode="External"/><Relationship Id="rId854" Type="http://schemas.openxmlformats.org/officeDocument/2006/relationships/hyperlink" Target="https://auction.ikco.ir/auction/details/34?r=156" TargetMode="External"/><Relationship Id="rId1277" Type="http://schemas.openxmlformats.org/officeDocument/2006/relationships/hyperlink" Target="https://auction.ikco.ir/auction/details/34?r=108" TargetMode="External"/><Relationship Id="rId1484" Type="http://schemas.openxmlformats.org/officeDocument/2006/relationships/hyperlink" Target="javascript:void(0)" TargetMode="External"/><Relationship Id="rId286" Type="http://schemas.openxmlformats.org/officeDocument/2006/relationships/hyperlink" Target="https://auction.ikco.ir/auction/details/34?r=251" TargetMode="External"/><Relationship Id="rId493" Type="http://schemas.openxmlformats.org/officeDocument/2006/relationships/hyperlink" Target="https://auction.ikco.ir/auction/details/34?r=497" TargetMode="External"/><Relationship Id="rId507" Type="http://schemas.openxmlformats.org/officeDocument/2006/relationships/hyperlink" Target="https://auction.ikco.ir/auction/details/34?r=315" TargetMode="External"/><Relationship Id="rId714" Type="http://schemas.openxmlformats.org/officeDocument/2006/relationships/hyperlink" Target="https://auction.ikco.ir/auction/details/34?r=305" TargetMode="External"/><Relationship Id="rId921" Type="http://schemas.openxmlformats.org/officeDocument/2006/relationships/hyperlink" Target="https://auction.ikco.ir/auction/details/34?r=117" TargetMode="External"/><Relationship Id="rId1137" Type="http://schemas.openxmlformats.org/officeDocument/2006/relationships/hyperlink" Target="javascript:void(0)" TargetMode="External"/><Relationship Id="rId1344" Type="http://schemas.openxmlformats.org/officeDocument/2006/relationships/hyperlink" Target="https://auction.ikco.ir/auction/details/34?r=207" TargetMode="External"/><Relationship Id="rId1551" Type="http://schemas.openxmlformats.org/officeDocument/2006/relationships/hyperlink" Target="https://auction.ikco.ir/auction/details/34?r=170" TargetMode="External"/><Relationship Id="rId50" Type="http://schemas.openxmlformats.org/officeDocument/2006/relationships/hyperlink" Target="https://auction.ikco.ir/auction/details/34?r=526" TargetMode="External"/><Relationship Id="rId146" Type="http://schemas.openxmlformats.org/officeDocument/2006/relationships/hyperlink" Target="https://auction.ikco.ir/auction/details/34?r=446" TargetMode="External"/><Relationship Id="rId353" Type="http://schemas.openxmlformats.org/officeDocument/2006/relationships/hyperlink" Target="javascript:void(0)" TargetMode="External"/><Relationship Id="rId560" Type="http://schemas.openxmlformats.org/officeDocument/2006/relationships/hyperlink" Target="javascript:void(0)" TargetMode="External"/><Relationship Id="rId798" Type="http://schemas.openxmlformats.org/officeDocument/2006/relationships/hyperlink" Target="https://auction.ikco.ir/auction/details/34?r=322" TargetMode="External"/><Relationship Id="rId1190" Type="http://schemas.openxmlformats.org/officeDocument/2006/relationships/hyperlink" Target="https://auction.ikco.ir/auction/details/34?r=189" TargetMode="External"/><Relationship Id="rId1204" Type="http://schemas.openxmlformats.org/officeDocument/2006/relationships/hyperlink" Target="https://auction.ikco.ir/auction/details/34?r=297" TargetMode="External"/><Relationship Id="rId1411" Type="http://schemas.openxmlformats.org/officeDocument/2006/relationships/hyperlink" Target="https://auction.ikco.ir/auction/details/34?r=204" TargetMode="External"/><Relationship Id="rId1649" Type="http://schemas.openxmlformats.org/officeDocument/2006/relationships/hyperlink" Target="https://auction.ikco.ir/auction/details/34?r=194" TargetMode="External"/><Relationship Id="rId213" Type="http://schemas.openxmlformats.org/officeDocument/2006/relationships/hyperlink" Target="javascript:void(0)" TargetMode="External"/><Relationship Id="rId420" Type="http://schemas.openxmlformats.org/officeDocument/2006/relationships/hyperlink" Target="https://auction.ikco.ir/auction/details/34?r=346" TargetMode="External"/><Relationship Id="rId658" Type="http://schemas.openxmlformats.org/officeDocument/2006/relationships/hyperlink" Target="javascript:void(0)" TargetMode="External"/><Relationship Id="rId865" Type="http://schemas.openxmlformats.org/officeDocument/2006/relationships/hyperlink" Target="javascript:void(0)" TargetMode="External"/><Relationship Id="rId1050" Type="http://schemas.openxmlformats.org/officeDocument/2006/relationships/hyperlink" Target="javascript:void(0)" TargetMode="External"/><Relationship Id="rId1288" Type="http://schemas.openxmlformats.org/officeDocument/2006/relationships/hyperlink" Target="https://auction.ikco.ir/auction/details/34?r=131" TargetMode="External"/><Relationship Id="rId1495" Type="http://schemas.openxmlformats.org/officeDocument/2006/relationships/hyperlink" Target="https://auction.ikco.ir/auction/details/34?r=94" TargetMode="External"/><Relationship Id="rId1509" Type="http://schemas.openxmlformats.org/officeDocument/2006/relationships/hyperlink" Target="https://auction.ikco.ir/auction/details/34?r=367" TargetMode="External"/><Relationship Id="rId297" Type="http://schemas.openxmlformats.org/officeDocument/2006/relationships/hyperlink" Target="javascript:void(0)" TargetMode="External"/><Relationship Id="rId518" Type="http://schemas.openxmlformats.org/officeDocument/2006/relationships/hyperlink" Target="javascript:void(0)" TargetMode="External"/><Relationship Id="rId725" Type="http://schemas.openxmlformats.org/officeDocument/2006/relationships/hyperlink" Target="https://auction.ikco.ir/auction/details/34?r=18" TargetMode="External"/><Relationship Id="rId932" Type="http://schemas.openxmlformats.org/officeDocument/2006/relationships/hyperlink" Target="https://auction.ikco.ir/auction/details/34?r=188" TargetMode="External"/><Relationship Id="rId1148" Type="http://schemas.openxmlformats.org/officeDocument/2006/relationships/hyperlink" Target="https://auction.ikco.ir/auction/details/34?r=221" TargetMode="External"/><Relationship Id="rId1355" Type="http://schemas.openxmlformats.org/officeDocument/2006/relationships/hyperlink" Target="javascript:void(0)" TargetMode="External"/><Relationship Id="rId1562" Type="http://schemas.openxmlformats.org/officeDocument/2006/relationships/hyperlink" Target="javascript:void(0)" TargetMode="External"/><Relationship Id="rId157" Type="http://schemas.openxmlformats.org/officeDocument/2006/relationships/hyperlink" Target="https://auction.ikco.ir/auction/details/34?r=447" TargetMode="External"/><Relationship Id="rId364" Type="http://schemas.openxmlformats.org/officeDocument/2006/relationships/hyperlink" Target="https://auction.ikco.ir/auction/details/34?r=341" TargetMode="External"/><Relationship Id="rId1008" Type="http://schemas.openxmlformats.org/officeDocument/2006/relationships/hyperlink" Target="javascript:void(0)" TargetMode="External"/><Relationship Id="rId1215" Type="http://schemas.openxmlformats.org/officeDocument/2006/relationships/hyperlink" Target="javascript:void(0)" TargetMode="External"/><Relationship Id="rId1422" Type="http://schemas.openxmlformats.org/officeDocument/2006/relationships/hyperlink" Target="https://auction.ikco.ir/auction/details/34?r=262" TargetMode="External"/><Relationship Id="rId61" Type="http://schemas.openxmlformats.org/officeDocument/2006/relationships/hyperlink" Target="https://auction.ikco.ir/auction/details/34?r=523" TargetMode="External"/><Relationship Id="rId571" Type="http://schemas.openxmlformats.org/officeDocument/2006/relationships/hyperlink" Target="https://auction.ikco.ir/auction/details/34?r=232" TargetMode="External"/><Relationship Id="rId669" Type="http://schemas.openxmlformats.org/officeDocument/2006/relationships/hyperlink" Target="javascript:void(0)" TargetMode="External"/><Relationship Id="rId876" Type="http://schemas.openxmlformats.org/officeDocument/2006/relationships/hyperlink" Target="https://auction.ikco.ir/auction/details/34?r=16" TargetMode="External"/><Relationship Id="rId1299" Type="http://schemas.openxmlformats.org/officeDocument/2006/relationships/hyperlink" Target="https://auction.ikco.ir/auction/details/34?r=203" TargetMode="External"/><Relationship Id="rId19" Type="http://schemas.openxmlformats.org/officeDocument/2006/relationships/hyperlink" Target="https://auction.ikco.ir/auction/details/34?r=510" TargetMode="External"/><Relationship Id="rId224" Type="http://schemas.openxmlformats.org/officeDocument/2006/relationships/hyperlink" Target="https://auction.ikco.ir/auction/details/34?r=424" TargetMode="External"/><Relationship Id="rId431" Type="http://schemas.openxmlformats.org/officeDocument/2006/relationships/hyperlink" Target="javascript:void(0)" TargetMode="External"/><Relationship Id="rId529" Type="http://schemas.openxmlformats.org/officeDocument/2006/relationships/hyperlink" Target="https://auction.ikco.ir/auction/details/34?r=508" TargetMode="External"/><Relationship Id="rId736" Type="http://schemas.openxmlformats.org/officeDocument/2006/relationships/hyperlink" Target="javascript:void(0)" TargetMode="External"/><Relationship Id="rId1061" Type="http://schemas.openxmlformats.org/officeDocument/2006/relationships/hyperlink" Target="https://auction.ikco.ir/auction/details/34?r=97" TargetMode="External"/><Relationship Id="rId1159" Type="http://schemas.openxmlformats.org/officeDocument/2006/relationships/hyperlink" Target="https://auction.ikco.ir/auction/details/34?r=298" TargetMode="External"/><Relationship Id="rId1366" Type="http://schemas.openxmlformats.org/officeDocument/2006/relationships/hyperlink" Target="https://auction.ikco.ir/auction/details/34?r=19" TargetMode="External"/><Relationship Id="rId168" Type="http://schemas.openxmlformats.org/officeDocument/2006/relationships/hyperlink" Target="javascript:void(0)" TargetMode="External"/><Relationship Id="rId943" Type="http://schemas.openxmlformats.org/officeDocument/2006/relationships/hyperlink" Target="javascript:void(0)" TargetMode="External"/><Relationship Id="rId1019" Type="http://schemas.openxmlformats.org/officeDocument/2006/relationships/hyperlink" Target="https://auction.ikco.ir/auction/details/34?r=147" TargetMode="External"/><Relationship Id="rId1573" Type="http://schemas.openxmlformats.org/officeDocument/2006/relationships/hyperlink" Target="https://auction.ikco.ir/auction/details/34?r=374" TargetMode="External"/><Relationship Id="rId72" Type="http://schemas.openxmlformats.org/officeDocument/2006/relationships/hyperlink" Target="javascript:void(0)" TargetMode="External"/><Relationship Id="rId375" Type="http://schemas.openxmlformats.org/officeDocument/2006/relationships/hyperlink" Target="https://auction.ikco.ir/auction/details/34?r=372" TargetMode="External"/><Relationship Id="rId582" Type="http://schemas.openxmlformats.org/officeDocument/2006/relationships/hyperlink" Target="https://auction.ikco.ir/auction/details/34?r=351" TargetMode="External"/><Relationship Id="rId803" Type="http://schemas.openxmlformats.org/officeDocument/2006/relationships/hyperlink" Target="https://auction.ikco.ir/auction/details/34?r=36" TargetMode="External"/><Relationship Id="rId1226" Type="http://schemas.openxmlformats.org/officeDocument/2006/relationships/hyperlink" Target="https://auction.ikco.ir/auction/details/34?r=22" TargetMode="External"/><Relationship Id="rId1433" Type="http://schemas.openxmlformats.org/officeDocument/2006/relationships/hyperlink" Target="javascript:void(0)" TargetMode="External"/><Relationship Id="rId1640" Type="http://schemas.openxmlformats.org/officeDocument/2006/relationships/hyperlink" Target="https://auction.ikco.ir/auction/details/34?r=454" TargetMode="External"/><Relationship Id="rId3" Type="http://schemas.openxmlformats.org/officeDocument/2006/relationships/hyperlink" Target="javascript:void(0)" TargetMode="External"/><Relationship Id="rId235" Type="http://schemas.openxmlformats.org/officeDocument/2006/relationships/hyperlink" Target="https://auction.ikco.ir/auction/details/34?r=448" TargetMode="External"/><Relationship Id="rId442" Type="http://schemas.openxmlformats.org/officeDocument/2006/relationships/hyperlink" Target="https://auction.ikco.ir/auction/details/34?r=319" TargetMode="External"/><Relationship Id="rId887" Type="http://schemas.openxmlformats.org/officeDocument/2006/relationships/hyperlink" Target="https://auction.ikco.ir/auction/details/34?r=104" TargetMode="External"/><Relationship Id="rId1072" Type="http://schemas.openxmlformats.org/officeDocument/2006/relationships/hyperlink" Target="https://auction.ikco.ir/auction/details/34?r=129" TargetMode="External"/><Relationship Id="rId1500" Type="http://schemas.openxmlformats.org/officeDocument/2006/relationships/hyperlink" Target="https://auction.ikco.ir/auction/details/34?r=252" TargetMode="External"/><Relationship Id="rId302" Type="http://schemas.openxmlformats.org/officeDocument/2006/relationships/hyperlink" Target="javascript:void(0)" TargetMode="External"/><Relationship Id="rId747" Type="http://schemas.openxmlformats.org/officeDocument/2006/relationships/hyperlink" Target="https://auction.ikco.ir/auction/details/34?r=192" TargetMode="External"/><Relationship Id="rId954" Type="http://schemas.openxmlformats.org/officeDocument/2006/relationships/hyperlink" Target="https://auction.ikco.ir/auction/details/34?r=509" TargetMode="External"/><Relationship Id="rId1377" Type="http://schemas.openxmlformats.org/officeDocument/2006/relationships/hyperlink" Target="https://auction.ikco.ir/auction/details/34?r=45" TargetMode="External"/><Relationship Id="rId1584" Type="http://schemas.openxmlformats.org/officeDocument/2006/relationships/hyperlink" Target="https://auction.ikco.ir/auction/details/34?r=175" TargetMode="External"/><Relationship Id="rId83" Type="http://schemas.openxmlformats.org/officeDocument/2006/relationships/hyperlink" Target="https://auction.ikco.ir/auction/details/34?r=452" TargetMode="External"/><Relationship Id="rId179" Type="http://schemas.openxmlformats.org/officeDocument/2006/relationships/hyperlink" Target="https://auction.ikco.ir/auction/details/34?r=437" TargetMode="External"/><Relationship Id="rId386" Type="http://schemas.openxmlformats.org/officeDocument/2006/relationships/hyperlink" Target="javascript:void(0)" TargetMode="External"/><Relationship Id="rId593" Type="http://schemas.openxmlformats.org/officeDocument/2006/relationships/hyperlink" Target="javascript:void(0)" TargetMode="External"/><Relationship Id="rId607" Type="http://schemas.openxmlformats.org/officeDocument/2006/relationships/hyperlink" Target="javascript:void(0)" TargetMode="External"/><Relationship Id="rId814" Type="http://schemas.openxmlformats.org/officeDocument/2006/relationships/hyperlink" Target="javascript:void(0)" TargetMode="External"/><Relationship Id="rId1237" Type="http://schemas.openxmlformats.org/officeDocument/2006/relationships/hyperlink" Target="https://auction.ikco.ir/auction/details/34?r=31" TargetMode="External"/><Relationship Id="rId1444" Type="http://schemas.openxmlformats.org/officeDocument/2006/relationships/hyperlink" Target="https://auction.ikco.ir/auction/details/34?r=379" TargetMode="External"/><Relationship Id="rId1651" Type="http://schemas.openxmlformats.org/officeDocument/2006/relationships/hyperlink" Target="javascript:void(0)" TargetMode="External"/><Relationship Id="rId246" Type="http://schemas.openxmlformats.org/officeDocument/2006/relationships/hyperlink" Target="javascript:void(0)" TargetMode="External"/><Relationship Id="rId453" Type="http://schemas.openxmlformats.org/officeDocument/2006/relationships/hyperlink" Target="https://auction.ikco.ir/auction/details/34?r=137" TargetMode="External"/><Relationship Id="rId660" Type="http://schemas.openxmlformats.org/officeDocument/2006/relationships/hyperlink" Target="javascript:void(0)" TargetMode="External"/><Relationship Id="rId898" Type="http://schemas.openxmlformats.org/officeDocument/2006/relationships/hyperlink" Target="javascript:void(0)" TargetMode="External"/><Relationship Id="rId1083" Type="http://schemas.openxmlformats.org/officeDocument/2006/relationships/hyperlink" Target="javascript:void(0)" TargetMode="External"/><Relationship Id="rId1290" Type="http://schemas.openxmlformats.org/officeDocument/2006/relationships/hyperlink" Target="javascript:void(0)" TargetMode="External"/><Relationship Id="rId1304" Type="http://schemas.openxmlformats.org/officeDocument/2006/relationships/hyperlink" Target="javascript:void(0)" TargetMode="External"/><Relationship Id="rId1511" Type="http://schemas.openxmlformats.org/officeDocument/2006/relationships/hyperlink" Target="javascript:void(0)" TargetMode="External"/><Relationship Id="rId106" Type="http://schemas.openxmlformats.org/officeDocument/2006/relationships/hyperlink" Target="https://auction.ikco.ir/auction/details/34?r=440" TargetMode="External"/><Relationship Id="rId313" Type="http://schemas.openxmlformats.org/officeDocument/2006/relationships/hyperlink" Target="https://auction.ikco.ir/auction/details/34?r=378" TargetMode="External"/><Relationship Id="rId758" Type="http://schemas.openxmlformats.org/officeDocument/2006/relationships/hyperlink" Target="https://auction.ikco.ir/auction/details/34?r=321" TargetMode="External"/><Relationship Id="rId965" Type="http://schemas.openxmlformats.org/officeDocument/2006/relationships/hyperlink" Target="https://auction.ikco.ir/auction/details/34?r=63" TargetMode="External"/><Relationship Id="rId1150" Type="http://schemas.openxmlformats.org/officeDocument/2006/relationships/hyperlink" Target="https://auction.ikco.ir/auction/details/34?r=224" TargetMode="External"/><Relationship Id="rId1388" Type="http://schemas.openxmlformats.org/officeDocument/2006/relationships/hyperlink" Target="javascript:void(0)" TargetMode="External"/><Relationship Id="rId1595" Type="http://schemas.openxmlformats.org/officeDocument/2006/relationships/hyperlink" Target="https://auction.ikco.ir/auction/details/34?r=514" TargetMode="External"/><Relationship Id="rId1609" Type="http://schemas.openxmlformats.org/officeDocument/2006/relationships/hyperlink" Target="javascript:void(0)" TargetMode="External"/><Relationship Id="rId10" Type="http://schemas.openxmlformats.org/officeDocument/2006/relationships/hyperlink" Target="https://auction.ikco.ir/auction/details/34?r=413" TargetMode="External"/><Relationship Id="rId94" Type="http://schemas.openxmlformats.org/officeDocument/2006/relationships/hyperlink" Target="https://auction.ikco.ir/auction/details/34?r=433" TargetMode="External"/><Relationship Id="rId397" Type="http://schemas.openxmlformats.org/officeDocument/2006/relationships/hyperlink" Target="https://auction.ikco.ir/auction/details/34?r=290" TargetMode="External"/><Relationship Id="rId520" Type="http://schemas.openxmlformats.org/officeDocument/2006/relationships/hyperlink" Target="https://auction.ikco.ir/auction/details/34?r=294" TargetMode="External"/><Relationship Id="rId618" Type="http://schemas.openxmlformats.org/officeDocument/2006/relationships/hyperlink" Target="javascript:void(0)" TargetMode="External"/><Relationship Id="rId825" Type="http://schemas.openxmlformats.org/officeDocument/2006/relationships/hyperlink" Target="https://auction.ikco.ir/auction/details/34?r=155" TargetMode="External"/><Relationship Id="rId1248" Type="http://schemas.openxmlformats.org/officeDocument/2006/relationships/hyperlink" Target="javascript:void(0)" TargetMode="External"/><Relationship Id="rId1455" Type="http://schemas.openxmlformats.org/officeDocument/2006/relationships/hyperlink" Target="https://auction.ikco.ir/auction/details/34?r=118" TargetMode="External"/><Relationship Id="rId1662" Type="http://schemas.openxmlformats.org/officeDocument/2006/relationships/hyperlink" Target="https://auction.ikco.ir/auction/details/34?r=265" TargetMode="External"/><Relationship Id="rId257" Type="http://schemas.openxmlformats.org/officeDocument/2006/relationships/hyperlink" Target="https://auction.ikco.ir/auction/details/34?r=466" TargetMode="External"/><Relationship Id="rId464" Type="http://schemas.openxmlformats.org/officeDocument/2006/relationships/hyperlink" Target="javascript:void(0)" TargetMode="External"/><Relationship Id="rId1010" Type="http://schemas.openxmlformats.org/officeDocument/2006/relationships/hyperlink" Target="https://auction.ikco.ir/auction/details/34?r=123" TargetMode="External"/><Relationship Id="rId1094" Type="http://schemas.openxmlformats.org/officeDocument/2006/relationships/hyperlink" Target="https://auction.ikco.ir/auction/details/34?r=362" TargetMode="External"/><Relationship Id="rId1108" Type="http://schemas.openxmlformats.org/officeDocument/2006/relationships/hyperlink" Target="https://auction.ikco.ir/auction/details/34?r=40" TargetMode="External"/><Relationship Id="rId1315" Type="http://schemas.openxmlformats.org/officeDocument/2006/relationships/hyperlink" Target="https://auction.ikco.ir/auction/details/34?r=3" TargetMode="External"/><Relationship Id="rId117" Type="http://schemas.openxmlformats.org/officeDocument/2006/relationships/hyperlink" Target="javascript:void(0)" TargetMode="External"/><Relationship Id="rId671" Type="http://schemas.openxmlformats.org/officeDocument/2006/relationships/hyperlink" Target="javascript:void(0)" TargetMode="External"/><Relationship Id="rId769" Type="http://schemas.openxmlformats.org/officeDocument/2006/relationships/hyperlink" Target="javascript:void(0)" TargetMode="External"/><Relationship Id="rId976" Type="http://schemas.openxmlformats.org/officeDocument/2006/relationships/hyperlink" Target="javascript:void(0)" TargetMode="External"/><Relationship Id="rId1399" Type="http://schemas.openxmlformats.org/officeDocument/2006/relationships/hyperlink" Target="https://auction.ikco.ir/auction/details/34?r=164" TargetMode="External"/><Relationship Id="rId324" Type="http://schemas.openxmlformats.org/officeDocument/2006/relationships/hyperlink" Target="https://auction.ikco.ir/auction/details/34?r=512" TargetMode="External"/><Relationship Id="rId531" Type="http://schemas.openxmlformats.org/officeDocument/2006/relationships/hyperlink" Target="https://auction.ikco.ir/auction/details/34?r=247" TargetMode="External"/><Relationship Id="rId629" Type="http://schemas.openxmlformats.org/officeDocument/2006/relationships/hyperlink" Target="javascript:void(0)" TargetMode="External"/><Relationship Id="rId1161" Type="http://schemas.openxmlformats.org/officeDocument/2006/relationships/hyperlink" Target="javascript:void(0)" TargetMode="External"/><Relationship Id="rId1259" Type="http://schemas.openxmlformats.org/officeDocument/2006/relationships/hyperlink" Target="https://auction.ikco.ir/auction/details/34?r=62" TargetMode="External"/><Relationship Id="rId1466" Type="http://schemas.openxmlformats.org/officeDocument/2006/relationships/hyperlink" Target="javascript:void(0)" TargetMode="External"/><Relationship Id="rId836" Type="http://schemas.openxmlformats.org/officeDocument/2006/relationships/hyperlink" Target="https://auction.ikco.ir/auction/details/34?r=280" TargetMode="External"/><Relationship Id="rId1021" Type="http://schemas.openxmlformats.org/officeDocument/2006/relationships/hyperlink" Target="https://auction.ikco.ir/auction/details/34?r=181" TargetMode="External"/><Relationship Id="rId1119" Type="http://schemas.openxmlformats.org/officeDocument/2006/relationships/hyperlink" Target="javascript:void(0)" TargetMode="External"/><Relationship Id="rId1673" Type="http://schemas.openxmlformats.org/officeDocument/2006/relationships/hyperlink" Target="https://auction.ikco.ir/auction/details/34?r=425" TargetMode="External"/><Relationship Id="rId903" Type="http://schemas.openxmlformats.org/officeDocument/2006/relationships/hyperlink" Target="https://auction.ikco.ir/auction/details/34?r=338" TargetMode="External"/><Relationship Id="rId1326" Type="http://schemas.openxmlformats.org/officeDocument/2006/relationships/hyperlink" Target="https://auction.ikco.ir/auction/details/34?r=112" TargetMode="External"/><Relationship Id="rId1533" Type="http://schemas.openxmlformats.org/officeDocument/2006/relationships/hyperlink" Target="https://auction.ikco.ir/auction/details/34?r=274" TargetMode="External"/><Relationship Id="rId32" Type="http://schemas.openxmlformats.org/officeDocument/2006/relationships/hyperlink" Target="https://auction.ikco.ir/auction/details/34?r=529" TargetMode="External"/><Relationship Id="rId1600" Type="http://schemas.openxmlformats.org/officeDocument/2006/relationships/hyperlink" Target="javascript:void(0)" TargetMode="External"/><Relationship Id="rId181" Type="http://schemas.openxmlformats.org/officeDocument/2006/relationships/hyperlink" Target="https://auction.ikco.ir/auction/details/34?r=470" TargetMode="External"/><Relationship Id="rId279" Type="http://schemas.openxmlformats.org/officeDocument/2006/relationships/hyperlink" Target="javascript:void(0)" TargetMode="External"/><Relationship Id="rId486" Type="http://schemas.openxmlformats.org/officeDocument/2006/relationships/hyperlink" Target="https://auction.ikco.ir/auction/details/34?r=504" TargetMode="External"/><Relationship Id="rId693" Type="http://schemas.openxmlformats.org/officeDocument/2006/relationships/hyperlink" Target="javascript:void(0)" TargetMode="External"/><Relationship Id="rId139" Type="http://schemas.openxmlformats.org/officeDocument/2006/relationships/hyperlink" Target="https://auction.ikco.ir/auction/details/34?r=472" TargetMode="External"/><Relationship Id="rId346" Type="http://schemas.openxmlformats.org/officeDocument/2006/relationships/hyperlink" Target="https://auction.ikco.ir/auction/details/34?r=318" TargetMode="External"/><Relationship Id="rId553" Type="http://schemas.openxmlformats.org/officeDocument/2006/relationships/hyperlink" Target="https://auction.ikco.ir/auction/details/34?r=180" TargetMode="External"/><Relationship Id="rId760" Type="http://schemas.openxmlformats.org/officeDocument/2006/relationships/hyperlink" Target="javascript:void(0)" TargetMode="External"/><Relationship Id="rId998" Type="http://schemas.openxmlformats.org/officeDocument/2006/relationships/hyperlink" Target="https://auction.ikco.ir/auction/details/34?r=81" TargetMode="External"/><Relationship Id="rId1183" Type="http://schemas.openxmlformats.org/officeDocument/2006/relationships/hyperlink" Target="https://auction.ikco.ir/auction/details/34?r=113" TargetMode="External"/><Relationship Id="rId1390" Type="http://schemas.openxmlformats.org/officeDocument/2006/relationships/hyperlink" Target="https://auction.ikco.ir/auction/details/34?r=121" TargetMode="External"/><Relationship Id="rId206" Type="http://schemas.openxmlformats.org/officeDocument/2006/relationships/hyperlink" Target="https://auction.ikco.ir/auction/details/34?r=463" TargetMode="External"/><Relationship Id="rId413" Type="http://schemas.openxmlformats.org/officeDocument/2006/relationships/hyperlink" Target="javascript:void(0)" TargetMode="External"/><Relationship Id="rId858" Type="http://schemas.openxmlformats.org/officeDocument/2006/relationships/hyperlink" Target="https://auction.ikco.ir/auction/details/34?r=182" TargetMode="External"/><Relationship Id="rId1043" Type="http://schemas.openxmlformats.org/officeDocument/2006/relationships/hyperlink" Target="https://auction.ikco.ir/auction/details/34?r=353" TargetMode="External"/><Relationship Id="rId1488" Type="http://schemas.openxmlformats.org/officeDocument/2006/relationships/hyperlink" Target="https://auction.ikco.ir/auction/details/34?r=55" TargetMode="External"/><Relationship Id="rId620" Type="http://schemas.openxmlformats.org/officeDocument/2006/relationships/hyperlink" Target="javascript:void(0)" TargetMode="External"/><Relationship Id="rId718" Type="http://schemas.openxmlformats.org/officeDocument/2006/relationships/hyperlink" Target="javascript:void(0)" TargetMode="External"/><Relationship Id="rId925" Type="http://schemas.openxmlformats.org/officeDocument/2006/relationships/hyperlink" Target="javascript:void(0)" TargetMode="External"/><Relationship Id="rId1250" Type="http://schemas.openxmlformats.org/officeDocument/2006/relationships/hyperlink" Target="https://auction.ikco.ir/auction/details/34?r=39" TargetMode="External"/><Relationship Id="rId1348" Type="http://schemas.openxmlformats.org/officeDocument/2006/relationships/hyperlink" Target="https://auction.ikco.ir/auction/details/34?r=227" TargetMode="External"/><Relationship Id="rId1555" Type="http://schemas.openxmlformats.org/officeDocument/2006/relationships/hyperlink" Target="https://auction.ikco.ir/auction/details/34?r=242" TargetMode="External"/><Relationship Id="rId1110" Type="http://schemas.openxmlformats.org/officeDocument/2006/relationships/hyperlink" Target="javascript:void(0)" TargetMode="External"/><Relationship Id="rId1208" Type="http://schemas.openxmlformats.org/officeDocument/2006/relationships/hyperlink" Target="https://auction.ikco.ir/auction/details/34?r=304" TargetMode="External"/><Relationship Id="rId1415" Type="http://schemas.openxmlformats.org/officeDocument/2006/relationships/hyperlink" Target="javascript:void(0)" TargetMode="External"/><Relationship Id="rId54" Type="http://schemas.openxmlformats.org/officeDocument/2006/relationships/hyperlink" Target="javascript:void(0)" TargetMode="External"/><Relationship Id="rId1622" Type="http://schemas.openxmlformats.org/officeDocument/2006/relationships/hyperlink" Target="https://auction.ikco.ir/auction/details/34?r=271" TargetMode="External"/><Relationship Id="rId270" Type="http://schemas.openxmlformats.org/officeDocument/2006/relationships/hyperlink" Target="javascript:void(0)" TargetMode="External"/><Relationship Id="rId130" Type="http://schemas.openxmlformats.org/officeDocument/2006/relationships/hyperlink" Target="https://auction.ikco.ir/auction/details/34?r=439" TargetMode="External"/><Relationship Id="rId368" Type="http://schemas.openxmlformats.org/officeDocument/2006/relationships/hyperlink" Target="javascript:void(0)" TargetMode="External"/><Relationship Id="rId575" Type="http://schemas.openxmlformats.org/officeDocument/2006/relationships/hyperlink" Target="javascript:void(0)" TargetMode="External"/><Relationship Id="rId782" Type="http://schemas.openxmlformats.org/officeDocument/2006/relationships/hyperlink" Target="https://auction.ikco.ir/auction/details/34?r=72" TargetMode="External"/><Relationship Id="rId228" Type="http://schemas.openxmlformats.org/officeDocument/2006/relationships/hyperlink" Target="javascript:void(0)" TargetMode="External"/><Relationship Id="rId435" Type="http://schemas.openxmlformats.org/officeDocument/2006/relationships/hyperlink" Target="https://auction.ikco.ir/auction/details/34?r=61" TargetMode="External"/><Relationship Id="rId642" Type="http://schemas.openxmlformats.org/officeDocument/2006/relationships/hyperlink" Target="javascript:void(0)" TargetMode="External"/><Relationship Id="rId1065" Type="http://schemas.openxmlformats.org/officeDocument/2006/relationships/hyperlink" Target="javascript:void(0)" TargetMode="External"/><Relationship Id="rId1272" Type="http://schemas.openxmlformats.org/officeDocument/2006/relationships/hyperlink" Target="javascript:void(0)" TargetMode="External"/><Relationship Id="rId502" Type="http://schemas.openxmlformats.org/officeDocument/2006/relationships/hyperlink" Target="https://auction.ikco.ir/auction/details/34?r=347" TargetMode="External"/><Relationship Id="rId947" Type="http://schemas.openxmlformats.org/officeDocument/2006/relationships/hyperlink" Target="https://auction.ikco.ir/auction/details/34?r=349" TargetMode="External"/><Relationship Id="rId1132" Type="http://schemas.openxmlformats.org/officeDocument/2006/relationships/hyperlink" Target="https://auction.ikco.ir/auction/details/34?r=152" TargetMode="External"/><Relationship Id="rId1577" Type="http://schemas.openxmlformats.org/officeDocument/2006/relationships/hyperlink" Target="javascript:void(0)" TargetMode="External"/><Relationship Id="rId76" Type="http://schemas.openxmlformats.org/officeDocument/2006/relationships/hyperlink" Target="https://auction.ikco.ir/auction/details/34?r=444" TargetMode="External"/><Relationship Id="rId807" Type="http://schemas.openxmlformats.org/officeDocument/2006/relationships/hyperlink" Target="https://auction.ikco.ir/auction/details/34?r=44" TargetMode="External"/><Relationship Id="rId1437" Type="http://schemas.openxmlformats.org/officeDocument/2006/relationships/hyperlink" Target="https://auction.ikco.ir/auction/details/34?r=356" TargetMode="External"/><Relationship Id="rId1644" Type="http://schemas.openxmlformats.org/officeDocument/2006/relationships/hyperlink" Target="https://auction.ikco.ir/auction/details/34?r=456" TargetMode="External"/><Relationship Id="rId1504" Type="http://schemas.openxmlformats.org/officeDocument/2006/relationships/hyperlink" Target="https://auction.ikco.ir/auction/details/34?r=316" TargetMode="External"/><Relationship Id="rId292" Type="http://schemas.openxmlformats.org/officeDocument/2006/relationships/hyperlink" Target="https://auction.ikco.ir/auction/details/34?r=390" TargetMode="External"/><Relationship Id="rId597" Type="http://schemas.openxmlformats.org/officeDocument/2006/relationships/hyperlink" Target="https://auction.ikco.ir/auction/details/34?r=10" TargetMode="External"/><Relationship Id="rId152" Type="http://schemas.openxmlformats.org/officeDocument/2006/relationships/hyperlink" Target="https://auction.ikco.ir/auction/details/34?r=436" TargetMode="External"/><Relationship Id="rId457" Type="http://schemas.openxmlformats.org/officeDocument/2006/relationships/hyperlink" Target="https://auction.ikco.ir/auction/details/34?r=350" TargetMode="External"/><Relationship Id="rId1087" Type="http://schemas.openxmlformats.org/officeDocument/2006/relationships/hyperlink" Target="https://auction.ikco.ir/auction/details/34?r=223" TargetMode="External"/><Relationship Id="rId1294" Type="http://schemas.openxmlformats.org/officeDocument/2006/relationships/hyperlink" Target="https://auction.ikco.ir/auction/details/34?r=141" TargetMode="External"/><Relationship Id="rId664" Type="http://schemas.openxmlformats.org/officeDocument/2006/relationships/hyperlink" Target="javascript:void(0)" TargetMode="External"/><Relationship Id="rId871" Type="http://schemas.openxmlformats.org/officeDocument/2006/relationships/hyperlink" Target="javascript:void(0)" TargetMode="External"/><Relationship Id="rId969" Type="http://schemas.openxmlformats.org/officeDocument/2006/relationships/hyperlink" Target="https://auction.ikco.ir/auction/details/34?r=76" TargetMode="External"/><Relationship Id="rId1599" Type="http://schemas.openxmlformats.org/officeDocument/2006/relationships/hyperlink" Target="https://auction.ikco.ir/auction/details/34?r=122" TargetMode="External"/><Relationship Id="rId317" Type="http://schemas.openxmlformats.org/officeDocument/2006/relationships/hyperlink" Target="javascript:void(0)" TargetMode="External"/><Relationship Id="rId524" Type="http://schemas.openxmlformats.org/officeDocument/2006/relationships/hyperlink" Target="javascript:void(0)" TargetMode="External"/><Relationship Id="rId731" Type="http://schemas.openxmlformats.org/officeDocument/2006/relationships/hyperlink" Target="https://auction.ikco.ir/auction/details/34?r=67" TargetMode="External"/><Relationship Id="rId1154" Type="http://schemas.openxmlformats.org/officeDocument/2006/relationships/hyperlink" Target="https://auction.ikco.ir/auction/details/34?r=225" TargetMode="External"/><Relationship Id="rId1361" Type="http://schemas.openxmlformats.org/officeDocument/2006/relationships/hyperlink" Target="javascript:void(0)" TargetMode="External"/><Relationship Id="rId1459" Type="http://schemas.openxmlformats.org/officeDocument/2006/relationships/hyperlink" Target="https://auction.ikco.ir/auction/details/34?r=210" TargetMode="External"/><Relationship Id="rId98" Type="http://schemas.openxmlformats.org/officeDocument/2006/relationships/hyperlink" Target="https://auction.ikco.ir/auction/details/34?r=462" TargetMode="External"/><Relationship Id="rId829" Type="http://schemas.openxmlformats.org/officeDocument/2006/relationships/hyperlink" Target="javascript:void(0)" TargetMode="External"/><Relationship Id="rId1014" Type="http://schemas.openxmlformats.org/officeDocument/2006/relationships/hyperlink" Target="javascript:void(0)" TargetMode="External"/><Relationship Id="rId1221" Type="http://schemas.openxmlformats.org/officeDocument/2006/relationships/hyperlink" Target="javascript:void(0)" TargetMode="External"/><Relationship Id="rId1666" Type="http://schemas.openxmlformats.org/officeDocument/2006/relationships/hyperlink" Target="javascript:void(0)" TargetMode="External"/><Relationship Id="rId1319" Type="http://schemas.openxmlformats.org/officeDocument/2006/relationships/hyperlink" Target="javascript:void(0)" TargetMode="External"/><Relationship Id="rId1526" Type="http://schemas.openxmlformats.org/officeDocument/2006/relationships/hyperlink" Target="javascript:void(0)" TargetMode="External"/><Relationship Id="rId25" Type="http://schemas.openxmlformats.org/officeDocument/2006/relationships/hyperlink" Target="https://auction.ikco.ir/auction/details/34?r=480" TargetMode="External"/><Relationship Id="rId174" Type="http://schemas.openxmlformats.org/officeDocument/2006/relationships/hyperlink" Target="javascript:void(0)" TargetMode="External"/><Relationship Id="rId381" Type="http://schemas.openxmlformats.org/officeDocument/2006/relationships/hyperlink" Target="https://auction.ikco.ir/auction/details/34?r=465" TargetMode="External"/><Relationship Id="rId241" Type="http://schemas.openxmlformats.org/officeDocument/2006/relationships/hyperlink" Target="https://auction.ikco.ir/auction/details/34?r=414" TargetMode="External"/><Relationship Id="rId479" Type="http://schemas.openxmlformats.org/officeDocument/2006/relationships/hyperlink" Target="javascript:void(0)" TargetMode="External"/><Relationship Id="rId686" Type="http://schemas.openxmlformats.org/officeDocument/2006/relationships/hyperlink" Target="javascript:void(0)" TargetMode="External"/><Relationship Id="rId893" Type="http://schemas.openxmlformats.org/officeDocument/2006/relationships/hyperlink" Target="https://auction.ikco.ir/auction/details/34?r=214" TargetMode="External"/><Relationship Id="rId339" Type="http://schemas.openxmlformats.org/officeDocument/2006/relationships/hyperlink" Target="https://auction.ikco.ir/auction/details/34?r=249" TargetMode="External"/><Relationship Id="rId546" Type="http://schemas.openxmlformats.org/officeDocument/2006/relationships/hyperlink" Target="https://auction.ikco.ir/auction/details/34?r=369" TargetMode="External"/><Relationship Id="rId753" Type="http://schemas.openxmlformats.org/officeDocument/2006/relationships/hyperlink" Target="https://auction.ikco.ir/auction/details/34?r=279" TargetMode="External"/><Relationship Id="rId1176" Type="http://schemas.openxmlformats.org/officeDocument/2006/relationships/hyperlink" Target="javascript:void(0)" TargetMode="External"/><Relationship Id="rId1383" Type="http://schemas.openxmlformats.org/officeDocument/2006/relationships/hyperlink" Target="https://auction.ikco.ir/auction/details/34?r=52" TargetMode="External"/><Relationship Id="rId101" Type="http://schemas.openxmlformats.org/officeDocument/2006/relationships/hyperlink" Target="https://auction.ikco.ir/auction/details/34?r=435" TargetMode="External"/><Relationship Id="rId406" Type="http://schemas.openxmlformats.org/officeDocument/2006/relationships/hyperlink" Target="https://auction.ikco.ir/auction/details/34?r=459" TargetMode="External"/><Relationship Id="rId960" Type="http://schemas.openxmlformats.org/officeDocument/2006/relationships/hyperlink" Target="https://auction.ikco.ir/auction/details/34?r=51" TargetMode="External"/><Relationship Id="rId1036" Type="http://schemas.openxmlformats.org/officeDocument/2006/relationships/hyperlink" Target="https://auction.ikco.ir/auction/details/34?r=222" TargetMode="External"/><Relationship Id="rId1243" Type="http://schemas.openxmlformats.org/officeDocument/2006/relationships/hyperlink" Target="https://auction.ikco.ir/auction/details/34?r=35" TargetMode="External"/><Relationship Id="rId1590" Type="http://schemas.openxmlformats.org/officeDocument/2006/relationships/hyperlink" Target="https://auction.ikco.ir/auction/details/34?r=331" TargetMode="External"/><Relationship Id="rId613" Type="http://schemas.openxmlformats.org/officeDocument/2006/relationships/hyperlink" Target="javascript:void(0)" TargetMode="External"/><Relationship Id="rId820" Type="http://schemas.openxmlformats.org/officeDocument/2006/relationships/hyperlink" Target="javascript:void(0)" TargetMode="External"/><Relationship Id="rId918" Type="http://schemas.openxmlformats.org/officeDocument/2006/relationships/hyperlink" Target="https://auction.ikco.ir/auction/details/34?r=115" TargetMode="External"/><Relationship Id="rId1450" Type="http://schemas.openxmlformats.org/officeDocument/2006/relationships/hyperlink" Target="https://auction.ikco.ir/auction/details/34?r=78" TargetMode="External"/><Relationship Id="rId1548" Type="http://schemas.openxmlformats.org/officeDocument/2006/relationships/hyperlink" Target="https://auction.ikco.ir/auction/details/34?r=167" TargetMode="External"/><Relationship Id="rId1103" Type="http://schemas.openxmlformats.org/officeDocument/2006/relationships/hyperlink" Target="https://auction.ikco.ir/auction/details/34?r=2" TargetMode="External"/><Relationship Id="rId1310" Type="http://schemas.openxmlformats.org/officeDocument/2006/relationships/hyperlink" Target="javascript:void(0)" TargetMode="External"/><Relationship Id="rId1408" Type="http://schemas.openxmlformats.org/officeDocument/2006/relationships/hyperlink" Target="https://auction.ikco.ir/auction/details/34?r=202" TargetMode="External"/><Relationship Id="rId47" Type="http://schemas.openxmlformats.org/officeDocument/2006/relationships/hyperlink" Target="https://auction.ikco.ir/auction/details/34?r=524" TargetMode="External"/><Relationship Id="rId1615" Type="http://schemas.openxmlformats.org/officeDocument/2006/relationships/hyperlink" Target="javascript:void(0)" TargetMode="External"/><Relationship Id="rId196" Type="http://schemas.openxmlformats.org/officeDocument/2006/relationships/hyperlink" Target="https://auction.ikco.ir/auction/details/34?r=487" TargetMode="External"/><Relationship Id="rId263" Type="http://schemas.openxmlformats.org/officeDocument/2006/relationships/hyperlink" Target="https://auction.ikco.ir/auction/details/34?r=401" TargetMode="External"/><Relationship Id="rId470" Type="http://schemas.openxmlformats.org/officeDocument/2006/relationships/hyperlink" Target="javascript:void(0)" TargetMode="External"/><Relationship Id="rId123" Type="http://schemas.openxmlformats.org/officeDocument/2006/relationships/hyperlink" Target="javascript:void(0)" TargetMode="External"/><Relationship Id="rId330" Type="http://schemas.openxmlformats.org/officeDocument/2006/relationships/hyperlink" Target="https://auction.ikco.ir/auction/details/34?r=490" TargetMode="External"/><Relationship Id="rId568" Type="http://schemas.openxmlformats.org/officeDocument/2006/relationships/hyperlink" Target="https://auction.ikco.ir/auction/details/34?r=258" TargetMode="External"/><Relationship Id="rId775" Type="http://schemas.openxmlformats.org/officeDocument/2006/relationships/hyperlink" Target="javascript:void(0)" TargetMode="External"/><Relationship Id="rId982" Type="http://schemas.openxmlformats.org/officeDocument/2006/relationships/hyperlink" Target="javascript:void(0)" TargetMode="External"/><Relationship Id="rId1198" Type="http://schemas.openxmlformats.org/officeDocument/2006/relationships/hyperlink" Target="https://auction.ikco.ir/auction/details/34?r=266" TargetMode="External"/><Relationship Id="rId428" Type="http://schemas.openxmlformats.org/officeDocument/2006/relationships/hyperlink" Target="javascript:void(0)" TargetMode="External"/><Relationship Id="rId635" Type="http://schemas.openxmlformats.org/officeDocument/2006/relationships/hyperlink" Target="javascript:void(0)" TargetMode="External"/><Relationship Id="rId842" Type="http://schemas.openxmlformats.org/officeDocument/2006/relationships/hyperlink" Target="https://auction.ikco.ir/auction/details/34?r=12" TargetMode="External"/><Relationship Id="rId1058" Type="http://schemas.openxmlformats.org/officeDocument/2006/relationships/hyperlink" Target="https://auction.ikco.ir/auction/details/34?r=86" TargetMode="External"/><Relationship Id="rId1265" Type="http://schemas.openxmlformats.org/officeDocument/2006/relationships/hyperlink" Target="https://auction.ikco.ir/auction/details/34?r=69" TargetMode="External"/><Relationship Id="rId1472" Type="http://schemas.openxmlformats.org/officeDocument/2006/relationships/hyperlink" Target="javascript:void(0)" TargetMode="External"/><Relationship Id="rId702" Type="http://schemas.openxmlformats.org/officeDocument/2006/relationships/hyperlink" Target="https://auction.ikco.ir/auction/details/34?r=308" TargetMode="External"/><Relationship Id="rId1125" Type="http://schemas.openxmlformats.org/officeDocument/2006/relationships/hyperlink" Target="javascript:void(0)" TargetMode="External"/><Relationship Id="rId1332" Type="http://schemas.openxmlformats.org/officeDocument/2006/relationships/hyperlink" Target="https://auction.ikco.ir/auction/details/34?r=134" TargetMode="External"/><Relationship Id="rId69" Type="http://schemas.openxmlformats.org/officeDocument/2006/relationships/hyperlink" Target="javascript:void(0)" TargetMode="External"/><Relationship Id="rId1637" Type="http://schemas.openxmlformats.org/officeDocument/2006/relationships/hyperlink" Target="https://auction.ikco.ir/auction/details/34?r=428" TargetMode="External"/><Relationship Id="rId285" Type="http://schemas.openxmlformats.org/officeDocument/2006/relationships/hyperlink" Target="javascript:void(0)" TargetMode="External"/><Relationship Id="rId492" Type="http://schemas.openxmlformats.org/officeDocument/2006/relationships/hyperlink" Target="https://auction.ikco.ir/auction/details/34?r=497" TargetMode="External"/><Relationship Id="rId797" Type="http://schemas.openxmlformats.org/officeDocument/2006/relationships/hyperlink" Target="https://auction.ikco.ir/auction/details/34?r=322" TargetMode="External"/><Relationship Id="rId145" Type="http://schemas.openxmlformats.org/officeDocument/2006/relationships/hyperlink" Target="https://auction.ikco.ir/auction/details/34?r=446" TargetMode="External"/><Relationship Id="rId352" Type="http://schemas.openxmlformats.org/officeDocument/2006/relationships/hyperlink" Target="https://auction.ikco.ir/auction/details/34?r=296" TargetMode="External"/><Relationship Id="rId1287" Type="http://schemas.openxmlformats.org/officeDocument/2006/relationships/hyperlink" Target="javascript:void(0)" TargetMode="External"/><Relationship Id="rId212" Type="http://schemas.openxmlformats.org/officeDocument/2006/relationships/hyperlink" Target="https://auction.ikco.ir/auction/details/34?r=376" TargetMode="External"/><Relationship Id="rId657" Type="http://schemas.openxmlformats.org/officeDocument/2006/relationships/hyperlink" Target="javascript:void(0)" TargetMode="External"/><Relationship Id="rId864" Type="http://schemas.openxmlformats.org/officeDocument/2006/relationships/hyperlink" Target="https://auction.ikco.ir/auction/details/34?r=196" TargetMode="External"/><Relationship Id="rId1494" Type="http://schemas.openxmlformats.org/officeDocument/2006/relationships/hyperlink" Target="https://auction.ikco.ir/auction/details/34?r=94" TargetMode="External"/><Relationship Id="rId517" Type="http://schemas.openxmlformats.org/officeDocument/2006/relationships/hyperlink" Target="https://auction.ikco.ir/auction/details/34?r=503" TargetMode="External"/><Relationship Id="rId724" Type="http://schemas.openxmlformats.org/officeDocument/2006/relationships/hyperlink" Target="javascript:void(0)" TargetMode="External"/><Relationship Id="rId931" Type="http://schemas.openxmlformats.org/officeDocument/2006/relationships/hyperlink" Target="javascript:void(0)" TargetMode="External"/><Relationship Id="rId1147" Type="http://schemas.openxmlformats.org/officeDocument/2006/relationships/hyperlink" Target="https://auction.ikco.ir/auction/details/34?r=221" TargetMode="External"/><Relationship Id="rId1354" Type="http://schemas.openxmlformats.org/officeDocument/2006/relationships/hyperlink" Target="https://auction.ikco.ir/auction/details/34?r=272" TargetMode="External"/><Relationship Id="rId1561" Type="http://schemas.openxmlformats.org/officeDocument/2006/relationships/hyperlink" Target="https://auction.ikco.ir/auction/details/34?r=264" TargetMode="External"/><Relationship Id="rId60" Type="http://schemas.openxmlformats.org/officeDocument/2006/relationships/hyperlink" Target="javascript:void(0)" TargetMode="External"/><Relationship Id="rId1007" Type="http://schemas.openxmlformats.org/officeDocument/2006/relationships/hyperlink" Target="https://auction.ikco.ir/auction/details/34?r=111" TargetMode="External"/><Relationship Id="rId1214" Type="http://schemas.openxmlformats.org/officeDocument/2006/relationships/hyperlink" Target="https://auction.ikco.ir/auction/details/34?r=333" TargetMode="External"/><Relationship Id="rId1421" Type="http://schemas.openxmlformats.org/officeDocument/2006/relationships/hyperlink" Target="javascript:void(0)" TargetMode="External"/><Relationship Id="rId1659" Type="http://schemas.openxmlformats.org/officeDocument/2006/relationships/hyperlink" Target="https://auction.ikco.ir/auction/details/34?r=85" TargetMode="External"/><Relationship Id="rId1519" Type="http://schemas.openxmlformats.org/officeDocument/2006/relationships/hyperlink" Target="https://auction.ikco.ir/auction/details/34?r=77" TargetMode="External"/><Relationship Id="rId18" Type="http://schemas.openxmlformats.org/officeDocument/2006/relationships/hyperlink" Target="javascript:void(0)" TargetMode="External"/><Relationship Id="rId167" Type="http://schemas.openxmlformats.org/officeDocument/2006/relationships/hyperlink" Target="https://auction.ikco.ir/auction/details/34?r=449" TargetMode="External"/><Relationship Id="rId374" Type="http://schemas.openxmlformats.org/officeDocument/2006/relationships/hyperlink" Target="javascript:void(0)" TargetMode="External"/><Relationship Id="rId581" Type="http://schemas.openxmlformats.org/officeDocument/2006/relationships/hyperlink" Target="javascript:void(0)" TargetMode="External"/><Relationship Id="rId234" Type="http://schemas.openxmlformats.org/officeDocument/2006/relationships/hyperlink" Target="javascript:void(0)" TargetMode="External"/><Relationship Id="rId679" Type="http://schemas.openxmlformats.org/officeDocument/2006/relationships/hyperlink" Target="javascript:void(0)" TargetMode="External"/><Relationship Id="rId886" Type="http://schemas.openxmlformats.org/officeDocument/2006/relationships/hyperlink" Target="javascript:void(0)" TargetMode="External"/><Relationship Id="rId2" Type="http://schemas.openxmlformats.org/officeDocument/2006/relationships/hyperlink" Target="https://auction.ikco.ir/auction/details/34?r=407" TargetMode="External"/><Relationship Id="rId441" Type="http://schemas.openxmlformats.org/officeDocument/2006/relationships/hyperlink" Target="https://auction.ikco.ir/auction/details/34?r=319" TargetMode="External"/><Relationship Id="rId539" Type="http://schemas.openxmlformats.org/officeDocument/2006/relationships/hyperlink" Target="javascript:void(0)" TargetMode="External"/><Relationship Id="rId746" Type="http://schemas.openxmlformats.org/officeDocument/2006/relationships/hyperlink" Target="https://auction.ikco.ir/auction/details/34?r=192" TargetMode="External"/><Relationship Id="rId1071" Type="http://schemas.openxmlformats.org/officeDocument/2006/relationships/hyperlink" Target="javascript:void(0)" TargetMode="External"/><Relationship Id="rId1169" Type="http://schemas.openxmlformats.org/officeDocument/2006/relationships/hyperlink" Target="https://auction.ikco.ir/auction/details/34?r=47" TargetMode="External"/><Relationship Id="rId1376" Type="http://schemas.openxmlformats.org/officeDocument/2006/relationships/hyperlink" Target="javascript:void(0)" TargetMode="External"/><Relationship Id="rId1583" Type="http://schemas.openxmlformats.org/officeDocument/2006/relationships/hyperlink" Target="javascript:void(0)" TargetMode="External"/><Relationship Id="rId301" Type="http://schemas.openxmlformats.org/officeDocument/2006/relationships/hyperlink" Target="https://auction.ikco.ir/auction/details/34?r=261" TargetMode="External"/><Relationship Id="rId953" Type="http://schemas.openxmlformats.org/officeDocument/2006/relationships/hyperlink" Target="https://auction.ikco.ir/auction/details/34?r=509" TargetMode="External"/><Relationship Id="rId1029" Type="http://schemas.openxmlformats.org/officeDocument/2006/relationships/hyperlink" Target="javascript:void(0)" TargetMode="External"/><Relationship Id="rId1236" Type="http://schemas.openxmlformats.org/officeDocument/2006/relationships/hyperlink" Target="javascript:void(0)" TargetMode="External"/><Relationship Id="rId82" Type="http://schemas.openxmlformats.org/officeDocument/2006/relationships/hyperlink" Target="https://auction.ikco.ir/auction/details/34?r=452" TargetMode="External"/><Relationship Id="rId606" Type="http://schemas.openxmlformats.org/officeDocument/2006/relationships/hyperlink" Target="javascript:void(0)" TargetMode="External"/><Relationship Id="rId813" Type="http://schemas.openxmlformats.org/officeDocument/2006/relationships/hyperlink" Target="https://auction.ikco.ir/auction/details/34?r=124" TargetMode="External"/><Relationship Id="rId1443" Type="http://schemas.openxmlformats.org/officeDocument/2006/relationships/hyperlink" Target="https://auction.ikco.ir/auction/details/34?r=379" TargetMode="External"/><Relationship Id="rId1650" Type="http://schemas.openxmlformats.org/officeDocument/2006/relationships/hyperlink" Target="https://auction.ikco.ir/auction/details/34?r=194" TargetMode="External"/><Relationship Id="rId1303" Type="http://schemas.openxmlformats.org/officeDocument/2006/relationships/hyperlink" Target="https://auction.ikco.ir/auction/details/34?r=205" TargetMode="External"/><Relationship Id="rId1510" Type="http://schemas.openxmlformats.org/officeDocument/2006/relationships/hyperlink" Target="https://auction.ikco.ir/auction/details/34?r=367" TargetMode="External"/><Relationship Id="rId1608" Type="http://schemas.openxmlformats.org/officeDocument/2006/relationships/hyperlink" Target="https://auction.ikco.ir/auction/details/34?r=269" TargetMode="External"/><Relationship Id="rId189" Type="http://schemas.openxmlformats.org/officeDocument/2006/relationships/hyperlink" Target="javascript:void(0)" TargetMode="External"/><Relationship Id="rId396" Type="http://schemas.openxmlformats.org/officeDocument/2006/relationships/hyperlink" Target="https://auction.ikco.ir/auction/details/34?r=290" TargetMode="External"/><Relationship Id="rId256" Type="http://schemas.openxmlformats.org/officeDocument/2006/relationships/hyperlink" Target="https://auction.ikco.ir/auction/details/34?r=466" TargetMode="External"/><Relationship Id="rId463" Type="http://schemas.openxmlformats.org/officeDocument/2006/relationships/hyperlink" Target="https://auction.ikco.ir/auction/details/34?r=496" TargetMode="External"/><Relationship Id="rId670" Type="http://schemas.openxmlformats.org/officeDocument/2006/relationships/hyperlink" Target="javascript:void(0)" TargetMode="External"/><Relationship Id="rId1093" Type="http://schemas.openxmlformats.org/officeDocument/2006/relationships/hyperlink" Target="https://auction.ikco.ir/auction/details/34?r=362" TargetMode="External"/><Relationship Id="rId116" Type="http://schemas.openxmlformats.org/officeDocument/2006/relationships/hyperlink" Target="https://auction.ikco.ir/auction/details/34?r=410" TargetMode="External"/><Relationship Id="rId323" Type="http://schemas.openxmlformats.org/officeDocument/2006/relationships/hyperlink" Target="javascript:void(0)" TargetMode="External"/><Relationship Id="rId530" Type="http://schemas.openxmlformats.org/officeDocument/2006/relationships/hyperlink" Target="javascript:void(0)" TargetMode="External"/><Relationship Id="rId768" Type="http://schemas.openxmlformats.org/officeDocument/2006/relationships/hyperlink" Target="https://auction.ikco.ir/auction/details/34?r=17" TargetMode="External"/><Relationship Id="rId975" Type="http://schemas.openxmlformats.org/officeDocument/2006/relationships/hyperlink" Target="https://auction.ikco.ir/auction/details/34?r=213" TargetMode="External"/><Relationship Id="rId1160" Type="http://schemas.openxmlformats.org/officeDocument/2006/relationships/hyperlink" Target="https://auction.ikco.ir/auction/details/34?r=298" TargetMode="External"/><Relationship Id="rId1398" Type="http://schemas.openxmlformats.org/officeDocument/2006/relationships/hyperlink" Target="https://auction.ikco.ir/auction/details/34?r=164" TargetMode="External"/><Relationship Id="rId628" Type="http://schemas.openxmlformats.org/officeDocument/2006/relationships/hyperlink" Target="javascript:void(0)" TargetMode="External"/><Relationship Id="rId835" Type="http://schemas.openxmlformats.org/officeDocument/2006/relationships/hyperlink" Target="javascript:void(0)" TargetMode="External"/><Relationship Id="rId1258" Type="http://schemas.openxmlformats.org/officeDocument/2006/relationships/hyperlink" Target="https://auction.ikco.ir/auction/details/34?r=62" TargetMode="External"/><Relationship Id="rId1465" Type="http://schemas.openxmlformats.org/officeDocument/2006/relationships/hyperlink" Target="https://auction.ikco.ir/auction/details/34?r=344" TargetMode="External"/><Relationship Id="rId1672" Type="http://schemas.openxmlformats.org/officeDocument/2006/relationships/hyperlink" Target="javascript:void(0)" TargetMode="External"/><Relationship Id="rId1020" Type="http://schemas.openxmlformats.org/officeDocument/2006/relationships/hyperlink" Target="javascript:void(0)" TargetMode="External"/><Relationship Id="rId1118" Type="http://schemas.openxmlformats.org/officeDocument/2006/relationships/hyperlink" Target="https://auction.ikco.ir/auction/details/34?r=87" TargetMode="External"/><Relationship Id="rId1325" Type="http://schemas.openxmlformats.org/officeDocument/2006/relationships/hyperlink" Target="javascript:void(0)" TargetMode="External"/><Relationship Id="rId1532" Type="http://schemas.openxmlformats.org/officeDocument/2006/relationships/hyperlink" Target="javascript:void(0)" TargetMode="External"/><Relationship Id="rId902" Type="http://schemas.openxmlformats.org/officeDocument/2006/relationships/hyperlink" Target="https://auction.ikco.ir/auction/details/34?r=338" TargetMode="External"/><Relationship Id="rId31" Type="http://schemas.openxmlformats.org/officeDocument/2006/relationships/hyperlink" Target="https://auction.ikco.ir/auction/details/34?r=529" TargetMode="External"/><Relationship Id="rId180" Type="http://schemas.openxmlformats.org/officeDocument/2006/relationships/hyperlink" Target="javascript:void(0)" TargetMode="External"/><Relationship Id="rId278" Type="http://schemas.openxmlformats.org/officeDocument/2006/relationships/hyperlink" Target="https://auction.ikco.ir/auction/details/34?r=354" TargetMode="External"/><Relationship Id="rId485" Type="http://schemas.openxmlformats.org/officeDocument/2006/relationships/hyperlink" Target="javascript:void(0)" TargetMode="External"/><Relationship Id="rId692" Type="http://schemas.openxmlformats.org/officeDocument/2006/relationships/hyperlink" Target="javascript:void(0)" TargetMode="External"/><Relationship Id="rId138" Type="http://schemas.openxmlformats.org/officeDocument/2006/relationships/hyperlink" Target="javascript:void(0)" TargetMode="External"/><Relationship Id="rId345" Type="http://schemas.openxmlformats.org/officeDocument/2006/relationships/hyperlink" Target="https://auction.ikco.ir/auction/details/34?r=318" TargetMode="External"/><Relationship Id="rId552" Type="http://schemas.openxmlformats.org/officeDocument/2006/relationships/hyperlink" Target="https://auction.ikco.ir/auction/details/34?r=180" TargetMode="External"/><Relationship Id="rId997" Type="http://schemas.openxmlformats.org/officeDocument/2006/relationships/hyperlink" Target="https://auction.ikco.ir/auction/details/34?r=81" TargetMode="External"/><Relationship Id="rId1182" Type="http://schemas.openxmlformats.org/officeDocument/2006/relationships/hyperlink" Target="javascript:void(0)" TargetMode="External"/><Relationship Id="rId205" Type="http://schemas.openxmlformats.org/officeDocument/2006/relationships/hyperlink" Target="https://auction.ikco.ir/auction/details/34?r=463" TargetMode="External"/><Relationship Id="rId412" Type="http://schemas.openxmlformats.org/officeDocument/2006/relationships/hyperlink" Target="https://auction.ikco.ir/auction/details/34?r=498" TargetMode="External"/><Relationship Id="rId857" Type="http://schemas.openxmlformats.org/officeDocument/2006/relationships/hyperlink" Target="https://auction.ikco.ir/auction/details/34?r=182" TargetMode="External"/><Relationship Id="rId1042" Type="http://schemas.openxmlformats.org/officeDocument/2006/relationships/hyperlink" Target="https://auction.ikco.ir/auction/details/34?r=353" TargetMode="External"/><Relationship Id="rId1487" Type="http://schemas.openxmlformats.org/officeDocument/2006/relationships/hyperlink" Target="javascript:void(0)" TargetMode="External"/><Relationship Id="rId717" Type="http://schemas.openxmlformats.org/officeDocument/2006/relationships/hyperlink" Target="https://auction.ikco.ir/auction/details/34?r=84" TargetMode="External"/><Relationship Id="rId924" Type="http://schemas.openxmlformats.org/officeDocument/2006/relationships/hyperlink" Target="https://auction.ikco.ir/auction/details/34?r=126" TargetMode="External"/><Relationship Id="rId1347" Type="http://schemas.openxmlformats.org/officeDocument/2006/relationships/hyperlink" Target="https://auction.ikco.ir/auction/details/34?r=227" TargetMode="External"/><Relationship Id="rId1554" Type="http://schemas.openxmlformats.org/officeDocument/2006/relationships/hyperlink" Target="https://auction.ikco.ir/auction/details/34?r=242" TargetMode="External"/><Relationship Id="rId53" Type="http://schemas.openxmlformats.org/officeDocument/2006/relationships/hyperlink" Target="https://auction.ikco.ir/auction/details/34?r=474" TargetMode="External"/><Relationship Id="rId1207" Type="http://schemas.openxmlformats.org/officeDocument/2006/relationships/hyperlink" Target="https://auction.ikco.ir/auction/details/34?r=304" TargetMode="External"/><Relationship Id="rId1414" Type="http://schemas.openxmlformats.org/officeDocument/2006/relationships/hyperlink" Target="https://auction.ikco.ir/auction/details/34?r=216" TargetMode="External"/><Relationship Id="rId1621" Type="http://schemas.openxmlformats.org/officeDocument/2006/relationships/hyperlink" Target="javascript:void(0)" TargetMode="External"/><Relationship Id="rId367" Type="http://schemas.openxmlformats.org/officeDocument/2006/relationships/hyperlink" Target="https://auction.ikco.ir/auction/details/34?r=345" TargetMode="External"/><Relationship Id="rId574" Type="http://schemas.openxmlformats.org/officeDocument/2006/relationships/hyperlink" Target="https://auction.ikco.ir/auction/details/34?r=119" TargetMode="External"/><Relationship Id="rId227" Type="http://schemas.openxmlformats.org/officeDocument/2006/relationships/hyperlink" Target="https://auction.ikco.ir/auction/details/34?r=450" TargetMode="External"/><Relationship Id="rId781" Type="http://schemas.openxmlformats.org/officeDocument/2006/relationships/hyperlink" Target="javascript:void(0)" TargetMode="External"/><Relationship Id="rId879" Type="http://schemas.openxmlformats.org/officeDocument/2006/relationships/hyperlink" Target="https://auction.ikco.ir/auction/details/34?r=21" TargetMode="External"/><Relationship Id="rId434" Type="http://schemas.openxmlformats.org/officeDocument/2006/relationships/hyperlink" Target="javascript:void(0)" TargetMode="External"/><Relationship Id="rId641" Type="http://schemas.openxmlformats.org/officeDocument/2006/relationships/hyperlink" Target="javascript:void(0)" TargetMode="External"/><Relationship Id="rId739" Type="http://schemas.openxmlformats.org/officeDocument/2006/relationships/hyperlink" Target="javascript:void(0)" TargetMode="External"/><Relationship Id="rId1064" Type="http://schemas.openxmlformats.org/officeDocument/2006/relationships/hyperlink" Target="https://auction.ikco.ir/auction/details/34?r=100" TargetMode="External"/><Relationship Id="rId1271" Type="http://schemas.openxmlformats.org/officeDocument/2006/relationships/hyperlink" Target="https://auction.ikco.ir/auction/details/34?r=96" TargetMode="External"/><Relationship Id="rId1369" Type="http://schemas.openxmlformats.org/officeDocument/2006/relationships/hyperlink" Target="https://auction.ikco.ir/auction/details/34?r=29" TargetMode="External"/><Relationship Id="rId1576" Type="http://schemas.openxmlformats.org/officeDocument/2006/relationships/hyperlink" Target="https://auction.ikco.ir/auction/details/34?r=406" TargetMode="External"/><Relationship Id="rId501" Type="http://schemas.openxmlformats.org/officeDocument/2006/relationships/hyperlink" Target="https://auction.ikco.ir/auction/details/34?r=347" TargetMode="External"/><Relationship Id="rId946" Type="http://schemas.openxmlformats.org/officeDocument/2006/relationships/hyperlink" Target="javascript:void(0)" TargetMode="External"/><Relationship Id="rId1131" Type="http://schemas.openxmlformats.org/officeDocument/2006/relationships/hyperlink" Target="javascript:void(0)" TargetMode="External"/><Relationship Id="rId1229" Type="http://schemas.openxmlformats.org/officeDocument/2006/relationships/hyperlink" Target="https://auction.ikco.ir/auction/details/34?r=24" TargetMode="External"/><Relationship Id="rId75" Type="http://schemas.openxmlformats.org/officeDocument/2006/relationships/hyperlink" Target="javascript:void(0)" TargetMode="External"/><Relationship Id="rId806" Type="http://schemas.openxmlformats.org/officeDocument/2006/relationships/hyperlink" Target="https://auction.ikco.ir/auction/details/34?r=44" TargetMode="External"/><Relationship Id="rId1436" Type="http://schemas.openxmlformats.org/officeDocument/2006/relationships/hyperlink" Target="javascript:void(0)" TargetMode="External"/><Relationship Id="rId1643" Type="http://schemas.openxmlformats.org/officeDocument/2006/relationships/hyperlink" Target="https://auction.ikco.ir/auction/details/34?r=456" TargetMode="External"/><Relationship Id="rId1503" Type="http://schemas.openxmlformats.org/officeDocument/2006/relationships/hyperlink" Target="https://auction.ikco.ir/auction/details/34?r=316" TargetMode="External"/><Relationship Id="rId291" Type="http://schemas.openxmlformats.org/officeDocument/2006/relationships/hyperlink" Target="javascript:void(0)" TargetMode="External"/><Relationship Id="rId151" Type="http://schemas.openxmlformats.org/officeDocument/2006/relationships/hyperlink" Target="https://auction.ikco.ir/auction/details/34?r=436" TargetMode="External"/><Relationship Id="rId389" Type="http://schemas.openxmlformats.org/officeDocument/2006/relationships/hyperlink" Target="javascript:void(0)" TargetMode="External"/><Relationship Id="rId596" Type="http://schemas.openxmlformats.org/officeDocument/2006/relationships/hyperlink" Target="javascript:void(0)" TargetMode="External"/><Relationship Id="rId249" Type="http://schemas.openxmlformats.org/officeDocument/2006/relationships/hyperlink" Target="javascript:void(0)" TargetMode="External"/><Relationship Id="rId456" Type="http://schemas.openxmlformats.org/officeDocument/2006/relationships/hyperlink" Target="https://auction.ikco.ir/auction/details/34?r=350" TargetMode="External"/><Relationship Id="rId663" Type="http://schemas.openxmlformats.org/officeDocument/2006/relationships/hyperlink" Target="javascript:void(0)" TargetMode="External"/><Relationship Id="rId870" Type="http://schemas.openxmlformats.org/officeDocument/2006/relationships/hyperlink" Target="https://auction.ikco.ir/auction/details/34?r=233" TargetMode="External"/><Relationship Id="rId1086" Type="http://schemas.openxmlformats.org/officeDocument/2006/relationships/hyperlink" Target="javascript:void(0)" TargetMode="External"/><Relationship Id="rId1293" Type="http://schemas.openxmlformats.org/officeDocument/2006/relationships/hyperlink" Target="javascript:void(0)" TargetMode="External"/><Relationship Id="rId109" Type="http://schemas.openxmlformats.org/officeDocument/2006/relationships/hyperlink" Target="https://auction.ikco.ir/auction/details/34?r=492" TargetMode="External"/><Relationship Id="rId316" Type="http://schemas.openxmlformats.org/officeDocument/2006/relationships/hyperlink" Target="https://auction.ikco.ir/auction/details/34?r=332" TargetMode="External"/><Relationship Id="rId523" Type="http://schemas.openxmlformats.org/officeDocument/2006/relationships/hyperlink" Target="https://auction.ikco.ir/auction/details/34?r=30" TargetMode="External"/><Relationship Id="rId968" Type="http://schemas.openxmlformats.org/officeDocument/2006/relationships/hyperlink" Target="https://auction.ikco.ir/auction/details/34?r=76" TargetMode="External"/><Relationship Id="rId1153" Type="http://schemas.openxmlformats.org/officeDocument/2006/relationships/hyperlink" Target="https://auction.ikco.ir/auction/details/34?r=225" TargetMode="External"/><Relationship Id="rId1598" Type="http://schemas.openxmlformats.org/officeDocument/2006/relationships/hyperlink" Target="https://auction.ikco.ir/auction/details/34?r=122" TargetMode="External"/><Relationship Id="rId97" Type="http://schemas.openxmlformats.org/officeDocument/2006/relationships/hyperlink" Target="https://auction.ikco.ir/auction/details/34?r=462" TargetMode="External"/><Relationship Id="rId730" Type="http://schemas.openxmlformats.org/officeDocument/2006/relationships/hyperlink" Target="javascript:void(0)" TargetMode="External"/><Relationship Id="rId828" Type="http://schemas.openxmlformats.org/officeDocument/2006/relationships/hyperlink" Target="https://auction.ikco.ir/auction/details/34?r=161" TargetMode="External"/><Relationship Id="rId1013" Type="http://schemas.openxmlformats.org/officeDocument/2006/relationships/hyperlink" Target="https://auction.ikco.ir/auction/details/34?r=144" TargetMode="External"/><Relationship Id="rId1360" Type="http://schemas.openxmlformats.org/officeDocument/2006/relationships/hyperlink" Target="https://auction.ikco.ir/auction/details/34?r=334" TargetMode="External"/><Relationship Id="rId1458" Type="http://schemas.openxmlformats.org/officeDocument/2006/relationships/hyperlink" Target="https://auction.ikco.ir/auction/details/34?r=210" TargetMode="External"/><Relationship Id="rId1665" Type="http://schemas.openxmlformats.org/officeDocument/2006/relationships/hyperlink" Target="https://auction.ikco.ir/auction/details/34?r=515" TargetMode="External"/><Relationship Id="rId1220" Type="http://schemas.openxmlformats.org/officeDocument/2006/relationships/hyperlink" Target="https://auction.ikco.ir/auction/details/34?r=6" TargetMode="External"/><Relationship Id="rId1318" Type="http://schemas.openxmlformats.org/officeDocument/2006/relationships/hyperlink" Target="https://auction.ikco.ir/auction/details/34?r=65" TargetMode="External"/><Relationship Id="rId1525" Type="http://schemas.openxmlformats.org/officeDocument/2006/relationships/hyperlink" Target="https://auction.ikco.ir/auction/details/34?r=171" TargetMode="External"/><Relationship Id="rId24" Type="http://schemas.openxmlformats.org/officeDocument/2006/relationships/hyperlink" Target="javascript:void(0)" TargetMode="External"/><Relationship Id="rId173" Type="http://schemas.openxmlformats.org/officeDocument/2006/relationships/hyperlink" Target="https://auction.ikco.ir/auction/details/34?r=417" TargetMode="External"/><Relationship Id="rId380" Type="http://schemas.openxmlformats.org/officeDocument/2006/relationships/hyperlink" Target="javascript:void(0)" TargetMode="External"/><Relationship Id="rId240" Type="http://schemas.openxmlformats.org/officeDocument/2006/relationships/hyperlink" Target="javascript:void(0)" TargetMode="External"/><Relationship Id="rId478" Type="http://schemas.openxmlformats.org/officeDocument/2006/relationships/hyperlink" Target="https://auction.ikco.ir/auction/details/34?r=502" TargetMode="External"/><Relationship Id="rId685" Type="http://schemas.openxmlformats.org/officeDocument/2006/relationships/hyperlink" Target="javascript:void(0)" TargetMode="External"/><Relationship Id="rId892" Type="http://schemas.openxmlformats.org/officeDocument/2006/relationships/hyperlink" Target="javascript:void(0)" TargetMode="External"/><Relationship Id="rId100" Type="http://schemas.openxmlformats.org/officeDocument/2006/relationships/hyperlink" Target="https://auction.ikco.ir/auction/details/34?r=435" TargetMode="External"/><Relationship Id="rId338" Type="http://schemas.openxmlformats.org/officeDocument/2006/relationships/hyperlink" Target="javascript:void(0)" TargetMode="External"/><Relationship Id="rId545" Type="http://schemas.openxmlformats.org/officeDocument/2006/relationships/hyperlink" Target="javascript:void(0)" TargetMode="External"/><Relationship Id="rId752" Type="http://schemas.openxmlformats.org/officeDocument/2006/relationships/hyperlink" Target="https://auction.ikco.ir/auction/details/34?r=279" TargetMode="External"/><Relationship Id="rId1175" Type="http://schemas.openxmlformats.org/officeDocument/2006/relationships/hyperlink" Target="https://auction.ikco.ir/auction/details/34?r=74" TargetMode="External"/><Relationship Id="rId1382" Type="http://schemas.openxmlformats.org/officeDocument/2006/relationships/hyperlink" Target="javascript:void(0)" TargetMode="External"/><Relationship Id="rId405" Type="http://schemas.openxmlformats.org/officeDocument/2006/relationships/hyperlink" Target="https://auction.ikco.ir/auction/details/34?r=459" TargetMode="External"/><Relationship Id="rId612" Type="http://schemas.openxmlformats.org/officeDocument/2006/relationships/hyperlink" Target="javascript:void(0)" TargetMode="External"/><Relationship Id="rId1035" Type="http://schemas.openxmlformats.org/officeDocument/2006/relationships/hyperlink" Target="javascript:void(0)" TargetMode="External"/><Relationship Id="rId1242" Type="http://schemas.openxmlformats.org/officeDocument/2006/relationships/hyperlink" Target="javascript:void(0)" TargetMode="External"/><Relationship Id="rId1687" Type="http://schemas.openxmlformats.org/officeDocument/2006/relationships/printerSettings" Target="../printerSettings/printerSettings1.bin"/><Relationship Id="rId917" Type="http://schemas.openxmlformats.org/officeDocument/2006/relationships/hyperlink" Target="https://auction.ikco.ir/auction/details/34?r=115" TargetMode="External"/><Relationship Id="rId1102" Type="http://schemas.openxmlformats.org/officeDocument/2006/relationships/hyperlink" Target="https://auction.ikco.ir/auction/details/34?r=2" TargetMode="External"/><Relationship Id="rId1547" Type="http://schemas.openxmlformats.org/officeDocument/2006/relationships/hyperlink" Target="javascript:void(0)" TargetMode="External"/><Relationship Id="rId46" Type="http://schemas.openxmlformats.org/officeDocument/2006/relationships/hyperlink" Target="https://auction.ikco.ir/auction/details/34?r=524" TargetMode="External"/><Relationship Id="rId1407" Type="http://schemas.openxmlformats.org/officeDocument/2006/relationships/hyperlink" Target="https://auction.ikco.ir/auction/details/34?r=202" TargetMode="External"/><Relationship Id="rId1614" Type="http://schemas.openxmlformats.org/officeDocument/2006/relationships/hyperlink" Target="https://auction.ikco.ir/auction/details/34?r=241" TargetMode="External"/><Relationship Id="rId195" Type="http://schemas.openxmlformats.org/officeDocument/2006/relationships/hyperlink" Target="javascript:void(0)" TargetMode="External"/><Relationship Id="rId262" Type="http://schemas.openxmlformats.org/officeDocument/2006/relationships/hyperlink" Target="https://auction.ikco.ir/auction/details/34?r=401" TargetMode="External"/><Relationship Id="rId567" Type="http://schemas.openxmlformats.org/officeDocument/2006/relationships/hyperlink" Target="https://auction.ikco.ir/auction/details/34?r=258" TargetMode="External"/><Relationship Id="rId1197" Type="http://schemas.openxmlformats.org/officeDocument/2006/relationships/hyperlink" Target="javascript:void(0)" TargetMode="External"/><Relationship Id="rId122" Type="http://schemas.openxmlformats.org/officeDocument/2006/relationships/hyperlink" Target="https://auction.ikco.ir/auction/details/34?r=475" TargetMode="External"/><Relationship Id="rId774" Type="http://schemas.openxmlformats.org/officeDocument/2006/relationships/hyperlink" Target="https://auction.ikco.ir/auction/details/34?r=199" TargetMode="External"/><Relationship Id="rId981" Type="http://schemas.openxmlformats.org/officeDocument/2006/relationships/hyperlink" Target="https://auction.ikco.ir/auction/details/34?r=267" TargetMode="External"/><Relationship Id="rId1057" Type="http://schemas.openxmlformats.org/officeDocument/2006/relationships/hyperlink" Target="https://auction.ikco.ir/auction/details/34?r=86" TargetMode="External"/><Relationship Id="rId427" Type="http://schemas.openxmlformats.org/officeDocument/2006/relationships/hyperlink" Target="https://auction.ikco.ir/auction/details/34?r=309" TargetMode="External"/><Relationship Id="rId634" Type="http://schemas.openxmlformats.org/officeDocument/2006/relationships/hyperlink" Target="javascript:void(0)" TargetMode="External"/><Relationship Id="rId841" Type="http://schemas.openxmlformats.org/officeDocument/2006/relationships/hyperlink" Target="javascript:void(0)" TargetMode="External"/><Relationship Id="rId1264" Type="http://schemas.openxmlformats.org/officeDocument/2006/relationships/hyperlink" Target="https://auction.ikco.ir/auction/details/34?r=69" TargetMode="External"/><Relationship Id="rId1471" Type="http://schemas.openxmlformats.org/officeDocument/2006/relationships/hyperlink" Target="https://auction.ikco.ir/auction/details/34?r=392" TargetMode="External"/><Relationship Id="rId1569" Type="http://schemas.openxmlformats.org/officeDocument/2006/relationships/hyperlink" Target="https://auction.ikco.ir/auction/details/34?r=368" TargetMode="External"/><Relationship Id="rId701" Type="http://schemas.openxmlformats.org/officeDocument/2006/relationships/hyperlink" Target="https://auction.ikco.ir/auction/details/34?r=308" TargetMode="External"/><Relationship Id="rId939" Type="http://schemas.openxmlformats.org/officeDocument/2006/relationships/hyperlink" Target="https://auction.ikco.ir/auction/details/34?r=226" TargetMode="External"/><Relationship Id="rId1124" Type="http://schemas.openxmlformats.org/officeDocument/2006/relationships/hyperlink" Target="https://auction.ikco.ir/auction/details/34?r=93" TargetMode="External"/><Relationship Id="rId1331" Type="http://schemas.openxmlformats.org/officeDocument/2006/relationships/hyperlink" Target="javascript:void(0)" TargetMode="External"/><Relationship Id="rId68" Type="http://schemas.openxmlformats.org/officeDocument/2006/relationships/hyperlink" Target="https://auction.ikco.ir/auction/details/34?r=442" TargetMode="External"/><Relationship Id="rId1429" Type="http://schemas.openxmlformats.org/officeDocument/2006/relationships/hyperlink" Target="https://auction.ikco.ir/auction/details/34?r=301" TargetMode="External"/><Relationship Id="rId1636" Type="http://schemas.openxmlformats.org/officeDocument/2006/relationships/hyperlink" Target="javascript:void(0)" TargetMode="External"/><Relationship Id="rId284" Type="http://schemas.openxmlformats.org/officeDocument/2006/relationships/hyperlink" Target="https://auction.ikco.ir/auction/details/34?r=313" TargetMode="External"/><Relationship Id="rId491" Type="http://schemas.openxmlformats.org/officeDocument/2006/relationships/hyperlink" Target="javascript:void(0)" TargetMode="External"/><Relationship Id="rId144" Type="http://schemas.openxmlformats.org/officeDocument/2006/relationships/hyperlink" Target="javascript:void(0)" TargetMode="External"/><Relationship Id="rId589" Type="http://schemas.openxmlformats.org/officeDocument/2006/relationships/hyperlink" Target="https://auction.ikco.ir/auction/details/34?r=235" TargetMode="External"/><Relationship Id="rId796" Type="http://schemas.openxmlformats.org/officeDocument/2006/relationships/hyperlink" Target="javascript:void(0)" TargetMode="External"/><Relationship Id="rId351" Type="http://schemas.openxmlformats.org/officeDocument/2006/relationships/hyperlink" Target="https://auction.ikco.ir/auction/details/34?r=296" TargetMode="External"/><Relationship Id="rId449" Type="http://schemas.openxmlformats.org/officeDocument/2006/relationships/hyperlink" Target="javascript:void(0)" TargetMode="External"/><Relationship Id="rId656" Type="http://schemas.openxmlformats.org/officeDocument/2006/relationships/hyperlink" Target="javascript:void(0)" TargetMode="External"/><Relationship Id="rId863" Type="http://schemas.openxmlformats.org/officeDocument/2006/relationships/hyperlink" Target="https://auction.ikco.ir/auction/details/34?r=196" TargetMode="External"/><Relationship Id="rId1079" Type="http://schemas.openxmlformats.org/officeDocument/2006/relationships/hyperlink" Target="https://auction.ikco.ir/auction/details/34?r=172" TargetMode="External"/><Relationship Id="rId1286" Type="http://schemas.openxmlformats.org/officeDocument/2006/relationships/hyperlink" Target="https://auction.ikco.ir/auction/details/34?r=130" TargetMode="External"/><Relationship Id="rId1493" Type="http://schemas.openxmlformats.org/officeDocument/2006/relationships/hyperlink" Target="javascript:void(0)" TargetMode="External"/><Relationship Id="rId211" Type="http://schemas.openxmlformats.org/officeDocument/2006/relationships/hyperlink" Target="https://auction.ikco.ir/auction/details/34?r=376" TargetMode="External"/><Relationship Id="rId309" Type="http://schemas.openxmlformats.org/officeDocument/2006/relationships/hyperlink" Target="https://auction.ikco.ir/auction/details/34?r=382" TargetMode="External"/><Relationship Id="rId516" Type="http://schemas.openxmlformats.org/officeDocument/2006/relationships/hyperlink" Target="https://auction.ikco.ir/auction/details/34?r=503" TargetMode="External"/><Relationship Id="rId1146" Type="http://schemas.openxmlformats.org/officeDocument/2006/relationships/hyperlink" Target="javascript:void(0)" TargetMode="External"/><Relationship Id="rId723" Type="http://schemas.openxmlformats.org/officeDocument/2006/relationships/hyperlink" Target="https://auction.ikco.ir/auction/details/34?r=11" TargetMode="External"/><Relationship Id="rId930" Type="http://schemas.openxmlformats.org/officeDocument/2006/relationships/hyperlink" Target="https://auction.ikco.ir/auction/details/34?r=159" TargetMode="External"/><Relationship Id="rId1006" Type="http://schemas.openxmlformats.org/officeDocument/2006/relationships/hyperlink" Target="https://auction.ikco.ir/auction/details/34?r=111" TargetMode="External"/><Relationship Id="rId1353" Type="http://schemas.openxmlformats.org/officeDocument/2006/relationships/hyperlink" Target="https://auction.ikco.ir/auction/details/34?r=272" TargetMode="External"/><Relationship Id="rId1560" Type="http://schemas.openxmlformats.org/officeDocument/2006/relationships/hyperlink" Target="https://auction.ikco.ir/auction/details/34?r=264" TargetMode="External"/><Relationship Id="rId1658" Type="http://schemas.openxmlformats.org/officeDocument/2006/relationships/hyperlink" Target="https://auction.ikco.ir/auction/details/34?r=85" TargetMode="External"/><Relationship Id="rId1213" Type="http://schemas.openxmlformats.org/officeDocument/2006/relationships/hyperlink" Target="https://auction.ikco.ir/auction/details/34?r=333" TargetMode="External"/><Relationship Id="rId1420" Type="http://schemas.openxmlformats.org/officeDocument/2006/relationships/hyperlink" Target="https://auction.ikco.ir/auction/details/34?r=229" TargetMode="External"/><Relationship Id="rId1518" Type="http://schemas.openxmlformats.org/officeDocument/2006/relationships/hyperlink" Target="https://auction.ikco.ir/auction/details/34?r=77" TargetMode="External"/><Relationship Id="rId17" Type="http://schemas.openxmlformats.org/officeDocument/2006/relationships/hyperlink" Target="https://auction.ikco.ir/auction/details/34?r=469" TargetMode="External"/><Relationship Id="rId166" Type="http://schemas.openxmlformats.org/officeDocument/2006/relationships/hyperlink" Target="https://auction.ikco.ir/auction/details/34?r=449" TargetMode="External"/><Relationship Id="rId373" Type="http://schemas.openxmlformats.org/officeDocument/2006/relationships/hyperlink" Target="https://auction.ikco.ir/auction/details/34?r=460" TargetMode="External"/><Relationship Id="rId580" Type="http://schemas.openxmlformats.org/officeDocument/2006/relationships/hyperlink" Target="https://auction.ikco.ir/auction/details/34?r=177" TargetMode="External"/><Relationship Id="rId1" Type="http://schemas.openxmlformats.org/officeDocument/2006/relationships/hyperlink" Target="https://auction.ikco.ir/auction/details/34?r=407" TargetMode="External"/><Relationship Id="rId233" Type="http://schemas.openxmlformats.org/officeDocument/2006/relationships/hyperlink" Target="https://auction.ikco.ir/auction/details/34?r=441" TargetMode="External"/><Relationship Id="rId440" Type="http://schemas.openxmlformats.org/officeDocument/2006/relationships/hyperlink" Target="javascript:void(0)" TargetMode="External"/><Relationship Id="rId678" Type="http://schemas.openxmlformats.org/officeDocument/2006/relationships/hyperlink" Target="javascript:void(0)" TargetMode="External"/><Relationship Id="rId885" Type="http://schemas.openxmlformats.org/officeDocument/2006/relationships/hyperlink" Target="https://auction.ikco.ir/auction/details/34?r=79" TargetMode="External"/><Relationship Id="rId1070" Type="http://schemas.openxmlformats.org/officeDocument/2006/relationships/hyperlink" Target="https://auction.ikco.ir/auction/details/34?r=105" TargetMode="External"/><Relationship Id="rId300" Type="http://schemas.openxmlformats.org/officeDocument/2006/relationships/hyperlink" Target="https://auction.ikco.ir/auction/details/34?r=261" TargetMode="External"/><Relationship Id="rId538" Type="http://schemas.openxmlformats.org/officeDocument/2006/relationships/hyperlink" Target="https://auction.ikco.ir/auction/details/34?r=336" TargetMode="External"/><Relationship Id="rId745" Type="http://schemas.openxmlformats.org/officeDocument/2006/relationships/hyperlink" Target="javascript:void(0)" TargetMode="External"/><Relationship Id="rId952" Type="http://schemas.openxmlformats.org/officeDocument/2006/relationships/hyperlink" Target="javascript:void(0)" TargetMode="External"/><Relationship Id="rId1168" Type="http://schemas.openxmlformats.org/officeDocument/2006/relationships/hyperlink" Target="https://auction.ikco.ir/auction/details/34?r=47" TargetMode="External"/><Relationship Id="rId1375" Type="http://schemas.openxmlformats.org/officeDocument/2006/relationships/hyperlink" Target="https://auction.ikco.ir/auction/details/34?r=37" TargetMode="External"/><Relationship Id="rId1582" Type="http://schemas.openxmlformats.org/officeDocument/2006/relationships/hyperlink" Target="https://auction.ikco.ir/auction/details/34?r=83" TargetMode="External"/><Relationship Id="rId81" Type="http://schemas.openxmlformats.org/officeDocument/2006/relationships/hyperlink" Target="javascript:void(0)" TargetMode="External"/><Relationship Id="rId605" Type="http://schemas.openxmlformats.org/officeDocument/2006/relationships/hyperlink" Target="javascript:void(0)" TargetMode="External"/><Relationship Id="rId812" Type="http://schemas.openxmlformats.org/officeDocument/2006/relationships/hyperlink" Target="https://auction.ikco.ir/auction/details/34?r=124" TargetMode="External"/><Relationship Id="rId1028" Type="http://schemas.openxmlformats.org/officeDocument/2006/relationships/hyperlink" Target="https://auction.ikco.ir/auction/details/34?r=211" TargetMode="External"/><Relationship Id="rId1235" Type="http://schemas.openxmlformats.org/officeDocument/2006/relationships/hyperlink" Target="https://auction.ikco.ir/auction/details/34?r=27" TargetMode="External"/><Relationship Id="rId1442" Type="http://schemas.openxmlformats.org/officeDocument/2006/relationships/hyperlink" Target="javascript:void(0)" TargetMode="External"/><Relationship Id="rId1302" Type="http://schemas.openxmlformats.org/officeDocument/2006/relationships/hyperlink" Target="https://auction.ikco.ir/auction/details/34?r=205" TargetMode="External"/><Relationship Id="rId39" Type="http://schemas.openxmlformats.org/officeDocument/2006/relationships/hyperlink" Target="javascript:void(0)" TargetMode="External"/><Relationship Id="rId1607" Type="http://schemas.openxmlformats.org/officeDocument/2006/relationships/hyperlink" Target="https://auction.ikco.ir/auction/details/34?r=269" TargetMode="External"/><Relationship Id="rId188" Type="http://schemas.openxmlformats.org/officeDocument/2006/relationships/hyperlink" Target="https://auction.ikco.ir/auction/details/34?r=228" TargetMode="External"/><Relationship Id="rId395" Type="http://schemas.openxmlformats.org/officeDocument/2006/relationships/hyperlink" Target="javascript:void(0)" TargetMode="External"/><Relationship Id="rId255" Type="http://schemas.openxmlformats.org/officeDocument/2006/relationships/hyperlink" Target="javascript:void(0)" TargetMode="External"/><Relationship Id="rId462" Type="http://schemas.openxmlformats.org/officeDocument/2006/relationships/hyperlink" Target="https://auction.ikco.ir/auction/details/34?r=496" TargetMode="External"/><Relationship Id="rId1092" Type="http://schemas.openxmlformats.org/officeDocument/2006/relationships/hyperlink" Target="javascript:void(0)" TargetMode="External"/><Relationship Id="rId1397" Type="http://schemas.openxmlformats.org/officeDocument/2006/relationships/hyperlink" Target="javascript:void(0)" TargetMode="External"/><Relationship Id="rId115" Type="http://schemas.openxmlformats.org/officeDocument/2006/relationships/hyperlink" Target="https://auction.ikco.ir/auction/details/34?r=410" TargetMode="External"/><Relationship Id="rId322" Type="http://schemas.openxmlformats.org/officeDocument/2006/relationships/hyperlink" Target="https://auction.ikco.ir/auction/details/34?r=311" TargetMode="External"/><Relationship Id="rId767" Type="http://schemas.openxmlformats.org/officeDocument/2006/relationships/hyperlink" Target="https://auction.ikco.ir/auction/details/34?r=17" TargetMode="External"/><Relationship Id="rId974" Type="http://schemas.openxmlformats.org/officeDocument/2006/relationships/hyperlink" Target="https://auction.ikco.ir/auction/details/34?r=213" TargetMode="External"/><Relationship Id="rId627" Type="http://schemas.openxmlformats.org/officeDocument/2006/relationships/hyperlink" Target="javascript:void(0)" TargetMode="External"/><Relationship Id="rId834" Type="http://schemas.openxmlformats.org/officeDocument/2006/relationships/hyperlink" Target="https://auction.ikco.ir/auction/details/34?r=206" TargetMode="External"/><Relationship Id="rId1257" Type="http://schemas.openxmlformats.org/officeDocument/2006/relationships/hyperlink" Target="javascript:void(0)" TargetMode="External"/><Relationship Id="rId1464" Type="http://schemas.openxmlformats.org/officeDocument/2006/relationships/hyperlink" Target="https://auction.ikco.ir/auction/details/34?r=344" TargetMode="External"/><Relationship Id="rId1671" Type="http://schemas.openxmlformats.org/officeDocument/2006/relationships/hyperlink" Target="https://auction.ikco.ir/auction/details/34?r=457" TargetMode="External"/><Relationship Id="rId901" Type="http://schemas.openxmlformats.org/officeDocument/2006/relationships/hyperlink" Target="javascript:void(0)" TargetMode="External"/><Relationship Id="rId1117" Type="http://schemas.openxmlformats.org/officeDocument/2006/relationships/hyperlink" Target="https://auction.ikco.ir/auction/details/34?r=87" TargetMode="External"/><Relationship Id="rId1324" Type="http://schemas.openxmlformats.org/officeDocument/2006/relationships/hyperlink" Target="https://auction.ikco.ir/auction/details/34?r=106" TargetMode="External"/><Relationship Id="rId1531" Type="http://schemas.openxmlformats.org/officeDocument/2006/relationships/hyperlink" Target="https://auction.ikco.ir/auction/details/34?r=259" TargetMode="External"/><Relationship Id="rId30" Type="http://schemas.openxmlformats.org/officeDocument/2006/relationships/hyperlink" Target="javascript:void(0)" TargetMode="External"/><Relationship Id="rId1629" Type="http://schemas.openxmlformats.org/officeDocument/2006/relationships/hyperlink" Target="https://auction.ikco.ir/auction/details/34?r=416" TargetMode="External"/><Relationship Id="rId277" Type="http://schemas.openxmlformats.org/officeDocument/2006/relationships/hyperlink" Target="https://auction.ikco.ir/auction/details/34?r=354" TargetMode="External"/><Relationship Id="rId484" Type="http://schemas.openxmlformats.org/officeDocument/2006/relationships/hyperlink" Target="https://auction.ikco.ir/auction/details/34?r=276" TargetMode="External"/><Relationship Id="rId137" Type="http://schemas.openxmlformats.org/officeDocument/2006/relationships/hyperlink" Target="https://auction.ikco.ir/auction/details/34?r=421" TargetMode="External"/><Relationship Id="rId344" Type="http://schemas.openxmlformats.org/officeDocument/2006/relationships/hyperlink" Target="javascript:void(0)" TargetMode="External"/><Relationship Id="rId691" Type="http://schemas.openxmlformats.org/officeDocument/2006/relationships/hyperlink" Target="javascript:void(0)" TargetMode="External"/><Relationship Id="rId789" Type="http://schemas.openxmlformats.org/officeDocument/2006/relationships/hyperlink" Target="https://auction.ikco.ir/auction/details/34?r=158" TargetMode="External"/><Relationship Id="rId996" Type="http://schemas.openxmlformats.org/officeDocument/2006/relationships/hyperlink" Target="https://auction.ikco.ir/auction/details/34?r=71" TargetMode="External"/><Relationship Id="rId551" Type="http://schemas.openxmlformats.org/officeDocument/2006/relationships/hyperlink" Target="javascript:void(0)" TargetMode="External"/><Relationship Id="rId649" Type="http://schemas.openxmlformats.org/officeDocument/2006/relationships/hyperlink" Target="javascript:void(0)" TargetMode="External"/><Relationship Id="rId856" Type="http://schemas.openxmlformats.org/officeDocument/2006/relationships/hyperlink" Target="javascript:void(0)" TargetMode="External"/><Relationship Id="rId1181" Type="http://schemas.openxmlformats.org/officeDocument/2006/relationships/hyperlink" Target="https://auction.ikco.ir/auction/details/34?r=88" TargetMode="External"/><Relationship Id="rId1279" Type="http://schemas.openxmlformats.org/officeDocument/2006/relationships/hyperlink" Target="https://auction.ikco.ir/auction/details/34?r=116" TargetMode="External"/><Relationship Id="rId1486" Type="http://schemas.openxmlformats.org/officeDocument/2006/relationships/hyperlink" Target="https://auction.ikco.ir/auction/details/34?r=48" TargetMode="External"/><Relationship Id="rId204" Type="http://schemas.openxmlformats.org/officeDocument/2006/relationships/hyperlink" Target="javascript:void(0)" TargetMode="External"/><Relationship Id="rId411" Type="http://schemas.openxmlformats.org/officeDocument/2006/relationships/hyperlink" Target="https://auction.ikco.ir/auction/details/34?r=498" TargetMode="External"/><Relationship Id="rId509" Type="http://schemas.openxmlformats.org/officeDocument/2006/relationships/hyperlink" Target="javascript:void(0)" TargetMode="External"/><Relationship Id="rId1041" Type="http://schemas.openxmlformats.org/officeDocument/2006/relationships/hyperlink" Target="javascript:void(0)" TargetMode="External"/><Relationship Id="rId1139" Type="http://schemas.openxmlformats.org/officeDocument/2006/relationships/hyperlink" Target="https://auction.ikco.ir/auction/details/34?r=178" TargetMode="External"/><Relationship Id="rId1346" Type="http://schemas.openxmlformats.org/officeDocument/2006/relationships/hyperlink" Target="javascript:void(0)" TargetMode="External"/><Relationship Id="rId716" Type="http://schemas.openxmlformats.org/officeDocument/2006/relationships/hyperlink" Target="https://auction.ikco.ir/auction/details/34?r=84" TargetMode="External"/><Relationship Id="rId923" Type="http://schemas.openxmlformats.org/officeDocument/2006/relationships/hyperlink" Target="https://auction.ikco.ir/auction/details/34?r=126" TargetMode="External"/><Relationship Id="rId1553" Type="http://schemas.openxmlformats.org/officeDocument/2006/relationships/hyperlink" Target="javascript:void(0)" TargetMode="External"/><Relationship Id="rId52" Type="http://schemas.openxmlformats.org/officeDocument/2006/relationships/hyperlink" Target="https://auction.ikco.ir/auction/details/34?r=474" TargetMode="External"/><Relationship Id="rId1206" Type="http://schemas.openxmlformats.org/officeDocument/2006/relationships/hyperlink" Target="javascript:void(0)" TargetMode="External"/><Relationship Id="rId1413" Type="http://schemas.openxmlformats.org/officeDocument/2006/relationships/hyperlink" Target="https://auction.ikco.ir/auction/details/34?r=216" TargetMode="External"/><Relationship Id="rId1620" Type="http://schemas.openxmlformats.org/officeDocument/2006/relationships/hyperlink" Target="https://auction.ikco.ir/auction/details/34?r=263" TargetMode="External"/><Relationship Id="rId299" Type="http://schemas.openxmlformats.org/officeDocument/2006/relationships/hyperlink" Target="https://auction.ikco.ir/auction/details/34?r=394" TargetMode="External"/><Relationship Id="rId159" Type="http://schemas.openxmlformats.org/officeDocument/2006/relationships/hyperlink" Target="javascript:void(0)" TargetMode="External"/><Relationship Id="rId366" Type="http://schemas.openxmlformats.org/officeDocument/2006/relationships/hyperlink" Target="https://auction.ikco.ir/auction/details/34?r=345" TargetMode="External"/><Relationship Id="rId573" Type="http://schemas.openxmlformats.org/officeDocument/2006/relationships/hyperlink" Target="https://auction.ikco.ir/auction/details/34?r=119" TargetMode="External"/><Relationship Id="rId780" Type="http://schemas.openxmlformats.org/officeDocument/2006/relationships/hyperlink" Target="https://auction.ikco.ir/auction/details/34?r=238" TargetMode="External"/><Relationship Id="rId226" Type="http://schemas.openxmlformats.org/officeDocument/2006/relationships/hyperlink" Target="https://auction.ikco.ir/auction/details/34?r=450" TargetMode="External"/><Relationship Id="rId433" Type="http://schemas.openxmlformats.org/officeDocument/2006/relationships/hyperlink" Target="https://auction.ikco.ir/auction/details/34?r=495" TargetMode="External"/><Relationship Id="rId878" Type="http://schemas.openxmlformats.org/officeDocument/2006/relationships/hyperlink" Target="https://auction.ikco.ir/auction/details/34?r=21" TargetMode="External"/><Relationship Id="rId1063" Type="http://schemas.openxmlformats.org/officeDocument/2006/relationships/hyperlink" Target="https://auction.ikco.ir/auction/details/34?r=100" TargetMode="External"/><Relationship Id="rId1270" Type="http://schemas.openxmlformats.org/officeDocument/2006/relationships/hyperlink" Target="https://auction.ikco.ir/auction/details/34?r=96" TargetMode="External"/><Relationship Id="rId640" Type="http://schemas.openxmlformats.org/officeDocument/2006/relationships/hyperlink" Target="javascript:void(0)" TargetMode="External"/><Relationship Id="rId738" Type="http://schemas.openxmlformats.org/officeDocument/2006/relationships/hyperlink" Target="https://auction.ikco.ir/auction/details/34?r=143" TargetMode="External"/><Relationship Id="rId945" Type="http://schemas.openxmlformats.org/officeDocument/2006/relationships/hyperlink" Target="https://auction.ikco.ir/auction/details/34?r=260" TargetMode="External"/><Relationship Id="rId1368" Type="http://schemas.openxmlformats.org/officeDocument/2006/relationships/hyperlink" Target="https://auction.ikco.ir/auction/details/34?r=29" TargetMode="External"/><Relationship Id="rId1575" Type="http://schemas.openxmlformats.org/officeDocument/2006/relationships/hyperlink" Target="https://auction.ikco.ir/auction/details/34?r=406" TargetMode="External"/><Relationship Id="rId74" Type="http://schemas.openxmlformats.org/officeDocument/2006/relationships/hyperlink" Target="https://auction.ikco.ir/auction/details/34?r=438" TargetMode="External"/><Relationship Id="rId500" Type="http://schemas.openxmlformats.org/officeDocument/2006/relationships/hyperlink" Target="javascript:void(0)" TargetMode="External"/><Relationship Id="rId805" Type="http://schemas.openxmlformats.org/officeDocument/2006/relationships/hyperlink" Target="javascript:void(0)" TargetMode="External"/><Relationship Id="rId1130" Type="http://schemas.openxmlformats.org/officeDocument/2006/relationships/hyperlink" Target="https://auction.ikco.ir/auction/details/34?r=138" TargetMode="External"/><Relationship Id="rId1228" Type="http://schemas.openxmlformats.org/officeDocument/2006/relationships/hyperlink" Target="https://auction.ikco.ir/auction/details/34?r=24" TargetMode="External"/><Relationship Id="rId1435" Type="http://schemas.openxmlformats.org/officeDocument/2006/relationships/hyperlink" Target="https://auction.ikco.ir/auction/details/34?r=335" TargetMode="External"/><Relationship Id="rId1642" Type="http://schemas.openxmlformats.org/officeDocument/2006/relationships/hyperlink" Target="javascript:void(0)" TargetMode="External"/><Relationship Id="rId1502" Type="http://schemas.openxmlformats.org/officeDocument/2006/relationships/hyperlink" Target="javascript:void(0)" TargetMode="External"/><Relationship Id="rId290" Type="http://schemas.openxmlformats.org/officeDocument/2006/relationships/hyperlink" Target="https://auction.ikco.ir/auction/details/34?r=300" TargetMode="External"/><Relationship Id="rId388" Type="http://schemas.openxmlformats.org/officeDocument/2006/relationships/hyperlink" Target="https://auction.ikco.ir/auction/details/34?r=340" TargetMode="External"/><Relationship Id="rId150" Type="http://schemas.openxmlformats.org/officeDocument/2006/relationships/hyperlink" Target="javascript:void(0)" TargetMode="External"/><Relationship Id="rId595" Type="http://schemas.openxmlformats.org/officeDocument/2006/relationships/hyperlink" Target="https://auction.ikco.ir/auction/details/34?r=302" TargetMode="External"/><Relationship Id="rId248" Type="http://schemas.openxmlformats.org/officeDocument/2006/relationships/hyperlink" Target="https://auction.ikco.ir/auction/details/34?r=404" TargetMode="External"/><Relationship Id="rId455" Type="http://schemas.openxmlformats.org/officeDocument/2006/relationships/hyperlink" Target="javascript:void(0)" TargetMode="External"/><Relationship Id="rId662" Type="http://schemas.openxmlformats.org/officeDocument/2006/relationships/hyperlink" Target="javascript:void(0)" TargetMode="External"/><Relationship Id="rId1085" Type="http://schemas.openxmlformats.org/officeDocument/2006/relationships/hyperlink" Target="https://auction.ikco.ir/auction/details/34?r=193" TargetMode="External"/><Relationship Id="rId1292" Type="http://schemas.openxmlformats.org/officeDocument/2006/relationships/hyperlink" Target="https://auction.ikco.ir/auction/details/34?r=133" TargetMode="External"/><Relationship Id="rId108" Type="http://schemas.openxmlformats.org/officeDocument/2006/relationships/hyperlink" Target="javascript:void(0)" TargetMode="External"/><Relationship Id="rId315" Type="http://schemas.openxmlformats.org/officeDocument/2006/relationships/hyperlink" Target="https://auction.ikco.ir/auction/details/34?r=332" TargetMode="External"/><Relationship Id="rId522" Type="http://schemas.openxmlformats.org/officeDocument/2006/relationships/hyperlink" Target="https://auction.ikco.ir/auction/details/34?r=30" TargetMode="External"/><Relationship Id="rId967" Type="http://schemas.openxmlformats.org/officeDocument/2006/relationships/hyperlink" Target="javascript:void(0)" TargetMode="External"/><Relationship Id="rId1152" Type="http://schemas.openxmlformats.org/officeDocument/2006/relationships/hyperlink" Target="javascript:void(0)" TargetMode="External"/><Relationship Id="rId1597" Type="http://schemas.openxmlformats.org/officeDocument/2006/relationships/hyperlink" Target="javascript:void(0)" TargetMode="External"/><Relationship Id="rId96" Type="http://schemas.openxmlformats.org/officeDocument/2006/relationships/hyperlink" Target="javascript:void(0)" TargetMode="External"/><Relationship Id="rId827" Type="http://schemas.openxmlformats.org/officeDocument/2006/relationships/hyperlink" Target="https://auction.ikco.ir/auction/details/34?r=161" TargetMode="External"/><Relationship Id="rId1012" Type="http://schemas.openxmlformats.org/officeDocument/2006/relationships/hyperlink" Target="https://auction.ikco.ir/auction/details/34?r=144" TargetMode="External"/><Relationship Id="rId1457" Type="http://schemas.openxmlformats.org/officeDocument/2006/relationships/hyperlink" Target="javascript:void(0)" TargetMode="External"/><Relationship Id="rId1664" Type="http://schemas.openxmlformats.org/officeDocument/2006/relationships/hyperlink" Target="https://auction.ikco.ir/auction/details/34?r=515" TargetMode="External"/><Relationship Id="rId1317" Type="http://schemas.openxmlformats.org/officeDocument/2006/relationships/hyperlink" Target="https://auction.ikco.ir/auction/details/34?r=65" TargetMode="External"/><Relationship Id="rId1524" Type="http://schemas.openxmlformats.org/officeDocument/2006/relationships/hyperlink" Target="https://auction.ikco.ir/auction/details/34?r=171" TargetMode="External"/><Relationship Id="rId23" Type="http://schemas.openxmlformats.org/officeDocument/2006/relationships/hyperlink" Target="https://auction.ikco.ir/auction/details/34?r=479" TargetMode="External"/><Relationship Id="rId172" Type="http://schemas.openxmlformats.org/officeDocument/2006/relationships/hyperlink" Target="https://auction.ikco.ir/auction/details/34?r=417" TargetMode="External"/><Relationship Id="rId477" Type="http://schemas.openxmlformats.org/officeDocument/2006/relationships/hyperlink" Target="https://auction.ikco.ir/auction/details/34?r=502" TargetMode="External"/><Relationship Id="rId684" Type="http://schemas.openxmlformats.org/officeDocument/2006/relationships/hyperlink" Target="javascript:void(0)" TargetMode="External"/><Relationship Id="rId337" Type="http://schemas.openxmlformats.org/officeDocument/2006/relationships/hyperlink" Target="https://auction.ikco.ir/auction/details/34?r=468" TargetMode="External"/><Relationship Id="rId891" Type="http://schemas.openxmlformats.org/officeDocument/2006/relationships/hyperlink" Target="https://auction.ikco.ir/auction/details/34?r=169" TargetMode="External"/><Relationship Id="rId989" Type="http://schemas.openxmlformats.org/officeDocument/2006/relationships/hyperlink" Target="https://auction.ikco.ir/auction/details/34?r=57" TargetMode="External"/><Relationship Id="rId544" Type="http://schemas.openxmlformats.org/officeDocument/2006/relationships/hyperlink" Target="https://auction.ikco.ir/auction/details/34?r=458" TargetMode="External"/><Relationship Id="rId751" Type="http://schemas.openxmlformats.org/officeDocument/2006/relationships/hyperlink" Target="javascript:void(0)" TargetMode="External"/><Relationship Id="rId849" Type="http://schemas.openxmlformats.org/officeDocument/2006/relationships/hyperlink" Target="https://auction.ikco.ir/auction/details/34?r=107" TargetMode="External"/><Relationship Id="rId1174" Type="http://schemas.openxmlformats.org/officeDocument/2006/relationships/hyperlink" Target="https://auction.ikco.ir/auction/details/34?r=74" TargetMode="External"/><Relationship Id="rId1381" Type="http://schemas.openxmlformats.org/officeDocument/2006/relationships/hyperlink" Target="https://auction.ikco.ir/auction/details/34?r=50" TargetMode="External"/><Relationship Id="rId1479" Type="http://schemas.openxmlformats.org/officeDocument/2006/relationships/hyperlink" Target="https://auction.ikco.ir/auction/details/34?r=8" TargetMode="External"/><Relationship Id="rId1686" Type="http://schemas.openxmlformats.org/officeDocument/2006/relationships/hyperlink" Target="https://auction.ikco.ir/auction/details/34?r=519" TargetMode="External"/><Relationship Id="rId404" Type="http://schemas.openxmlformats.org/officeDocument/2006/relationships/hyperlink" Target="javascript:void(0)" TargetMode="External"/><Relationship Id="rId611" Type="http://schemas.openxmlformats.org/officeDocument/2006/relationships/hyperlink" Target="javascript:void(0)" TargetMode="External"/><Relationship Id="rId1034" Type="http://schemas.openxmlformats.org/officeDocument/2006/relationships/hyperlink" Target="https://auction.ikco.ir/auction/details/34?r=219" TargetMode="External"/><Relationship Id="rId1241" Type="http://schemas.openxmlformats.org/officeDocument/2006/relationships/hyperlink" Target="https://auction.ikco.ir/auction/details/34?r=33" TargetMode="External"/><Relationship Id="rId1339" Type="http://schemas.openxmlformats.org/officeDocument/2006/relationships/hyperlink" Target="https://auction.ikco.ir/auction/details/34?r=174" TargetMode="External"/><Relationship Id="rId709" Type="http://schemas.openxmlformats.org/officeDocument/2006/relationships/hyperlink" Target="javascript:void(0)" TargetMode="External"/><Relationship Id="rId916" Type="http://schemas.openxmlformats.org/officeDocument/2006/relationships/hyperlink" Target="javascript:void(0)" TargetMode="External"/><Relationship Id="rId1101" Type="http://schemas.openxmlformats.org/officeDocument/2006/relationships/hyperlink" Target="javascript:void(0)" TargetMode="External"/><Relationship Id="rId1546" Type="http://schemas.openxmlformats.org/officeDocument/2006/relationships/hyperlink" Target="https://auction.ikco.ir/auction/details/34?r=136" TargetMode="External"/><Relationship Id="rId45" Type="http://schemas.openxmlformats.org/officeDocument/2006/relationships/hyperlink" Target="javascript:void(0)" TargetMode="External"/><Relationship Id="rId1406" Type="http://schemas.openxmlformats.org/officeDocument/2006/relationships/hyperlink" Target="javascript:void(0)" TargetMode="External"/><Relationship Id="rId1613" Type="http://schemas.openxmlformats.org/officeDocument/2006/relationships/hyperlink" Target="https://auction.ikco.ir/auction/details/34?r=241" TargetMode="External"/><Relationship Id="rId194" Type="http://schemas.openxmlformats.org/officeDocument/2006/relationships/hyperlink" Target="https://auction.ikco.ir/auction/details/34?r=370" TargetMode="External"/><Relationship Id="rId261" Type="http://schemas.openxmlformats.org/officeDocument/2006/relationships/hyperlink" Target="javascript:void(0)" TargetMode="External"/><Relationship Id="rId499" Type="http://schemas.openxmlformats.org/officeDocument/2006/relationships/hyperlink" Target="https://auction.ikco.ir/auction/details/34?r=499" TargetMode="External"/><Relationship Id="rId359" Type="http://schemas.openxmlformats.org/officeDocument/2006/relationships/hyperlink" Target="javascript:void(0)" TargetMode="External"/><Relationship Id="rId566" Type="http://schemas.openxmlformats.org/officeDocument/2006/relationships/hyperlink" Target="javascript:void(0)" TargetMode="External"/><Relationship Id="rId773" Type="http://schemas.openxmlformats.org/officeDocument/2006/relationships/hyperlink" Target="https://auction.ikco.ir/auction/details/34?r=199" TargetMode="External"/><Relationship Id="rId1196" Type="http://schemas.openxmlformats.org/officeDocument/2006/relationships/hyperlink" Target="https://auction.ikco.ir/auction/details/34?r=237" TargetMode="External"/><Relationship Id="rId121" Type="http://schemas.openxmlformats.org/officeDocument/2006/relationships/hyperlink" Target="https://auction.ikco.ir/auction/details/34?r=475" TargetMode="External"/><Relationship Id="rId219" Type="http://schemas.openxmlformats.org/officeDocument/2006/relationships/hyperlink" Target="javascript:void(0)" TargetMode="External"/><Relationship Id="rId426" Type="http://schemas.openxmlformats.org/officeDocument/2006/relationships/hyperlink" Target="https://auction.ikco.ir/auction/details/34?r=309" TargetMode="External"/><Relationship Id="rId633" Type="http://schemas.openxmlformats.org/officeDocument/2006/relationships/hyperlink" Target="javascript:void(0)" TargetMode="External"/><Relationship Id="rId980" Type="http://schemas.openxmlformats.org/officeDocument/2006/relationships/hyperlink" Target="https://auction.ikco.ir/auction/details/34?r=267" TargetMode="External"/><Relationship Id="rId1056" Type="http://schemas.openxmlformats.org/officeDocument/2006/relationships/hyperlink" Target="javascript:void(0)" TargetMode="External"/><Relationship Id="rId1263" Type="http://schemas.openxmlformats.org/officeDocument/2006/relationships/hyperlink" Target="javascript:void(0)" TargetMode="External"/><Relationship Id="rId840" Type="http://schemas.openxmlformats.org/officeDocument/2006/relationships/hyperlink" Target="https://auction.ikco.ir/auction/details/34?r=352" TargetMode="External"/><Relationship Id="rId938" Type="http://schemas.openxmlformats.org/officeDocument/2006/relationships/hyperlink" Target="https://auction.ikco.ir/auction/details/34?r=226" TargetMode="External"/><Relationship Id="rId1470" Type="http://schemas.openxmlformats.org/officeDocument/2006/relationships/hyperlink" Target="https://auction.ikco.ir/auction/details/34?r=392" TargetMode="External"/><Relationship Id="rId1568" Type="http://schemas.openxmlformats.org/officeDocument/2006/relationships/hyperlink" Target="javascript:void(0)" TargetMode="External"/><Relationship Id="rId67" Type="http://schemas.openxmlformats.org/officeDocument/2006/relationships/hyperlink" Target="https://auction.ikco.ir/auction/details/34?r=442" TargetMode="External"/><Relationship Id="rId700" Type="http://schemas.openxmlformats.org/officeDocument/2006/relationships/hyperlink" Target="javascript:void(0)" TargetMode="External"/><Relationship Id="rId1123" Type="http://schemas.openxmlformats.org/officeDocument/2006/relationships/hyperlink" Target="https://auction.ikco.ir/auction/details/34?r=93" TargetMode="External"/><Relationship Id="rId1330" Type="http://schemas.openxmlformats.org/officeDocument/2006/relationships/hyperlink" Target="https://auction.ikco.ir/auction/details/34?r=128" TargetMode="External"/><Relationship Id="rId1428" Type="http://schemas.openxmlformats.org/officeDocument/2006/relationships/hyperlink" Target="https://auction.ikco.ir/auction/details/34?r=301" TargetMode="External"/><Relationship Id="rId1635" Type="http://schemas.openxmlformats.org/officeDocument/2006/relationships/hyperlink" Target="https://auction.ikco.ir/auction/details/34?r=380" TargetMode="External"/><Relationship Id="rId283" Type="http://schemas.openxmlformats.org/officeDocument/2006/relationships/hyperlink" Target="https://auction.ikco.ir/auction/details/34?r=313" TargetMode="External"/><Relationship Id="rId490" Type="http://schemas.openxmlformats.org/officeDocument/2006/relationships/hyperlink" Target="https://auction.ikco.ir/auction/details/34?r=501" TargetMode="External"/><Relationship Id="rId143" Type="http://schemas.openxmlformats.org/officeDocument/2006/relationships/hyperlink" Target="https://auction.ikco.ir/auction/details/34?r=445" TargetMode="External"/><Relationship Id="rId350" Type="http://schemas.openxmlformats.org/officeDocument/2006/relationships/hyperlink" Target="javascript:void(0)" TargetMode="External"/><Relationship Id="rId588" Type="http://schemas.openxmlformats.org/officeDocument/2006/relationships/hyperlink" Target="https://auction.ikco.ir/auction/details/34?r=235" TargetMode="External"/><Relationship Id="rId795" Type="http://schemas.openxmlformats.org/officeDocument/2006/relationships/hyperlink" Target="https://auction.ikco.ir/auction/details/34?r=289" TargetMode="External"/><Relationship Id="rId9" Type="http://schemas.openxmlformats.org/officeDocument/2006/relationships/hyperlink" Target="javascript:void(0)" TargetMode="External"/><Relationship Id="rId210" Type="http://schemas.openxmlformats.org/officeDocument/2006/relationships/hyperlink" Target="javascript:void(0)" TargetMode="External"/><Relationship Id="rId448" Type="http://schemas.openxmlformats.org/officeDocument/2006/relationships/hyperlink" Target="https://auction.ikco.ir/auction/details/34?r=500" TargetMode="External"/><Relationship Id="rId655" Type="http://schemas.openxmlformats.org/officeDocument/2006/relationships/hyperlink" Target="javascript:void(0)" TargetMode="External"/><Relationship Id="rId862" Type="http://schemas.openxmlformats.org/officeDocument/2006/relationships/hyperlink" Target="javascript:void(0)" TargetMode="External"/><Relationship Id="rId1078" Type="http://schemas.openxmlformats.org/officeDocument/2006/relationships/hyperlink" Target="https://auction.ikco.ir/auction/details/34?r=172" TargetMode="External"/><Relationship Id="rId1285" Type="http://schemas.openxmlformats.org/officeDocument/2006/relationships/hyperlink" Target="https://auction.ikco.ir/auction/details/34?r=130" TargetMode="External"/><Relationship Id="rId1492" Type="http://schemas.openxmlformats.org/officeDocument/2006/relationships/hyperlink" Target="https://auction.ikco.ir/auction/details/34?r=58" TargetMode="External"/><Relationship Id="rId308" Type="http://schemas.openxmlformats.org/officeDocument/2006/relationships/hyperlink" Target="javascript:void(0)" TargetMode="External"/><Relationship Id="rId515" Type="http://schemas.openxmlformats.org/officeDocument/2006/relationships/hyperlink" Target="javascript:void(0)" TargetMode="External"/><Relationship Id="rId722" Type="http://schemas.openxmlformats.org/officeDocument/2006/relationships/hyperlink" Target="https://auction.ikco.ir/auction/details/34?r=11" TargetMode="External"/><Relationship Id="rId1145" Type="http://schemas.openxmlformats.org/officeDocument/2006/relationships/hyperlink" Target="https://auction.ikco.ir/auction/details/34?r=218" TargetMode="External"/><Relationship Id="rId1352" Type="http://schemas.openxmlformats.org/officeDocument/2006/relationships/hyperlink" Target="javascript:void(0)" TargetMode="External"/><Relationship Id="rId89" Type="http://schemas.openxmlformats.org/officeDocument/2006/relationships/hyperlink" Target="https://auction.ikco.ir/auction/details/34?r=476" TargetMode="External"/><Relationship Id="rId1005" Type="http://schemas.openxmlformats.org/officeDocument/2006/relationships/hyperlink" Target="javascript:void(0)" TargetMode="External"/><Relationship Id="rId1212" Type="http://schemas.openxmlformats.org/officeDocument/2006/relationships/hyperlink" Target="javascript:void(0)" TargetMode="External"/><Relationship Id="rId1657" Type="http://schemas.openxmlformats.org/officeDocument/2006/relationships/hyperlink" Target="javascript:void(0)" TargetMode="External"/><Relationship Id="rId1517" Type="http://schemas.openxmlformats.org/officeDocument/2006/relationships/hyperlink" Target="javascript:void(0)" TargetMode="External"/><Relationship Id="rId16" Type="http://schemas.openxmlformats.org/officeDocument/2006/relationships/hyperlink" Target="https://auction.ikco.ir/auction/details/34?r=469" TargetMode="External"/><Relationship Id="rId165" Type="http://schemas.openxmlformats.org/officeDocument/2006/relationships/hyperlink" Target="javascript:void(0)" TargetMode="External"/><Relationship Id="rId372" Type="http://schemas.openxmlformats.org/officeDocument/2006/relationships/hyperlink" Target="https://auction.ikco.ir/auction/details/34?r=460" TargetMode="External"/><Relationship Id="rId677" Type="http://schemas.openxmlformats.org/officeDocument/2006/relationships/hyperlink" Target="javascript:void(0)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A5ABB-2008-4CDD-92B8-06B7E2CC039C}">
  <sheetPr codeName="Sheet4"/>
  <dimension ref="A3:Y23"/>
  <sheetViews>
    <sheetView workbookViewId="0">
      <selection activeCell="B35" sqref="B35"/>
    </sheetView>
  </sheetViews>
  <sheetFormatPr defaultRowHeight="15" x14ac:dyDescent="0.25"/>
  <cols>
    <col min="1" max="1" width="14" bestFit="1" customWidth="1"/>
    <col min="2" max="2" width="16.28515625" bestFit="1" customWidth="1"/>
    <col min="3" max="3" width="12.5703125" bestFit="1" customWidth="1"/>
    <col min="4" max="4" width="15.5703125" bestFit="1" customWidth="1"/>
    <col min="5" max="5" width="12.5703125" bestFit="1" customWidth="1"/>
    <col min="6" max="6" width="15.5703125" bestFit="1" customWidth="1"/>
    <col min="7" max="7" width="12.5703125" bestFit="1" customWidth="1"/>
    <col min="8" max="8" width="15.5703125" bestFit="1" customWidth="1"/>
    <col min="9" max="9" width="12.5703125" bestFit="1" customWidth="1"/>
    <col min="10" max="10" width="15.5703125" bestFit="1" customWidth="1"/>
    <col min="11" max="11" width="12.5703125" bestFit="1" customWidth="1"/>
    <col min="12" max="12" width="15.5703125" bestFit="1" customWidth="1"/>
    <col min="13" max="13" width="12.5703125" bestFit="1" customWidth="1"/>
    <col min="14" max="14" width="15.5703125" bestFit="1" customWidth="1"/>
    <col min="15" max="15" width="14.28515625" bestFit="1" customWidth="1"/>
    <col min="16" max="16" width="15.5703125" bestFit="1" customWidth="1"/>
    <col min="17" max="17" width="14.28515625" bestFit="1" customWidth="1"/>
    <col min="18" max="18" width="15.5703125" bestFit="1" customWidth="1"/>
    <col min="19" max="19" width="12.5703125" bestFit="1" customWidth="1"/>
    <col min="20" max="20" width="15.5703125" bestFit="1" customWidth="1"/>
    <col min="21" max="21" width="12.5703125" bestFit="1" customWidth="1"/>
    <col min="22" max="22" width="15.5703125" bestFit="1" customWidth="1"/>
    <col min="23" max="23" width="12.5703125" bestFit="1" customWidth="1"/>
    <col min="24" max="24" width="20.5703125" bestFit="1" customWidth="1"/>
    <col min="25" max="25" width="17" bestFit="1" customWidth="1"/>
  </cols>
  <sheetData>
    <row r="3" spans="1:25" x14ac:dyDescent="0.25">
      <c r="B3" s="2" t="s">
        <v>0</v>
      </c>
    </row>
    <row r="4" spans="1:25" x14ac:dyDescent="0.25">
      <c r="B4" t="s">
        <v>1</v>
      </c>
      <c r="D4" t="s">
        <v>2</v>
      </c>
      <c r="F4" t="s">
        <v>3</v>
      </c>
      <c r="H4" t="s">
        <v>4</v>
      </c>
      <c r="J4" t="s">
        <v>5</v>
      </c>
      <c r="L4" t="s">
        <v>6</v>
      </c>
      <c r="N4" t="s">
        <v>7</v>
      </c>
      <c r="P4" t="s">
        <v>8</v>
      </c>
      <c r="R4" t="s">
        <v>9</v>
      </c>
      <c r="T4" t="s">
        <v>10</v>
      </c>
      <c r="V4" t="s">
        <v>11</v>
      </c>
      <c r="X4" t="s">
        <v>12</v>
      </c>
      <c r="Y4" t="s">
        <v>13</v>
      </c>
    </row>
    <row r="5" spans="1:25" x14ac:dyDescent="0.25">
      <c r="A5" s="2" t="s">
        <v>14</v>
      </c>
      <c r="B5" t="s">
        <v>15</v>
      </c>
      <c r="C5" t="s">
        <v>16</v>
      </c>
      <c r="D5" t="s">
        <v>15</v>
      </c>
      <c r="E5" t="s">
        <v>16</v>
      </c>
      <c r="F5" t="s">
        <v>15</v>
      </c>
      <c r="G5" t="s">
        <v>16</v>
      </c>
      <c r="H5" t="s">
        <v>15</v>
      </c>
      <c r="I5" t="s">
        <v>16</v>
      </c>
      <c r="J5" t="s">
        <v>15</v>
      </c>
      <c r="K5" t="s">
        <v>16</v>
      </c>
      <c r="L5" t="s">
        <v>15</v>
      </c>
      <c r="M5" t="s">
        <v>16</v>
      </c>
      <c r="N5" t="s">
        <v>15</v>
      </c>
      <c r="O5" t="s">
        <v>16</v>
      </c>
      <c r="P5" t="s">
        <v>15</v>
      </c>
      <c r="Q5" t="s">
        <v>16</v>
      </c>
      <c r="R5" t="s">
        <v>15</v>
      </c>
      <c r="S5" t="s">
        <v>16</v>
      </c>
      <c r="T5" t="s">
        <v>15</v>
      </c>
      <c r="U5" t="s">
        <v>16</v>
      </c>
      <c r="V5" t="s">
        <v>15</v>
      </c>
      <c r="W5" t="s">
        <v>16</v>
      </c>
    </row>
    <row r="6" spans="1:25" x14ac:dyDescent="0.25">
      <c r="A6" s="3" t="s">
        <v>17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>
        <v>408500000</v>
      </c>
      <c r="O6" s="7">
        <v>1634000000</v>
      </c>
      <c r="P6" s="7">
        <v>401000000</v>
      </c>
      <c r="Q6" s="7">
        <v>401000000</v>
      </c>
      <c r="R6" s="7">
        <v>402500000</v>
      </c>
      <c r="S6" s="7">
        <v>402500000</v>
      </c>
      <c r="T6" s="7"/>
      <c r="U6" s="7"/>
      <c r="V6" s="7">
        <v>415000000</v>
      </c>
      <c r="W6" s="7">
        <v>415000000</v>
      </c>
      <c r="X6" s="7">
        <v>407500000</v>
      </c>
      <c r="Y6" s="7">
        <v>2852500000</v>
      </c>
    </row>
    <row r="7" spans="1:25" x14ac:dyDescent="0.25">
      <c r="A7" s="4" t="s">
        <v>18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>
        <v>413500000</v>
      </c>
      <c r="O7" s="7">
        <v>413500000</v>
      </c>
      <c r="P7" s="7"/>
      <c r="Q7" s="7"/>
      <c r="R7" s="7"/>
      <c r="S7" s="7"/>
      <c r="T7" s="7"/>
      <c r="U7" s="7"/>
      <c r="V7" s="7"/>
      <c r="W7" s="7"/>
      <c r="X7" s="7">
        <v>413500000</v>
      </c>
      <c r="Y7" s="7">
        <v>413500000</v>
      </c>
    </row>
    <row r="8" spans="1:25" x14ac:dyDescent="0.25">
      <c r="A8" s="4" t="s">
        <v>19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>
        <v>402500000</v>
      </c>
      <c r="S8" s="7">
        <v>402500000</v>
      </c>
      <c r="T8" s="7"/>
      <c r="U8" s="7"/>
      <c r="V8" s="7"/>
      <c r="W8" s="7"/>
      <c r="X8" s="7">
        <v>402500000</v>
      </c>
      <c r="Y8" s="7">
        <v>402500000</v>
      </c>
    </row>
    <row r="9" spans="1:25" x14ac:dyDescent="0.25">
      <c r="A9" s="4" t="s">
        <v>20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>
        <v>411500000</v>
      </c>
      <c r="O9" s="7">
        <v>411500000</v>
      </c>
      <c r="P9" s="7"/>
      <c r="Q9" s="7"/>
      <c r="R9" s="7"/>
      <c r="S9" s="7"/>
      <c r="T9" s="7"/>
      <c r="U9" s="7"/>
      <c r="V9" s="7"/>
      <c r="W9" s="7"/>
      <c r="X9" s="7">
        <v>411500000</v>
      </c>
      <c r="Y9" s="7">
        <v>411500000</v>
      </c>
    </row>
    <row r="10" spans="1:25" x14ac:dyDescent="0.25">
      <c r="A10" s="4" t="s">
        <v>21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>
        <v>402000000</v>
      </c>
      <c r="O10" s="7">
        <v>402000000</v>
      </c>
      <c r="P10" s="7"/>
      <c r="Q10" s="7"/>
      <c r="R10" s="7"/>
      <c r="S10" s="7"/>
      <c r="T10" s="7"/>
      <c r="U10" s="7"/>
      <c r="V10" s="7"/>
      <c r="W10" s="7"/>
      <c r="X10" s="7">
        <v>402000000</v>
      </c>
      <c r="Y10" s="7">
        <v>402000000</v>
      </c>
    </row>
    <row r="11" spans="1:25" x14ac:dyDescent="0.25">
      <c r="A11" s="4" t="s">
        <v>22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>
        <v>407000000</v>
      </c>
      <c r="O11" s="7">
        <v>407000000</v>
      </c>
      <c r="P11" s="7"/>
      <c r="Q11" s="7"/>
      <c r="R11" s="7"/>
      <c r="S11" s="7"/>
      <c r="T11" s="7"/>
      <c r="U11" s="7"/>
      <c r="V11" s="7"/>
      <c r="W11" s="7"/>
      <c r="X11" s="7">
        <v>407000000</v>
      </c>
      <c r="Y11" s="7">
        <v>407000000</v>
      </c>
    </row>
    <row r="12" spans="1:25" x14ac:dyDescent="0.25">
      <c r="A12" s="4" t="s">
        <v>23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>
        <v>401000000</v>
      </c>
      <c r="Q12" s="7">
        <v>401000000</v>
      </c>
      <c r="R12" s="7"/>
      <c r="S12" s="7"/>
      <c r="T12" s="7"/>
      <c r="U12" s="7"/>
      <c r="V12" s="7"/>
      <c r="W12" s="7"/>
      <c r="X12" s="7">
        <v>401000000</v>
      </c>
      <c r="Y12" s="7">
        <v>401000000</v>
      </c>
    </row>
    <row r="13" spans="1:25" x14ac:dyDescent="0.25">
      <c r="A13" s="4" t="s">
        <v>24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>
        <v>415000000</v>
      </c>
      <c r="W13" s="7">
        <v>415000000</v>
      </c>
      <c r="X13" s="7">
        <v>415000000</v>
      </c>
      <c r="Y13" s="7">
        <v>415000000</v>
      </c>
    </row>
    <row r="14" spans="1:25" x14ac:dyDescent="0.25">
      <c r="A14" s="3" t="s">
        <v>25</v>
      </c>
      <c r="B14" s="7">
        <v>309000000</v>
      </c>
      <c r="C14" s="7">
        <v>309000000</v>
      </c>
      <c r="D14" s="7">
        <v>392000000</v>
      </c>
      <c r="E14" s="7">
        <v>392000000</v>
      </c>
      <c r="F14" s="7">
        <v>397000000</v>
      </c>
      <c r="G14" s="7">
        <v>794000000</v>
      </c>
      <c r="H14" s="7">
        <v>403000000</v>
      </c>
      <c r="I14" s="7">
        <v>806000000</v>
      </c>
      <c r="J14" s="7">
        <v>405000000</v>
      </c>
      <c r="K14" s="7">
        <v>405000000</v>
      </c>
      <c r="L14" s="7">
        <v>407000000</v>
      </c>
      <c r="M14" s="7">
        <v>814000000</v>
      </c>
      <c r="N14" s="7"/>
      <c r="O14" s="7"/>
      <c r="P14" s="7">
        <v>420000000</v>
      </c>
      <c r="Q14" s="7">
        <v>840000000</v>
      </c>
      <c r="R14" s="7"/>
      <c r="S14" s="7"/>
      <c r="T14" s="7">
        <v>405000000</v>
      </c>
      <c r="U14" s="7">
        <v>405000000</v>
      </c>
      <c r="V14" s="7">
        <v>420000000</v>
      </c>
      <c r="W14" s="7">
        <v>420000000</v>
      </c>
      <c r="X14" s="7">
        <v>398846153.84615386</v>
      </c>
      <c r="Y14" s="7">
        <v>5185000000</v>
      </c>
    </row>
    <row r="15" spans="1:25" x14ac:dyDescent="0.25">
      <c r="A15" s="4" t="s">
        <v>26</v>
      </c>
      <c r="B15" s="7">
        <v>309000000</v>
      </c>
      <c r="C15" s="7">
        <v>309000000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>
        <v>309000000</v>
      </c>
      <c r="Y15" s="7">
        <v>309000000</v>
      </c>
    </row>
    <row r="16" spans="1:25" x14ac:dyDescent="0.25">
      <c r="A16" s="4" t="s">
        <v>27</v>
      </c>
      <c r="B16" s="7"/>
      <c r="C16" s="7"/>
      <c r="D16" s="7"/>
      <c r="E16" s="7"/>
      <c r="F16" s="7"/>
      <c r="G16" s="7"/>
      <c r="H16" s="7"/>
      <c r="I16" s="7"/>
      <c r="J16" s="7">
        <v>405000000</v>
      </c>
      <c r="K16" s="7">
        <v>405000000</v>
      </c>
      <c r="L16" s="7"/>
      <c r="M16" s="7"/>
      <c r="N16" s="7"/>
      <c r="O16" s="7"/>
      <c r="P16" s="7"/>
      <c r="Q16" s="7"/>
      <c r="R16" s="7"/>
      <c r="S16" s="7"/>
      <c r="T16" s="7">
        <v>405000000</v>
      </c>
      <c r="U16" s="7">
        <v>405000000</v>
      </c>
      <c r="V16" s="7"/>
      <c r="W16" s="7"/>
      <c r="X16" s="7">
        <v>405000000</v>
      </c>
      <c r="Y16" s="7">
        <v>810000000</v>
      </c>
    </row>
    <row r="17" spans="1:25" x14ac:dyDescent="0.25">
      <c r="A17" s="4" t="s">
        <v>28</v>
      </c>
      <c r="B17" s="7"/>
      <c r="C17" s="7"/>
      <c r="D17" s="7">
        <v>392000000</v>
      </c>
      <c r="E17" s="7">
        <v>392000000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>
        <v>392000000</v>
      </c>
      <c r="Y17" s="7">
        <v>392000000</v>
      </c>
    </row>
    <row r="18" spans="1:25" x14ac:dyDescent="0.25">
      <c r="A18" s="4" t="s">
        <v>29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>
        <v>407000000</v>
      </c>
      <c r="M18" s="7">
        <v>814000000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>
        <v>407000000</v>
      </c>
      <c r="Y18" s="7">
        <v>814000000</v>
      </c>
    </row>
    <row r="19" spans="1:25" x14ac:dyDescent="0.25">
      <c r="A19" s="4" t="s">
        <v>30</v>
      </c>
      <c r="B19" s="7"/>
      <c r="C19" s="7"/>
      <c r="D19" s="7"/>
      <c r="E19" s="7"/>
      <c r="F19" s="7"/>
      <c r="G19" s="7"/>
      <c r="H19" s="7">
        <v>403000000</v>
      </c>
      <c r="I19" s="7">
        <v>806000000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>
        <v>403000000</v>
      </c>
      <c r="Y19" s="7">
        <v>806000000</v>
      </c>
    </row>
    <row r="20" spans="1:25" x14ac:dyDescent="0.25">
      <c r="A20" s="4" t="s">
        <v>31</v>
      </c>
      <c r="B20" s="7"/>
      <c r="C20" s="7"/>
      <c r="D20" s="7"/>
      <c r="E20" s="7"/>
      <c r="F20" s="7">
        <v>397000000</v>
      </c>
      <c r="G20" s="7">
        <v>794000000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>
        <v>397000000</v>
      </c>
      <c r="Y20" s="7">
        <v>794000000</v>
      </c>
    </row>
    <row r="21" spans="1:25" x14ac:dyDescent="0.25">
      <c r="A21" s="4" t="s">
        <v>32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>
        <v>420000000</v>
      </c>
      <c r="Q21" s="7">
        <v>840000000</v>
      </c>
      <c r="R21" s="7"/>
      <c r="S21" s="7"/>
      <c r="T21" s="7"/>
      <c r="U21" s="7"/>
      <c r="V21" s="7"/>
      <c r="W21" s="7"/>
      <c r="X21" s="7">
        <v>420000000</v>
      </c>
      <c r="Y21" s="7">
        <v>840000000</v>
      </c>
    </row>
    <row r="22" spans="1:25" x14ac:dyDescent="0.25">
      <c r="A22" s="4" t="s">
        <v>33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>
        <v>420000000</v>
      </c>
      <c r="W22" s="7">
        <v>420000000</v>
      </c>
      <c r="X22" s="7">
        <v>420000000</v>
      </c>
      <c r="Y22" s="7">
        <v>420000000</v>
      </c>
    </row>
    <row r="23" spans="1:25" x14ac:dyDescent="0.25">
      <c r="A23" s="3" t="s">
        <v>34</v>
      </c>
      <c r="B23" s="7">
        <v>309000000</v>
      </c>
      <c r="C23" s="7">
        <v>309000000</v>
      </c>
      <c r="D23" s="7">
        <v>392000000</v>
      </c>
      <c r="E23" s="7">
        <v>392000000</v>
      </c>
      <c r="F23" s="7">
        <v>397000000</v>
      </c>
      <c r="G23" s="7">
        <v>794000000</v>
      </c>
      <c r="H23" s="7">
        <v>403000000</v>
      </c>
      <c r="I23" s="7">
        <v>806000000</v>
      </c>
      <c r="J23" s="7">
        <v>405000000</v>
      </c>
      <c r="K23" s="7">
        <v>405000000</v>
      </c>
      <c r="L23" s="7">
        <v>407000000</v>
      </c>
      <c r="M23" s="7">
        <v>814000000</v>
      </c>
      <c r="N23" s="7">
        <v>408500000</v>
      </c>
      <c r="O23" s="7">
        <v>1634000000</v>
      </c>
      <c r="P23" s="7">
        <v>413666666.66666669</v>
      </c>
      <c r="Q23" s="7">
        <v>1241000000</v>
      </c>
      <c r="R23" s="7">
        <v>402500000</v>
      </c>
      <c r="S23" s="7">
        <v>402500000</v>
      </c>
      <c r="T23" s="7">
        <v>405000000</v>
      </c>
      <c r="U23" s="7">
        <v>405000000</v>
      </c>
      <c r="V23" s="7">
        <v>417500000</v>
      </c>
      <c r="W23" s="7">
        <v>835000000</v>
      </c>
      <c r="X23" s="7">
        <v>401875000</v>
      </c>
      <c r="Y23" s="7">
        <v>8037500000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49275-2843-4237-AB9A-FB090F082D24}">
  <sheetPr codeName="Sheet7"/>
  <dimension ref="A3:B6"/>
  <sheetViews>
    <sheetView workbookViewId="0">
      <selection activeCell="B5" sqref="B5"/>
    </sheetView>
  </sheetViews>
  <sheetFormatPr defaultRowHeight="15" x14ac:dyDescent="0.25"/>
  <cols>
    <col min="1" max="1" width="13.140625" bestFit="1" customWidth="1"/>
    <col min="2" max="2" width="15.5703125" bestFit="1" customWidth="1"/>
  </cols>
  <sheetData>
    <row r="3" spans="1:2" x14ac:dyDescent="0.25">
      <c r="A3" s="2" t="s">
        <v>14</v>
      </c>
      <c r="B3" t="s">
        <v>15</v>
      </c>
    </row>
    <row r="4" spans="1:2" x14ac:dyDescent="0.25">
      <c r="A4" s="8" t="s">
        <v>35</v>
      </c>
      <c r="B4">
        <v>397730769.23076922</v>
      </c>
    </row>
    <row r="5" spans="1:2" x14ac:dyDescent="0.25">
      <c r="A5" s="8" t="s">
        <v>36</v>
      </c>
      <c r="B5">
        <v>409571428.5714286</v>
      </c>
    </row>
    <row r="6" spans="1:2" x14ac:dyDescent="0.25">
      <c r="A6" s="8" t="s">
        <v>34</v>
      </c>
      <c r="B6">
        <v>401875000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30B7-6E75-48E7-82D4-CC83327DA85F}">
  <sheetPr codeName="Sheet8"/>
  <dimension ref="A2:Q31"/>
  <sheetViews>
    <sheetView workbookViewId="0">
      <selection activeCell="O16" sqref="O16"/>
    </sheetView>
  </sheetViews>
  <sheetFormatPr defaultRowHeight="15" x14ac:dyDescent="0.25"/>
  <cols>
    <col min="1" max="1" width="14" bestFit="1" customWidth="1"/>
    <col min="2" max="2" width="16.28515625" bestFit="1" customWidth="1"/>
    <col min="3" max="3" width="10" bestFit="1" customWidth="1"/>
    <col min="4" max="4" width="11.28515625" bestFit="1" customWidth="1"/>
    <col min="5" max="5" width="10" bestFit="1" customWidth="1"/>
    <col min="6" max="6" width="13.7109375" bestFit="1" customWidth="1"/>
    <col min="7" max="7" width="11.5703125" bestFit="1" customWidth="1"/>
    <col min="8" max="8" width="14.7109375" bestFit="1" customWidth="1"/>
    <col min="9" max="9" width="11.5703125" bestFit="1" customWidth="1"/>
    <col min="10" max="10" width="10" bestFit="1" customWidth="1"/>
    <col min="11" max="11" width="14.7109375" bestFit="1" customWidth="1"/>
    <col min="12" max="12" width="11.5703125" bestFit="1" customWidth="1"/>
    <col min="13" max="13" width="14" bestFit="1" customWidth="1"/>
    <col min="14" max="14" width="16.28515625" bestFit="1" customWidth="1"/>
    <col min="15" max="15" width="9.7109375" bestFit="1" customWidth="1"/>
    <col min="16" max="16" width="11.28515625" bestFit="1" customWidth="1"/>
    <col min="17" max="17" width="14.7109375" bestFit="1" customWidth="1"/>
    <col min="18" max="18" width="11.5703125" bestFit="1" customWidth="1"/>
    <col min="19" max="19" width="10" bestFit="1" customWidth="1"/>
    <col min="20" max="20" width="14.7109375" bestFit="1" customWidth="1"/>
    <col min="21" max="21" width="11.5703125" bestFit="1" customWidth="1"/>
    <col min="22" max="22" width="10" bestFit="1" customWidth="1"/>
    <col min="23" max="23" width="14.7109375" bestFit="1" customWidth="1"/>
    <col min="24" max="24" width="11.5703125" bestFit="1" customWidth="1"/>
    <col min="25" max="25" width="14.7109375" bestFit="1" customWidth="1"/>
    <col min="26" max="26" width="11.5703125" bestFit="1" customWidth="1"/>
    <col min="27" max="27" width="14.7109375" bestFit="1" customWidth="1"/>
    <col min="28" max="28" width="11.28515625" bestFit="1" customWidth="1"/>
  </cols>
  <sheetData>
    <row r="2" spans="1:17" x14ac:dyDescent="0.25">
      <c r="M2" s="2" t="s">
        <v>37</v>
      </c>
      <c r="N2" s="2" t="s">
        <v>0</v>
      </c>
    </row>
    <row r="3" spans="1:17" x14ac:dyDescent="0.25">
      <c r="A3" s="2" t="s">
        <v>16</v>
      </c>
      <c r="B3" s="2" t="s">
        <v>0</v>
      </c>
      <c r="M3" s="2" t="s">
        <v>14</v>
      </c>
      <c r="N3" t="s">
        <v>38</v>
      </c>
      <c r="O3" t="s">
        <v>11</v>
      </c>
      <c r="Q3">
        <f>SUM(N4:N30)</f>
        <v>13</v>
      </c>
    </row>
    <row r="4" spans="1:17" x14ac:dyDescent="0.25">
      <c r="A4" s="2" t="s">
        <v>14</v>
      </c>
      <c r="B4" t="s">
        <v>38</v>
      </c>
      <c r="C4" t="s">
        <v>11</v>
      </c>
      <c r="M4" s="3" t="s">
        <v>11</v>
      </c>
      <c r="Q4">
        <f>SUMIFS(O4:O30,N4:N30,1,O4:O30,1)</f>
        <v>4</v>
      </c>
    </row>
    <row r="5" spans="1:17" x14ac:dyDescent="0.25">
      <c r="A5" s="3" t="s">
        <v>11</v>
      </c>
      <c r="M5" s="4" t="s">
        <v>33</v>
      </c>
      <c r="O5">
        <v>1</v>
      </c>
      <c r="Q5">
        <f>Q3-Q4</f>
        <v>9</v>
      </c>
    </row>
    <row r="6" spans="1:17" x14ac:dyDescent="0.25">
      <c r="A6" s="4" t="s">
        <v>33</v>
      </c>
      <c r="C6">
        <v>420000000</v>
      </c>
      <c r="M6" s="4" t="s">
        <v>24</v>
      </c>
      <c r="O6">
        <v>1</v>
      </c>
    </row>
    <row r="7" spans="1:17" x14ac:dyDescent="0.25">
      <c r="A7" s="4" t="s">
        <v>24</v>
      </c>
      <c r="C7">
        <v>415000000</v>
      </c>
      <c r="M7" s="3" t="s">
        <v>6</v>
      </c>
    </row>
    <row r="8" spans="1:17" x14ac:dyDescent="0.25">
      <c r="A8" s="3" t="s">
        <v>6</v>
      </c>
      <c r="M8" s="4" t="s">
        <v>29</v>
      </c>
      <c r="N8">
        <v>1</v>
      </c>
      <c r="O8">
        <v>1</v>
      </c>
    </row>
    <row r="9" spans="1:17" x14ac:dyDescent="0.25">
      <c r="A9" s="4" t="s">
        <v>29</v>
      </c>
      <c r="B9">
        <v>407000000</v>
      </c>
      <c r="C9">
        <v>407000000</v>
      </c>
      <c r="M9" s="3" t="s">
        <v>7</v>
      </c>
    </row>
    <row r="10" spans="1:17" x14ac:dyDescent="0.25">
      <c r="A10" s="3" t="s">
        <v>7</v>
      </c>
      <c r="M10" s="4" t="s">
        <v>18</v>
      </c>
      <c r="N10">
        <v>1</v>
      </c>
    </row>
    <row r="11" spans="1:17" x14ac:dyDescent="0.25">
      <c r="A11" s="4" t="s">
        <v>18</v>
      </c>
      <c r="B11">
        <v>413500000</v>
      </c>
      <c r="M11" s="4" t="s">
        <v>20</v>
      </c>
      <c r="N11">
        <v>1</v>
      </c>
    </row>
    <row r="12" spans="1:17" x14ac:dyDescent="0.25">
      <c r="A12" s="4" t="s">
        <v>20</v>
      </c>
      <c r="B12">
        <v>411500000</v>
      </c>
      <c r="M12" s="4" t="s">
        <v>21</v>
      </c>
      <c r="N12">
        <v>1</v>
      </c>
    </row>
    <row r="13" spans="1:17" x14ac:dyDescent="0.25">
      <c r="A13" s="4" t="s">
        <v>21</v>
      </c>
      <c r="B13">
        <v>402000000</v>
      </c>
      <c r="M13" s="4" t="s">
        <v>22</v>
      </c>
      <c r="N13">
        <v>1</v>
      </c>
    </row>
    <row r="14" spans="1:17" x14ac:dyDescent="0.25">
      <c r="A14" s="4" t="s">
        <v>22</v>
      </c>
      <c r="B14">
        <v>407000000</v>
      </c>
      <c r="M14" s="3" t="s">
        <v>8</v>
      </c>
    </row>
    <row r="15" spans="1:17" x14ac:dyDescent="0.25">
      <c r="A15" s="3" t="s">
        <v>8</v>
      </c>
      <c r="M15" s="4" t="s">
        <v>23</v>
      </c>
      <c r="N15">
        <v>1</v>
      </c>
    </row>
    <row r="16" spans="1:17" x14ac:dyDescent="0.25">
      <c r="A16" s="4" t="s">
        <v>23</v>
      </c>
      <c r="B16">
        <v>401000000</v>
      </c>
      <c r="M16" s="4" t="s">
        <v>32</v>
      </c>
      <c r="N16">
        <v>1</v>
      </c>
      <c r="O16">
        <v>1</v>
      </c>
    </row>
    <row r="17" spans="1:15" x14ac:dyDescent="0.25">
      <c r="A17" s="4" t="s">
        <v>32</v>
      </c>
      <c r="B17">
        <v>420000000</v>
      </c>
      <c r="C17">
        <v>420000000</v>
      </c>
      <c r="M17" s="3" t="s">
        <v>9</v>
      </c>
    </row>
    <row r="18" spans="1:15" x14ac:dyDescent="0.25">
      <c r="A18" s="3" t="s">
        <v>9</v>
      </c>
      <c r="M18" s="4" t="s">
        <v>19</v>
      </c>
      <c r="N18">
        <v>1</v>
      </c>
    </row>
    <row r="19" spans="1:15" x14ac:dyDescent="0.25">
      <c r="A19" s="4" t="s">
        <v>19</v>
      </c>
      <c r="B19">
        <v>402500000</v>
      </c>
      <c r="M19" s="3" t="s">
        <v>10</v>
      </c>
    </row>
    <row r="20" spans="1:15" x14ac:dyDescent="0.25">
      <c r="A20" s="3" t="s">
        <v>10</v>
      </c>
      <c r="M20" s="4" t="s">
        <v>27</v>
      </c>
      <c r="N20">
        <v>1</v>
      </c>
    </row>
    <row r="21" spans="1:15" x14ac:dyDescent="0.25">
      <c r="A21" s="4" t="s">
        <v>27</v>
      </c>
      <c r="B21">
        <v>405000000</v>
      </c>
      <c r="M21" s="3" t="s">
        <v>5</v>
      </c>
    </row>
    <row r="22" spans="1:15" x14ac:dyDescent="0.25">
      <c r="A22" s="3" t="s">
        <v>5</v>
      </c>
      <c r="M22" s="4" t="s">
        <v>27</v>
      </c>
      <c r="O22">
        <v>1</v>
      </c>
    </row>
    <row r="23" spans="1:15" x14ac:dyDescent="0.25">
      <c r="A23" s="4" t="s">
        <v>27</v>
      </c>
      <c r="C23">
        <v>405000000</v>
      </c>
      <c r="M23" s="3" t="s">
        <v>4</v>
      </c>
    </row>
    <row r="24" spans="1:15" x14ac:dyDescent="0.25">
      <c r="A24" s="3" t="s">
        <v>4</v>
      </c>
      <c r="M24" s="4" t="s">
        <v>30</v>
      </c>
      <c r="N24">
        <v>1</v>
      </c>
      <c r="O24">
        <v>1</v>
      </c>
    </row>
    <row r="25" spans="1:15" x14ac:dyDescent="0.25">
      <c r="A25" s="4" t="s">
        <v>30</v>
      </c>
      <c r="B25">
        <v>403000000</v>
      </c>
      <c r="C25">
        <v>403000000</v>
      </c>
      <c r="M25" s="3" t="s">
        <v>3</v>
      </c>
    </row>
    <row r="26" spans="1:15" x14ac:dyDescent="0.25">
      <c r="A26" s="3" t="s">
        <v>3</v>
      </c>
      <c r="M26" s="4" t="s">
        <v>31</v>
      </c>
      <c r="N26">
        <v>1</v>
      </c>
      <c r="O26">
        <v>1</v>
      </c>
    </row>
    <row r="27" spans="1:15" x14ac:dyDescent="0.25">
      <c r="A27" s="4" t="s">
        <v>31</v>
      </c>
      <c r="B27">
        <v>397000000</v>
      </c>
      <c r="C27">
        <v>397000000</v>
      </c>
      <c r="M27" s="3" t="s">
        <v>2</v>
      </c>
    </row>
    <row r="28" spans="1:15" x14ac:dyDescent="0.25">
      <c r="A28" s="3" t="s">
        <v>2</v>
      </c>
      <c r="M28" s="4" t="s">
        <v>28</v>
      </c>
      <c r="N28">
        <v>1</v>
      </c>
    </row>
    <row r="29" spans="1:15" x14ac:dyDescent="0.25">
      <c r="A29" s="4" t="s">
        <v>28</v>
      </c>
      <c r="B29">
        <v>392000000</v>
      </c>
      <c r="M29" s="3" t="s">
        <v>1</v>
      </c>
    </row>
    <row r="30" spans="1:15" x14ac:dyDescent="0.25">
      <c r="A30" s="3" t="s">
        <v>1</v>
      </c>
      <c r="M30" s="4" t="s">
        <v>26</v>
      </c>
      <c r="N30">
        <v>1</v>
      </c>
    </row>
    <row r="31" spans="1:15" x14ac:dyDescent="0.25">
      <c r="A31" s="4" t="s">
        <v>26</v>
      </c>
      <c r="B31">
        <v>309000000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DCB4-0E93-43BE-8EB7-D91F3F805192}">
  <sheetPr codeName="Sheet3"/>
  <dimension ref="A1:BEJ420"/>
  <sheetViews>
    <sheetView tabSelected="1" topLeftCell="F231" zoomScale="115" zoomScaleNormal="115" workbookViewId="0">
      <selection activeCell="M256" sqref="M256"/>
    </sheetView>
  </sheetViews>
  <sheetFormatPr defaultRowHeight="15" x14ac:dyDescent="0.25"/>
  <cols>
    <col min="1" max="1" width="26.5703125" customWidth="1"/>
    <col min="2" max="2" width="17.5703125" customWidth="1"/>
    <col min="3" max="3" width="11.140625" customWidth="1"/>
    <col min="4" max="4" width="15.140625" customWidth="1"/>
    <col min="5" max="5" width="14.28515625" customWidth="1"/>
    <col min="6" max="6" width="27.42578125" customWidth="1"/>
    <col min="7" max="7" width="16.140625" customWidth="1"/>
    <col min="8" max="8" width="13" customWidth="1"/>
    <col min="9" max="10" width="11.7109375" customWidth="1"/>
    <col min="11" max="11" width="13.85546875" customWidth="1"/>
    <col min="12" max="12" width="16.85546875" customWidth="1"/>
    <col min="13" max="13" width="11.5703125" customWidth="1"/>
    <col min="14" max="14" width="9.7109375" customWidth="1"/>
    <col min="15" max="15" width="11.140625" customWidth="1"/>
    <col min="16" max="17" width="11" customWidth="1"/>
    <col min="18" max="18" width="19.5703125" customWidth="1"/>
    <col min="19" max="20" width="29.7109375" customWidth="1"/>
    <col min="21" max="21" width="18" style="45" bestFit="1" customWidth="1"/>
    <col min="23" max="23" width="16.42578125" customWidth="1"/>
    <col min="25" max="25" width="15" bestFit="1" customWidth="1"/>
    <col min="26" max="26" width="9.140625" style="46"/>
  </cols>
  <sheetData>
    <row r="1" spans="1:26" x14ac:dyDescent="0.25">
      <c r="A1" s="14" t="s">
        <v>39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  <c r="G1" s="15" t="s">
        <v>45</v>
      </c>
      <c r="H1" s="15" t="s">
        <v>46</v>
      </c>
      <c r="I1" s="15" t="s">
        <v>47</v>
      </c>
      <c r="J1" s="15" t="s">
        <v>48</v>
      </c>
      <c r="K1" s="15" t="s">
        <v>49</v>
      </c>
      <c r="L1" s="15" t="s">
        <v>50</v>
      </c>
      <c r="M1" s="15" t="s">
        <v>51</v>
      </c>
      <c r="N1" s="15" t="s">
        <v>52</v>
      </c>
      <c r="P1" s="15" t="s">
        <v>2190</v>
      </c>
      <c r="Q1" s="15" t="s">
        <v>2191</v>
      </c>
      <c r="R1" s="15" t="s">
        <v>2192</v>
      </c>
      <c r="S1" s="16" t="s">
        <v>53</v>
      </c>
      <c r="T1" s="16" t="s">
        <v>2435</v>
      </c>
      <c r="U1" s="45" t="s">
        <v>54</v>
      </c>
      <c r="V1" s="22" t="s">
        <v>55</v>
      </c>
      <c r="W1" s="22" t="s">
        <v>56</v>
      </c>
      <c r="X1" s="22" t="s">
        <v>57</v>
      </c>
      <c r="Y1" s="22" t="s">
        <v>58</v>
      </c>
    </row>
    <row r="2" spans="1:26" x14ac:dyDescent="0.25">
      <c r="A2" s="21" t="s">
        <v>902</v>
      </c>
      <c r="B2" s="19" t="s">
        <v>903</v>
      </c>
      <c r="C2" s="19">
        <v>285</v>
      </c>
      <c r="D2" s="19" t="s">
        <v>904</v>
      </c>
      <c r="E2" s="19" t="s">
        <v>60</v>
      </c>
      <c r="F2" s="19" t="s">
        <v>905</v>
      </c>
      <c r="G2" s="19">
        <v>999999</v>
      </c>
      <c r="H2" s="19">
        <v>1398</v>
      </c>
      <c r="I2" s="19" t="s">
        <v>906</v>
      </c>
      <c r="J2" s="19" t="s">
        <v>907</v>
      </c>
      <c r="K2" s="19" t="s">
        <v>908</v>
      </c>
      <c r="L2" s="19" t="s">
        <v>84</v>
      </c>
      <c r="M2" s="19">
        <v>28519</v>
      </c>
      <c r="N2" s="19" t="s">
        <v>62</v>
      </c>
      <c r="O2" s="19"/>
      <c r="P2" s="19">
        <v>28519</v>
      </c>
      <c r="Q2" s="19" t="s">
        <v>909</v>
      </c>
      <c r="R2" s="49" t="s">
        <v>910</v>
      </c>
      <c r="S2" t="s">
        <v>911</v>
      </c>
      <c r="T2" s="6">
        <v>1800000000</v>
      </c>
      <c r="U2" s="45">
        <f>VLOOKUP(B2,realPrices!C:G,5,0)</f>
        <v>2995000000</v>
      </c>
    </row>
    <row r="3" spans="1:26" x14ac:dyDescent="0.25">
      <c r="A3" s="21" t="s">
        <v>453</v>
      </c>
      <c r="B3" s="19" t="s">
        <v>912</v>
      </c>
      <c r="C3" s="19">
        <v>351</v>
      </c>
      <c r="D3" s="19" t="s">
        <v>904</v>
      </c>
      <c r="E3" s="19" t="s">
        <v>60</v>
      </c>
      <c r="F3" s="19" t="s">
        <v>905</v>
      </c>
      <c r="G3" s="19">
        <v>999999</v>
      </c>
      <c r="H3" s="19">
        <v>1401</v>
      </c>
      <c r="I3" s="19" t="s">
        <v>913</v>
      </c>
      <c r="J3" s="19" t="s">
        <v>907</v>
      </c>
      <c r="K3" s="19" t="s">
        <v>914</v>
      </c>
      <c r="L3" s="19" t="s">
        <v>128</v>
      </c>
      <c r="M3" s="19">
        <v>35103</v>
      </c>
      <c r="N3" s="19" t="s">
        <v>62</v>
      </c>
      <c r="O3" s="19"/>
      <c r="P3" s="19">
        <v>35103</v>
      </c>
      <c r="Q3" s="19" t="s">
        <v>915</v>
      </c>
      <c r="R3" s="49" t="s">
        <v>916</v>
      </c>
      <c r="S3" t="s">
        <v>911</v>
      </c>
      <c r="T3" s="6">
        <v>1800000000</v>
      </c>
      <c r="U3" s="45">
        <f>VLOOKUP(B3,realPrices!C:G,5,0)</f>
        <v>2309999999</v>
      </c>
      <c r="Z3"/>
    </row>
    <row r="4" spans="1:26" x14ac:dyDescent="0.25">
      <c r="A4" s="21" t="s">
        <v>917</v>
      </c>
      <c r="B4" s="19" t="s">
        <v>918</v>
      </c>
      <c r="C4" s="19">
        <v>351</v>
      </c>
      <c r="D4" s="19" t="s">
        <v>59</v>
      </c>
      <c r="E4" s="19" t="s">
        <v>60</v>
      </c>
      <c r="F4" s="19" t="s">
        <v>905</v>
      </c>
      <c r="G4" s="19">
        <v>999999</v>
      </c>
      <c r="H4" s="19">
        <v>1402</v>
      </c>
      <c r="I4" s="19" t="s">
        <v>919</v>
      </c>
      <c r="J4" s="19" t="s">
        <v>907</v>
      </c>
      <c r="K4" s="19" t="s">
        <v>920</v>
      </c>
      <c r="L4" s="19" t="s">
        <v>128</v>
      </c>
      <c r="M4" s="19">
        <v>35106</v>
      </c>
      <c r="N4" s="19" t="s">
        <v>62</v>
      </c>
      <c r="O4" s="19"/>
      <c r="P4" s="19">
        <v>35106</v>
      </c>
      <c r="Q4" s="19" t="s">
        <v>921</v>
      </c>
      <c r="R4" s="49" t="s">
        <v>922</v>
      </c>
      <c r="S4" t="s">
        <v>911</v>
      </c>
      <c r="T4" s="6">
        <v>1800000000</v>
      </c>
      <c r="U4" s="45">
        <f>VLOOKUP(B4,realPrices!C:G,5,0)</f>
        <v>2933000000</v>
      </c>
    </row>
    <row r="5" spans="1:26" x14ac:dyDescent="0.25">
      <c r="A5" s="21" t="s">
        <v>923</v>
      </c>
      <c r="B5" s="19" t="s">
        <v>924</v>
      </c>
      <c r="C5" s="19">
        <v>701</v>
      </c>
      <c r="D5" s="19" t="s">
        <v>925</v>
      </c>
      <c r="E5" s="19" t="s">
        <v>60</v>
      </c>
      <c r="F5" s="19" t="s">
        <v>905</v>
      </c>
      <c r="G5" s="19">
        <v>999999</v>
      </c>
      <c r="H5" s="19">
        <v>1395</v>
      </c>
      <c r="I5" s="19" t="s">
        <v>926</v>
      </c>
      <c r="J5" s="19" t="s">
        <v>907</v>
      </c>
      <c r="K5" s="19" t="s">
        <v>927</v>
      </c>
      <c r="L5" s="19" t="s">
        <v>130</v>
      </c>
      <c r="M5" s="19">
        <v>70102</v>
      </c>
      <c r="N5" s="19" t="s">
        <v>62</v>
      </c>
      <c r="O5" s="19"/>
      <c r="P5" s="19">
        <v>70102</v>
      </c>
      <c r="Q5" s="19" t="s">
        <v>928</v>
      </c>
      <c r="R5" s="49" t="s">
        <v>929</v>
      </c>
      <c r="S5" t="s">
        <v>930</v>
      </c>
      <c r="T5" s="6">
        <v>2200000000</v>
      </c>
      <c r="U5" s="45">
        <f>VLOOKUP(B5,realPrices!C:G,5,0)</f>
        <v>0</v>
      </c>
      <c r="Z5"/>
    </row>
    <row r="6" spans="1:26" x14ac:dyDescent="0.25">
      <c r="A6" s="21" t="s">
        <v>82</v>
      </c>
      <c r="B6" s="19" t="s">
        <v>931</v>
      </c>
      <c r="C6" s="19">
        <v>285</v>
      </c>
      <c r="D6" s="19" t="s">
        <v>59</v>
      </c>
      <c r="E6" s="19" t="s">
        <v>60</v>
      </c>
      <c r="F6" s="19" t="s">
        <v>905</v>
      </c>
      <c r="G6" s="19">
        <v>999999</v>
      </c>
      <c r="H6" s="19">
        <v>1401</v>
      </c>
      <c r="I6" s="19" t="s">
        <v>932</v>
      </c>
      <c r="J6" s="19" t="s">
        <v>907</v>
      </c>
      <c r="K6" s="19" t="s">
        <v>933</v>
      </c>
      <c r="L6" s="19" t="s">
        <v>84</v>
      </c>
      <c r="M6" s="19">
        <v>28520</v>
      </c>
      <c r="N6" s="19" t="s">
        <v>62</v>
      </c>
      <c r="O6" s="19"/>
      <c r="P6" s="19">
        <v>28520</v>
      </c>
      <c r="Q6" s="19" t="s">
        <v>934</v>
      </c>
      <c r="R6" s="49" t="s">
        <v>935</v>
      </c>
      <c r="S6" t="s">
        <v>936</v>
      </c>
      <c r="T6" s="6">
        <v>2000000000</v>
      </c>
      <c r="U6" s="45">
        <f>VLOOKUP(B6,realPrices!C:G,5,0)</f>
        <v>3333000000</v>
      </c>
      <c r="Z6"/>
    </row>
    <row r="7" spans="1:26" x14ac:dyDescent="0.25">
      <c r="A7" s="21" t="s">
        <v>155</v>
      </c>
      <c r="B7" s="19" t="s">
        <v>937</v>
      </c>
      <c r="C7" s="19">
        <v>351</v>
      </c>
      <c r="D7" s="19" t="s">
        <v>59</v>
      </c>
      <c r="E7" s="19" t="s">
        <v>60</v>
      </c>
      <c r="F7" s="19" t="s">
        <v>905</v>
      </c>
      <c r="G7" s="19">
        <v>999999</v>
      </c>
      <c r="H7" s="19">
        <v>1401</v>
      </c>
      <c r="I7" s="19" t="s">
        <v>938</v>
      </c>
      <c r="J7" s="19" t="s">
        <v>907</v>
      </c>
      <c r="K7" s="19" t="s">
        <v>939</v>
      </c>
      <c r="L7" s="19" t="s">
        <v>128</v>
      </c>
      <c r="M7" s="19">
        <v>35101</v>
      </c>
      <c r="N7" s="19" t="s">
        <v>62</v>
      </c>
      <c r="O7" s="19"/>
      <c r="P7" s="19">
        <v>35101</v>
      </c>
      <c r="Q7" s="19" t="s">
        <v>940</v>
      </c>
      <c r="R7" s="49" t="s">
        <v>941</v>
      </c>
      <c r="S7" t="s">
        <v>911</v>
      </c>
      <c r="T7" s="6">
        <v>1800000000</v>
      </c>
      <c r="U7" s="45">
        <f>VLOOKUP(B7,realPrices!C:G,5,0)</f>
        <v>3008888888</v>
      </c>
      <c r="Z7"/>
    </row>
    <row r="8" spans="1:26" x14ac:dyDescent="0.25">
      <c r="A8" s="21" t="s">
        <v>942</v>
      </c>
      <c r="B8" s="19" t="s">
        <v>943</v>
      </c>
      <c r="C8" s="19">
        <v>606</v>
      </c>
      <c r="D8" s="19" t="s">
        <v>944</v>
      </c>
      <c r="E8" s="19" t="s">
        <v>60</v>
      </c>
      <c r="F8" s="19" t="s">
        <v>905</v>
      </c>
      <c r="G8" s="19">
        <v>999999</v>
      </c>
      <c r="H8" s="19">
        <v>1402</v>
      </c>
      <c r="I8" s="19" t="s">
        <v>945</v>
      </c>
      <c r="J8" s="19" t="s">
        <v>907</v>
      </c>
      <c r="K8" s="19" t="s">
        <v>946</v>
      </c>
      <c r="L8" s="19" t="s">
        <v>560</v>
      </c>
      <c r="M8" s="19">
        <v>60606</v>
      </c>
      <c r="N8" s="19" t="s">
        <v>947</v>
      </c>
      <c r="O8" s="19"/>
      <c r="P8" s="19">
        <v>60606</v>
      </c>
      <c r="Q8" s="19" t="s">
        <v>948</v>
      </c>
      <c r="R8" s="49" t="s">
        <v>949</v>
      </c>
      <c r="S8" t="s">
        <v>950</v>
      </c>
      <c r="T8" s="6">
        <v>2700000000</v>
      </c>
      <c r="U8" s="45">
        <f>VLOOKUP(B8,realPrices!C:G,5,0)</f>
        <v>4378999899</v>
      </c>
    </row>
    <row r="9" spans="1:26" x14ac:dyDescent="0.25">
      <c r="A9" s="21" t="s">
        <v>656</v>
      </c>
      <c r="B9" s="19" t="s">
        <v>951</v>
      </c>
      <c r="C9" s="19">
        <v>323</v>
      </c>
      <c r="D9" s="19" t="s">
        <v>952</v>
      </c>
      <c r="E9" s="19" t="s">
        <v>60</v>
      </c>
      <c r="F9" s="19" t="s">
        <v>905</v>
      </c>
      <c r="G9" s="19">
        <v>999999</v>
      </c>
      <c r="H9" s="19">
        <v>1402</v>
      </c>
      <c r="I9" s="19" t="s">
        <v>953</v>
      </c>
      <c r="J9" s="19" t="s">
        <v>907</v>
      </c>
      <c r="K9" s="19" t="s">
        <v>954</v>
      </c>
      <c r="L9" s="19" t="s">
        <v>649</v>
      </c>
      <c r="M9" s="19">
        <v>32301</v>
      </c>
      <c r="N9" s="19" t="s">
        <v>62</v>
      </c>
      <c r="O9" s="19"/>
      <c r="P9" s="19">
        <v>32301</v>
      </c>
      <c r="Q9" s="19" t="s">
        <v>955</v>
      </c>
      <c r="R9" s="49" t="s">
        <v>956</v>
      </c>
      <c r="S9" t="s">
        <v>957</v>
      </c>
      <c r="T9" s="6">
        <v>3800000000</v>
      </c>
      <c r="U9" s="45">
        <f>VLOOKUP(B9,realPrices!C:G,5,0)</f>
        <v>5556789999</v>
      </c>
    </row>
    <row r="10" spans="1:26" x14ac:dyDescent="0.25">
      <c r="A10" s="21" t="s">
        <v>958</v>
      </c>
      <c r="B10" s="19" t="s">
        <v>959</v>
      </c>
      <c r="C10" s="19">
        <v>600</v>
      </c>
      <c r="D10" s="19" t="s">
        <v>59</v>
      </c>
      <c r="E10" s="19" t="s">
        <v>60</v>
      </c>
      <c r="F10" s="19" t="s">
        <v>905</v>
      </c>
      <c r="G10" s="19">
        <v>999999</v>
      </c>
      <c r="H10" s="19">
        <v>1402</v>
      </c>
      <c r="I10" s="19" t="s">
        <v>960</v>
      </c>
      <c r="J10" s="19" t="s">
        <v>907</v>
      </c>
      <c r="K10" s="19" t="s">
        <v>961</v>
      </c>
      <c r="L10" s="19" t="s">
        <v>962</v>
      </c>
      <c r="M10" s="19">
        <v>60017</v>
      </c>
      <c r="N10" s="19" t="s">
        <v>963</v>
      </c>
      <c r="O10" s="19"/>
      <c r="P10" s="19">
        <v>60017</v>
      </c>
      <c r="Q10" s="19" t="s">
        <v>964</v>
      </c>
      <c r="R10" s="49" t="s">
        <v>965</v>
      </c>
      <c r="S10" t="s">
        <v>966</v>
      </c>
      <c r="T10" s="6">
        <v>2600000000</v>
      </c>
      <c r="U10" s="45">
        <f>VLOOKUP(B10,realPrices!C:G,5,0)</f>
        <v>4110110110</v>
      </c>
      <c r="Z10"/>
    </row>
    <row r="11" spans="1:26" x14ac:dyDescent="0.25">
      <c r="A11" s="21" t="s">
        <v>967</v>
      </c>
      <c r="B11" s="19" t="s">
        <v>968</v>
      </c>
      <c r="C11" s="19">
        <v>282</v>
      </c>
      <c r="D11" s="19" t="s">
        <v>59</v>
      </c>
      <c r="E11" s="19" t="s">
        <v>60</v>
      </c>
      <c r="F11" s="19" t="s">
        <v>905</v>
      </c>
      <c r="G11" s="19">
        <v>999999</v>
      </c>
      <c r="H11" s="19">
        <v>1401</v>
      </c>
      <c r="I11" s="19" t="s">
        <v>969</v>
      </c>
      <c r="J11" s="19" t="s">
        <v>907</v>
      </c>
      <c r="K11" s="19" t="s">
        <v>970</v>
      </c>
      <c r="L11" s="19" t="s">
        <v>112</v>
      </c>
      <c r="M11" s="19">
        <v>28242</v>
      </c>
      <c r="N11" s="19" t="s">
        <v>62</v>
      </c>
      <c r="O11" s="19"/>
      <c r="P11" s="19">
        <v>28242</v>
      </c>
      <c r="Q11" s="19" t="s">
        <v>971</v>
      </c>
      <c r="R11" s="49" t="s">
        <v>972</v>
      </c>
      <c r="S11" t="s">
        <v>973</v>
      </c>
      <c r="T11" s="6">
        <v>3900000000</v>
      </c>
      <c r="U11" s="45">
        <f>VLOOKUP(B11,realPrices!C:G,5,0)</f>
        <v>4921234567</v>
      </c>
      <c r="Z11"/>
    </row>
    <row r="12" spans="1:26" x14ac:dyDescent="0.25">
      <c r="A12" s="21" t="s">
        <v>447</v>
      </c>
      <c r="B12" s="19" t="s">
        <v>974</v>
      </c>
      <c r="C12" s="19">
        <v>600</v>
      </c>
      <c r="D12" s="19" t="s">
        <v>59</v>
      </c>
      <c r="E12" s="19" t="s">
        <v>60</v>
      </c>
      <c r="F12" s="19" t="s">
        <v>905</v>
      </c>
      <c r="G12" s="19">
        <v>999999</v>
      </c>
      <c r="H12" s="19">
        <v>1401</v>
      </c>
      <c r="I12" s="19" t="s">
        <v>975</v>
      </c>
      <c r="J12" s="19" t="s">
        <v>907</v>
      </c>
      <c r="K12" s="19" t="s">
        <v>976</v>
      </c>
      <c r="L12" s="19" t="s">
        <v>962</v>
      </c>
      <c r="M12" s="19">
        <v>60010</v>
      </c>
      <c r="N12" s="19" t="s">
        <v>963</v>
      </c>
      <c r="O12" s="19"/>
      <c r="P12" s="19">
        <v>60010</v>
      </c>
      <c r="Q12" s="19" t="s">
        <v>977</v>
      </c>
      <c r="R12" s="49" t="s">
        <v>978</v>
      </c>
      <c r="S12" t="s">
        <v>950</v>
      </c>
      <c r="T12" s="6">
        <v>2700000000</v>
      </c>
      <c r="U12" s="45">
        <f>VLOOKUP(B12,realPrices!C:G,5,0)</f>
        <v>3850000000</v>
      </c>
      <c r="Z12"/>
    </row>
    <row r="13" spans="1:26" x14ac:dyDescent="0.25">
      <c r="A13" s="21" t="s">
        <v>979</v>
      </c>
      <c r="B13" s="19" t="s">
        <v>980</v>
      </c>
      <c r="C13" s="19">
        <v>282</v>
      </c>
      <c r="D13" s="19" t="s">
        <v>59</v>
      </c>
      <c r="E13" s="19" t="s">
        <v>60</v>
      </c>
      <c r="F13" s="19" t="s">
        <v>66</v>
      </c>
      <c r="G13" s="19">
        <v>999999</v>
      </c>
      <c r="H13" s="19">
        <v>1393</v>
      </c>
      <c r="I13" s="19" t="s">
        <v>981</v>
      </c>
      <c r="J13" s="19" t="s">
        <v>982</v>
      </c>
      <c r="K13" s="19" t="s">
        <v>983</v>
      </c>
      <c r="L13" s="19" t="s">
        <v>112</v>
      </c>
      <c r="M13" s="19">
        <v>28228</v>
      </c>
      <c r="N13" s="19" t="s">
        <v>62</v>
      </c>
      <c r="O13" s="19"/>
      <c r="P13" s="19">
        <v>28228</v>
      </c>
      <c r="Q13" s="19" t="s">
        <v>984</v>
      </c>
      <c r="R13" s="49" t="s">
        <v>985</v>
      </c>
      <c r="S13" t="s">
        <v>986</v>
      </c>
      <c r="T13" s="6">
        <v>3100000000</v>
      </c>
      <c r="U13" s="45">
        <f>VLOOKUP(B13,realPrices!C:G,5,0)</f>
        <v>3611234567</v>
      </c>
    </row>
    <row r="14" spans="1:26" x14ac:dyDescent="0.25">
      <c r="A14" s="21" t="s">
        <v>762</v>
      </c>
      <c r="B14" s="19" t="s">
        <v>987</v>
      </c>
      <c r="C14" s="19">
        <v>285</v>
      </c>
      <c r="D14" s="19" t="s">
        <v>59</v>
      </c>
      <c r="E14" s="19" t="s">
        <v>60</v>
      </c>
      <c r="F14" s="19" t="s">
        <v>66</v>
      </c>
      <c r="G14" s="19">
        <v>999999</v>
      </c>
      <c r="H14" s="19">
        <v>1396</v>
      </c>
      <c r="I14" s="19" t="s">
        <v>988</v>
      </c>
      <c r="J14" s="19" t="s">
        <v>982</v>
      </c>
      <c r="K14" s="19" t="s">
        <v>989</v>
      </c>
      <c r="L14" s="19" t="s">
        <v>84</v>
      </c>
      <c r="M14" s="19">
        <v>28515</v>
      </c>
      <c r="N14" s="19" t="s">
        <v>62</v>
      </c>
      <c r="O14" s="19"/>
      <c r="P14" s="19">
        <v>28515</v>
      </c>
      <c r="Q14" s="19" t="s">
        <v>990</v>
      </c>
      <c r="R14" s="49" t="s">
        <v>991</v>
      </c>
      <c r="S14" t="s">
        <v>992</v>
      </c>
      <c r="T14" s="6">
        <v>4500000000</v>
      </c>
      <c r="U14" s="45">
        <f>VLOOKUP(B14,realPrices!C:G,5,0)</f>
        <v>5631234560</v>
      </c>
      <c r="Z14"/>
    </row>
    <row r="15" spans="1:26" x14ac:dyDescent="0.25">
      <c r="A15" s="21" t="s">
        <v>147</v>
      </c>
      <c r="B15" s="19" t="s">
        <v>993</v>
      </c>
      <c r="C15" s="19">
        <v>291</v>
      </c>
      <c r="D15" s="19" t="s">
        <v>59</v>
      </c>
      <c r="E15" s="19" t="s">
        <v>994</v>
      </c>
      <c r="F15" s="19" t="s">
        <v>66</v>
      </c>
      <c r="G15" s="19">
        <v>999999</v>
      </c>
      <c r="H15" s="19">
        <v>1393</v>
      </c>
      <c r="I15" s="19" t="s">
        <v>995</v>
      </c>
      <c r="J15" s="19" t="s">
        <v>996</v>
      </c>
      <c r="K15" s="19" t="s">
        <v>997</v>
      </c>
      <c r="L15" s="19" t="s">
        <v>104</v>
      </c>
      <c r="M15" s="19">
        <v>29111</v>
      </c>
      <c r="N15" s="19" t="s">
        <v>62</v>
      </c>
      <c r="O15" s="19"/>
      <c r="P15" s="19">
        <v>29111</v>
      </c>
      <c r="Q15" s="19" t="s">
        <v>998</v>
      </c>
      <c r="R15" s="49" t="s">
        <v>999</v>
      </c>
      <c r="S15" t="s">
        <v>1000</v>
      </c>
      <c r="T15" s="6">
        <v>2100000000</v>
      </c>
      <c r="U15" s="45">
        <f>VLOOKUP(B15,realPrices!C:G,5,0)</f>
        <v>2356558000</v>
      </c>
    </row>
    <row r="16" spans="1:26" x14ac:dyDescent="0.25">
      <c r="A16" s="21" t="s">
        <v>1001</v>
      </c>
      <c r="B16" s="19" t="s">
        <v>1002</v>
      </c>
      <c r="C16" s="19">
        <v>573</v>
      </c>
      <c r="D16" s="19" t="s">
        <v>59</v>
      </c>
      <c r="E16" s="19" t="s">
        <v>60</v>
      </c>
      <c r="F16" s="19" t="s">
        <v>66</v>
      </c>
      <c r="G16" s="19">
        <v>999999</v>
      </c>
      <c r="H16" s="19">
        <v>1392</v>
      </c>
      <c r="I16" s="19" t="s">
        <v>1003</v>
      </c>
      <c r="J16" s="19" t="s">
        <v>996</v>
      </c>
      <c r="K16" s="19" t="s">
        <v>1004</v>
      </c>
      <c r="L16" s="19" t="s">
        <v>61</v>
      </c>
      <c r="M16" s="19">
        <v>57302</v>
      </c>
      <c r="N16" s="19" t="s">
        <v>62</v>
      </c>
      <c r="O16" s="19"/>
      <c r="P16" s="19">
        <v>57302</v>
      </c>
      <c r="Q16" s="19" t="s">
        <v>1005</v>
      </c>
      <c r="R16" s="49" t="s">
        <v>1006</v>
      </c>
      <c r="S16" t="s">
        <v>1007</v>
      </c>
      <c r="T16" s="6">
        <v>2300000000</v>
      </c>
      <c r="U16" s="45">
        <f>VLOOKUP(B16,realPrices!C:G,5,0)</f>
        <v>2628888888</v>
      </c>
      <c r="Z16"/>
    </row>
    <row r="17" spans="1:26" x14ac:dyDescent="0.25">
      <c r="A17" s="21" t="s">
        <v>389</v>
      </c>
      <c r="B17" s="19" t="s">
        <v>1008</v>
      </c>
      <c r="C17" s="19">
        <v>351</v>
      </c>
      <c r="D17" s="19" t="s">
        <v>59</v>
      </c>
      <c r="E17" s="19" t="s">
        <v>60</v>
      </c>
      <c r="F17" s="19" t="s">
        <v>905</v>
      </c>
      <c r="G17" s="19">
        <v>999999</v>
      </c>
      <c r="H17" s="19">
        <v>1402</v>
      </c>
      <c r="I17" s="19" t="s">
        <v>1009</v>
      </c>
      <c r="J17" s="19" t="s">
        <v>907</v>
      </c>
      <c r="K17" s="19" t="s">
        <v>1010</v>
      </c>
      <c r="L17" s="19" t="s">
        <v>128</v>
      </c>
      <c r="M17" s="19">
        <v>35103</v>
      </c>
      <c r="N17" s="19" t="s">
        <v>62</v>
      </c>
      <c r="O17" s="19"/>
      <c r="P17" s="19">
        <v>35103</v>
      </c>
      <c r="Q17" s="19" t="s">
        <v>1011</v>
      </c>
      <c r="R17" s="49" t="s">
        <v>1012</v>
      </c>
      <c r="S17" t="s">
        <v>1013</v>
      </c>
      <c r="T17" s="6">
        <v>1900000000</v>
      </c>
      <c r="U17" s="45">
        <f>VLOOKUP(B17,realPrices!C:G,5,0)</f>
        <v>2786993999</v>
      </c>
      <c r="Z17"/>
    </row>
    <row r="18" spans="1:26" x14ac:dyDescent="0.25">
      <c r="A18" s="21" t="s">
        <v>917</v>
      </c>
      <c r="B18" s="19" t="s">
        <v>1014</v>
      </c>
      <c r="C18" s="19">
        <v>351</v>
      </c>
      <c r="D18" s="19" t="s">
        <v>59</v>
      </c>
      <c r="E18" s="19" t="s">
        <v>60</v>
      </c>
      <c r="F18" s="19" t="s">
        <v>905</v>
      </c>
      <c r="G18" s="19">
        <v>999999</v>
      </c>
      <c r="H18" s="19">
        <v>1402</v>
      </c>
      <c r="I18" s="19" t="s">
        <v>1015</v>
      </c>
      <c r="J18" s="19" t="s">
        <v>907</v>
      </c>
      <c r="K18" s="19" t="s">
        <v>1016</v>
      </c>
      <c r="L18" s="19" t="s">
        <v>128</v>
      </c>
      <c r="M18" s="19">
        <v>35106</v>
      </c>
      <c r="N18" s="19" t="s">
        <v>62</v>
      </c>
      <c r="O18" s="19"/>
      <c r="P18" s="19">
        <v>35106</v>
      </c>
      <c r="Q18" s="19" t="s">
        <v>1017</v>
      </c>
      <c r="R18" s="49" t="s">
        <v>1018</v>
      </c>
      <c r="S18" t="s">
        <v>1019</v>
      </c>
      <c r="T18" s="6">
        <v>1700000000</v>
      </c>
      <c r="U18" s="45">
        <f>VLOOKUP(B18,realPrices!C:G,5,0)</f>
        <v>4200999999</v>
      </c>
      <c r="Z18"/>
    </row>
    <row r="19" spans="1:26" x14ac:dyDescent="0.25">
      <c r="A19" s="21" t="s">
        <v>1020</v>
      </c>
      <c r="B19" s="19" t="s">
        <v>1021</v>
      </c>
      <c r="C19" s="19">
        <v>600</v>
      </c>
      <c r="D19" s="19" t="s">
        <v>59</v>
      </c>
      <c r="E19" s="19" t="s">
        <v>60</v>
      </c>
      <c r="F19" s="19" t="s">
        <v>905</v>
      </c>
      <c r="G19" s="19">
        <v>999999</v>
      </c>
      <c r="H19" s="19">
        <v>1402</v>
      </c>
      <c r="I19" s="19" t="s">
        <v>1022</v>
      </c>
      <c r="J19" s="19" t="s">
        <v>907</v>
      </c>
      <c r="K19" s="19" t="s">
        <v>1023</v>
      </c>
      <c r="L19" s="19" t="s">
        <v>962</v>
      </c>
      <c r="M19" s="19">
        <v>60016</v>
      </c>
      <c r="N19" s="19" t="s">
        <v>963</v>
      </c>
      <c r="O19" s="19"/>
      <c r="P19" s="19">
        <v>60016</v>
      </c>
      <c r="Q19" s="19" t="s">
        <v>1024</v>
      </c>
      <c r="R19" s="49" t="s">
        <v>1025</v>
      </c>
      <c r="S19" t="s">
        <v>966</v>
      </c>
      <c r="T19" s="6">
        <v>2600000000</v>
      </c>
      <c r="U19" s="45">
        <f>VLOOKUP(B19,realPrices!C:G,5,0)</f>
        <v>4309999999</v>
      </c>
    </row>
    <row r="20" spans="1:26" x14ac:dyDescent="0.25">
      <c r="A20" s="21" t="s">
        <v>1026</v>
      </c>
      <c r="B20" s="19" t="s">
        <v>1027</v>
      </c>
      <c r="C20" s="19">
        <v>282</v>
      </c>
      <c r="D20" s="19" t="s">
        <v>1028</v>
      </c>
      <c r="E20" s="19" t="s">
        <v>60</v>
      </c>
      <c r="F20" s="19" t="s">
        <v>905</v>
      </c>
      <c r="G20" s="19">
        <v>999999</v>
      </c>
      <c r="H20" s="19">
        <v>1401</v>
      </c>
      <c r="I20" s="19" t="s">
        <v>1029</v>
      </c>
      <c r="J20" s="19" t="s">
        <v>907</v>
      </c>
      <c r="K20" s="19" t="s">
        <v>1030</v>
      </c>
      <c r="L20" s="19" t="s">
        <v>112</v>
      </c>
      <c r="M20" s="19">
        <v>28242</v>
      </c>
      <c r="N20" s="19" t="s">
        <v>62</v>
      </c>
      <c r="O20" s="19"/>
      <c r="P20" s="19">
        <v>28242</v>
      </c>
      <c r="Q20" s="19" t="s">
        <v>1031</v>
      </c>
      <c r="R20" s="49" t="s">
        <v>1032</v>
      </c>
      <c r="S20" t="s">
        <v>911</v>
      </c>
      <c r="T20" s="6">
        <v>1800000000</v>
      </c>
      <c r="U20" s="45">
        <f>VLOOKUP(B20,realPrices!C:G,5,0)</f>
        <v>2133330099</v>
      </c>
    </row>
    <row r="21" spans="1:26" x14ac:dyDescent="0.25">
      <c r="A21" s="21" t="s">
        <v>453</v>
      </c>
      <c r="B21" s="19" t="s">
        <v>1033</v>
      </c>
      <c r="C21" s="19">
        <v>351</v>
      </c>
      <c r="D21" s="19" t="s">
        <v>904</v>
      </c>
      <c r="E21" s="19" t="s">
        <v>60</v>
      </c>
      <c r="F21" s="19" t="s">
        <v>905</v>
      </c>
      <c r="G21" s="19">
        <v>999999</v>
      </c>
      <c r="H21" s="19">
        <v>1401</v>
      </c>
      <c r="I21" s="19" t="s">
        <v>1034</v>
      </c>
      <c r="J21" s="19" t="s">
        <v>907</v>
      </c>
      <c r="K21" s="19" t="s">
        <v>1035</v>
      </c>
      <c r="L21" s="19" t="s">
        <v>128</v>
      </c>
      <c r="M21" s="19">
        <v>35103</v>
      </c>
      <c r="N21" s="19" t="s">
        <v>62</v>
      </c>
      <c r="O21" s="19"/>
      <c r="P21" s="19">
        <v>35103</v>
      </c>
      <c r="Q21" s="19" t="s">
        <v>1036</v>
      </c>
      <c r="R21" s="49" t="s">
        <v>1037</v>
      </c>
      <c r="S21" t="s">
        <v>1019</v>
      </c>
      <c r="T21" s="6">
        <v>1700000000</v>
      </c>
      <c r="U21" s="45">
        <f>VLOOKUP(B21,realPrices!C:G,5,0)</f>
        <v>3777777777</v>
      </c>
      <c r="Z21"/>
    </row>
    <row r="22" spans="1:26" x14ac:dyDescent="0.25">
      <c r="A22" s="21" t="s">
        <v>1038</v>
      </c>
      <c r="B22" s="19" t="s">
        <v>1039</v>
      </c>
      <c r="C22" s="19">
        <v>293</v>
      </c>
      <c r="D22" s="19" t="s">
        <v>59</v>
      </c>
      <c r="E22" s="19" t="s">
        <v>60</v>
      </c>
      <c r="F22" s="19" t="s">
        <v>66</v>
      </c>
      <c r="G22" s="19">
        <v>999999</v>
      </c>
      <c r="H22" s="19">
        <v>1394</v>
      </c>
      <c r="I22" s="19" t="s">
        <v>1040</v>
      </c>
      <c r="J22" s="19" t="s">
        <v>982</v>
      </c>
      <c r="K22" s="19" t="s">
        <v>1041</v>
      </c>
      <c r="L22" s="19" t="s">
        <v>97</v>
      </c>
      <c r="M22" s="19">
        <v>29339</v>
      </c>
      <c r="N22" s="19" t="s">
        <v>62</v>
      </c>
      <c r="O22" s="19"/>
      <c r="P22" s="19">
        <v>29339</v>
      </c>
      <c r="Q22" s="19" t="s">
        <v>1042</v>
      </c>
      <c r="R22" s="49" t="s">
        <v>1043</v>
      </c>
      <c r="S22" t="s">
        <v>1007</v>
      </c>
      <c r="T22" s="6">
        <v>2300000000</v>
      </c>
      <c r="U22" s="45">
        <f>VLOOKUP(B22,realPrices!C:G,5,0)</f>
        <v>2851434571</v>
      </c>
    </row>
    <row r="23" spans="1:26" x14ac:dyDescent="0.25">
      <c r="A23" s="21" t="s">
        <v>1044</v>
      </c>
      <c r="B23" s="19" t="s">
        <v>1045</v>
      </c>
      <c r="C23" s="19">
        <v>600</v>
      </c>
      <c r="D23" s="19" t="s">
        <v>59</v>
      </c>
      <c r="E23" s="19" t="s">
        <v>60</v>
      </c>
      <c r="F23" s="19" t="s">
        <v>905</v>
      </c>
      <c r="G23" s="19">
        <v>999999</v>
      </c>
      <c r="H23" s="19">
        <v>1402</v>
      </c>
      <c r="I23" s="19" t="s">
        <v>1046</v>
      </c>
      <c r="J23" s="19" t="s">
        <v>907</v>
      </c>
      <c r="K23" s="19" t="s">
        <v>1047</v>
      </c>
      <c r="L23" s="19" t="s">
        <v>962</v>
      </c>
      <c r="M23" s="19">
        <v>60018</v>
      </c>
      <c r="N23" s="19" t="s">
        <v>963</v>
      </c>
      <c r="O23" s="19"/>
      <c r="P23" s="19">
        <v>60018</v>
      </c>
      <c r="Q23" s="19" t="s">
        <v>1048</v>
      </c>
      <c r="R23" s="49" t="s">
        <v>1049</v>
      </c>
      <c r="S23" t="s">
        <v>1050</v>
      </c>
      <c r="T23" s="6">
        <v>2400000000</v>
      </c>
      <c r="U23" s="45">
        <f>VLOOKUP(B23,realPrices!C:G,5,0)</f>
        <v>2850000000</v>
      </c>
    </row>
    <row r="24" spans="1:26" x14ac:dyDescent="0.25">
      <c r="A24" s="21" t="s">
        <v>767</v>
      </c>
      <c r="B24" s="19" t="s">
        <v>1051</v>
      </c>
      <c r="C24" s="19">
        <v>704</v>
      </c>
      <c r="D24" s="19" t="s">
        <v>1028</v>
      </c>
      <c r="E24" s="19" t="s">
        <v>60</v>
      </c>
      <c r="F24" s="19" t="s">
        <v>905</v>
      </c>
      <c r="G24" s="19">
        <v>999999</v>
      </c>
      <c r="H24" s="19">
        <v>1401</v>
      </c>
      <c r="I24" s="19" t="s">
        <v>1052</v>
      </c>
      <c r="J24" s="19" t="s">
        <v>907</v>
      </c>
      <c r="K24" s="19" t="s">
        <v>1053</v>
      </c>
      <c r="L24" s="19" t="s">
        <v>546</v>
      </c>
      <c r="M24" s="19">
        <v>70406</v>
      </c>
      <c r="N24" s="19" t="s">
        <v>62</v>
      </c>
      <c r="O24" s="19"/>
      <c r="P24" s="19">
        <v>70406</v>
      </c>
      <c r="Q24" s="19" t="s">
        <v>1054</v>
      </c>
      <c r="R24" s="49" t="s">
        <v>1055</v>
      </c>
      <c r="S24" t="s">
        <v>1056</v>
      </c>
      <c r="T24" s="6">
        <v>3500000000</v>
      </c>
      <c r="U24" s="45">
        <f>VLOOKUP(B24,realPrices!C:G,5,0)</f>
        <v>5719999999</v>
      </c>
      <c r="Z24"/>
    </row>
    <row r="25" spans="1:26" x14ac:dyDescent="0.25">
      <c r="A25" s="21" t="s">
        <v>967</v>
      </c>
      <c r="B25" s="19" t="s">
        <v>1057</v>
      </c>
      <c r="C25" s="19">
        <v>282</v>
      </c>
      <c r="D25" s="19" t="s">
        <v>59</v>
      </c>
      <c r="E25" s="19" t="s">
        <v>60</v>
      </c>
      <c r="F25" s="19" t="s">
        <v>905</v>
      </c>
      <c r="G25" s="19">
        <v>999999</v>
      </c>
      <c r="H25" s="19">
        <v>1400</v>
      </c>
      <c r="I25" s="19" t="s">
        <v>1058</v>
      </c>
      <c r="J25" s="19" t="s">
        <v>907</v>
      </c>
      <c r="K25" s="19" t="s">
        <v>1059</v>
      </c>
      <c r="L25" s="19" t="s">
        <v>112</v>
      </c>
      <c r="M25" s="19">
        <v>28242</v>
      </c>
      <c r="N25" s="19" t="s">
        <v>62</v>
      </c>
      <c r="O25" s="19"/>
      <c r="P25" s="19">
        <v>28242</v>
      </c>
      <c r="Q25" s="19" t="s">
        <v>1060</v>
      </c>
      <c r="R25" s="49" t="s">
        <v>1061</v>
      </c>
      <c r="S25" t="s">
        <v>1019</v>
      </c>
      <c r="T25" s="6">
        <v>1700000000</v>
      </c>
      <c r="U25" s="45">
        <f>VLOOKUP(B25,realPrices!C:G,5,0)</f>
        <v>2819999999</v>
      </c>
      <c r="Z25"/>
    </row>
    <row r="26" spans="1:26" x14ac:dyDescent="0.25">
      <c r="A26" s="21" t="s">
        <v>1062</v>
      </c>
      <c r="B26" s="19" t="s">
        <v>1063</v>
      </c>
      <c r="C26" s="19">
        <v>269</v>
      </c>
      <c r="D26" s="19" t="s">
        <v>59</v>
      </c>
      <c r="E26" s="19" t="s">
        <v>60</v>
      </c>
      <c r="F26" s="19" t="s">
        <v>905</v>
      </c>
      <c r="G26" s="19">
        <v>999999</v>
      </c>
      <c r="H26" s="19">
        <v>1402</v>
      </c>
      <c r="I26" s="19" t="s">
        <v>1064</v>
      </c>
      <c r="J26" s="19" t="s">
        <v>907</v>
      </c>
      <c r="K26" s="19" t="s">
        <v>1065</v>
      </c>
      <c r="L26" s="19" t="s">
        <v>1066</v>
      </c>
      <c r="M26" s="19">
        <v>26902</v>
      </c>
      <c r="N26" s="19" t="s">
        <v>62</v>
      </c>
      <c r="O26" s="19"/>
      <c r="P26" s="19">
        <v>26902</v>
      </c>
      <c r="Q26" s="19" t="s">
        <v>1067</v>
      </c>
      <c r="R26" s="49" t="s">
        <v>1068</v>
      </c>
      <c r="S26" t="s">
        <v>1069</v>
      </c>
      <c r="T26" s="6">
        <v>2900000000</v>
      </c>
      <c r="U26" s="45">
        <f>VLOOKUP(B26,realPrices!C:G,5,0)</f>
        <v>4577590000</v>
      </c>
      <c r="Z26"/>
    </row>
    <row r="27" spans="1:26" x14ac:dyDescent="0.25">
      <c r="A27" s="21" t="s">
        <v>1070</v>
      </c>
      <c r="B27" s="19" t="s">
        <v>1071</v>
      </c>
      <c r="C27" s="19">
        <v>521</v>
      </c>
      <c r="D27" s="19" t="s">
        <v>59</v>
      </c>
      <c r="E27" s="19" t="s">
        <v>60</v>
      </c>
      <c r="F27" s="19" t="s">
        <v>66</v>
      </c>
      <c r="G27" s="19">
        <v>999999</v>
      </c>
      <c r="H27" s="19">
        <v>1397</v>
      </c>
      <c r="I27" s="19" t="s">
        <v>1072</v>
      </c>
      <c r="J27" s="19" t="s">
        <v>982</v>
      </c>
      <c r="K27" s="19" t="s">
        <v>1073</v>
      </c>
      <c r="L27" s="19" t="s">
        <v>736</v>
      </c>
      <c r="M27" s="19">
        <v>52102</v>
      </c>
      <c r="N27" s="19" t="s">
        <v>963</v>
      </c>
      <c r="O27" s="19"/>
      <c r="P27" s="19">
        <v>52102</v>
      </c>
      <c r="Q27" s="19" t="s">
        <v>1074</v>
      </c>
      <c r="R27" s="49" t="s">
        <v>1075</v>
      </c>
      <c r="S27" t="s">
        <v>1076</v>
      </c>
      <c r="T27" s="6">
        <v>5600000000</v>
      </c>
      <c r="U27" s="45">
        <f>VLOOKUP(B27,realPrices!C:G,5,0)</f>
        <v>10067896789</v>
      </c>
      <c r="Z27"/>
    </row>
    <row r="28" spans="1:26" x14ac:dyDescent="0.25">
      <c r="A28" s="21" t="s">
        <v>1077</v>
      </c>
      <c r="B28" s="19" t="s">
        <v>1078</v>
      </c>
      <c r="C28" s="19">
        <v>282</v>
      </c>
      <c r="D28" s="19" t="s">
        <v>1079</v>
      </c>
      <c r="E28" s="19" t="s">
        <v>60</v>
      </c>
      <c r="F28" s="19" t="s">
        <v>66</v>
      </c>
      <c r="G28" s="19">
        <v>999999</v>
      </c>
      <c r="H28" s="19">
        <v>1395</v>
      </c>
      <c r="I28" s="19" t="s">
        <v>1080</v>
      </c>
      <c r="J28" s="19" t="s">
        <v>982</v>
      </c>
      <c r="K28" s="19" t="s">
        <v>1081</v>
      </c>
      <c r="L28" s="19" t="s">
        <v>112</v>
      </c>
      <c r="M28" s="19">
        <v>28232</v>
      </c>
      <c r="N28" s="19" t="s">
        <v>62</v>
      </c>
      <c r="O28" s="19"/>
      <c r="P28" s="19">
        <v>28232</v>
      </c>
      <c r="Q28" s="19" t="s">
        <v>1082</v>
      </c>
      <c r="R28" s="49" t="s">
        <v>1083</v>
      </c>
      <c r="S28" t="s">
        <v>1084</v>
      </c>
      <c r="T28" s="6">
        <v>3400000000</v>
      </c>
      <c r="U28" s="45">
        <f>VLOOKUP(B28,realPrices!C:G,5,0)</f>
        <v>4250008888</v>
      </c>
    </row>
    <row r="29" spans="1:26" x14ac:dyDescent="0.25">
      <c r="A29" s="21" t="s">
        <v>1085</v>
      </c>
      <c r="B29" s="19" t="s">
        <v>1086</v>
      </c>
      <c r="C29" s="19">
        <v>723</v>
      </c>
      <c r="D29" s="19" t="s">
        <v>1028</v>
      </c>
      <c r="E29" s="19" t="s">
        <v>60</v>
      </c>
      <c r="F29" s="19" t="s">
        <v>66</v>
      </c>
      <c r="G29" s="19">
        <v>999999</v>
      </c>
      <c r="H29" s="19">
        <v>1397</v>
      </c>
      <c r="I29" s="19" t="s">
        <v>1087</v>
      </c>
      <c r="J29" s="19" t="s">
        <v>996</v>
      </c>
      <c r="K29" s="19" t="s">
        <v>1088</v>
      </c>
      <c r="L29" s="19" t="s">
        <v>109</v>
      </c>
      <c r="M29" s="19">
        <v>72303</v>
      </c>
      <c r="N29" s="19" t="s">
        <v>963</v>
      </c>
      <c r="O29" s="19"/>
      <c r="P29" s="19">
        <v>72303</v>
      </c>
      <c r="Q29" s="19" t="s">
        <v>1089</v>
      </c>
      <c r="R29" s="49" t="s">
        <v>1090</v>
      </c>
      <c r="S29" t="s">
        <v>1091</v>
      </c>
      <c r="T29" s="6">
        <v>4900000000</v>
      </c>
      <c r="U29" s="45">
        <f>VLOOKUP(B29,realPrices!C:G,5,0)</f>
        <v>5464000000</v>
      </c>
    </row>
    <row r="30" spans="1:26" x14ac:dyDescent="0.25">
      <c r="A30" s="21" t="s">
        <v>1092</v>
      </c>
      <c r="B30" s="19" t="s">
        <v>1093</v>
      </c>
      <c r="C30" s="19">
        <v>285</v>
      </c>
      <c r="D30" s="19" t="s">
        <v>59</v>
      </c>
      <c r="E30" s="19" t="s">
        <v>60</v>
      </c>
      <c r="F30" s="19" t="s">
        <v>66</v>
      </c>
      <c r="G30" s="19">
        <v>999999</v>
      </c>
      <c r="H30" s="19">
        <v>1393</v>
      </c>
      <c r="I30" s="19" t="s">
        <v>1094</v>
      </c>
      <c r="J30" s="19" t="s">
        <v>996</v>
      </c>
      <c r="K30" s="19" t="s">
        <v>1095</v>
      </c>
      <c r="L30" s="19" t="s">
        <v>84</v>
      </c>
      <c r="M30" s="19">
        <v>28509</v>
      </c>
      <c r="N30" s="19" t="s">
        <v>62</v>
      </c>
      <c r="O30" s="19"/>
      <c r="P30" s="19">
        <v>28509</v>
      </c>
      <c r="Q30" s="19" t="s">
        <v>1096</v>
      </c>
      <c r="R30" s="49" t="s">
        <v>1097</v>
      </c>
      <c r="S30" t="s">
        <v>1084</v>
      </c>
      <c r="T30" s="6">
        <v>3400000000</v>
      </c>
      <c r="U30" s="45">
        <f>VLOOKUP(B30,realPrices!C:G,5,0)</f>
        <v>4400001111</v>
      </c>
      <c r="Z30"/>
    </row>
    <row r="31" spans="1:26" x14ac:dyDescent="0.25">
      <c r="A31" s="21" t="s">
        <v>1098</v>
      </c>
      <c r="B31" s="19" t="s">
        <v>1099</v>
      </c>
      <c r="C31" s="19">
        <v>285</v>
      </c>
      <c r="D31" s="19" t="s">
        <v>59</v>
      </c>
      <c r="E31" s="19" t="s">
        <v>60</v>
      </c>
      <c r="F31" s="19" t="s">
        <v>905</v>
      </c>
      <c r="G31" s="19">
        <v>999999</v>
      </c>
      <c r="H31" s="19">
        <v>1396</v>
      </c>
      <c r="I31" s="19" t="s">
        <v>1100</v>
      </c>
      <c r="J31" s="19" t="s">
        <v>1101</v>
      </c>
      <c r="K31" s="19" t="s">
        <v>1102</v>
      </c>
      <c r="L31" s="19" t="s">
        <v>84</v>
      </c>
      <c r="M31" s="19">
        <v>28513</v>
      </c>
      <c r="N31" s="19" t="s">
        <v>62</v>
      </c>
      <c r="O31" s="19"/>
      <c r="P31" s="19">
        <v>28513</v>
      </c>
      <c r="Q31" s="19" t="s">
        <v>1103</v>
      </c>
      <c r="R31" s="49" t="s">
        <v>1104</v>
      </c>
      <c r="S31" t="s">
        <v>1105</v>
      </c>
      <c r="T31" s="6">
        <v>1600000000</v>
      </c>
      <c r="U31" s="45">
        <f>VLOOKUP(B31,realPrices!C:G,5,0)</f>
        <v>2822999999</v>
      </c>
      <c r="Z31"/>
    </row>
    <row r="32" spans="1:26" x14ac:dyDescent="0.25">
      <c r="A32" s="21" t="s">
        <v>116</v>
      </c>
      <c r="B32" s="19" t="s">
        <v>1106</v>
      </c>
      <c r="C32" s="19">
        <v>260</v>
      </c>
      <c r="D32" s="19" t="s">
        <v>59</v>
      </c>
      <c r="E32" s="19" t="s">
        <v>60</v>
      </c>
      <c r="F32" s="19" t="s">
        <v>905</v>
      </c>
      <c r="G32" s="19">
        <v>999999</v>
      </c>
      <c r="H32" s="19">
        <v>1399</v>
      </c>
      <c r="I32" s="19" t="s">
        <v>1107</v>
      </c>
      <c r="J32" s="19" t="s">
        <v>907</v>
      </c>
      <c r="K32" s="19" t="s">
        <v>1108</v>
      </c>
      <c r="L32" s="19" t="s">
        <v>118</v>
      </c>
      <c r="M32" s="19">
        <v>26031</v>
      </c>
      <c r="N32" s="19" t="s">
        <v>963</v>
      </c>
      <c r="O32" s="19"/>
      <c r="P32" s="19">
        <v>26031</v>
      </c>
      <c r="Q32" s="19" t="s">
        <v>1109</v>
      </c>
      <c r="R32" s="49" t="s">
        <v>1110</v>
      </c>
      <c r="S32" t="s">
        <v>1019</v>
      </c>
      <c r="T32" s="6">
        <v>1700000000</v>
      </c>
      <c r="U32" s="45">
        <f>VLOOKUP(B32,realPrices!C:G,5,0)</f>
        <v>1799999999</v>
      </c>
      <c r="Z32"/>
    </row>
    <row r="33" spans="1:26" x14ac:dyDescent="0.25">
      <c r="A33" s="21" t="s">
        <v>113</v>
      </c>
      <c r="B33" s="19" t="s">
        <v>1111</v>
      </c>
      <c r="C33" s="19">
        <v>610</v>
      </c>
      <c r="D33" s="19" t="s">
        <v>59</v>
      </c>
      <c r="E33" s="19" t="s">
        <v>60</v>
      </c>
      <c r="F33" s="19" t="s">
        <v>905</v>
      </c>
      <c r="G33" s="19">
        <v>999999</v>
      </c>
      <c r="H33" s="19">
        <v>1400</v>
      </c>
      <c r="I33" s="19" t="s">
        <v>1112</v>
      </c>
      <c r="J33" s="19" t="s">
        <v>907</v>
      </c>
      <c r="K33" s="19" t="s">
        <v>1113</v>
      </c>
      <c r="L33" s="19" t="s">
        <v>115</v>
      </c>
      <c r="M33" s="19">
        <v>61015</v>
      </c>
      <c r="N33" s="19" t="s">
        <v>62</v>
      </c>
      <c r="O33" s="19"/>
      <c r="P33" s="19">
        <v>61015</v>
      </c>
      <c r="Q33" s="19" t="s">
        <v>1114</v>
      </c>
      <c r="R33" s="49" t="s">
        <v>1115</v>
      </c>
      <c r="S33" t="s">
        <v>1019</v>
      </c>
      <c r="T33" s="6">
        <v>1700000000</v>
      </c>
      <c r="U33" s="45">
        <f>VLOOKUP(B33,realPrices!C:G,5,0)</f>
        <v>0</v>
      </c>
      <c r="Z33"/>
    </row>
    <row r="34" spans="1:26" x14ac:dyDescent="0.25">
      <c r="A34" s="21" t="s">
        <v>389</v>
      </c>
      <c r="B34" s="19" t="s">
        <v>1116</v>
      </c>
      <c r="C34" s="19">
        <v>351</v>
      </c>
      <c r="D34" s="19" t="s">
        <v>59</v>
      </c>
      <c r="E34" s="19" t="s">
        <v>60</v>
      </c>
      <c r="F34" s="19" t="s">
        <v>905</v>
      </c>
      <c r="G34" s="19">
        <v>999999</v>
      </c>
      <c r="H34" s="19">
        <v>1401</v>
      </c>
      <c r="I34" s="19" t="s">
        <v>1117</v>
      </c>
      <c r="J34" s="19" t="s">
        <v>907</v>
      </c>
      <c r="K34" s="19" t="s">
        <v>1118</v>
      </c>
      <c r="L34" s="19" t="s">
        <v>128</v>
      </c>
      <c r="M34" s="19">
        <v>35103</v>
      </c>
      <c r="N34" s="19" t="s">
        <v>62</v>
      </c>
      <c r="O34" s="19"/>
      <c r="P34" s="19">
        <v>35103</v>
      </c>
      <c r="Q34" s="19" t="s">
        <v>1119</v>
      </c>
      <c r="R34" s="49" t="s">
        <v>1120</v>
      </c>
      <c r="S34" t="s">
        <v>911</v>
      </c>
      <c r="T34" s="6">
        <v>1800000000</v>
      </c>
      <c r="U34" s="45">
        <f>VLOOKUP(B34,realPrices!C:G,5,0)</f>
        <v>2058000000</v>
      </c>
    </row>
    <row r="35" spans="1:26" x14ac:dyDescent="0.25">
      <c r="A35" s="21" t="s">
        <v>1098</v>
      </c>
      <c r="B35" s="19" t="s">
        <v>1121</v>
      </c>
      <c r="C35" s="19">
        <v>285</v>
      </c>
      <c r="D35" s="19" t="s">
        <v>59</v>
      </c>
      <c r="E35" s="19" t="s">
        <v>60</v>
      </c>
      <c r="F35" s="19" t="s">
        <v>905</v>
      </c>
      <c r="G35" s="19">
        <v>999999</v>
      </c>
      <c r="H35" s="19">
        <v>1395</v>
      </c>
      <c r="I35" s="19" t="s">
        <v>1122</v>
      </c>
      <c r="J35" s="19" t="s">
        <v>1101</v>
      </c>
      <c r="K35" s="19" t="s">
        <v>1123</v>
      </c>
      <c r="L35" s="19" t="s">
        <v>84</v>
      </c>
      <c r="M35" s="19">
        <v>28513</v>
      </c>
      <c r="N35" s="19" t="s">
        <v>62</v>
      </c>
      <c r="O35" s="19"/>
      <c r="P35" s="19">
        <v>28513</v>
      </c>
      <c r="Q35" s="19" t="s">
        <v>1124</v>
      </c>
      <c r="R35" s="49" t="s">
        <v>1125</v>
      </c>
      <c r="S35" t="s">
        <v>1019</v>
      </c>
      <c r="T35" s="6">
        <v>1700000000</v>
      </c>
      <c r="U35" s="45">
        <f>VLOOKUP(B35,realPrices!C:G,5,0)</f>
        <v>2719999999</v>
      </c>
    </row>
    <row r="36" spans="1:26" x14ac:dyDescent="0.25">
      <c r="A36" s="21" t="s">
        <v>116</v>
      </c>
      <c r="B36" s="19" t="s">
        <v>1126</v>
      </c>
      <c r="C36" s="19">
        <v>260</v>
      </c>
      <c r="D36" s="19" t="s">
        <v>59</v>
      </c>
      <c r="E36" s="19" t="s">
        <v>60</v>
      </c>
      <c r="F36" s="19" t="s">
        <v>905</v>
      </c>
      <c r="G36" s="19">
        <v>999999</v>
      </c>
      <c r="H36" s="19">
        <v>1401</v>
      </c>
      <c r="I36" s="19" t="s">
        <v>1127</v>
      </c>
      <c r="J36" s="19" t="s">
        <v>907</v>
      </c>
      <c r="K36" s="19" t="s">
        <v>1128</v>
      </c>
      <c r="L36" s="19" t="s">
        <v>118</v>
      </c>
      <c r="M36" s="19">
        <v>26031</v>
      </c>
      <c r="N36" s="19" t="s">
        <v>963</v>
      </c>
      <c r="O36" s="19"/>
      <c r="P36" s="19">
        <v>26031</v>
      </c>
      <c r="Q36" s="19" t="s">
        <v>1129</v>
      </c>
      <c r="R36" s="49" t="s">
        <v>1130</v>
      </c>
      <c r="S36" t="s">
        <v>1019</v>
      </c>
      <c r="T36" s="6">
        <v>1700000000</v>
      </c>
      <c r="U36" s="45">
        <f>VLOOKUP(B36,realPrices!C:G,5,0)</f>
        <v>3012000000</v>
      </c>
    </row>
    <row r="37" spans="1:26" x14ac:dyDescent="0.25">
      <c r="A37" s="21" t="s">
        <v>1131</v>
      </c>
      <c r="B37" s="19" t="s">
        <v>1132</v>
      </c>
      <c r="C37" s="19">
        <v>260</v>
      </c>
      <c r="D37" s="19" t="s">
        <v>59</v>
      </c>
      <c r="E37" s="19" t="s">
        <v>60</v>
      </c>
      <c r="F37" s="19" t="s">
        <v>905</v>
      </c>
      <c r="G37" s="19">
        <v>999999</v>
      </c>
      <c r="H37" s="19">
        <v>1401</v>
      </c>
      <c r="I37" s="19" t="s">
        <v>1133</v>
      </c>
      <c r="J37" s="19" t="s">
        <v>907</v>
      </c>
      <c r="K37" s="19" t="s">
        <v>1134</v>
      </c>
      <c r="L37" s="19" t="s">
        <v>118</v>
      </c>
      <c r="M37" s="19">
        <v>26035</v>
      </c>
      <c r="N37" s="19" t="s">
        <v>963</v>
      </c>
      <c r="O37" s="19"/>
      <c r="P37" s="19">
        <v>26035</v>
      </c>
      <c r="Q37" s="19" t="s">
        <v>1135</v>
      </c>
      <c r="R37" s="49" t="s">
        <v>1136</v>
      </c>
      <c r="S37" t="s">
        <v>930</v>
      </c>
      <c r="T37" s="6">
        <v>2200000000</v>
      </c>
      <c r="U37" s="45">
        <f>VLOOKUP(B37,realPrices!C:G,5,0)</f>
        <v>2959999000</v>
      </c>
    </row>
    <row r="38" spans="1:26" x14ac:dyDescent="0.25">
      <c r="A38" s="21" t="s">
        <v>382</v>
      </c>
      <c r="B38" s="19" t="s">
        <v>1137</v>
      </c>
      <c r="C38" s="19">
        <v>575</v>
      </c>
      <c r="D38" s="19" t="s">
        <v>59</v>
      </c>
      <c r="E38" s="19" t="s">
        <v>60</v>
      </c>
      <c r="F38" s="19" t="s">
        <v>905</v>
      </c>
      <c r="G38" s="19">
        <v>999999</v>
      </c>
      <c r="H38" s="19">
        <v>1400</v>
      </c>
      <c r="I38" s="19" t="s">
        <v>1138</v>
      </c>
      <c r="J38" s="19" t="s">
        <v>907</v>
      </c>
      <c r="K38" s="19" t="s">
        <v>1139</v>
      </c>
      <c r="L38" s="19" t="s">
        <v>124</v>
      </c>
      <c r="M38" s="19">
        <v>57519</v>
      </c>
      <c r="N38" s="19" t="s">
        <v>62</v>
      </c>
      <c r="O38" s="19"/>
      <c r="P38" s="19">
        <v>57519</v>
      </c>
      <c r="Q38" s="19" t="s">
        <v>1140</v>
      </c>
      <c r="R38" s="49" t="s">
        <v>1141</v>
      </c>
      <c r="S38" t="s">
        <v>1019</v>
      </c>
      <c r="T38" s="6">
        <v>1700000000</v>
      </c>
      <c r="U38" s="45">
        <f>VLOOKUP(B38,realPrices!C:G,5,0)</f>
        <v>3300009999</v>
      </c>
    </row>
    <row r="39" spans="1:26" x14ac:dyDescent="0.25">
      <c r="A39" s="21" t="s">
        <v>1142</v>
      </c>
      <c r="B39" s="19" t="s">
        <v>1143</v>
      </c>
      <c r="C39" s="19">
        <v>169</v>
      </c>
      <c r="D39" s="19" t="s">
        <v>1079</v>
      </c>
      <c r="E39" s="19" t="s">
        <v>994</v>
      </c>
      <c r="F39" s="19" t="s">
        <v>905</v>
      </c>
      <c r="G39" s="19">
        <v>999999</v>
      </c>
      <c r="H39" s="19">
        <v>1402</v>
      </c>
      <c r="I39" s="19" t="s">
        <v>1144</v>
      </c>
      <c r="J39" s="19" t="s">
        <v>907</v>
      </c>
      <c r="K39" s="19" t="s">
        <v>1145</v>
      </c>
      <c r="L39" s="19" t="s">
        <v>1146</v>
      </c>
      <c r="M39" s="19">
        <v>16903</v>
      </c>
      <c r="N39" s="19" t="s">
        <v>1147</v>
      </c>
      <c r="O39" s="19"/>
      <c r="P39" s="19">
        <v>16903</v>
      </c>
      <c r="Q39" s="19" t="s">
        <v>1148</v>
      </c>
      <c r="R39" s="49" t="s">
        <v>1149</v>
      </c>
      <c r="S39" t="s">
        <v>911</v>
      </c>
      <c r="T39" s="6">
        <v>1800000000</v>
      </c>
      <c r="U39" s="45">
        <f>VLOOKUP(B39,realPrices!C:G,5,0)</f>
        <v>2631234567</v>
      </c>
    </row>
    <row r="40" spans="1:26" x14ac:dyDescent="0.25">
      <c r="A40" s="21" t="s">
        <v>1044</v>
      </c>
      <c r="B40" s="19" t="s">
        <v>1150</v>
      </c>
      <c r="C40" s="19">
        <v>600</v>
      </c>
      <c r="D40" s="19" t="s">
        <v>59</v>
      </c>
      <c r="E40" s="19" t="s">
        <v>60</v>
      </c>
      <c r="F40" s="19" t="s">
        <v>905</v>
      </c>
      <c r="G40" s="19">
        <v>999999</v>
      </c>
      <c r="H40" s="19">
        <v>1402</v>
      </c>
      <c r="I40" s="19" t="s">
        <v>1151</v>
      </c>
      <c r="J40" s="19" t="s">
        <v>907</v>
      </c>
      <c r="K40" s="19" t="s">
        <v>1152</v>
      </c>
      <c r="L40" s="19" t="s">
        <v>962</v>
      </c>
      <c r="M40" s="19">
        <v>60018</v>
      </c>
      <c r="N40" s="19" t="s">
        <v>963</v>
      </c>
      <c r="O40" s="19"/>
      <c r="P40" s="19">
        <v>60018</v>
      </c>
      <c r="Q40" s="19" t="s">
        <v>1153</v>
      </c>
      <c r="R40" s="49" t="s">
        <v>1154</v>
      </c>
      <c r="S40" t="s">
        <v>1155</v>
      </c>
      <c r="T40" s="6">
        <v>2800000000</v>
      </c>
      <c r="U40" s="45">
        <f>VLOOKUP(B40,realPrices!C:G,5,0)</f>
        <v>3333333333</v>
      </c>
    </row>
    <row r="41" spans="1:26" x14ac:dyDescent="0.25">
      <c r="A41" s="21" t="s">
        <v>447</v>
      </c>
      <c r="B41" s="19" t="s">
        <v>1156</v>
      </c>
      <c r="C41" s="19">
        <v>600</v>
      </c>
      <c r="D41" s="19" t="s">
        <v>59</v>
      </c>
      <c r="E41" s="19" t="s">
        <v>60</v>
      </c>
      <c r="F41" s="19" t="s">
        <v>905</v>
      </c>
      <c r="G41" s="19">
        <v>999999</v>
      </c>
      <c r="H41" s="19">
        <v>1401</v>
      </c>
      <c r="I41" s="19" t="s">
        <v>1157</v>
      </c>
      <c r="J41" s="19" t="s">
        <v>907</v>
      </c>
      <c r="K41" s="19" t="s">
        <v>1158</v>
      </c>
      <c r="L41" s="19" t="s">
        <v>962</v>
      </c>
      <c r="M41" s="19">
        <v>60010</v>
      </c>
      <c r="N41" s="19" t="s">
        <v>963</v>
      </c>
      <c r="O41" s="19"/>
      <c r="P41" s="19">
        <v>60010</v>
      </c>
      <c r="Q41" s="19" t="s">
        <v>1159</v>
      </c>
      <c r="R41" s="49" t="s">
        <v>1160</v>
      </c>
      <c r="S41" t="s">
        <v>950</v>
      </c>
      <c r="T41" s="6">
        <v>2700000000</v>
      </c>
      <c r="U41" s="45">
        <f>VLOOKUP(B41,realPrices!C:G,5,0)</f>
        <v>3200000000</v>
      </c>
    </row>
    <row r="42" spans="1:26" x14ac:dyDescent="0.25">
      <c r="A42" s="21" t="s">
        <v>1020</v>
      </c>
      <c r="B42" s="19" t="s">
        <v>1161</v>
      </c>
      <c r="C42" s="19">
        <v>600</v>
      </c>
      <c r="D42" s="19" t="s">
        <v>59</v>
      </c>
      <c r="E42" s="19" t="s">
        <v>60</v>
      </c>
      <c r="F42" s="19" t="s">
        <v>905</v>
      </c>
      <c r="G42" s="19">
        <v>999999</v>
      </c>
      <c r="H42" s="19">
        <v>1402</v>
      </c>
      <c r="I42" s="19" t="s">
        <v>1162</v>
      </c>
      <c r="J42" s="19" t="s">
        <v>907</v>
      </c>
      <c r="K42" s="19" t="s">
        <v>1163</v>
      </c>
      <c r="L42" s="19" t="s">
        <v>962</v>
      </c>
      <c r="M42" s="19">
        <v>60016</v>
      </c>
      <c r="N42" s="19" t="s">
        <v>963</v>
      </c>
      <c r="O42" s="19"/>
      <c r="P42" s="19">
        <v>60016</v>
      </c>
      <c r="Q42" s="19" t="s">
        <v>1164</v>
      </c>
      <c r="R42" s="49" t="s">
        <v>1165</v>
      </c>
      <c r="S42" t="s">
        <v>1069</v>
      </c>
      <c r="T42" s="6">
        <v>2900000000</v>
      </c>
      <c r="U42" s="45">
        <f>VLOOKUP(B42,realPrices!C:G,5,0)</f>
        <v>0</v>
      </c>
    </row>
    <row r="43" spans="1:26" x14ac:dyDescent="0.25">
      <c r="A43" s="21" t="s">
        <v>1166</v>
      </c>
      <c r="B43" s="19" t="s">
        <v>1167</v>
      </c>
      <c r="C43" s="19">
        <v>704</v>
      </c>
      <c r="D43" s="19" t="s">
        <v>1079</v>
      </c>
      <c r="E43" s="19" t="s">
        <v>60</v>
      </c>
      <c r="F43" s="19" t="s">
        <v>905</v>
      </c>
      <c r="G43" s="19">
        <v>999999</v>
      </c>
      <c r="H43" s="19">
        <v>1402</v>
      </c>
      <c r="I43" s="19" t="s">
        <v>1168</v>
      </c>
      <c r="J43" s="19" t="s">
        <v>907</v>
      </c>
      <c r="K43" s="19" t="s">
        <v>1169</v>
      </c>
      <c r="L43" s="19" t="s">
        <v>546</v>
      </c>
      <c r="M43" s="19">
        <v>70410</v>
      </c>
      <c r="N43" s="19" t="s">
        <v>62</v>
      </c>
      <c r="O43" s="19"/>
      <c r="P43" s="19">
        <v>70410</v>
      </c>
      <c r="Q43" s="19" t="s">
        <v>1170</v>
      </c>
      <c r="R43" s="49" t="s">
        <v>1171</v>
      </c>
      <c r="S43" t="s">
        <v>1172</v>
      </c>
      <c r="T43" s="6">
        <v>3600000000</v>
      </c>
      <c r="U43" s="45">
        <f>VLOOKUP(B43,realPrices!C:G,5,0)</f>
        <v>3824000000</v>
      </c>
      <c r="Z43"/>
    </row>
    <row r="44" spans="1:26" x14ac:dyDescent="0.25">
      <c r="A44" s="21" t="s">
        <v>82</v>
      </c>
      <c r="B44" s="19" t="s">
        <v>1173</v>
      </c>
      <c r="C44" s="19">
        <v>285</v>
      </c>
      <c r="D44" s="19" t="s">
        <v>59</v>
      </c>
      <c r="E44" s="19" t="s">
        <v>60</v>
      </c>
      <c r="F44" s="19" t="s">
        <v>905</v>
      </c>
      <c r="G44" s="19">
        <v>999999</v>
      </c>
      <c r="H44" s="19">
        <v>1402</v>
      </c>
      <c r="I44" s="19" t="s">
        <v>1174</v>
      </c>
      <c r="J44" s="19" t="s">
        <v>907</v>
      </c>
      <c r="K44" s="19" t="s">
        <v>1175</v>
      </c>
      <c r="L44" s="19" t="s">
        <v>84</v>
      </c>
      <c r="M44" s="19">
        <v>28520</v>
      </c>
      <c r="N44" s="19" t="s">
        <v>62</v>
      </c>
      <c r="O44" s="19"/>
      <c r="P44" s="19">
        <v>28520</v>
      </c>
      <c r="Q44" s="19" t="s">
        <v>1176</v>
      </c>
      <c r="R44" s="49" t="s">
        <v>1177</v>
      </c>
      <c r="S44" t="s">
        <v>936</v>
      </c>
      <c r="T44" s="6">
        <v>2000000000</v>
      </c>
      <c r="U44" s="45">
        <f>VLOOKUP(B44,realPrices!C:G,5,0)</f>
        <v>4320000000</v>
      </c>
    </row>
    <row r="45" spans="1:26" x14ac:dyDescent="0.25">
      <c r="A45" s="21" t="s">
        <v>1178</v>
      </c>
      <c r="B45" s="19" t="s">
        <v>1179</v>
      </c>
      <c r="C45" s="19">
        <v>284</v>
      </c>
      <c r="D45" s="19" t="s">
        <v>59</v>
      </c>
      <c r="E45" s="19" t="s">
        <v>60</v>
      </c>
      <c r="F45" s="19" t="s">
        <v>905</v>
      </c>
      <c r="G45" s="19">
        <v>999999</v>
      </c>
      <c r="H45" s="19">
        <v>1390</v>
      </c>
      <c r="I45" s="19">
        <v>12690007137</v>
      </c>
      <c r="J45" s="19" t="s">
        <v>907</v>
      </c>
      <c r="K45" s="19" t="s">
        <v>1180</v>
      </c>
      <c r="L45" s="19" t="s">
        <v>1181</v>
      </c>
      <c r="M45" s="19">
        <v>28409</v>
      </c>
      <c r="N45" s="19" t="s">
        <v>62</v>
      </c>
      <c r="O45" s="19"/>
      <c r="P45" s="19">
        <v>28409</v>
      </c>
      <c r="Q45" s="19" t="s">
        <v>1182</v>
      </c>
      <c r="R45" s="49" t="s">
        <v>1183</v>
      </c>
      <c r="S45" t="s">
        <v>1184</v>
      </c>
      <c r="T45" s="6">
        <v>1400000000</v>
      </c>
      <c r="U45" s="45">
        <f>VLOOKUP(B45,realPrices!C:G,5,0)</f>
        <v>0</v>
      </c>
    </row>
    <row r="46" spans="1:26" x14ac:dyDescent="0.25">
      <c r="A46" s="21" t="s">
        <v>1098</v>
      </c>
      <c r="B46" s="19" t="s">
        <v>1185</v>
      </c>
      <c r="C46" s="19">
        <v>285</v>
      </c>
      <c r="D46" s="19" t="s">
        <v>59</v>
      </c>
      <c r="E46" s="19" t="s">
        <v>60</v>
      </c>
      <c r="F46" s="19" t="s">
        <v>905</v>
      </c>
      <c r="G46" s="19">
        <v>999999</v>
      </c>
      <c r="H46" s="19">
        <v>1397</v>
      </c>
      <c r="I46" s="19" t="s">
        <v>1186</v>
      </c>
      <c r="J46" s="19" t="s">
        <v>907</v>
      </c>
      <c r="K46" s="19" t="s">
        <v>1187</v>
      </c>
      <c r="L46" s="19" t="s">
        <v>84</v>
      </c>
      <c r="M46" s="19">
        <v>28513</v>
      </c>
      <c r="N46" s="19" t="s">
        <v>62</v>
      </c>
      <c r="O46" s="19"/>
      <c r="P46" s="19">
        <v>28513</v>
      </c>
      <c r="Q46" s="19" t="s">
        <v>1188</v>
      </c>
      <c r="R46" s="49" t="s">
        <v>1189</v>
      </c>
      <c r="S46" t="s">
        <v>1105</v>
      </c>
      <c r="T46" s="6">
        <v>1600000000</v>
      </c>
      <c r="U46" s="45">
        <f>VLOOKUP(B46,realPrices!C:G,5,0)</f>
        <v>2340000000</v>
      </c>
    </row>
    <row r="47" spans="1:26" x14ac:dyDescent="0.25">
      <c r="A47" s="21" t="s">
        <v>382</v>
      </c>
      <c r="B47" s="19" t="s">
        <v>1190</v>
      </c>
      <c r="C47" s="19">
        <v>575</v>
      </c>
      <c r="D47" s="19" t="s">
        <v>59</v>
      </c>
      <c r="E47" s="19" t="s">
        <v>60</v>
      </c>
      <c r="F47" s="19" t="s">
        <v>905</v>
      </c>
      <c r="G47" s="19">
        <v>999999</v>
      </c>
      <c r="H47" s="19">
        <v>1401</v>
      </c>
      <c r="I47" s="19" t="s">
        <v>1191</v>
      </c>
      <c r="J47" s="19" t="s">
        <v>907</v>
      </c>
      <c r="K47" s="19" t="s">
        <v>1192</v>
      </c>
      <c r="L47" s="19" t="s">
        <v>124</v>
      </c>
      <c r="M47" s="19">
        <v>57519</v>
      </c>
      <c r="N47" s="19" t="s">
        <v>62</v>
      </c>
      <c r="O47" s="19"/>
      <c r="P47" s="19">
        <v>57519</v>
      </c>
      <c r="Q47" s="19" t="s">
        <v>1193</v>
      </c>
      <c r="R47" s="49" t="s">
        <v>1194</v>
      </c>
      <c r="S47" t="s">
        <v>1019</v>
      </c>
      <c r="T47" s="6">
        <v>1700000000</v>
      </c>
      <c r="U47" s="45">
        <f>VLOOKUP(B47,realPrices!C:G,5,0)</f>
        <v>2900000000</v>
      </c>
      <c r="Z47"/>
    </row>
    <row r="48" spans="1:26" x14ac:dyDescent="0.25">
      <c r="A48" s="21" t="s">
        <v>1195</v>
      </c>
      <c r="B48" s="19" t="s">
        <v>1196</v>
      </c>
      <c r="C48" s="19">
        <v>260</v>
      </c>
      <c r="D48" s="19" t="s">
        <v>59</v>
      </c>
      <c r="E48" s="19" t="s">
        <v>60</v>
      </c>
      <c r="F48" s="19" t="s">
        <v>905</v>
      </c>
      <c r="G48" s="19">
        <v>999999</v>
      </c>
      <c r="H48" s="19">
        <v>1398</v>
      </c>
      <c r="I48" s="19" t="s">
        <v>1197</v>
      </c>
      <c r="J48" s="19" t="s">
        <v>907</v>
      </c>
      <c r="K48" s="19" t="s">
        <v>1198</v>
      </c>
      <c r="L48" s="19" t="s">
        <v>118</v>
      </c>
      <c r="M48" s="19">
        <v>26034</v>
      </c>
      <c r="N48" s="19" t="s">
        <v>963</v>
      </c>
      <c r="O48" s="19"/>
      <c r="P48" s="19">
        <v>26034</v>
      </c>
      <c r="Q48" s="19" t="s">
        <v>1199</v>
      </c>
      <c r="R48" s="49" t="s">
        <v>1200</v>
      </c>
      <c r="S48" t="s">
        <v>1019</v>
      </c>
      <c r="T48" s="6">
        <v>1700000000</v>
      </c>
      <c r="U48" s="45">
        <f>VLOOKUP(B48,realPrices!C:G,5,0)</f>
        <v>2378999899</v>
      </c>
    </row>
    <row r="49" spans="1:26" x14ac:dyDescent="0.25">
      <c r="A49" s="21" t="s">
        <v>917</v>
      </c>
      <c r="B49" s="19" t="s">
        <v>1201</v>
      </c>
      <c r="C49" s="19">
        <v>351</v>
      </c>
      <c r="D49" s="19" t="s">
        <v>59</v>
      </c>
      <c r="E49" s="19" t="s">
        <v>60</v>
      </c>
      <c r="F49" s="19" t="s">
        <v>905</v>
      </c>
      <c r="G49" s="19">
        <v>999999</v>
      </c>
      <c r="H49" s="19">
        <v>1402</v>
      </c>
      <c r="I49" s="19" t="s">
        <v>1202</v>
      </c>
      <c r="J49" s="19" t="s">
        <v>907</v>
      </c>
      <c r="K49" s="19" t="s">
        <v>1203</v>
      </c>
      <c r="L49" s="19" t="s">
        <v>128</v>
      </c>
      <c r="M49" s="19">
        <v>35106</v>
      </c>
      <c r="N49" s="19" t="s">
        <v>62</v>
      </c>
      <c r="O49" s="19"/>
      <c r="P49" s="19">
        <v>35106</v>
      </c>
      <c r="Q49" s="19" t="s">
        <v>1204</v>
      </c>
      <c r="R49" s="49" t="s">
        <v>1205</v>
      </c>
      <c r="S49" t="s">
        <v>1013</v>
      </c>
      <c r="T49" s="6">
        <v>1900000000</v>
      </c>
      <c r="U49" s="45">
        <f>VLOOKUP(B49,realPrices!C:G,5,0)</f>
        <v>3020000000</v>
      </c>
    </row>
    <row r="50" spans="1:26" x14ac:dyDescent="0.25">
      <c r="A50" s="21" t="s">
        <v>447</v>
      </c>
      <c r="B50" s="19" t="s">
        <v>1206</v>
      </c>
      <c r="C50" s="19">
        <v>600</v>
      </c>
      <c r="D50" s="19" t="s">
        <v>59</v>
      </c>
      <c r="E50" s="19" t="s">
        <v>60</v>
      </c>
      <c r="F50" s="19" t="s">
        <v>905</v>
      </c>
      <c r="G50" s="19">
        <v>999999</v>
      </c>
      <c r="H50" s="19">
        <v>1400</v>
      </c>
      <c r="I50" s="19" t="s">
        <v>1207</v>
      </c>
      <c r="J50" s="19" t="s">
        <v>907</v>
      </c>
      <c r="K50" s="19" t="s">
        <v>1208</v>
      </c>
      <c r="L50" s="19" t="s">
        <v>962</v>
      </c>
      <c r="M50" s="19">
        <v>60010</v>
      </c>
      <c r="N50" s="19" t="s">
        <v>963</v>
      </c>
      <c r="O50" s="19"/>
      <c r="P50" s="19">
        <v>60010</v>
      </c>
      <c r="Q50" s="19" t="s">
        <v>1209</v>
      </c>
      <c r="R50" s="49" t="s">
        <v>1210</v>
      </c>
      <c r="S50" t="s">
        <v>950</v>
      </c>
      <c r="T50" s="6">
        <v>2700000000</v>
      </c>
      <c r="U50" s="45">
        <f>VLOOKUP(B50,realPrices!C:G,5,0)</f>
        <v>4588888888</v>
      </c>
      <c r="Z50"/>
    </row>
    <row r="51" spans="1:26" x14ac:dyDescent="0.25">
      <c r="A51" s="21" t="s">
        <v>1211</v>
      </c>
      <c r="B51" s="19" t="s">
        <v>1212</v>
      </c>
      <c r="C51" s="19">
        <v>322</v>
      </c>
      <c r="D51" s="19" t="s">
        <v>952</v>
      </c>
      <c r="E51" s="19" t="s">
        <v>60</v>
      </c>
      <c r="F51" s="19" t="s">
        <v>905</v>
      </c>
      <c r="G51" s="19">
        <v>999999</v>
      </c>
      <c r="H51" s="19">
        <v>1402</v>
      </c>
      <c r="I51" s="19" t="s">
        <v>1213</v>
      </c>
      <c r="J51" s="19" t="s">
        <v>1101</v>
      </c>
      <c r="K51" s="19" t="s">
        <v>1214</v>
      </c>
      <c r="L51" s="19" t="s">
        <v>65</v>
      </c>
      <c r="M51" s="19">
        <v>32207</v>
      </c>
      <c r="N51" s="19" t="s">
        <v>62</v>
      </c>
      <c r="O51" s="19"/>
      <c r="P51" s="19">
        <v>32207</v>
      </c>
      <c r="Q51" s="19" t="s">
        <v>1215</v>
      </c>
      <c r="R51" s="49" t="s">
        <v>1216</v>
      </c>
      <c r="S51" t="s">
        <v>973</v>
      </c>
      <c r="T51" s="6">
        <v>3900000000</v>
      </c>
      <c r="U51" s="45">
        <f>VLOOKUP(B51,realPrices!C:G,5,0)</f>
        <v>0</v>
      </c>
      <c r="Z51"/>
    </row>
    <row r="52" spans="1:26" x14ac:dyDescent="0.25">
      <c r="A52" s="21" t="s">
        <v>1217</v>
      </c>
      <c r="B52" s="19" t="s">
        <v>1218</v>
      </c>
      <c r="C52" s="19">
        <v>701</v>
      </c>
      <c r="D52" s="19" t="s">
        <v>1028</v>
      </c>
      <c r="E52" s="19" t="s">
        <v>60</v>
      </c>
      <c r="F52" s="19" t="s">
        <v>905</v>
      </c>
      <c r="G52" s="19">
        <v>999999</v>
      </c>
      <c r="H52" s="19">
        <v>1397</v>
      </c>
      <c r="I52" s="19" t="s">
        <v>1219</v>
      </c>
      <c r="J52" s="19" t="s">
        <v>907</v>
      </c>
      <c r="K52" s="19" t="s">
        <v>1220</v>
      </c>
      <c r="L52" s="19" t="s">
        <v>130</v>
      </c>
      <c r="M52" s="19">
        <v>70101</v>
      </c>
      <c r="N52" s="19" t="s">
        <v>62</v>
      </c>
      <c r="O52" s="19"/>
      <c r="P52" s="19">
        <v>70101</v>
      </c>
      <c r="Q52" s="19" t="s">
        <v>1221</v>
      </c>
      <c r="R52" s="49" t="s">
        <v>1222</v>
      </c>
      <c r="S52" t="s">
        <v>950</v>
      </c>
      <c r="T52" s="6">
        <v>2700000000</v>
      </c>
      <c r="U52" s="45">
        <f>VLOOKUP(B52,realPrices!C:G,5,0)</f>
        <v>3160000000</v>
      </c>
    </row>
    <row r="53" spans="1:26" x14ac:dyDescent="0.25">
      <c r="A53" s="21" t="s">
        <v>82</v>
      </c>
      <c r="B53" s="19" t="s">
        <v>1223</v>
      </c>
      <c r="C53" s="19">
        <v>285</v>
      </c>
      <c r="D53" s="19" t="s">
        <v>59</v>
      </c>
      <c r="E53" s="19" t="s">
        <v>60</v>
      </c>
      <c r="F53" s="19" t="s">
        <v>905</v>
      </c>
      <c r="G53" s="19">
        <v>999999</v>
      </c>
      <c r="H53" s="19">
        <v>1401</v>
      </c>
      <c r="I53" s="19" t="s">
        <v>1224</v>
      </c>
      <c r="J53" s="19" t="s">
        <v>1101</v>
      </c>
      <c r="K53" s="19" t="s">
        <v>1225</v>
      </c>
      <c r="L53" s="19" t="s">
        <v>84</v>
      </c>
      <c r="M53" s="19">
        <v>28520</v>
      </c>
      <c r="N53" s="19" t="s">
        <v>62</v>
      </c>
      <c r="O53" s="19"/>
      <c r="P53" s="19">
        <v>28520</v>
      </c>
      <c r="Q53" s="19" t="s">
        <v>1226</v>
      </c>
      <c r="R53" s="49" t="s">
        <v>1227</v>
      </c>
      <c r="S53" t="s">
        <v>1013</v>
      </c>
      <c r="T53" s="6">
        <v>1900000000</v>
      </c>
      <c r="U53" s="45">
        <f>VLOOKUP(B53,realPrices!C:G,5,0)</f>
        <v>3721234567</v>
      </c>
      <c r="Z53"/>
    </row>
    <row r="54" spans="1:26" x14ac:dyDescent="0.25">
      <c r="A54" s="21" t="s">
        <v>82</v>
      </c>
      <c r="B54" s="19" t="s">
        <v>1228</v>
      </c>
      <c r="C54" s="19">
        <v>285</v>
      </c>
      <c r="D54" s="19" t="s">
        <v>59</v>
      </c>
      <c r="E54" s="19" t="s">
        <v>60</v>
      </c>
      <c r="F54" s="19" t="s">
        <v>905</v>
      </c>
      <c r="G54" s="19">
        <v>999999</v>
      </c>
      <c r="H54" s="19">
        <v>1399</v>
      </c>
      <c r="I54" s="19" t="s">
        <v>1229</v>
      </c>
      <c r="J54" s="19" t="s">
        <v>907</v>
      </c>
      <c r="K54" s="19" t="s">
        <v>1230</v>
      </c>
      <c r="L54" s="19" t="s">
        <v>84</v>
      </c>
      <c r="M54" s="19">
        <v>28520</v>
      </c>
      <c r="N54" s="19" t="s">
        <v>62</v>
      </c>
      <c r="O54" s="19"/>
      <c r="P54" s="19">
        <v>28520</v>
      </c>
      <c r="Q54" s="19" t="s">
        <v>1231</v>
      </c>
      <c r="R54" s="49" t="s">
        <v>1232</v>
      </c>
      <c r="S54" t="s">
        <v>1013</v>
      </c>
      <c r="T54" s="6">
        <v>1900000000</v>
      </c>
      <c r="U54" s="45">
        <f>VLOOKUP(B54,realPrices!C:G,5,0)</f>
        <v>2700999999</v>
      </c>
    </row>
    <row r="55" spans="1:26" x14ac:dyDescent="0.25">
      <c r="A55" s="21" t="s">
        <v>1233</v>
      </c>
      <c r="B55" s="19" t="s">
        <v>1234</v>
      </c>
      <c r="C55" s="19">
        <v>707</v>
      </c>
      <c r="D55" s="19" t="s">
        <v>904</v>
      </c>
      <c r="E55" s="19" t="s">
        <v>60</v>
      </c>
      <c r="F55" s="19" t="s">
        <v>905</v>
      </c>
      <c r="G55" s="19">
        <v>999999</v>
      </c>
      <c r="H55" s="19">
        <v>1402</v>
      </c>
      <c r="I55" s="19" t="s">
        <v>1235</v>
      </c>
      <c r="J55" s="19" t="s">
        <v>907</v>
      </c>
      <c r="K55" s="19" t="s">
        <v>1236</v>
      </c>
      <c r="L55" s="19" t="s">
        <v>465</v>
      </c>
      <c r="M55" s="19">
        <v>70709</v>
      </c>
      <c r="N55" s="19" t="s">
        <v>62</v>
      </c>
      <c r="O55" s="19"/>
      <c r="P55" s="19">
        <v>70709</v>
      </c>
      <c r="Q55" s="19" t="s">
        <v>1237</v>
      </c>
      <c r="R55" s="49" t="s">
        <v>1238</v>
      </c>
      <c r="S55" t="s">
        <v>1239</v>
      </c>
      <c r="T55" s="6">
        <v>4200000000</v>
      </c>
      <c r="U55" s="45">
        <f>VLOOKUP(B55,realPrices!C:G,5,0)</f>
        <v>4451255000</v>
      </c>
      <c r="Z55"/>
    </row>
    <row r="56" spans="1:26" x14ac:dyDescent="0.25">
      <c r="A56" s="21" t="s">
        <v>1240</v>
      </c>
      <c r="B56" s="19" t="s">
        <v>1241</v>
      </c>
      <c r="C56" s="19">
        <v>351</v>
      </c>
      <c r="D56" s="19" t="s">
        <v>59</v>
      </c>
      <c r="E56" s="19" t="s">
        <v>60</v>
      </c>
      <c r="F56" s="19" t="s">
        <v>905</v>
      </c>
      <c r="G56" s="19">
        <v>999999</v>
      </c>
      <c r="H56" s="19">
        <v>1401</v>
      </c>
      <c r="I56" s="19" t="s">
        <v>1242</v>
      </c>
      <c r="J56" s="19" t="s">
        <v>1101</v>
      </c>
      <c r="K56" s="19" t="s">
        <v>1243</v>
      </c>
      <c r="L56" s="19" t="s">
        <v>128</v>
      </c>
      <c r="M56" s="19">
        <v>35105</v>
      </c>
      <c r="N56" s="19" t="s">
        <v>62</v>
      </c>
      <c r="O56" s="19"/>
      <c r="P56" s="19">
        <v>35105</v>
      </c>
      <c r="Q56" s="19" t="s">
        <v>1244</v>
      </c>
      <c r="R56" s="49" t="s">
        <v>1245</v>
      </c>
      <c r="S56" t="s">
        <v>936</v>
      </c>
      <c r="T56" s="6">
        <v>2000000000</v>
      </c>
      <c r="U56" s="45">
        <f>VLOOKUP(B56,realPrices!C:G,5,0)</f>
        <v>2921000000</v>
      </c>
    </row>
    <row r="57" spans="1:26" x14ac:dyDescent="0.25">
      <c r="A57" s="21" t="s">
        <v>559</v>
      </c>
      <c r="B57" s="19" t="s">
        <v>1246</v>
      </c>
      <c r="C57" s="19">
        <v>606</v>
      </c>
      <c r="D57" s="19" t="s">
        <v>59</v>
      </c>
      <c r="E57" s="19" t="s">
        <v>60</v>
      </c>
      <c r="F57" s="19" t="s">
        <v>905</v>
      </c>
      <c r="G57" s="19">
        <v>999999</v>
      </c>
      <c r="H57" s="19">
        <v>1401</v>
      </c>
      <c r="I57" s="19" t="s">
        <v>1247</v>
      </c>
      <c r="J57" s="19" t="s">
        <v>1101</v>
      </c>
      <c r="K57" s="19" t="s">
        <v>1248</v>
      </c>
      <c r="L57" s="19" t="s">
        <v>560</v>
      </c>
      <c r="M57" s="19">
        <v>60602</v>
      </c>
      <c r="N57" s="19" t="s">
        <v>947</v>
      </c>
      <c r="O57" s="19"/>
      <c r="P57" s="19">
        <v>60602</v>
      </c>
      <c r="Q57" s="19" t="s">
        <v>1249</v>
      </c>
      <c r="R57" s="49" t="s">
        <v>1250</v>
      </c>
      <c r="S57" t="s">
        <v>950</v>
      </c>
      <c r="T57" s="6">
        <v>2700000000</v>
      </c>
      <c r="U57" s="45">
        <f>VLOOKUP(B57,realPrices!C:G,5,0)</f>
        <v>4313630430</v>
      </c>
      <c r="Z57"/>
    </row>
    <row r="58" spans="1:26" x14ac:dyDescent="0.25">
      <c r="A58" s="21" t="s">
        <v>389</v>
      </c>
      <c r="B58" s="19" t="s">
        <v>1251</v>
      </c>
      <c r="C58" s="19">
        <v>351</v>
      </c>
      <c r="D58" s="19" t="s">
        <v>59</v>
      </c>
      <c r="E58" s="19" t="s">
        <v>60</v>
      </c>
      <c r="F58" s="19" t="s">
        <v>905</v>
      </c>
      <c r="G58" s="19">
        <v>999999</v>
      </c>
      <c r="H58" s="19">
        <v>1401</v>
      </c>
      <c r="I58" s="19" t="s">
        <v>1252</v>
      </c>
      <c r="J58" s="19" t="s">
        <v>1101</v>
      </c>
      <c r="K58" s="19" t="s">
        <v>1253</v>
      </c>
      <c r="L58" s="19" t="s">
        <v>128</v>
      </c>
      <c r="M58" s="19">
        <v>35103</v>
      </c>
      <c r="N58" s="19" t="s">
        <v>62</v>
      </c>
      <c r="O58" s="19"/>
      <c r="P58" s="19">
        <v>35103</v>
      </c>
      <c r="Q58" s="19" t="s">
        <v>1254</v>
      </c>
      <c r="R58" s="49" t="s">
        <v>1255</v>
      </c>
      <c r="S58" t="s">
        <v>1013</v>
      </c>
      <c r="T58" s="6">
        <v>1900000000</v>
      </c>
      <c r="U58" s="45">
        <f>VLOOKUP(B58,realPrices!C:G,5,0)</f>
        <v>2433000000</v>
      </c>
    </row>
    <row r="59" spans="1:26" x14ac:dyDescent="0.25">
      <c r="A59" s="21" t="s">
        <v>1098</v>
      </c>
      <c r="B59" s="19" t="s">
        <v>1256</v>
      </c>
      <c r="C59" s="19">
        <v>285</v>
      </c>
      <c r="D59" s="19" t="s">
        <v>59</v>
      </c>
      <c r="E59" s="19" t="s">
        <v>60</v>
      </c>
      <c r="F59" s="19" t="s">
        <v>905</v>
      </c>
      <c r="G59" s="19">
        <v>999999</v>
      </c>
      <c r="H59" s="19">
        <v>1397</v>
      </c>
      <c r="I59" s="19" t="s">
        <v>1257</v>
      </c>
      <c r="J59" s="19" t="s">
        <v>1101</v>
      </c>
      <c r="K59" s="19" t="s">
        <v>1258</v>
      </c>
      <c r="L59" t="s">
        <v>84</v>
      </c>
      <c r="M59" s="19">
        <v>28513</v>
      </c>
      <c r="N59" s="19" t="s">
        <v>62</v>
      </c>
      <c r="O59" s="19"/>
      <c r="P59" s="19">
        <v>28513</v>
      </c>
      <c r="Q59" s="19" t="s">
        <v>1259</v>
      </c>
      <c r="R59" s="49" t="s">
        <v>1260</v>
      </c>
      <c r="S59" t="s">
        <v>1184</v>
      </c>
      <c r="T59" s="6">
        <v>1400000000</v>
      </c>
      <c r="U59" s="45">
        <f>VLOOKUP(B59,realPrices!C:G,5,0)</f>
        <v>2110990000</v>
      </c>
    </row>
    <row r="60" spans="1:26" x14ac:dyDescent="0.25">
      <c r="A60" s="21" t="s">
        <v>1261</v>
      </c>
      <c r="B60" s="19" t="s">
        <v>1262</v>
      </c>
      <c r="C60" s="19">
        <v>285</v>
      </c>
      <c r="D60" s="19" t="s">
        <v>59</v>
      </c>
      <c r="E60" s="19" t="s">
        <v>60</v>
      </c>
      <c r="F60" s="19" t="s">
        <v>905</v>
      </c>
      <c r="G60" s="19">
        <v>999999</v>
      </c>
      <c r="H60" s="19">
        <v>1398</v>
      </c>
      <c r="I60" s="19" t="s">
        <v>1263</v>
      </c>
      <c r="J60" s="19" t="s">
        <v>907</v>
      </c>
      <c r="K60" s="19" t="s">
        <v>1264</v>
      </c>
      <c r="L60" s="19" t="s">
        <v>84</v>
      </c>
      <c r="M60" s="19">
        <v>28519</v>
      </c>
      <c r="N60" s="19" t="s">
        <v>62</v>
      </c>
      <c r="O60" s="19"/>
      <c r="P60" s="19">
        <v>28519</v>
      </c>
      <c r="Q60" s="19" t="s">
        <v>1265</v>
      </c>
      <c r="R60" s="49" t="s">
        <v>1266</v>
      </c>
      <c r="S60" t="s">
        <v>1013</v>
      </c>
      <c r="T60" s="6">
        <v>1900000000</v>
      </c>
      <c r="U60" s="45">
        <f>VLOOKUP(B60,realPrices!C:G,5,0)</f>
        <v>2080000000</v>
      </c>
    </row>
    <row r="61" spans="1:26" x14ac:dyDescent="0.25">
      <c r="A61" s="21" t="s">
        <v>1267</v>
      </c>
      <c r="B61" s="19" t="s">
        <v>1268</v>
      </c>
      <c r="C61" s="19">
        <v>351</v>
      </c>
      <c r="D61" s="19" t="s">
        <v>59</v>
      </c>
      <c r="E61" s="19" t="s">
        <v>60</v>
      </c>
      <c r="F61" s="19" t="s">
        <v>905</v>
      </c>
      <c r="G61" s="19">
        <v>999999</v>
      </c>
      <c r="H61" s="19">
        <v>1402</v>
      </c>
      <c r="I61" s="19" t="s">
        <v>1269</v>
      </c>
      <c r="J61" s="19" t="s">
        <v>907</v>
      </c>
      <c r="K61" s="19" t="s">
        <v>1270</v>
      </c>
      <c r="L61" s="19" t="s">
        <v>128</v>
      </c>
      <c r="M61" s="19">
        <v>35107</v>
      </c>
      <c r="N61" s="19" t="s">
        <v>62</v>
      </c>
      <c r="O61" s="19"/>
      <c r="P61" s="19">
        <v>35107</v>
      </c>
      <c r="Q61" s="19" t="s">
        <v>1271</v>
      </c>
      <c r="R61" s="49" t="s">
        <v>1272</v>
      </c>
      <c r="S61" t="s">
        <v>911</v>
      </c>
      <c r="T61" s="6">
        <v>1800000000</v>
      </c>
      <c r="U61" s="45">
        <f>VLOOKUP(B61,realPrices!C:G,5,0)</f>
        <v>3800000000</v>
      </c>
    </row>
    <row r="62" spans="1:26" x14ac:dyDescent="0.25">
      <c r="A62" s="21" t="s">
        <v>155</v>
      </c>
      <c r="B62" s="19" t="s">
        <v>1273</v>
      </c>
      <c r="C62" s="19">
        <v>351</v>
      </c>
      <c r="D62" s="19" t="s">
        <v>59</v>
      </c>
      <c r="E62" s="19" t="s">
        <v>60</v>
      </c>
      <c r="F62" s="19" t="s">
        <v>905</v>
      </c>
      <c r="G62" s="19">
        <v>999999</v>
      </c>
      <c r="H62" s="19">
        <v>1401</v>
      </c>
      <c r="I62" s="19" t="s">
        <v>1274</v>
      </c>
      <c r="J62" s="19" t="s">
        <v>907</v>
      </c>
      <c r="K62" s="19" t="s">
        <v>1275</v>
      </c>
      <c r="L62" s="19" t="s">
        <v>128</v>
      </c>
      <c r="M62" s="19">
        <v>35101</v>
      </c>
      <c r="N62" s="19" t="s">
        <v>62</v>
      </c>
      <c r="O62" s="19"/>
      <c r="P62" s="19">
        <v>35101</v>
      </c>
      <c r="Q62" s="19" t="s">
        <v>1276</v>
      </c>
      <c r="R62" s="49" t="s">
        <v>1277</v>
      </c>
      <c r="S62" t="s">
        <v>1019</v>
      </c>
      <c r="T62" s="6">
        <v>1700000000</v>
      </c>
      <c r="U62" s="45">
        <f>VLOOKUP(B62,realPrices!C:G,5,0)</f>
        <v>2284500000</v>
      </c>
    </row>
    <row r="63" spans="1:26" x14ac:dyDescent="0.25">
      <c r="A63" t="s">
        <v>917</v>
      </c>
      <c r="B63" t="s">
        <v>1278</v>
      </c>
      <c r="C63">
        <v>351</v>
      </c>
      <c r="D63" t="s">
        <v>59</v>
      </c>
      <c r="E63" t="s">
        <v>60</v>
      </c>
      <c r="F63" t="s">
        <v>905</v>
      </c>
      <c r="G63">
        <v>999999</v>
      </c>
      <c r="H63">
        <v>1402</v>
      </c>
      <c r="I63" t="s">
        <v>1279</v>
      </c>
      <c r="J63" t="s">
        <v>907</v>
      </c>
      <c r="K63" t="s">
        <v>1280</v>
      </c>
      <c r="L63" t="s">
        <v>128</v>
      </c>
      <c r="M63">
        <v>35106</v>
      </c>
      <c r="N63" t="s">
        <v>62</v>
      </c>
      <c r="P63">
        <v>35106</v>
      </c>
      <c r="Q63" t="s">
        <v>1281</v>
      </c>
      <c r="R63" t="s">
        <v>1282</v>
      </c>
      <c r="S63" t="s">
        <v>1013</v>
      </c>
      <c r="T63" s="6">
        <v>1900000000</v>
      </c>
      <c r="U63" s="45">
        <f>VLOOKUP(B63,realPrices!C:G,5,0)</f>
        <v>2485000000</v>
      </c>
      <c r="Z63"/>
    </row>
    <row r="64" spans="1:26" x14ac:dyDescent="0.25">
      <c r="A64" t="s">
        <v>1283</v>
      </c>
      <c r="B64" t="s">
        <v>1284</v>
      </c>
      <c r="C64">
        <v>351</v>
      </c>
      <c r="D64" t="s">
        <v>59</v>
      </c>
      <c r="E64" t="s">
        <v>60</v>
      </c>
      <c r="F64" t="s">
        <v>905</v>
      </c>
      <c r="G64">
        <v>999999</v>
      </c>
      <c r="H64">
        <v>1402</v>
      </c>
      <c r="I64" t="s">
        <v>1285</v>
      </c>
      <c r="J64" t="s">
        <v>907</v>
      </c>
      <c r="K64" t="s">
        <v>1286</v>
      </c>
      <c r="L64" t="s">
        <v>128</v>
      </c>
      <c r="M64">
        <v>35108</v>
      </c>
      <c r="N64" t="s">
        <v>62</v>
      </c>
      <c r="P64">
        <v>35108</v>
      </c>
      <c r="Q64" t="s">
        <v>1287</v>
      </c>
      <c r="R64" t="s">
        <v>1288</v>
      </c>
      <c r="S64" t="s">
        <v>1013</v>
      </c>
      <c r="T64" s="6">
        <v>1900000000</v>
      </c>
      <c r="U64" s="45">
        <f>VLOOKUP(B64,realPrices!C:G,5,0)</f>
        <v>3155555555</v>
      </c>
      <c r="Z64"/>
    </row>
    <row r="65" spans="1:26" x14ac:dyDescent="0.25">
      <c r="A65" t="s">
        <v>82</v>
      </c>
      <c r="B65" t="s">
        <v>1289</v>
      </c>
      <c r="C65">
        <v>285</v>
      </c>
      <c r="D65" t="s">
        <v>59</v>
      </c>
      <c r="E65" t="s">
        <v>60</v>
      </c>
      <c r="F65" t="s">
        <v>905</v>
      </c>
      <c r="G65">
        <v>999999</v>
      </c>
      <c r="H65">
        <v>1400</v>
      </c>
      <c r="I65" t="s">
        <v>1290</v>
      </c>
      <c r="J65" t="s">
        <v>907</v>
      </c>
      <c r="K65" t="s">
        <v>1291</v>
      </c>
      <c r="L65" t="s">
        <v>84</v>
      </c>
      <c r="M65">
        <v>28520</v>
      </c>
      <c r="N65" t="s">
        <v>62</v>
      </c>
      <c r="P65">
        <v>28520</v>
      </c>
      <c r="Q65" t="s">
        <v>1292</v>
      </c>
      <c r="R65" t="s">
        <v>1293</v>
      </c>
      <c r="S65" t="s">
        <v>936</v>
      </c>
      <c r="T65" s="6">
        <v>2000000000</v>
      </c>
      <c r="U65" s="45">
        <f>VLOOKUP(B65,realPrices!C:G,5,0)</f>
        <v>2700000000</v>
      </c>
    </row>
    <row r="66" spans="1:26" x14ac:dyDescent="0.25">
      <c r="A66" t="s">
        <v>967</v>
      </c>
      <c r="B66" t="s">
        <v>1294</v>
      </c>
      <c r="C66">
        <v>282</v>
      </c>
      <c r="D66" t="s">
        <v>59</v>
      </c>
      <c r="E66" t="s">
        <v>60</v>
      </c>
      <c r="F66" t="s">
        <v>905</v>
      </c>
      <c r="G66">
        <v>999999</v>
      </c>
      <c r="H66">
        <v>1401</v>
      </c>
      <c r="I66" t="s">
        <v>1295</v>
      </c>
      <c r="J66" t="s">
        <v>907</v>
      </c>
      <c r="K66" t="s">
        <v>1296</v>
      </c>
      <c r="L66" t="s">
        <v>112</v>
      </c>
      <c r="M66">
        <v>28242</v>
      </c>
      <c r="N66" t="s">
        <v>62</v>
      </c>
      <c r="P66">
        <v>28242</v>
      </c>
      <c r="Q66" t="s">
        <v>1297</v>
      </c>
      <c r="R66" t="s">
        <v>1298</v>
      </c>
      <c r="S66" t="s">
        <v>911</v>
      </c>
      <c r="T66" s="6">
        <v>1800000000</v>
      </c>
      <c r="U66" s="45">
        <f>VLOOKUP(B66,realPrices!C:G,5,0)</f>
        <v>2239000000</v>
      </c>
      <c r="Z66"/>
    </row>
    <row r="67" spans="1:26" x14ac:dyDescent="0.25">
      <c r="A67" t="s">
        <v>1299</v>
      </c>
      <c r="B67" t="s">
        <v>1300</v>
      </c>
      <c r="C67">
        <v>285</v>
      </c>
      <c r="D67" t="s">
        <v>59</v>
      </c>
      <c r="E67" t="s">
        <v>60</v>
      </c>
      <c r="F67" t="s">
        <v>905</v>
      </c>
      <c r="G67">
        <v>999999</v>
      </c>
      <c r="H67">
        <v>1402</v>
      </c>
      <c r="I67" t="s">
        <v>1301</v>
      </c>
      <c r="J67" t="s">
        <v>907</v>
      </c>
      <c r="K67" t="s">
        <v>1302</v>
      </c>
      <c r="L67" t="s">
        <v>84</v>
      </c>
      <c r="M67">
        <v>28529</v>
      </c>
      <c r="N67" t="s">
        <v>62</v>
      </c>
      <c r="P67">
        <v>28529</v>
      </c>
      <c r="Q67" t="s">
        <v>1303</v>
      </c>
      <c r="R67" t="s">
        <v>1304</v>
      </c>
      <c r="S67" t="s">
        <v>1000</v>
      </c>
      <c r="T67" s="6">
        <v>2100000000</v>
      </c>
      <c r="U67" s="45">
        <f>VLOOKUP(B67,realPrices!C:G,5,0)</f>
        <v>4019999999</v>
      </c>
      <c r="Z67"/>
    </row>
    <row r="68" spans="1:26" x14ac:dyDescent="0.25">
      <c r="A68" t="s">
        <v>1305</v>
      </c>
      <c r="B68" t="s">
        <v>1306</v>
      </c>
      <c r="C68">
        <v>351</v>
      </c>
      <c r="D68" t="s">
        <v>904</v>
      </c>
      <c r="E68" t="s">
        <v>60</v>
      </c>
      <c r="F68" t="s">
        <v>905</v>
      </c>
      <c r="G68">
        <v>999999</v>
      </c>
      <c r="H68">
        <v>1402</v>
      </c>
      <c r="I68" t="s">
        <v>1307</v>
      </c>
      <c r="J68" t="s">
        <v>907</v>
      </c>
      <c r="K68" t="s">
        <v>1308</v>
      </c>
      <c r="L68" t="s">
        <v>128</v>
      </c>
      <c r="M68">
        <v>35106</v>
      </c>
      <c r="N68" t="s">
        <v>62</v>
      </c>
      <c r="P68">
        <v>35106</v>
      </c>
      <c r="Q68" t="s">
        <v>1309</v>
      </c>
      <c r="R68" t="s">
        <v>1310</v>
      </c>
      <c r="S68" t="s">
        <v>1013</v>
      </c>
      <c r="T68" s="6">
        <v>1900000000</v>
      </c>
      <c r="U68" s="45">
        <f>VLOOKUP(B68,realPrices!C:G,5,0)</f>
        <v>2810000000</v>
      </c>
      <c r="Z68"/>
    </row>
    <row r="69" spans="1:26" x14ac:dyDescent="0.25">
      <c r="A69" t="s">
        <v>456</v>
      </c>
      <c r="B69" t="s">
        <v>1311</v>
      </c>
      <c r="C69">
        <v>285</v>
      </c>
      <c r="D69" t="s">
        <v>904</v>
      </c>
      <c r="E69" t="s">
        <v>60</v>
      </c>
      <c r="F69" t="s">
        <v>1312</v>
      </c>
      <c r="G69">
        <v>999999</v>
      </c>
      <c r="H69">
        <v>1401</v>
      </c>
      <c r="I69" t="s">
        <v>1313</v>
      </c>
      <c r="J69" t="s">
        <v>1314</v>
      </c>
      <c r="K69" t="s">
        <v>1315</v>
      </c>
      <c r="L69" t="s">
        <v>84</v>
      </c>
      <c r="M69">
        <v>28520</v>
      </c>
      <c r="N69" t="s">
        <v>62</v>
      </c>
      <c r="P69">
        <v>28520</v>
      </c>
      <c r="Q69" t="s">
        <v>1316</v>
      </c>
      <c r="R69" t="s">
        <v>1317</v>
      </c>
      <c r="S69" t="s">
        <v>992</v>
      </c>
      <c r="T69" s="6">
        <v>4500000000</v>
      </c>
      <c r="U69" s="45">
        <f>VLOOKUP(B69,realPrices!C:G,5,0)</f>
        <v>6666666999</v>
      </c>
    </row>
    <row r="70" spans="1:26" x14ac:dyDescent="0.25">
      <c r="A70" t="s">
        <v>1318</v>
      </c>
      <c r="B70" t="s">
        <v>1319</v>
      </c>
      <c r="C70">
        <v>272</v>
      </c>
      <c r="D70" t="s">
        <v>1320</v>
      </c>
      <c r="E70" t="s">
        <v>994</v>
      </c>
      <c r="F70" t="s">
        <v>1312</v>
      </c>
      <c r="G70">
        <v>999999</v>
      </c>
      <c r="H70">
        <v>1390</v>
      </c>
      <c r="I70">
        <v>12490080353</v>
      </c>
      <c r="J70" t="s">
        <v>1314</v>
      </c>
      <c r="K70" t="s">
        <v>1321</v>
      </c>
      <c r="L70" t="s">
        <v>81</v>
      </c>
      <c r="M70">
        <v>27215</v>
      </c>
      <c r="N70" t="s">
        <v>62</v>
      </c>
      <c r="P70">
        <v>27215</v>
      </c>
      <c r="Q70" t="s">
        <v>1322</v>
      </c>
      <c r="R70" t="s">
        <v>1323</v>
      </c>
      <c r="S70" t="s">
        <v>1324</v>
      </c>
      <c r="T70" s="6">
        <v>1500000000</v>
      </c>
      <c r="U70" s="45">
        <f>VLOOKUP(B70,realPrices!C:G,5,0)</f>
        <v>2277500000</v>
      </c>
    </row>
    <row r="71" spans="1:26" x14ac:dyDescent="0.25">
      <c r="A71" t="s">
        <v>1325</v>
      </c>
      <c r="B71" t="s">
        <v>1326</v>
      </c>
      <c r="C71">
        <v>256</v>
      </c>
      <c r="D71" t="s">
        <v>1327</v>
      </c>
      <c r="E71" t="s">
        <v>60</v>
      </c>
      <c r="F71" t="s">
        <v>1312</v>
      </c>
      <c r="G71">
        <v>999999</v>
      </c>
      <c r="H71">
        <v>1396</v>
      </c>
      <c r="I71" t="s">
        <v>1328</v>
      </c>
      <c r="J71" t="s">
        <v>1314</v>
      </c>
      <c r="K71" t="s">
        <v>1329</v>
      </c>
      <c r="L71" t="s">
        <v>74</v>
      </c>
      <c r="M71">
        <v>25634</v>
      </c>
      <c r="N71" t="s">
        <v>62</v>
      </c>
      <c r="P71">
        <v>25634</v>
      </c>
      <c r="Q71" t="s">
        <v>1330</v>
      </c>
      <c r="R71" t="s">
        <v>1331</v>
      </c>
      <c r="S71" t="s">
        <v>1332</v>
      </c>
      <c r="T71" s="6">
        <v>2500000000</v>
      </c>
      <c r="U71" s="45">
        <f>VLOOKUP(B71,realPrices!C:G,5,0)</f>
        <v>3633000000</v>
      </c>
    </row>
    <row r="72" spans="1:26" x14ac:dyDescent="0.25">
      <c r="A72" t="s">
        <v>385</v>
      </c>
      <c r="B72" t="s">
        <v>1333</v>
      </c>
      <c r="C72">
        <v>256</v>
      </c>
      <c r="D72" t="s">
        <v>1327</v>
      </c>
      <c r="E72" t="s">
        <v>60</v>
      </c>
      <c r="F72" t="s">
        <v>1312</v>
      </c>
      <c r="G72">
        <v>999999</v>
      </c>
      <c r="H72">
        <v>1398</v>
      </c>
      <c r="I72" t="s">
        <v>1334</v>
      </c>
      <c r="J72" t="s">
        <v>1314</v>
      </c>
      <c r="K72" t="s">
        <v>1335</v>
      </c>
      <c r="L72" t="s">
        <v>74</v>
      </c>
      <c r="M72">
        <v>25637</v>
      </c>
      <c r="N72" t="s">
        <v>62</v>
      </c>
      <c r="P72">
        <v>25637</v>
      </c>
      <c r="Q72" t="s">
        <v>1336</v>
      </c>
      <c r="R72" t="s">
        <v>1337</v>
      </c>
      <c r="S72" t="s">
        <v>1338</v>
      </c>
      <c r="T72" s="6">
        <v>3000000000</v>
      </c>
      <c r="U72" s="45">
        <f>VLOOKUP(B72,realPrices!C:G,5,0)</f>
        <v>3871000000</v>
      </c>
      <c r="Z72"/>
    </row>
    <row r="73" spans="1:26" x14ac:dyDescent="0.25">
      <c r="A73" t="s">
        <v>1339</v>
      </c>
      <c r="B73" s="54" t="s">
        <v>1340</v>
      </c>
      <c r="C73">
        <v>282</v>
      </c>
      <c r="D73" t="s">
        <v>59</v>
      </c>
      <c r="E73" t="s">
        <v>60</v>
      </c>
      <c r="F73" t="s">
        <v>1312</v>
      </c>
      <c r="G73">
        <v>999999</v>
      </c>
      <c r="H73">
        <v>1387</v>
      </c>
      <c r="I73">
        <v>12487034357</v>
      </c>
      <c r="J73" t="s">
        <v>1314</v>
      </c>
      <c r="K73" t="s">
        <v>1341</v>
      </c>
      <c r="L73" t="s">
        <v>112</v>
      </c>
      <c r="M73">
        <v>28201</v>
      </c>
      <c r="N73" t="s">
        <v>62</v>
      </c>
      <c r="P73">
        <v>28201</v>
      </c>
      <c r="Q73" t="s">
        <v>1342</v>
      </c>
      <c r="R73" t="s">
        <v>1343</v>
      </c>
      <c r="S73" t="s">
        <v>1084</v>
      </c>
      <c r="T73" s="6">
        <v>3400000000</v>
      </c>
      <c r="U73" s="45">
        <f>VLOOKUP(B73,realPrices!C:G,5,0)</f>
        <v>0</v>
      </c>
    </row>
    <row r="74" spans="1:26" x14ac:dyDescent="0.25">
      <c r="A74" t="s">
        <v>1344</v>
      </c>
      <c r="B74" t="s">
        <v>1345</v>
      </c>
      <c r="C74">
        <v>287</v>
      </c>
      <c r="D74" t="s">
        <v>59</v>
      </c>
      <c r="E74" t="s">
        <v>60</v>
      </c>
      <c r="F74" t="s">
        <v>1312</v>
      </c>
      <c r="G74">
        <v>999999</v>
      </c>
      <c r="H74">
        <v>1398</v>
      </c>
      <c r="I74" t="s">
        <v>1346</v>
      </c>
      <c r="J74" t="s">
        <v>1347</v>
      </c>
      <c r="K74" t="s">
        <v>1348</v>
      </c>
      <c r="L74" t="s">
        <v>1349</v>
      </c>
      <c r="M74">
        <v>28713</v>
      </c>
      <c r="N74" t="s">
        <v>62</v>
      </c>
      <c r="P74">
        <v>28713</v>
      </c>
      <c r="Q74" t="s">
        <v>1350</v>
      </c>
      <c r="R74" t="s">
        <v>1351</v>
      </c>
      <c r="S74" t="s">
        <v>957</v>
      </c>
      <c r="T74" s="6">
        <v>3800000000</v>
      </c>
      <c r="U74" s="45">
        <f>VLOOKUP(B74,realPrices!C:G,5,0)</f>
        <v>4126789999</v>
      </c>
    </row>
    <row r="75" spans="1:26" x14ac:dyDescent="0.25">
      <c r="A75" t="s">
        <v>389</v>
      </c>
      <c r="B75" t="s">
        <v>1352</v>
      </c>
      <c r="C75">
        <v>351</v>
      </c>
      <c r="D75" t="s">
        <v>59</v>
      </c>
      <c r="E75" t="s">
        <v>60</v>
      </c>
      <c r="F75" t="s">
        <v>1312</v>
      </c>
      <c r="G75">
        <v>999999</v>
      </c>
      <c r="H75">
        <v>1401</v>
      </c>
      <c r="I75" t="s">
        <v>1353</v>
      </c>
      <c r="J75" t="s">
        <v>1314</v>
      </c>
      <c r="K75" t="s">
        <v>1354</v>
      </c>
      <c r="L75" t="s">
        <v>128</v>
      </c>
      <c r="M75">
        <v>35103</v>
      </c>
      <c r="N75" t="s">
        <v>62</v>
      </c>
      <c r="P75">
        <v>35103</v>
      </c>
      <c r="Q75" t="s">
        <v>1355</v>
      </c>
      <c r="R75" t="s">
        <v>1356</v>
      </c>
      <c r="S75" t="s">
        <v>1084</v>
      </c>
      <c r="T75" s="6">
        <v>3400000000</v>
      </c>
      <c r="U75" s="45">
        <f>VLOOKUP(B75,realPrices!C:G,5,0)</f>
        <v>4028888888</v>
      </c>
      <c r="Z75"/>
    </row>
    <row r="76" spans="1:26" x14ac:dyDescent="0.25">
      <c r="A76" t="s">
        <v>1357</v>
      </c>
      <c r="B76" t="s">
        <v>1358</v>
      </c>
      <c r="C76">
        <v>282</v>
      </c>
      <c r="D76" t="s">
        <v>59</v>
      </c>
      <c r="E76" t="s">
        <v>60</v>
      </c>
      <c r="F76" t="s">
        <v>1312</v>
      </c>
      <c r="G76">
        <v>999999</v>
      </c>
      <c r="H76">
        <v>1392</v>
      </c>
      <c r="I76" t="s">
        <v>1359</v>
      </c>
      <c r="J76" t="s">
        <v>1314</v>
      </c>
      <c r="K76" t="s">
        <v>1360</v>
      </c>
      <c r="L76" t="s">
        <v>112</v>
      </c>
      <c r="M76">
        <v>28221</v>
      </c>
      <c r="N76" t="s">
        <v>62</v>
      </c>
      <c r="P76">
        <v>28221</v>
      </c>
      <c r="Q76" t="s">
        <v>1361</v>
      </c>
      <c r="R76" t="s">
        <v>1362</v>
      </c>
      <c r="S76" t="s">
        <v>1338</v>
      </c>
      <c r="T76" s="6">
        <v>3000000000</v>
      </c>
      <c r="U76" s="45">
        <f>VLOOKUP(B76,realPrices!C:G,5,0)</f>
        <v>3012222222</v>
      </c>
    </row>
    <row r="77" spans="1:26" x14ac:dyDescent="0.25">
      <c r="A77" t="s">
        <v>155</v>
      </c>
      <c r="B77" t="s">
        <v>1363</v>
      </c>
      <c r="C77">
        <v>351</v>
      </c>
      <c r="D77" t="s">
        <v>59</v>
      </c>
      <c r="E77" t="s">
        <v>60</v>
      </c>
      <c r="F77" t="s">
        <v>1312</v>
      </c>
      <c r="G77">
        <v>999999</v>
      </c>
      <c r="H77">
        <v>1401</v>
      </c>
      <c r="I77" t="s">
        <v>1364</v>
      </c>
      <c r="J77" t="s">
        <v>1314</v>
      </c>
      <c r="K77" t="s">
        <v>1365</v>
      </c>
      <c r="L77" t="s">
        <v>128</v>
      </c>
      <c r="M77">
        <v>35101</v>
      </c>
      <c r="N77" t="s">
        <v>62</v>
      </c>
      <c r="P77">
        <v>35101</v>
      </c>
      <c r="Q77" t="s">
        <v>1366</v>
      </c>
      <c r="R77" t="s">
        <v>1367</v>
      </c>
      <c r="S77" t="s">
        <v>973</v>
      </c>
      <c r="T77" s="6">
        <v>3900000000</v>
      </c>
      <c r="U77" s="45">
        <f>VLOOKUP(B77,realPrices!C:G,5,0)</f>
        <v>4660009999</v>
      </c>
      <c r="Z77"/>
    </row>
    <row r="78" spans="1:26" x14ac:dyDescent="0.25">
      <c r="A78" t="s">
        <v>1368</v>
      </c>
      <c r="B78" t="s">
        <v>1369</v>
      </c>
      <c r="C78">
        <v>274</v>
      </c>
      <c r="D78" t="s">
        <v>59</v>
      </c>
      <c r="E78" t="s">
        <v>60</v>
      </c>
      <c r="F78" t="s">
        <v>1312</v>
      </c>
      <c r="G78">
        <v>999999</v>
      </c>
      <c r="H78">
        <v>1399</v>
      </c>
      <c r="I78" t="s">
        <v>1370</v>
      </c>
      <c r="J78" t="s">
        <v>1314</v>
      </c>
      <c r="K78" t="s">
        <v>1371</v>
      </c>
      <c r="L78" t="s">
        <v>89</v>
      </c>
      <c r="M78">
        <v>27433</v>
      </c>
      <c r="N78" t="s">
        <v>62</v>
      </c>
      <c r="P78">
        <v>27433</v>
      </c>
      <c r="Q78" t="s">
        <v>1372</v>
      </c>
      <c r="R78" t="s">
        <v>1373</v>
      </c>
      <c r="S78" t="s">
        <v>992</v>
      </c>
      <c r="T78" s="6">
        <v>4500000000</v>
      </c>
      <c r="U78" s="45">
        <f>VLOOKUP(B78,realPrices!C:G,5,0)</f>
        <v>5079999999</v>
      </c>
      <c r="Z78"/>
    </row>
    <row r="79" spans="1:26" x14ac:dyDescent="0.25">
      <c r="A79" t="s">
        <v>147</v>
      </c>
      <c r="B79" t="s">
        <v>1374</v>
      </c>
      <c r="C79">
        <v>291</v>
      </c>
      <c r="D79" t="s">
        <v>59</v>
      </c>
      <c r="E79" t="s">
        <v>994</v>
      </c>
      <c r="F79" t="s">
        <v>1312</v>
      </c>
      <c r="G79">
        <v>999999</v>
      </c>
      <c r="H79">
        <v>1394</v>
      </c>
      <c r="I79" t="s">
        <v>1375</v>
      </c>
      <c r="J79" t="s">
        <v>1314</v>
      </c>
      <c r="K79" t="s">
        <v>1376</v>
      </c>
      <c r="L79" t="s">
        <v>104</v>
      </c>
      <c r="M79">
        <v>29111</v>
      </c>
      <c r="N79" t="s">
        <v>62</v>
      </c>
      <c r="P79">
        <v>29111</v>
      </c>
      <c r="Q79" t="s">
        <v>1377</v>
      </c>
      <c r="R79" t="s">
        <v>1378</v>
      </c>
      <c r="S79" t="s">
        <v>1324</v>
      </c>
      <c r="T79" s="6">
        <v>1500000000</v>
      </c>
      <c r="U79" s="45">
        <f>VLOOKUP(B79,realPrices!C:G,5,0)</f>
        <v>3138000000</v>
      </c>
    </row>
    <row r="80" spans="1:26" x14ac:dyDescent="0.25">
      <c r="A80" t="s">
        <v>1379</v>
      </c>
      <c r="B80" t="s">
        <v>1380</v>
      </c>
      <c r="C80">
        <v>282</v>
      </c>
      <c r="D80" t="s">
        <v>59</v>
      </c>
      <c r="E80" t="s">
        <v>60</v>
      </c>
      <c r="F80" t="s">
        <v>1312</v>
      </c>
      <c r="G80">
        <v>999999</v>
      </c>
      <c r="H80">
        <v>1398</v>
      </c>
      <c r="I80" t="s">
        <v>1381</v>
      </c>
      <c r="J80" t="s">
        <v>1382</v>
      </c>
      <c r="K80" t="s">
        <v>1383</v>
      </c>
      <c r="L80" t="s">
        <v>112</v>
      </c>
      <c r="M80">
        <v>28234</v>
      </c>
      <c r="N80" t="s">
        <v>62</v>
      </c>
      <c r="P80">
        <v>28234</v>
      </c>
      <c r="Q80" t="s">
        <v>1384</v>
      </c>
      <c r="R80" t="s">
        <v>1385</v>
      </c>
      <c r="S80" t="s">
        <v>1105</v>
      </c>
      <c r="T80" s="6">
        <v>1600000000</v>
      </c>
      <c r="U80" s="45">
        <f>VLOOKUP(B80,realPrices!C:G,5,0)</f>
        <v>2888888888</v>
      </c>
      <c r="Z80"/>
    </row>
    <row r="81" spans="1:26" x14ac:dyDescent="0.25">
      <c r="A81" t="s">
        <v>1386</v>
      </c>
      <c r="B81" t="s">
        <v>1387</v>
      </c>
      <c r="C81">
        <v>707</v>
      </c>
      <c r="D81" t="s">
        <v>59</v>
      </c>
      <c r="E81" t="s">
        <v>60</v>
      </c>
      <c r="F81" t="s">
        <v>905</v>
      </c>
      <c r="G81">
        <v>999999</v>
      </c>
      <c r="H81">
        <v>1402</v>
      </c>
      <c r="I81" t="s">
        <v>1388</v>
      </c>
      <c r="J81" t="s">
        <v>907</v>
      </c>
      <c r="K81" t="s">
        <v>1389</v>
      </c>
      <c r="L81" t="s">
        <v>465</v>
      </c>
      <c r="M81">
        <v>70709</v>
      </c>
      <c r="N81" t="s">
        <v>62</v>
      </c>
      <c r="P81">
        <v>70709</v>
      </c>
      <c r="Q81" t="s">
        <v>1390</v>
      </c>
      <c r="R81" t="s">
        <v>1391</v>
      </c>
      <c r="S81" t="s">
        <v>1392</v>
      </c>
      <c r="T81" s="6">
        <v>4700000000</v>
      </c>
      <c r="U81" s="45">
        <f>VLOOKUP(B81,realPrices!C:G,5,0)</f>
        <v>4888888888</v>
      </c>
      <c r="Z81"/>
    </row>
    <row r="82" spans="1:26" x14ac:dyDescent="0.25">
      <c r="A82" t="s">
        <v>958</v>
      </c>
      <c r="B82" t="s">
        <v>1393</v>
      </c>
      <c r="C82">
        <v>600</v>
      </c>
      <c r="D82" t="s">
        <v>59</v>
      </c>
      <c r="E82" t="s">
        <v>60</v>
      </c>
      <c r="F82" t="s">
        <v>905</v>
      </c>
      <c r="G82">
        <v>999999</v>
      </c>
      <c r="H82">
        <v>1402</v>
      </c>
      <c r="I82" t="s">
        <v>1394</v>
      </c>
      <c r="J82" t="s">
        <v>907</v>
      </c>
      <c r="K82" t="s">
        <v>1395</v>
      </c>
      <c r="L82" t="s">
        <v>962</v>
      </c>
      <c r="M82">
        <v>60017</v>
      </c>
      <c r="N82" t="s">
        <v>963</v>
      </c>
      <c r="P82">
        <v>60017</v>
      </c>
      <c r="Q82" t="s">
        <v>1396</v>
      </c>
      <c r="R82" t="s">
        <v>1397</v>
      </c>
      <c r="S82" t="s">
        <v>1155</v>
      </c>
      <c r="T82" s="6">
        <v>2800000000</v>
      </c>
      <c r="U82" s="45">
        <f>VLOOKUP(B82,realPrices!C:G,5,0)</f>
        <v>4050000000</v>
      </c>
    </row>
    <row r="83" spans="1:26" x14ac:dyDescent="0.25">
      <c r="A83" t="s">
        <v>764</v>
      </c>
      <c r="B83" t="s">
        <v>1398</v>
      </c>
      <c r="C83">
        <v>701</v>
      </c>
      <c r="D83" t="s">
        <v>1079</v>
      </c>
      <c r="E83" t="s">
        <v>60</v>
      </c>
      <c r="F83" t="s">
        <v>905</v>
      </c>
      <c r="G83">
        <v>999999</v>
      </c>
      <c r="H83">
        <v>1399</v>
      </c>
      <c r="I83" t="s">
        <v>1399</v>
      </c>
      <c r="J83" t="s">
        <v>1101</v>
      </c>
      <c r="K83" t="s">
        <v>1400</v>
      </c>
      <c r="L83" t="s">
        <v>130</v>
      </c>
      <c r="M83">
        <v>70117</v>
      </c>
      <c r="N83" t="s">
        <v>62</v>
      </c>
      <c r="P83">
        <v>70117</v>
      </c>
      <c r="Q83" t="s">
        <v>1401</v>
      </c>
      <c r="R83" t="s">
        <v>1402</v>
      </c>
      <c r="S83" t="s">
        <v>950</v>
      </c>
      <c r="T83" s="6">
        <v>2700000000</v>
      </c>
      <c r="U83" s="45">
        <f>VLOOKUP(B83,realPrices!C:G,5,0)</f>
        <v>0</v>
      </c>
      <c r="Z83"/>
    </row>
    <row r="84" spans="1:26" x14ac:dyDescent="0.25">
      <c r="A84" t="s">
        <v>389</v>
      </c>
      <c r="B84" t="s">
        <v>1403</v>
      </c>
      <c r="C84">
        <v>351</v>
      </c>
      <c r="D84" t="s">
        <v>59</v>
      </c>
      <c r="E84" t="s">
        <v>60</v>
      </c>
      <c r="F84" t="s">
        <v>905</v>
      </c>
      <c r="G84">
        <v>999999</v>
      </c>
      <c r="H84">
        <v>1401</v>
      </c>
      <c r="I84" t="s">
        <v>1404</v>
      </c>
      <c r="J84" t="s">
        <v>1101</v>
      </c>
      <c r="K84" t="s">
        <v>1405</v>
      </c>
      <c r="L84" t="s">
        <v>128</v>
      </c>
      <c r="M84">
        <v>35103</v>
      </c>
      <c r="N84" t="s">
        <v>62</v>
      </c>
      <c r="P84">
        <v>35103</v>
      </c>
      <c r="Q84" t="s">
        <v>1406</v>
      </c>
      <c r="R84" t="s">
        <v>1407</v>
      </c>
      <c r="S84" t="s">
        <v>1019</v>
      </c>
      <c r="T84" s="6">
        <v>1700000000</v>
      </c>
      <c r="U84" s="45">
        <f>VLOOKUP(B84,realPrices!C:G,5,0)</f>
        <v>1955555555</v>
      </c>
    </row>
    <row r="85" spans="1:26" x14ac:dyDescent="0.25">
      <c r="A85" t="s">
        <v>382</v>
      </c>
      <c r="B85" t="s">
        <v>1408</v>
      </c>
      <c r="C85">
        <v>575</v>
      </c>
      <c r="D85" t="s">
        <v>59</v>
      </c>
      <c r="E85" t="s">
        <v>60</v>
      </c>
      <c r="F85" t="s">
        <v>905</v>
      </c>
      <c r="G85">
        <v>999999</v>
      </c>
      <c r="H85">
        <v>1401</v>
      </c>
      <c r="I85" t="s">
        <v>1409</v>
      </c>
      <c r="J85" t="s">
        <v>1101</v>
      </c>
      <c r="K85" t="s">
        <v>1410</v>
      </c>
      <c r="L85" t="s">
        <v>124</v>
      </c>
      <c r="M85">
        <v>57519</v>
      </c>
      <c r="N85" t="s">
        <v>62</v>
      </c>
      <c r="P85">
        <v>57519</v>
      </c>
      <c r="Q85" t="s">
        <v>1411</v>
      </c>
      <c r="R85" t="s">
        <v>1412</v>
      </c>
      <c r="S85" t="s">
        <v>1019</v>
      </c>
      <c r="T85" s="6">
        <v>1700000000</v>
      </c>
      <c r="U85" s="45">
        <f>VLOOKUP(B85,realPrices!C:G,5,0)</f>
        <v>2100999999</v>
      </c>
    </row>
    <row r="86" spans="1:26" x14ac:dyDescent="0.25">
      <c r="A86" t="s">
        <v>447</v>
      </c>
      <c r="B86" t="s">
        <v>1413</v>
      </c>
      <c r="C86">
        <v>600</v>
      </c>
      <c r="D86" t="s">
        <v>59</v>
      </c>
      <c r="E86" t="s">
        <v>60</v>
      </c>
      <c r="F86" t="s">
        <v>905</v>
      </c>
      <c r="G86">
        <v>999999</v>
      </c>
      <c r="H86">
        <v>1401</v>
      </c>
      <c r="I86" t="s">
        <v>1414</v>
      </c>
      <c r="J86" t="s">
        <v>907</v>
      </c>
      <c r="K86" t="s">
        <v>1415</v>
      </c>
      <c r="L86" t="s">
        <v>962</v>
      </c>
      <c r="M86">
        <v>60010</v>
      </c>
      <c r="N86" t="s">
        <v>963</v>
      </c>
      <c r="P86">
        <v>60010</v>
      </c>
      <c r="Q86" t="s">
        <v>1416</v>
      </c>
      <c r="R86" t="s">
        <v>1417</v>
      </c>
      <c r="S86" t="s">
        <v>950</v>
      </c>
      <c r="T86" s="6">
        <v>2700000000</v>
      </c>
      <c r="U86" s="45">
        <f>VLOOKUP(B86,realPrices!C:G,5,0)</f>
        <v>4570000009</v>
      </c>
      <c r="Z86"/>
    </row>
    <row r="87" spans="1:26" x14ac:dyDescent="0.25">
      <c r="A87" t="s">
        <v>559</v>
      </c>
      <c r="B87" t="s">
        <v>1418</v>
      </c>
      <c r="C87">
        <v>606</v>
      </c>
      <c r="D87" t="s">
        <v>59</v>
      </c>
      <c r="E87" t="s">
        <v>60</v>
      </c>
      <c r="F87" t="s">
        <v>905</v>
      </c>
      <c r="G87">
        <v>999999</v>
      </c>
      <c r="H87">
        <v>1401</v>
      </c>
      <c r="I87" t="s">
        <v>1419</v>
      </c>
      <c r="J87" t="s">
        <v>1101</v>
      </c>
      <c r="K87" t="s">
        <v>1420</v>
      </c>
      <c r="L87" t="s">
        <v>560</v>
      </c>
      <c r="M87">
        <v>60602</v>
      </c>
      <c r="N87" t="s">
        <v>947</v>
      </c>
      <c r="P87">
        <v>60602</v>
      </c>
      <c r="Q87" t="s">
        <v>1421</v>
      </c>
      <c r="R87" t="s">
        <v>1422</v>
      </c>
      <c r="S87" t="s">
        <v>1423</v>
      </c>
      <c r="T87" s="6">
        <v>3200000000</v>
      </c>
      <c r="U87" s="45">
        <f>VLOOKUP(B87,realPrices!C:G,5,0)</f>
        <v>4355000000</v>
      </c>
    </row>
    <row r="88" spans="1:26" x14ac:dyDescent="0.25">
      <c r="A88" t="s">
        <v>1424</v>
      </c>
      <c r="B88" t="s">
        <v>1425</v>
      </c>
      <c r="C88">
        <v>600</v>
      </c>
      <c r="D88" t="s">
        <v>944</v>
      </c>
      <c r="E88" t="s">
        <v>60</v>
      </c>
      <c r="F88" t="s">
        <v>905</v>
      </c>
      <c r="G88">
        <v>999999</v>
      </c>
      <c r="H88">
        <v>1402</v>
      </c>
      <c r="I88" t="s">
        <v>1426</v>
      </c>
      <c r="J88" t="s">
        <v>907</v>
      </c>
      <c r="K88" t="s">
        <v>1427</v>
      </c>
      <c r="L88" t="s">
        <v>962</v>
      </c>
      <c r="M88">
        <v>60016</v>
      </c>
      <c r="N88" t="s">
        <v>963</v>
      </c>
      <c r="P88">
        <v>60016</v>
      </c>
      <c r="Q88" t="s">
        <v>1428</v>
      </c>
      <c r="R88" t="s">
        <v>1429</v>
      </c>
      <c r="S88" t="s">
        <v>950</v>
      </c>
      <c r="T88" s="6">
        <v>2700000000</v>
      </c>
      <c r="U88" s="45">
        <f>VLOOKUP(B88,realPrices!C:G,5,0)</f>
        <v>3310000000</v>
      </c>
    </row>
    <row r="89" spans="1:26" x14ac:dyDescent="0.25">
      <c r="A89" t="s">
        <v>1178</v>
      </c>
      <c r="B89" t="s">
        <v>1430</v>
      </c>
      <c r="C89">
        <v>284</v>
      </c>
      <c r="D89" t="s">
        <v>59</v>
      </c>
      <c r="E89" t="s">
        <v>60</v>
      </c>
      <c r="F89" t="s">
        <v>905</v>
      </c>
      <c r="G89">
        <v>999999</v>
      </c>
      <c r="H89">
        <v>1392</v>
      </c>
      <c r="I89" t="s">
        <v>1431</v>
      </c>
      <c r="J89" t="s">
        <v>1432</v>
      </c>
      <c r="K89" t="s">
        <v>1433</v>
      </c>
      <c r="L89" t="s">
        <v>1181</v>
      </c>
      <c r="M89">
        <v>28409</v>
      </c>
      <c r="N89" t="s">
        <v>62</v>
      </c>
      <c r="P89">
        <v>28409</v>
      </c>
      <c r="Q89" t="s">
        <v>1434</v>
      </c>
      <c r="R89" t="s">
        <v>1435</v>
      </c>
      <c r="S89" t="s">
        <v>911</v>
      </c>
      <c r="T89" s="6">
        <v>1800000000</v>
      </c>
      <c r="U89" s="45">
        <f>VLOOKUP(B89,realPrices!C:G,5,0)</f>
        <v>3679999900</v>
      </c>
      <c r="Z89"/>
    </row>
    <row r="90" spans="1:26" x14ac:dyDescent="0.25">
      <c r="A90" t="s">
        <v>1098</v>
      </c>
      <c r="B90" t="s">
        <v>1436</v>
      </c>
      <c r="C90">
        <v>285</v>
      </c>
      <c r="D90" t="s">
        <v>59</v>
      </c>
      <c r="E90" t="s">
        <v>60</v>
      </c>
      <c r="F90" t="s">
        <v>905</v>
      </c>
      <c r="G90">
        <v>999999</v>
      </c>
      <c r="H90">
        <v>1395</v>
      </c>
      <c r="I90" t="s">
        <v>1437</v>
      </c>
      <c r="J90" t="s">
        <v>1101</v>
      </c>
      <c r="K90" t="s">
        <v>1438</v>
      </c>
      <c r="L90" t="s">
        <v>84</v>
      </c>
      <c r="M90">
        <v>28513</v>
      </c>
      <c r="N90" t="s">
        <v>62</v>
      </c>
      <c r="P90">
        <v>28513</v>
      </c>
      <c r="Q90" t="s">
        <v>1439</v>
      </c>
      <c r="R90" t="s">
        <v>1440</v>
      </c>
      <c r="S90" t="s">
        <v>911</v>
      </c>
      <c r="T90" s="6">
        <v>1800000000</v>
      </c>
      <c r="U90" s="45">
        <f>VLOOKUP(B90,realPrices!C:G,5,0)</f>
        <v>2611555000</v>
      </c>
      <c r="Z90"/>
    </row>
    <row r="91" spans="1:26" x14ac:dyDescent="0.25">
      <c r="A91" t="s">
        <v>1441</v>
      </c>
      <c r="B91" t="s">
        <v>1442</v>
      </c>
      <c r="C91">
        <v>518</v>
      </c>
      <c r="D91" t="s">
        <v>904</v>
      </c>
      <c r="E91" t="s">
        <v>60</v>
      </c>
      <c r="F91" t="s">
        <v>905</v>
      </c>
      <c r="G91">
        <v>999999</v>
      </c>
      <c r="H91">
        <v>1399</v>
      </c>
      <c r="I91" t="s">
        <v>1443</v>
      </c>
      <c r="J91" t="s">
        <v>907</v>
      </c>
      <c r="K91" t="s">
        <v>1444</v>
      </c>
      <c r="L91" t="s">
        <v>742</v>
      </c>
      <c r="M91">
        <v>51801</v>
      </c>
      <c r="N91" t="s">
        <v>963</v>
      </c>
      <c r="P91">
        <v>51801</v>
      </c>
      <c r="Q91" t="s">
        <v>1445</v>
      </c>
      <c r="R91" t="s">
        <v>1446</v>
      </c>
      <c r="S91" t="s">
        <v>1239</v>
      </c>
      <c r="T91" s="6">
        <v>4200000000</v>
      </c>
      <c r="U91" s="45">
        <f>VLOOKUP(B91,realPrices!C:G,5,0)</f>
        <v>5600000000</v>
      </c>
      <c r="Z91"/>
    </row>
    <row r="92" spans="1:26" x14ac:dyDescent="0.25">
      <c r="A92" t="s">
        <v>1299</v>
      </c>
      <c r="B92" t="s">
        <v>1447</v>
      </c>
      <c r="C92">
        <v>285</v>
      </c>
      <c r="D92" t="s">
        <v>59</v>
      </c>
      <c r="E92" t="s">
        <v>60</v>
      </c>
      <c r="F92" t="s">
        <v>905</v>
      </c>
      <c r="G92">
        <v>999999</v>
      </c>
      <c r="H92">
        <v>1402</v>
      </c>
      <c r="I92" t="s">
        <v>1448</v>
      </c>
      <c r="J92" t="s">
        <v>907</v>
      </c>
      <c r="K92" t="s">
        <v>1449</v>
      </c>
      <c r="L92" t="s">
        <v>84</v>
      </c>
      <c r="M92">
        <v>28529</v>
      </c>
      <c r="N92" t="s">
        <v>62</v>
      </c>
      <c r="P92">
        <v>28529</v>
      </c>
      <c r="Q92" t="s">
        <v>1450</v>
      </c>
      <c r="R92" t="s">
        <v>1451</v>
      </c>
      <c r="S92" t="s">
        <v>930</v>
      </c>
      <c r="T92" s="6">
        <v>2200000000</v>
      </c>
      <c r="U92" s="45">
        <f>VLOOKUP(B92,realPrices!C:G,5,0)</f>
        <v>3579000000</v>
      </c>
    </row>
    <row r="93" spans="1:26" x14ac:dyDescent="0.25">
      <c r="A93" t="s">
        <v>447</v>
      </c>
      <c r="B93" t="s">
        <v>1452</v>
      </c>
      <c r="C93">
        <v>600</v>
      </c>
      <c r="D93" t="s">
        <v>59</v>
      </c>
      <c r="E93" t="s">
        <v>60</v>
      </c>
      <c r="F93" t="s">
        <v>905</v>
      </c>
      <c r="G93">
        <v>999999</v>
      </c>
      <c r="H93">
        <v>1401</v>
      </c>
      <c r="I93" t="s">
        <v>1453</v>
      </c>
      <c r="J93" t="s">
        <v>907</v>
      </c>
      <c r="K93" t="s">
        <v>1454</v>
      </c>
      <c r="L93" t="s">
        <v>962</v>
      </c>
      <c r="M93">
        <v>60010</v>
      </c>
      <c r="N93" t="s">
        <v>963</v>
      </c>
      <c r="P93">
        <v>60010</v>
      </c>
      <c r="Q93" t="s">
        <v>1455</v>
      </c>
      <c r="R93" t="s">
        <v>1456</v>
      </c>
      <c r="S93" t="s">
        <v>966</v>
      </c>
      <c r="T93" s="6">
        <v>2600000000</v>
      </c>
      <c r="U93" s="45">
        <f>VLOOKUP(B93,realPrices!C:G,5,0)</f>
        <v>3670000000</v>
      </c>
    </row>
    <row r="94" spans="1:26" x14ac:dyDescent="0.25">
      <c r="A94" t="s">
        <v>1131</v>
      </c>
      <c r="B94" t="s">
        <v>1457</v>
      </c>
      <c r="C94">
        <v>260</v>
      </c>
      <c r="D94" t="s">
        <v>59</v>
      </c>
      <c r="E94" t="s">
        <v>60</v>
      </c>
      <c r="F94" t="s">
        <v>905</v>
      </c>
      <c r="G94">
        <v>999999</v>
      </c>
      <c r="H94">
        <v>1401</v>
      </c>
      <c r="I94" t="s">
        <v>1458</v>
      </c>
      <c r="J94" t="s">
        <v>907</v>
      </c>
      <c r="K94" t="s">
        <v>1459</v>
      </c>
      <c r="L94" t="s">
        <v>118</v>
      </c>
      <c r="M94">
        <v>26035</v>
      </c>
      <c r="N94" t="s">
        <v>963</v>
      </c>
      <c r="P94">
        <v>26035</v>
      </c>
      <c r="Q94" t="s">
        <v>1460</v>
      </c>
      <c r="R94" t="s">
        <v>1461</v>
      </c>
      <c r="S94" t="s">
        <v>1013</v>
      </c>
      <c r="T94" s="6">
        <v>1900000000</v>
      </c>
      <c r="U94" s="45">
        <f>VLOOKUP(B94,realPrices!C:G,5,0)</f>
        <v>2133333300</v>
      </c>
    </row>
    <row r="95" spans="1:26" x14ac:dyDescent="0.25">
      <c r="A95" t="s">
        <v>1462</v>
      </c>
      <c r="B95" t="s">
        <v>1463</v>
      </c>
      <c r="C95">
        <v>220</v>
      </c>
      <c r="D95" t="s">
        <v>59</v>
      </c>
      <c r="E95" t="s">
        <v>60</v>
      </c>
      <c r="F95" t="s">
        <v>905</v>
      </c>
      <c r="G95">
        <v>999999</v>
      </c>
      <c r="H95">
        <v>1400</v>
      </c>
      <c r="I95" t="s">
        <v>1464</v>
      </c>
      <c r="J95" t="s">
        <v>907</v>
      </c>
      <c r="K95" t="s">
        <v>1465</v>
      </c>
      <c r="L95" t="s">
        <v>100</v>
      </c>
      <c r="M95">
        <v>22011</v>
      </c>
      <c r="N95" t="s">
        <v>62</v>
      </c>
      <c r="P95">
        <v>22011</v>
      </c>
      <c r="Q95" t="s">
        <v>1466</v>
      </c>
      <c r="R95" t="s">
        <v>1467</v>
      </c>
      <c r="S95" t="s">
        <v>1056</v>
      </c>
      <c r="T95" s="6">
        <v>3500000000</v>
      </c>
      <c r="U95" s="45">
        <f>VLOOKUP(B95,realPrices!C:G,5,0)</f>
        <v>4855000000</v>
      </c>
      <c r="Z95"/>
    </row>
    <row r="96" spans="1:26" x14ac:dyDescent="0.25">
      <c r="A96" t="s">
        <v>447</v>
      </c>
      <c r="B96" t="s">
        <v>1468</v>
      </c>
      <c r="C96">
        <v>600</v>
      </c>
      <c r="D96" t="s">
        <v>59</v>
      </c>
      <c r="E96" t="s">
        <v>60</v>
      </c>
      <c r="F96" t="s">
        <v>905</v>
      </c>
      <c r="G96">
        <v>999999</v>
      </c>
      <c r="H96">
        <v>1401</v>
      </c>
      <c r="I96" t="s">
        <v>1469</v>
      </c>
      <c r="J96" t="s">
        <v>907</v>
      </c>
      <c r="K96" t="s">
        <v>1470</v>
      </c>
      <c r="L96" t="s">
        <v>962</v>
      </c>
      <c r="M96">
        <v>60010</v>
      </c>
      <c r="N96" t="s">
        <v>963</v>
      </c>
      <c r="P96">
        <v>60010</v>
      </c>
      <c r="Q96" t="s">
        <v>1471</v>
      </c>
      <c r="R96" t="s">
        <v>1472</v>
      </c>
      <c r="S96" t="s">
        <v>1155</v>
      </c>
      <c r="T96" s="6">
        <v>2800000000</v>
      </c>
      <c r="U96" s="45">
        <f>VLOOKUP(B96,realPrices!C:G,5,0)</f>
        <v>3620000000</v>
      </c>
    </row>
    <row r="97" spans="1:26" x14ac:dyDescent="0.25">
      <c r="A97" t="s">
        <v>466</v>
      </c>
      <c r="B97" t="s">
        <v>1473</v>
      </c>
      <c r="C97">
        <v>707</v>
      </c>
      <c r="D97" t="s">
        <v>904</v>
      </c>
      <c r="E97" t="s">
        <v>60</v>
      </c>
      <c r="F97" t="s">
        <v>905</v>
      </c>
      <c r="G97">
        <v>999999</v>
      </c>
      <c r="H97">
        <v>1401</v>
      </c>
      <c r="I97" t="s">
        <v>1474</v>
      </c>
      <c r="J97" t="s">
        <v>907</v>
      </c>
      <c r="K97" t="s">
        <v>1475</v>
      </c>
      <c r="L97" t="s">
        <v>465</v>
      </c>
      <c r="M97">
        <v>70702</v>
      </c>
      <c r="N97" t="s">
        <v>62</v>
      </c>
      <c r="P97">
        <v>70702</v>
      </c>
      <c r="Q97" t="s">
        <v>1476</v>
      </c>
      <c r="R97" t="s">
        <v>1477</v>
      </c>
      <c r="S97" t="s">
        <v>1239</v>
      </c>
      <c r="T97" s="6">
        <v>4200000000</v>
      </c>
      <c r="U97" s="45">
        <f>VLOOKUP(B97,realPrices!C:G,5,0)</f>
        <v>4451255000</v>
      </c>
      <c r="Z97"/>
    </row>
    <row r="98" spans="1:26" x14ac:dyDescent="0.25">
      <c r="A98" t="s">
        <v>1478</v>
      </c>
      <c r="B98" t="s">
        <v>1479</v>
      </c>
      <c r="C98">
        <v>282</v>
      </c>
      <c r="D98" t="s">
        <v>59</v>
      </c>
      <c r="E98" t="s">
        <v>60</v>
      </c>
      <c r="F98" t="s">
        <v>905</v>
      </c>
      <c r="G98">
        <v>999999</v>
      </c>
      <c r="H98">
        <v>1397</v>
      </c>
      <c r="I98" t="s">
        <v>1480</v>
      </c>
      <c r="J98" t="s">
        <v>907</v>
      </c>
      <c r="K98" t="s">
        <v>1481</v>
      </c>
      <c r="L98" t="s">
        <v>112</v>
      </c>
      <c r="M98">
        <v>28232</v>
      </c>
      <c r="N98" t="s">
        <v>62</v>
      </c>
      <c r="P98">
        <v>28232</v>
      </c>
      <c r="Q98" t="s">
        <v>1482</v>
      </c>
      <c r="R98" t="s">
        <v>1483</v>
      </c>
      <c r="S98" t="s">
        <v>1105</v>
      </c>
      <c r="T98" s="6">
        <v>1600000000</v>
      </c>
      <c r="U98" s="45">
        <f>VLOOKUP(B98,realPrices!C:G,5,0)</f>
        <v>2355850000</v>
      </c>
    </row>
    <row r="99" spans="1:26" x14ac:dyDescent="0.25">
      <c r="A99" t="s">
        <v>1484</v>
      </c>
      <c r="B99" t="s">
        <v>1485</v>
      </c>
      <c r="C99">
        <v>293</v>
      </c>
      <c r="D99" t="s">
        <v>59</v>
      </c>
      <c r="E99" t="s">
        <v>60</v>
      </c>
      <c r="F99" t="s">
        <v>905</v>
      </c>
      <c r="G99">
        <v>999999</v>
      </c>
      <c r="H99">
        <v>1398</v>
      </c>
      <c r="I99" t="s">
        <v>1486</v>
      </c>
      <c r="J99" t="s">
        <v>907</v>
      </c>
      <c r="K99" t="s">
        <v>1487</v>
      </c>
      <c r="L99" t="s">
        <v>97</v>
      </c>
      <c r="M99">
        <v>29346</v>
      </c>
      <c r="N99" t="s">
        <v>62</v>
      </c>
      <c r="P99">
        <v>29346</v>
      </c>
      <c r="Q99" t="s">
        <v>1488</v>
      </c>
      <c r="R99" t="s">
        <v>1489</v>
      </c>
      <c r="S99" t="s">
        <v>1324</v>
      </c>
      <c r="T99" s="6">
        <v>1500000000</v>
      </c>
      <c r="U99" s="45">
        <f>VLOOKUP(B99,realPrices!C:G,5,0)</f>
        <v>2219999999</v>
      </c>
    </row>
    <row r="100" spans="1:26" x14ac:dyDescent="0.25">
      <c r="A100" t="s">
        <v>1490</v>
      </c>
      <c r="B100" t="s">
        <v>1491</v>
      </c>
      <c r="C100">
        <v>282</v>
      </c>
      <c r="D100" t="s">
        <v>59</v>
      </c>
      <c r="E100" t="s">
        <v>60</v>
      </c>
      <c r="F100" t="s">
        <v>905</v>
      </c>
      <c r="G100">
        <v>999999</v>
      </c>
      <c r="H100">
        <v>1396</v>
      </c>
      <c r="I100" t="s">
        <v>1492</v>
      </c>
      <c r="J100" t="s">
        <v>907</v>
      </c>
      <c r="K100" t="s">
        <v>1493</v>
      </c>
      <c r="L100" t="s">
        <v>112</v>
      </c>
      <c r="M100">
        <v>28229</v>
      </c>
      <c r="N100" t="s">
        <v>62</v>
      </c>
      <c r="P100">
        <v>28229</v>
      </c>
      <c r="Q100" t="s">
        <v>1494</v>
      </c>
      <c r="R100" t="s">
        <v>1495</v>
      </c>
      <c r="S100" t="s">
        <v>1324</v>
      </c>
      <c r="T100" s="6">
        <v>1500000000</v>
      </c>
      <c r="U100" s="45">
        <f>VLOOKUP(B100,realPrices!C:G,5,0)</f>
        <v>2277777777</v>
      </c>
    </row>
    <row r="101" spans="1:26" x14ac:dyDescent="0.25">
      <c r="A101" t="s">
        <v>467</v>
      </c>
      <c r="B101" t="s">
        <v>1496</v>
      </c>
      <c r="C101">
        <v>600</v>
      </c>
      <c r="D101" t="s">
        <v>1028</v>
      </c>
      <c r="E101" t="s">
        <v>60</v>
      </c>
      <c r="F101" t="s">
        <v>905</v>
      </c>
      <c r="G101">
        <v>999999</v>
      </c>
      <c r="H101">
        <v>1401</v>
      </c>
      <c r="I101" t="s">
        <v>1497</v>
      </c>
      <c r="J101" t="s">
        <v>907</v>
      </c>
      <c r="K101" t="s">
        <v>1498</v>
      </c>
      <c r="L101" t="s">
        <v>962</v>
      </c>
      <c r="M101">
        <v>60010</v>
      </c>
      <c r="N101" t="s">
        <v>963</v>
      </c>
      <c r="P101">
        <v>60010</v>
      </c>
      <c r="Q101" t="s">
        <v>1499</v>
      </c>
      <c r="R101" t="s">
        <v>1500</v>
      </c>
      <c r="S101" t="s">
        <v>950</v>
      </c>
      <c r="T101" s="6">
        <v>2700000000</v>
      </c>
      <c r="U101" s="45">
        <f>VLOOKUP(B101,realPrices!C:G,5,0)</f>
        <v>3717777777</v>
      </c>
    </row>
    <row r="102" spans="1:26" x14ac:dyDescent="0.25">
      <c r="A102" t="s">
        <v>958</v>
      </c>
      <c r="B102" t="s">
        <v>1501</v>
      </c>
      <c r="C102">
        <v>600</v>
      </c>
      <c r="D102" t="s">
        <v>59</v>
      </c>
      <c r="E102" t="s">
        <v>60</v>
      </c>
      <c r="F102" t="s">
        <v>905</v>
      </c>
      <c r="G102">
        <v>999999</v>
      </c>
      <c r="H102">
        <v>1402</v>
      </c>
      <c r="I102" t="s">
        <v>1502</v>
      </c>
      <c r="J102" t="s">
        <v>907</v>
      </c>
      <c r="K102" t="s">
        <v>1503</v>
      </c>
      <c r="L102" t="s">
        <v>962</v>
      </c>
      <c r="M102">
        <v>60017</v>
      </c>
      <c r="N102" t="s">
        <v>963</v>
      </c>
      <c r="P102">
        <v>60017</v>
      </c>
      <c r="Q102" t="s">
        <v>1504</v>
      </c>
      <c r="R102" t="s">
        <v>1505</v>
      </c>
      <c r="S102" t="s">
        <v>1050</v>
      </c>
      <c r="T102" s="6">
        <v>2400000000</v>
      </c>
      <c r="U102" s="45">
        <f>VLOOKUP(B102,realPrices!C:G,5,0)</f>
        <v>3569999999</v>
      </c>
    </row>
    <row r="103" spans="1:26" x14ac:dyDescent="0.25">
      <c r="A103" t="s">
        <v>82</v>
      </c>
      <c r="B103" t="s">
        <v>1506</v>
      </c>
      <c r="C103">
        <v>285</v>
      </c>
      <c r="D103" t="s">
        <v>59</v>
      </c>
      <c r="E103" t="s">
        <v>60</v>
      </c>
      <c r="F103" t="s">
        <v>905</v>
      </c>
      <c r="G103">
        <v>999999</v>
      </c>
      <c r="H103">
        <v>1401</v>
      </c>
      <c r="I103" t="s">
        <v>1507</v>
      </c>
      <c r="J103" t="s">
        <v>907</v>
      </c>
      <c r="K103" t="s">
        <v>1508</v>
      </c>
      <c r="L103" t="s">
        <v>84</v>
      </c>
      <c r="M103">
        <v>28520</v>
      </c>
      <c r="N103" t="s">
        <v>62</v>
      </c>
      <c r="P103">
        <v>28520</v>
      </c>
      <c r="Q103" t="s">
        <v>1509</v>
      </c>
      <c r="R103" t="s">
        <v>1510</v>
      </c>
      <c r="S103" t="s">
        <v>936</v>
      </c>
      <c r="T103" s="6">
        <v>2000000000</v>
      </c>
      <c r="U103" s="45">
        <f>VLOOKUP(B103,realPrices!C:G,5,0)</f>
        <v>3114500000</v>
      </c>
    </row>
    <row r="104" spans="1:26" x14ac:dyDescent="0.25">
      <c r="A104" t="s">
        <v>382</v>
      </c>
      <c r="B104" t="s">
        <v>1511</v>
      </c>
      <c r="C104">
        <v>575</v>
      </c>
      <c r="D104" t="s">
        <v>59</v>
      </c>
      <c r="E104" t="s">
        <v>60</v>
      </c>
      <c r="F104" t="s">
        <v>905</v>
      </c>
      <c r="G104">
        <v>999999</v>
      </c>
      <c r="H104">
        <v>1400</v>
      </c>
      <c r="I104" t="s">
        <v>1512</v>
      </c>
      <c r="J104" t="s">
        <v>1101</v>
      </c>
      <c r="K104" t="s">
        <v>1513</v>
      </c>
      <c r="L104" t="s">
        <v>124</v>
      </c>
      <c r="M104">
        <v>57519</v>
      </c>
      <c r="N104" t="s">
        <v>62</v>
      </c>
      <c r="P104">
        <v>57519</v>
      </c>
      <c r="Q104" t="s">
        <v>1514</v>
      </c>
      <c r="R104" t="s">
        <v>1515</v>
      </c>
      <c r="S104" t="s">
        <v>1019</v>
      </c>
      <c r="T104" s="6">
        <v>1700000000</v>
      </c>
      <c r="U104" s="45">
        <f>VLOOKUP(B104,realPrices!C:G,5,0)</f>
        <v>1933333300</v>
      </c>
      <c r="Z104"/>
    </row>
    <row r="105" spans="1:26" x14ac:dyDescent="0.25">
      <c r="A105" t="s">
        <v>772</v>
      </c>
      <c r="B105" t="s">
        <v>1516</v>
      </c>
      <c r="C105">
        <v>575</v>
      </c>
      <c r="D105" t="s">
        <v>904</v>
      </c>
      <c r="E105" t="s">
        <v>60</v>
      </c>
      <c r="F105" t="s">
        <v>905</v>
      </c>
      <c r="G105">
        <v>999999</v>
      </c>
      <c r="H105">
        <v>1401</v>
      </c>
      <c r="I105" t="s">
        <v>1517</v>
      </c>
      <c r="J105" t="s">
        <v>907</v>
      </c>
      <c r="K105" t="s">
        <v>1518</v>
      </c>
      <c r="L105" t="s">
        <v>124</v>
      </c>
      <c r="M105">
        <v>57522</v>
      </c>
      <c r="N105" t="s">
        <v>62</v>
      </c>
      <c r="P105">
        <v>57522</v>
      </c>
      <c r="Q105" t="s">
        <v>1519</v>
      </c>
      <c r="R105" t="s">
        <v>1520</v>
      </c>
      <c r="S105" t="s">
        <v>1019</v>
      </c>
      <c r="T105" s="6">
        <v>1700000000</v>
      </c>
      <c r="U105" s="45">
        <f>VLOOKUP(B105,realPrices!C:G,5,0)</f>
        <v>0</v>
      </c>
    </row>
    <row r="106" spans="1:26" x14ac:dyDescent="0.25">
      <c r="A106" t="s">
        <v>917</v>
      </c>
      <c r="B106" t="s">
        <v>1521</v>
      </c>
      <c r="C106">
        <v>351</v>
      </c>
      <c r="D106" t="s">
        <v>59</v>
      </c>
      <c r="E106" t="s">
        <v>60</v>
      </c>
      <c r="F106" t="s">
        <v>905</v>
      </c>
      <c r="G106">
        <v>999999</v>
      </c>
      <c r="H106">
        <v>1402</v>
      </c>
      <c r="I106" t="s">
        <v>1522</v>
      </c>
      <c r="J106" t="s">
        <v>1101</v>
      </c>
      <c r="K106" t="s">
        <v>1523</v>
      </c>
      <c r="L106" t="s">
        <v>128</v>
      </c>
      <c r="M106">
        <v>35106</v>
      </c>
      <c r="N106" t="s">
        <v>62</v>
      </c>
      <c r="P106">
        <v>35106</v>
      </c>
      <c r="Q106" t="s">
        <v>1524</v>
      </c>
      <c r="R106" t="s">
        <v>1525</v>
      </c>
      <c r="S106" t="s">
        <v>911</v>
      </c>
      <c r="T106" s="6">
        <v>1800000000</v>
      </c>
      <c r="U106" s="45">
        <f>VLOOKUP(B106,realPrices!C:G,5,0)</f>
        <v>2333000000</v>
      </c>
    </row>
    <row r="107" spans="1:26" x14ac:dyDescent="0.25">
      <c r="A107" t="s">
        <v>1240</v>
      </c>
      <c r="B107" t="s">
        <v>1526</v>
      </c>
      <c r="C107">
        <v>351</v>
      </c>
      <c r="D107" t="s">
        <v>59</v>
      </c>
      <c r="E107" t="s">
        <v>60</v>
      </c>
      <c r="F107" t="s">
        <v>905</v>
      </c>
      <c r="G107">
        <v>999999</v>
      </c>
      <c r="H107">
        <v>1401</v>
      </c>
      <c r="I107" t="s">
        <v>1527</v>
      </c>
      <c r="J107" t="s">
        <v>1101</v>
      </c>
      <c r="K107" t="s">
        <v>1528</v>
      </c>
      <c r="L107" t="s">
        <v>128</v>
      </c>
      <c r="M107">
        <v>35105</v>
      </c>
      <c r="N107" t="s">
        <v>62</v>
      </c>
      <c r="P107">
        <v>35105</v>
      </c>
      <c r="Q107" t="s">
        <v>1529</v>
      </c>
      <c r="R107" t="s">
        <v>1530</v>
      </c>
      <c r="S107" t="s">
        <v>1019</v>
      </c>
      <c r="T107" s="6">
        <v>1700000000</v>
      </c>
      <c r="U107" s="45">
        <f>VLOOKUP(B107,realPrices!C:G,5,0)</f>
        <v>3566666660</v>
      </c>
      <c r="Z107"/>
    </row>
    <row r="108" spans="1:26" x14ac:dyDescent="0.25">
      <c r="A108" t="s">
        <v>1531</v>
      </c>
      <c r="B108" t="s">
        <v>1532</v>
      </c>
      <c r="C108">
        <v>351</v>
      </c>
      <c r="D108" t="s">
        <v>1028</v>
      </c>
      <c r="E108" t="s">
        <v>60</v>
      </c>
      <c r="F108" t="s">
        <v>905</v>
      </c>
      <c r="G108">
        <v>999999</v>
      </c>
      <c r="H108">
        <v>1402</v>
      </c>
      <c r="I108" t="s">
        <v>1533</v>
      </c>
      <c r="J108" t="s">
        <v>907</v>
      </c>
      <c r="K108" t="s">
        <v>1534</v>
      </c>
      <c r="L108" t="s">
        <v>128</v>
      </c>
      <c r="M108">
        <v>35106</v>
      </c>
      <c r="N108" t="s">
        <v>62</v>
      </c>
      <c r="P108">
        <v>35106</v>
      </c>
      <c r="Q108" t="s">
        <v>1535</v>
      </c>
      <c r="R108" t="s">
        <v>1536</v>
      </c>
      <c r="S108" t="s">
        <v>1013</v>
      </c>
      <c r="T108" s="6">
        <v>1900000000</v>
      </c>
      <c r="U108" s="45">
        <f>VLOOKUP(B108,realPrices!C:G,5,0)</f>
        <v>2133333339</v>
      </c>
    </row>
    <row r="109" spans="1:26" x14ac:dyDescent="0.25">
      <c r="A109" t="s">
        <v>127</v>
      </c>
      <c r="B109" t="s">
        <v>1537</v>
      </c>
      <c r="C109">
        <v>351</v>
      </c>
      <c r="D109" t="s">
        <v>904</v>
      </c>
      <c r="E109" t="s">
        <v>60</v>
      </c>
      <c r="F109" t="s">
        <v>905</v>
      </c>
      <c r="G109">
        <v>999999</v>
      </c>
      <c r="H109">
        <v>1402</v>
      </c>
      <c r="I109" t="s">
        <v>1538</v>
      </c>
      <c r="J109" t="s">
        <v>907</v>
      </c>
      <c r="K109" t="s">
        <v>1539</v>
      </c>
      <c r="L109" t="s">
        <v>128</v>
      </c>
      <c r="M109">
        <v>35101</v>
      </c>
      <c r="N109" t="s">
        <v>62</v>
      </c>
      <c r="P109">
        <v>35101</v>
      </c>
      <c r="Q109" t="s">
        <v>1540</v>
      </c>
      <c r="R109" t="s">
        <v>1541</v>
      </c>
      <c r="S109" t="s">
        <v>1013</v>
      </c>
      <c r="T109" s="6">
        <v>1900000000</v>
      </c>
      <c r="U109" s="45">
        <f>VLOOKUP(B109,realPrices!C:G,5,0)</f>
        <v>2633000000</v>
      </c>
      <c r="Z109"/>
    </row>
    <row r="110" spans="1:26" x14ac:dyDescent="0.25">
      <c r="A110" t="s">
        <v>1542</v>
      </c>
      <c r="B110" t="s">
        <v>1543</v>
      </c>
      <c r="C110">
        <v>260</v>
      </c>
      <c r="D110" t="s">
        <v>59</v>
      </c>
      <c r="E110" t="s">
        <v>60</v>
      </c>
      <c r="F110" t="s">
        <v>905</v>
      </c>
      <c r="G110">
        <v>999999</v>
      </c>
      <c r="H110">
        <v>1396</v>
      </c>
      <c r="I110" t="s">
        <v>1544</v>
      </c>
      <c r="J110" t="s">
        <v>907</v>
      </c>
      <c r="K110" t="s">
        <v>1545</v>
      </c>
      <c r="L110" t="s">
        <v>118</v>
      </c>
      <c r="M110">
        <v>26028</v>
      </c>
      <c r="N110" t="s">
        <v>963</v>
      </c>
      <c r="P110">
        <v>26028</v>
      </c>
      <c r="Q110" t="s">
        <v>1546</v>
      </c>
      <c r="R110" t="s">
        <v>1547</v>
      </c>
      <c r="S110" t="s">
        <v>1019</v>
      </c>
      <c r="T110" s="6">
        <v>1700000000</v>
      </c>
      <c r="U110" s="45">
        <f>VLOOKUP(B110,realPrices!C:G,5,0)</f>
        <v>0</v>
      </c>
      <c r="Z110"/>
    </row>
    <row r="111" spans="1:26" x14ac:dyDescent="0.25">
      <c r="A111" t="s">
        <v>1531</v>
      </c>
      <c r="B111" t="s">
        <v>1548</v>
      </c>
      <c r="C111">
        <v>351</v>
      </c>
      <c r="D111" t="s">
        <v>1028</v>
      </c>
      <c r="E111" t="s">
        <v>60</v>
      </c>
      <c r="F111" t="s">
        <v>905</v>
      </c>
      <c r="G111">
        <v>999999</v>
      </c>
      <c r="H111">
        <v>1402</v>
      </c>
      <c r="I111" t="s">
        <v>1549</v>
      </c>
      <c r="J111" t="s">
        <v>907</v>
      </c>
      <c r="K111" t="s">
        <v>1550</v>
      </c>
      <c r="L111" t="s">
        <v>128</v>
      </c>
      <c r="M111">
        <v>35106</v>
      </c>
      <c r="N111" t="s">
        <v>62</v>
      </c>
      <c r="P111">
        <v>35106</v>
      </c>
      <c r="Q111" t="s">
        <v>1551</v>
      </c>
      <c r="R111" t="s">
        <v>1552</v>
      </c>
      <c r="S111" t="s">
        <v>1019</v>
      </c>
      <c r="T111" s="6">
        <v>1700000000</v>
      </c>
      <c r="U111" s="45">
        <f>VLOOKUP(B111,realPrices!C:G,5,0)</f>
        <v>3059999999</v>
      </c>
      <c r="Z111"/>
    </row>
    <row r="112" spans="1:26" x14ac:dyDescent="0.25">
      <c r="A112" t="s">
        <v>967</v>
      </c>
      <c r="B112" t="s">
        <v>1553</v>
      </c>
      <c r="C112">
        <v>282</v>
      </c>
      <c r="D112" t="s">
        <v>59</v>
      </c>
      <c r="E112" t="s">
        <v>60</v>
      </c>
      <c r="F112" t="s">
        <v>905</v>
      </c>
      <c r="G112">
        <v>999999</v>
      </c>
      <c r="H112">
        <v>1400</v>
      </c>
      <c r="I112" t="s">
        <v>1554</v>
      </c>
      <c r="J112" t="s">
        <v>907</v>
      </c>
      <c r="K112" t="s">
        <v>1555</v>
      </c>
      <c r="L112" t="s">
        <v>112</v>
      </c>
      <c r="M112">
        <v>28242</v>
      </c>
      <c r="N112" t="s">
        <v>62</v>
      </c>
      <c r="P112">
        <v>28242</v>
      </c>
      <c r="Q112" t="s">
        <v>1556</v>
      </c>
      <c r="R112" t="s">
        <v>1557</v>
      </c>
      <c r="S112" t="s">
        <v>1105</v>
      </c>
      <c r="T112" s="6">
        <v>1600000000</v>
      </c>
      <c r="U112" s="45">
        <f>VLOOKUP(B112,realPrices!C:G,5,0)</f>
        <v>0</v>
      </c>
      <c r="Z112"/>
    </row>
    <row r="113" spans="1:26" x14ac:dyDescent="0.25">
      <c r="A113" t="s">
        <v>155</v>
      </c>
      <c r="B113" t="s">
        <v>1558</v>
      </c>
      <c r="C113">
        <v>351</v>
      </c>
      <c r="D113" t="s">
        <v>59</v>
      </c>
      <c r="E113" t="s">
        <v>60</v>
      </c>
      <c r="F113" t="s">
        <v>905</v>
      </c>
      <c r="G113">
        <v>999999</v>
      </c>
      <c r="H113">
        <v>1401</v>
      </c>
      <c r="I113" t="s">
        <v>1559</v>
      </c>
      <c r="J113" t="s">
        <v>907</v>
      </c>
      <c r="K113" t="s">
        <v>1560</v>
      </c>
      <c r="L113" t="s">
        <v>128</v>
      </c>
      <c r="M113">
        <v>35101</v>
      </c>
      <c r="N113" t="s">
        <v>62</v>
      </c>
      <c r="P113">
        <v>35101</v>
      </c>
      <c r="Q113" t="s">
        <v>1561</v>
      </c>
      <c r="R113" t="s">
        <v>1562</v>
      </c>
      <c r="S113" t="s">
        <v>911</v>
      </c>
      <c r="T113" s="6">
        <v>1800000000</v>
      </c>
      <c r="U113" s="45">
        <f>VLOOKUP(B113,realPrices!C:G,5,0)</f>
        <v>1810000000</v>
      </c>
    </row>
    <row r="114" spans="1:26" x14ac:dyDescent="0.25">
      <c r="A114" t="s">
        <v>1240</v>
      </c>
      <c r="B114" t="s">
        <v>1563</v>
      </c>
      <c r="C114">
        <v>351</v>
      </c>
      <c r="D114" t="s">
        <v>59</v>
      </c>
      <c r="E114" t="s">
        <v>60</v>
      </c>
      <c r="F114" t="s">
        <v>905</v>
      </c>
      <c r="G114">
        <v>999999</v>
      </c>
      <c r="H114">
        <v>1401</v>
      </c>
      <c r="I114" t="s">
        <v>1564</v>
      </c>
      <c r="J114" t="s">
        <v>907</v>
      </c>
      <c r="K114" t="s">
        <v>1565</v>
      </c>
      <c r="L114" t="s">
        <v>128</v>
      </c>
      <c r="M114">
        <v>35105</v>
      </c>
      <c r="N114" t="s">
        <v>62</v>
      </c>
      <c r="P114">
        <v>35105</v>
      </c>
      <c r="Q114" t="s">
        <v>1566</v>
      </c>
      <c r="R114" t="s">
        <v>1567</v>
      </c>
      <c r="S114" t="s">
        <v>911</v>
      </c>
      <c r="T114" s="6">
        <v>1800000000</v>
      </c>
      <c r="U114" s="45">
        <f>VLOOKUP(B114,realPrices!C:G,5,0)</f>
        <v>2921000000</v>
      </c>
    </row>
    <row r="115" spans="1:26" x14ac:dyDescent="0.25">
      <c r="A115" t="s">
        <v>389</v>
      </c>
      <c r="B115" t="s">
        <v>1568</v>
      </c>
      <c r="C115">
        <v>351</v>
      </c>
      <c r="D115" t="s">
        <v>59</v>
      </c>
      <c r="E115" t="s">
        <v>60</v>
      </c>
      <c r="F115" t="s">
        <v>905</v>
      </c>
      <c r="G115">
        <v>999999</v>
      </c>
      <c r="H115">
        <v>1401</v>
      </c>
      <c r="I115" t="s">
        <v>1569</v>
      </c>
      <c r="J115" t="s">
        <v>907</v>
      </c>
      <c r="K115" t="s">
        <v>1570</v>
      </c>
      <c r="L115" t="s">
        <v>128</v>
      </c>
      <c r="M115">
        <v>35103</v>
      </c>
      <c r="N115" t="s">
        <v>62</v>
      </c>
      <c r="P115">
        <v>35103</v>
      </c>
      <c r="Q115" t="s">
        <v>1571</v>
      </c>
      <c r="R115" t="s">
        <v>1572</v>
      </c>
      <c r="S115" t="s">
        <v>1013</v>
      </c>
      <c r="T115" s="6">
        <v>1900000000</v>
      </c>
      <c r="U115" s="45">
        <f>VLOOKUP(B115,realPrices!C:G,5,0)</f>
        <v>2346800000</v>
      </c>
    </row>
    <row r="116" spans="1:26" x14ac:dyDescent="0.25">
      <c r="A116" t="s">
        <v>82</v>
      </c>
      <c r="B116" t="s">
        <v>1573</v>
      </c>
      <c r="C116">
        <v>285</v>
      </c>
      <c r="D116" t="s">
        <v>59</v>
      </c>
      <c r="E116" t="s">
        <v>60</v>
      </c>
      <c r="F116" t="s">
        <v>905</v>
      </c>
      <c r="G116">
        <v>999999</v>
      </c>
      <c r="H116">
        <v>1401</v>
      </c>
      <c r="I116" t="s">
        <v>1574</v>
      </c>
      <c r="J116" t="s">
        <v>907</v>
      </c>
      <c r="K116" t="s">
        <v>1575</v>
      </c>
      <c r="L116" t="s">
        <v>84</v>
      </c>
      <c r="M116">
        <v>28520</v>
      </c>
      <c r="N116" t="s">
        <v>62</v>
      </c>
      <c r="P116">
        <v>28520</v>
      </c>
      <c r="Q116" t="s">
        <v>1576</v>
      </c>
      <c r="R116" t="s">
        <v>1577</v>
      </c>
      <c r="S116" t="s">
        <v>936</v>
      </c>
      <c r="T116" s="6">
        <v>2000000000</v>
      </c>
      <c r="U116" s="45">
        <f>VLOOKUP(B116,realPrices!C:G,5,0)</f>
        <v>3729999999</v>
      </c>
    </row>
    <row r="117" spans="1:26" x14ac:dyDescent="0.25">
      <c r="A117" t="s">
        <v>1578</v>
      </c>
      <c r="B117" t="s">
        <v>1579</v>
      </c>
      <c r="C117">
        <v>351</v>
      </c>
      <c r="D117" t="s">
        <v>1028</v>
      </c>
      <c r="E117" t="s">
        <v>60</v>
      </c>
      <c r="F117" t="s">
        <v>905</v>
      </c>
      <c r="G117">
        <v>999999</v>
      </c>
      <c r="H117">
        <v>1401</v>
      </c>
      <c r="I117" t="s">
        <v>1580</v>
      </c>
      <c r="J117" t="s">
        <v>907</v>
      </c>
      <c r="K117" t="s">
        <v>1581</v>
      </c>
      <c r="L117" t="s">
        <v>128</v>
      </c>
      <c r="M117">
        <v>35102</v>
      </c>
      <c r="N117" t="s">
        <v>62</v>
      </c>
      <c r="P117">
        <v>35102</v>
      </c>
      <c r="Q117" t="s">
        <v>1582</v>
      </c>
      <c r="R117" t="s">
        <v>1583</v>
      </c>
      <c r="S117" t="s">
        <v>911</v>
      </c>
      <c r="T117" s="6">
        <v>1800000000</v>
      </c>
      <c r="U117" s="45">
        <f>VLOOKUP(B117,realPrices!C:G,5,0)</f>
        <v>2468500000</v>
      </c>
    </row>
    <row r="118" spans="1:26" x14ac:dyDescent="0.25">
      <c r="A118" t="s">
        <v>762</v>
      </c>
      <c r="B118" t="s">
        <v>1584</v>
      </c>
      <c r="C118">
        <v>285</v>
      </c>
      <c r="D118" t="s">
        <v>59</v>
      </c>
      <c r="E118" t="s">
        <v>60</v>
      </c>
      <c r="F118" t="s">
        <v>905</v>
      </c>
      <c r="G118">
        <v>999999</v>
      </c>
      <c r="H118">
        <v>1396</v>
      </c>
      <c r="I118" t="s">
        <v>1585</v>
      </c>
      <c r="J118" t="s">
        <v>907</v>
      </c>
      <c r="K118" t="s">
        <v>1586</v>
      </c>
      <c r="L118" t="s">
        <v>84</v>
      </c>
      <c r="M118">
        <v>28515</v>
      </c>
      <c r="N118" t="s">
        <v>62</v>
      </c>
      <c r="P118">
        <v>28515</v>
      </c>
      <c r="Q118" t="s">
        <v>1587</v>
      </c>
      <c r="R118" t="s">
        <v>1588</v>
      </c>
      <c r="S118" t="s">
        <v>1019</v>
      </c>
      <c r="T118" s="6">
        <v>1700000000</v>
      </c>
      <c r="U118" s="45">
        <f>VLOOKUP(B118,realPrices!C:G,5,0)</f>
        <v>2710000000</v>
      </c>
    </row>
    <row r="119" spans="1:26" x14ac:dyDescent="0.25">
      <c r="A119" t="s">
        <v>1589</v>
      </c>
      <c r="B119" t="s">
        <v>1590</v>
      </c>
      <c r="C119">
        <v>256</v>
      </c>
      <c r="D119" t="s">
        <v>1320</v>
      </c>
      <c r="E119" t="s">
        <v>60</v>
      </c>
      <c r="F119" t="s">
        <v>1312</v>
      </c>
      <c r="G119">
        <v>999999</v>
      </c>
      <c r="H119">
        <v>1390</v>
      </c>
      <c r="I119">
        <v>12490193684</v>
      </c>
      <c r="J119" t="s">
        <v>1314</v>
      </c>
      <c r="K119" t="s">
        <v>1591</v>
      </c>
      <c r="L119" t="s">
        <v>74</v>
      </c>
      <c r="M119">
        <v>25614</v>
      </c>
      <c r="N119" t="s">
        <v>62</v>
      </c>
      <c r="P119">
        <v>25614</v>
      </c>
      <c r="Q119" t="s">
        <v>1592</v>
      </c>
      <c r="R119" t="s">
        <v>1593</v>
      </c>
      <c r="S119" t="s">
        <v>1324</v>
      </c>
      <c r="T119" s="6">
        <v>1500000000</v>
      </c>
      <c r="U119" s="45">
        <f>VLOOKUP(B119,realPrices!C:G,5,0)</f>
        <v>1916600000</v>
      </c>
      <c r="Z119"/>
    </row>
    <row r="120" spans="1:26" x14ac:dyDescent="0.25">
      <c r="A120" t="s">
        <v>82</v>
      </c>
      <c r="B120" t="s">
        <v>1594</v>
      </c>
      <c r="C120">
        <v>285</v>
      </c>
      <c r="D120" t="s">
        <v>59</v>
      </c>
      <c r="E120" t="s">
        <v>60</v>
      </c>
      <c r="F120" t="s">
        <v>1312</v>
      </c>
      <c r="G120">
        <v>999999</v>
      </c>
      <c r="H120">
        <v>1400</v>
      </c>
      <c r="I120" t="s">
        <v>1595</v>
      </c>
      <c r="J120" t="s">
        <v>1314</v>
      </c>
      <c r="K120" t="s">
        <v>1596</v>
      </c>
      <c r="L120" t="s">
        <v>84</v>
      </c>
      <c r="M120">
        <v>28520</v>
      </c>
      <c r="N120" t="s">
        <v>62</v>
      </c>
      <c r="P120">
        <v>28520</v>
      </c>
      <c r="Q120" t="s">
        <v>1597</v>
      </c>
      <c r="R120" t="s">
        <v>1598</v>
      </c>
      <c r="S120" t="s">
        <v>1056</v>
      </c>
      <c r="T120" s="6">
        <v>3500000000</v>
      </c>
      <c r="U120" s="45">
        <f>VLOOKUP(B120,realPrices!C:G,5,0)</f>
        <v>5166666999</v>
      </c>
    </row>
    <row r="121" spans="1:26" x14ac:dyDescent="0.25">
      <c r="A121" t="s">
        <v>132</v>
      </c>
      <c r="B121" t="s">
        <v>1599</v>
      </c>
      <c r="C121">
        <v>291</v>
      </c>
      <c r="D121" t="s">
        <v>59</v>
      </c>
      <c r="E121" t="s">
        <v>994</v>
      </c>
      <c r="F121" t="s">
        <v>1312</v>
      </c>
      <c r="G121">
        <v>999999</v>
      </c>
      <c r="H121">
        <v>1397</v>
      </c>
      <c r="I121" t="s">
        <v>1600</v>
      </c>
      <c r="J121" t="s">
        <v>1314</v>
      </c>
      <c r="K121" t="s">
        <v>1601</v>
      </c>
      <c r="L121" t="s">
        <v>104</v>
      </c>
      <c r="M121">
        <v>29116</v>
      </c>
      <c r="N121" t="s">
        <v>62</v>
      </c>
      <c r="P121">
        <v>29116</v>
      </c>
      <c r="Q121" t="s">
        <v>1602</v>
      </c>
      <c r="R121" t="s">
        <v>1603</v>
      </c>
      <c r="S121" t="s">
        <v>1324</v>
      </c>
      <c r="T121" s="6">
        <v>1500000000</v>
      </c>
      <c r="U121" s="45">
        <f>VLOOKUP(B121,realPrices!C:G,5,0)</f>
        <v>3888888888</v>
      </c>
    </row>
    <row r="122" spans="1:26" x14ac:dyDescent="0.25">
      <c r="A122" t="s">
        <v>82</v>
      </c>
      <c r="B122" t="s">
        <v>1604</v>
      </c>
      <c r="C122">
        <v>285</v>
      </c>
      <c r="D122" t="s">
        <v>59</v>
      </c>
      <c r="E122" t="s">
        <v>60</v>
      </c>
      <c r="F122" t="s">
        <v>1312</v>
      </c>
      <c r="G122">
        <v>999999</v>
      </c>
      <c r="H122">
        <v>1401</v>
      </c>
      <c r="I122" t="s">
        <v>1605</v>
      </c>
      <c r="J122" t="s">
        <v>1314</v>
      </c>
      <c r="K122" t="s">
        <v>1606</v>
      </c>
      <c r="L122" t="s">
        <v>84</v>
      </c>
      <c r="M122">
        <v>28520</v>
      </c>
      <c r="N122" t="s">
        <v>62</v>
      </c>
      <c r="P122">
        <v>28520</v>
      </c>
      <c r="Q122" t="s">
        <v>1607</v>
      </c>
      <c r="R122" t="s">
        <v>1608</v>
      </c>
      <c r="S122" t="s">
        <v>992</v>
      </c>
      <c r="T122" s="6">
        <v>4500000000</v>
      </c>
      <c r="U122" s="45">
        <f>VLOOKUP(B122,realPrices!C:G,5,0)</f>
        <v>6470000000</v>
      </c>
    </row>
    <row r="123" spans="1:26" x14ac:dyDescent="0.25">
      <c r="A123" t="s">
        <v>967</v>
      </c>
      <c r="B123" t="s">
        <v>1609</v>
      </c>
      <c r="C123">
        <v>282</v>
      </c>
      <c r="D123" t="s">
        <v>59</v>
      </c>
      <c r="E123" t="s">
        <v>60</v>
      </c>
      <c r="F123" t="s">
        <v>1312</v>
      </c>
      <c r="G123">
        <v>999999</v>
      </c>
      <c r="H123">
        <v>1400</v>
      </c>
      <c r="I123" t="s">
        <v>1610</v>
      </c>
      <c r="J123" t="s">
        <v>1347</v>
      </c>
      <c r="K123" t="s">
        <v>1611</v>
      </c>
      <c r="L123" t="s">
        <v>112</v>
      </c>
      <c r="M123">
        <v>28242</v>
      </c>
      <c r="N123" t="s">
        <v>62</v>
      </c>
      <c r="P123">
        <v>28242</v>
      </c>
      <c r="Q123" t="s">
        <v>1612</v>
      </c>
      <c r="R123" t="s">
        <v>1613</v>
      </c>
      <c r="S123" t="s">
        <v>1239</v>
      </c>
      <c r="T123" s="6">
        <v>4200000000</v>
      </c>
      <c r="U123" s="45">
        <f>VLOOKUP(B123,realPrices!C:G,5,0)</f>
        <v>4700000000</v>
      </c>
    </row>
    <row r="124" spans="1:26" x14ac:dyDescent="0.25">
      <c r="A124" t="s">
        <v>1614</v>
      </c>
      <c r="B124" t="s">
        <v>1615</v>
      </c>
      <c r="C124">
        <v>220</v>
      </c>
      <c r="D124" t="s">
        <v>59</v>
      </c>
      <c r="E124" t="s">
        <v>60</v>
      </c>
      <c r="F124" t="s">
        <v>1312</v>
      </c>
      <c r="G124">
        <v>999999</v>
      </c>
      <c r="H124">
        <v>1399</v>
      </c>
      <c r="I124" t="s">
        <v>1616</v>
      </c>
      <c r="J124" t="s">
        <v>1314</v>
      </c>
      <c r="K124" t="s">
        <v>1617</v>
      </c>
      <c r="L124" t="s">
        <v>100</v>
      </c>
      <c r="M124">
        <v>22018</v>
      </c>
      <c r="N124" t="s">
        <v>62</v>
      </c>
      <c r="P124">
        <v>22018</v>
      </c>
      <c r="Q124" t="s">
        <v>1618</v>
      </c>
      <c r="R124" t="s">
        <v>1619</v>
      </c>
      <c r="S124" t="s">
        <v>1056</v>
      </c>
      <c r="T124" s="6">
        <v>3500000000</v>
      </c>
      <c r="U124" s="45">
        <f>VLOOKUP(B124,realPrices!C:G,5,0)</f>
        <v>5026000009</v>
      </c>
      <c r="Z124"/>
    </row>
    <row r="125" spans="1:26" x14ac:dyDescent="0.25">
      <c r="A125" t="s">
        <v>1620</v>
      </c>
      <c r="B125" t="s">
        <v>1621</v>
      </c>
      <c r="C125">
        <v>282</v>
      </c>
      <c r="D125" t="s">
        <v>59</v>
      </c>
      <c r="E125" t="s">
        <v>60</v>
      </c>
      <c r="F125" t="s">
        <v>1312</v>
      </c>
      <c r="G125">
        <v>999999</v>
      </c>
      <c r="H125">
        <v>1398</v>
      </c>
      <c r="I125" t="s">
        <v>1622</v>
      </c>
      <c r="J125" t="s">
        <v>1314</v>
      </c>
      <c r="K125" t="s">
        <v>1623</v>
      </c>
      <c r="L125" t="s">
        <v>112</v>
      </c>
      <c r="M125">
        <v>28238</v>
      </c>
      <c r="N125" t="s">
        <v>62</v>
      </c>
      <c r="P125">
        <v>28238</v>
      </c>
      <c r="Q125" t="s">
        <v>1624</v>
      </c>
      <c r="R125" t="s">
        <v>1625</v>
      </c>
      <c r="S125" t="s">
        <v>1338</v>
      </c>
      <c r="T125" s="6">
        <v>3000000000</v>
      </c>
      <c r="U125" s="45">
        <f>VLOOKUP(B125,realPrices!C:G,5,0)</f>
        <v>4110110110</v>
      </c>
    </row>
    <row r="126" spans="1:26" x14ac:dyDescent="0.25">
      <c r="A126" t="s">
        <v>1626</v>
      </c>
      <c r="B126" t="s">
        <v>1627</v>
      </c>
      <c r="C126">
        <v>272</v>
      </c>
      <c r="D126" t="s">
        <v>1320</v>
      </c>
      <c r="E126" t="s">
        <v>994</v>
      </c>
      <c r="F126" t="s">
        <v>1312</v>
      </c>
      <c r="G126">
        <v>999999</v>
      </c>
      <c r="H126">
        <v>1393</v>
      </c>
      <c r="I126" t="s">
        <v>1628</v>
      </c>
      <c r="J126" t="s">
        <v>1314</v>
      </c>
      <c r="K126" t="s">
        <v>1629</v>
      </c>
      <c r="L126" t="s">
        <v>81</v>
      </c>
      <c r="M126">
        <v>27222</v>
      </c>
      <c r="N126" t="s">
        <v>62</v>
      </c>
      <c r="P126">
        <v>27222</v>
      </c>
      <c r="Q126" t="s">
        <v>1630</v>
      </c>
      <c r="R126" t="s">
        <v>1631</v>
      </c>
      <c r="S126" t="s">
        <v>1332</v>
      </c>
      <c r="T126" s="6">
        <v>2500000000</v>
      </c>
      <c r="U126" s="45">
        <f>VLOOKUP(B126,realPrices!C:G,5,0)</f>
        <v>3110000000</v>
      </c>
      <c r="Z126"/>
    </row>
    <row r="127" spans="1:26" x14ac:dyDescent="0.25">
      <c r="A127" t="s">
        <v>447</v>
      </c>
      <c r="B127" t="s">
        <v>1632</v>
      </c>
      <c r="C127">
        <v>600</v>
      </c>
      <c r="D127" t="s">
        <v>59</v>
      </c>
      <c r="E127" t="s">
        <v>60</v>
      </c>
      <c r="F127" t="s">
        <v>1312</v>
      </c>
      <c r="G127">
        <v>999999</v>
      </c>
      <c r="H127">
        <v>1400</v>
      </c>
      <c r="I127" t="s">
        <v>1633</v>
      </c>
      <c r="J127" t="s">
        <v>1314</v>
      </c>
      <c r="K127" t="s">
        <v>1634</v>
      </c>
      <c r="L127" t="s">
        <v>962</v>
      </c>
      <c r="M127">
        <v>60010</v>
      </c>
      <c r="N127" t="s">
        <v>963</v>
      </c>
      <c r="P127">
        <v>60010</v>
      </c>
      <c r="Q127" t="s">
        <v>1635</v>
      </c>
      <c r="R127" t="s">
        <v>1636</v>
      </c>
      <c r="S127" t="s">
        <v>992</v>
      </c>
      <c r="T127" s="6">
        <v>4500000000</v>
      </c>
      <c r="U127" s="45">
        <f>VLOOKUP(B127,realPrices!C:G,5,0)</f>
        <v>5501100000</v>
      </c>
      <c r="Z127"/>
    </row>
    <row r="128" spans="1:26" x14ac:dyDescent="0.25">
      <c r="A128" t="s">
        <v>82</v>
      </c>
      <c r="B128" t="s">
        <v>1637</v>
      </c>
      <c r="C128">
        <v>285</v>
      </c>
      <c r="D128" t="s">
        <v>59</v>
      </c>
      <c r="E128" t="s">
        <v>60</v>
      </c>
      <c r="F128" t="s">
        <v>1312</v>
      </c>
      <c r="G128">
        <v>999999</v>
      </c>
      <c r="H128">
        <v>1400</v>
      </c>
      <c r="I128" t="s">
        <v>1638</v>
      </c>
      <c r="J128" t="s">
        <v>1314</v>
      </c>
      <c r="K128" t="s">
        <v>1639</v>
      </c>
      <c r="L128" t="s">
        <v>84</v>
      </c>
      <c r="M128">
        <v>28520</v>
      </c>
      <c r="N128" t="s">
        <v>62</v>
      </c>
      <c r="P128">
        <v>28520</v>
      </c>
      <c r="Q128" t="s">
        <v>1640</v>
      </c>
      <c r="R128" t="s">
        <v>1641</v>
      </c>
      <c r="S128" t="s">
        <v>1239</v>
      </c>
      <c r="T128" s="6">
        <v>4200000000</v>
      </c>
      <c r="U128" s="45">
        <f>VLOOKUP(B128,realPrices!C:G,5,0)</f>
        <v>5566666999</v>
      </c>
      <c r="Z128"/>
    </row>
    <row r="129" spans="1:26" x14ac:dyDescent="0.25">
      <c r="A129" t="s">
        <v>1478</v>
      </c>
      <c r="B129" t="s">
        <v>1642</v>
      </c>
      <c r="C129">
        <v>282</v>
      </c>
      <c r="D129" t="s">
        <v>59</v>
      </c>
      <c r="E129" t="s">
        <v>60</v>
      </c>
      <c r="F129" t="s">
        <v>1312</v>
      </c>
      <c r="G129">
        <v>999999</v>
      </c>
      <c r="H129">
        <v>1398</v>
      </c>
      <c r="I129" t="s">
        <v>1643</v>
      </c>
      <c r="J129" t="s">
        <v>1314</v>
      </c>
      <c r="K129" t="s">
        <v>1644</v>
      </c>
      <c r="L129" t="s">
        <v>112</v>
      </c>
      <c r="M129">
        <v>28232</v>
      </c>
      <c r="N129" t="s">
        <v>62</v>
      </c>
      <c r="P129">
        <v>28232</v>
      </c>
      <c r="Q129" t="s">
        <v>1645</v>
      </c>
      <c r="R129" t="s">
        <v>1646</v>
      </c>
      <c r="S129" t="s">
        <v>1013</v>
      </c>
      <c r="T129" s="6">
        <v>1900000000</v>
      </c>
      <c r="U129" s="45">
        <f>VLOOKUP(B129,realPrices!C:G,5,0)</f>
        <v>3251316344</v>
      </c>
      <c r="Z129"/>
    </row>
    <row r="130" spans="1:26" x14ac:dyDescent="0.25">
      <c r="A130" t="s">
        <v>461</v>
      </c>
      <c r="B130" t="s">
        <v>1647</v>
      </c>
      <c r="C130">
        <v>285</v>
      </c>
      <c r="D130" t="s">
        <v>59</v>
      </c>
      <c r="E130" t="s">
        <v>60</v>
      </c>
      <c r="F130" t="s">
        <v>905</v>
      </c>
      <c r="G130">
        <v>999999</v>
      </c>
      <c r="H130">
        <v>1401</v>
      </c>
      <c r="I130" t="s">
        <v>1648</v>
      </c>
      <c r="J130" t="s">
        <v>907</v>
      </c>
      <c r="K130" t="s">
        <v>1649</v>
      </c>
      <c r="L130" t="s">
        <v>84</v>
      </c>
      <c r="M130">
        <v>28527</v>
      </c>
      <c r="N130" t="s">
        <v>62</v>
      </c>
      <c r="P130">
        <v>28527</v>
      </c>
      <c r="Q130" t="s">
        <v>1650</v>
      </c>
      <c r="R130" t="s">
        <v>1651</v>
      </c>
      <c r="S130" t="s">
        <v>936</v>
      </c>
      <c r="T130" s="6">
        <v>2000000000</v>
      </c>
      <c r="U130" s="45">
        <f>VLOOKUP(B130,realPrices!C:G,5,0)</f>
        <v>3890000000</v>
      </c>
    </row>
    <row r="131" spans="1:26" x14ac:dyDescent="0.25">
      <c r="A131" t="s">
        <v>1652</v>
      </c>
      <c r="B131" t="s">
        <v>1653</v>
      </c>
      <c r="C131">
        <v>220</v>
      </c>
      <c r="D131" t="s">
        <v>59</v>
      </c>
      <c r="E131" t="s">
        <v>60</v>
      </c>
      <c r="F131" t="s">
        <v>905</v>
      </c>
      <c r="G131">
        <v>999999</v>
      </c>
      <c r="H131">
        <v>1392</v>
      </c>
      <c r="I131" t="s">
        <v>1654</v>
      </c>
      <c r="J131" t="s">
        <v>907</v>
      </c>
      <c r="K131" t="s">
        <v>1655</v>
      </c>
      <c r="L131" t="s">
        <v>100</v>
      </c>
      <c r="M131">
        <v>22004</v>
      </c>
      <c r="N131" t="s">
        <v>62</v>
      </c>
      <c r="P131">
        <v>22004</v>
      </c>
      <c r="Q131" t="s">
        <v>1656</v>
      </c>
      <c r="R131" t="s">
        <v>1657</v>
      </c>
      <c r="S131" t="s">
        <v>1105</v>
      </c>
      <c r="T131" s="6">
        <v>1600000000</v>
      </c>
      <c r="U131" s="45">
        <f>VLOOKUP(B131,realPrices!C:G,5,0)</f>
        <v>1740000000</v>
      </c>
      <c r="Z131"/>
    </row>
    <row r="132" spans="1:26" x14ac:dyDescent="0.25">
      <c r="A132" t="s">
        <v>127</v>
      </c>
      <c r="B132" t="s">
        <v>1658</v>
      </c>
      <c r="C132">
        <v>351</v>
      </c>
      <c r="D132" t="s">
        <v>904</v>
      </c>
      <c r="E132" t="s">
        <v>60</v>
      </c>
      <c r="F132" t="s">
        <v>905</v>
      </c>
      <c r="G132">
        <v>999999</v>
      </c>
      <c r="H132">
        <v>1401</v>
      </c>
      <c r="I132" t="s">
        <v>1659</v>
      </c>
      <c r="J132" t="s">
        <v>907</v>
      </c>
      <c r="K132" t="s">
        <v>1660</v>
      </c>
      <c r="L132" t="s">
        <v>128</v>
      </c>
      <c r="M132">
        <v>35101</v>
      </c>
      <c r="N132" t="s">
        <v>62</v>
      </c>
      <c r="P132">
        <v>35101</v>
      </c>
      <c r="Q132" t="s">
        <v>1661</v>
      </c>
      <c r="R132" t="s">
        <v>1662</v>
      </c>
      <c r="S132" t="s">
        <v>911</v>
      </c>
      <c r="T132" s="6">
        <v>1800000000</v>
      </c>
      <c r="U132" s="45">
        <f>VLOOKUP(B132,realPrices!C:G,5,0)</f>
        <v>2615368825</v>
      </c>
      <c r="Z132"/>
    </row>
    <row r="133" spans="1:26" x14ac:dyDescent="0.25">
      <c r="A133" t="s">
        <v>1663</v>
      </c>
      <c r="B133" t="s">
        <v>1664</v>
      </c>
      <c r="C133">
        <v>287</v>
      </c>
      <c r="D133" t="s">
        <v>59</v>
      </c>
      <c r="E133" t="s">
        <v>60</v>
      </c>
      <c r="F133" t="s">
        <v>905</v>
      </c>
      <c r="G133">
        <v>999999</v>
      </c>
      <c r="H133">
        <v>1399</v>
      </c>
      <c r="I133" t="s">
        <v>1665</v>
      </c>
      <c r="J133" t="s">
        <v>907</v>
      </c>
      <c r="K133" t="s">
        <v>1666</v>
      </c>
      <c r="L133" t="s">
        <v>1349</v>
      </c>
      <c r="M133">
        <v>28708</v>
      </c>
      <c r="N133" t="s">
        <v>62</v>
      </c>
      <c r="P133">
        <v>28708</v>
      </c>
      <c r="Q133" t="s">
        <v>1667</v>
      </c>
      <c r="R133" t="s">
        <v>1668</v>
      </c>
      <c r="S133" t="s">
        <v>1105</v>
      </c>
      <c r="T133" s="6">
        <v>1600000000</v>
      </c>
      <c r="U133" s="45">
        <f>VLOOKUP(B133,realPrices!C:G,5,0)</f>
        <v>3275500000</v>
      </c>
    </row>
    <row r="134" spans="1:26" x14ac:dyDescent="0.25">
      <c r="A134" t="s">
        <v>1267</v>
      </c>
      <c r="B134" t="s">
        <v>1669</v>
      </c>
      <c r="C134">
        <v>351</v>
      </c>
      <c r="D134" t="s">
        <v>59</v>
      </c>
      <c r="E134" t="s">
        <v>60</v>
      </c>
      <c r="F134" t="s">
        <v>905</v>
      </c>
      <c r="G134">
        <v>999999</v>
      </c>
      <c r="H134">
        <v>1402</v>
      </c>
      <c r="I134" t="s">
        <v>1670</v>
      </c>
      <c r="J134" t="s">
        <v>907</v>
      </c>
      <c r="K134" t="s">
        <v>1671</v>
      </c>
      <c r="L134" t="s">
        <v>128</v>
      </c>
      <c r="M134">
        <v>35107</v>
      </c>
      <c r="N134" t="s">
        <v>62</v>
      </c>
      <c r="P134">
        <v>35107</v>
      </c>
      <c r="Q134" t="s">
        <v>1672</v>
      </c>
      <c r="R134" t="s">
        <v>1673</v>
      </c>
      <c r="S134" t="s">
        <v>911</v>
      </c>
      <c r="T134" s="6">
        <v>1800000000</v>
      </c>
      <c r="U134" s="45">
        <f>VLOOKUP(B134,realPrices!C:G,5,0)</f>
        <v>2600000000</v>
      </c>
      <c r="Z134"/>
    </row>
    <row r="135" spans="1:26" x14ac:dyDescent="0.25">
      <c r="A135" t="s">
        <v>127</v>
      </c>
      <c r="B135" t="s">
        <v>1674</v>
      </c>
      <c r="C135">
        <v>351</v>
      </c>
      <c r="D135" t="s">
        <v>904</v>
      </c>
      <c r="E135" t="s">
        <v>60</v>
      </c>
      <c r="F135" t="s">
        <v>905</v>
      </c>
      <c r="G135">
        <v>999999</v>
      </c>
      <c r="H135">
        <v>1401</v>
      </c>
      <c r="I135" t="s">
        <v>1675</v>
      </c>
      <c r="J135" t="s">
        <v>907</v>
      </c>
      <c r="K135" t="s">
        <v>1676</v>
      </c>
      <c r="L135" t="s">
        <v>128</v>
      </c>
      <c r="M135">
        <v>35101</v>
      </c>
      <c r="N135" t="s">
        <v>62</v>
      </c>
      <c r="P135">
        <v>35101</v>
      </c>
      <c r="Q135" t="s">
        <v>1677</v>
      </c>
      <c r="R135" t="s">
        <v>1678</v>
      </c>
      <c r="S135" t="s">
        <v>911</v>
      </c>
      <c r="T135" s="6">
        <v>1800000000</v>
      </c>
      <c r="U135" s="45">
        <f>VLOOKUP(B135,realPrices!C:G,5,0)</f>
        <v>2363000000</v>
      </c>
      <c r="Z135"/>
    </row>
    <row r="136" spans="1:26" x14ac:dyDescent="0.25">
      <c r="A136" t="s">
        <v>505</v>
      </c>
      <c r="B136" t="s">
        <v>1679</v>
      </c>
      <c r="C136">
        <v>575</v>
      </c>
      <c r="D136" t="s">
        <v>59</v>
      </c>
      <c r="E136" t="s">
        <v>60</v>
      </c>
      <c r="F136" t="s">
        <v>905</v>
      </c>
      <c r="G136">
        <v>999999</v>
      </c>
      <c r="H136">
        <v>1401</v>
      </c>
      <c r="I136" t="s">
        <v>1680</v>
      </c>
      <c r="J136" t="s">
        <v>907</v>
      </c>
      <c r="K136" t="s">
        <v>1681</v>
      </c>
      <c r="L136" t="s">
        <v>124</v>
      </c>
      <c r="M136">
        <v>57522</v>
      </c>
      <c r="N136" t="s">
        <v>62</v>
      </c>
      <c r="P136">
        <v>57522</v>
      </c>
      <c r="Q136" t="s">
        <v>1682</v>
      </c>
      <c r="R136" t="s">
        <v>1683</v>
      </c>
      <c r="S136" t="s">
        <v>1019</v>
      </c>
      <c r="T136" s="6">
        <v>1700000000</v>
      </c>
      <c r="U136" s="45">
        <f>VLOOKUP(B136,realPrices!C:G,5,0)</f>
        <v>2328800000</v>
      </c>
      <c r="Z136"/>
    </row>
    <row r="137" spans="1:26" x14ac:dyDescent="0.25">
      <c r="A137" t="s">
        <v>1490</v>
      </c>
      <c r="B137" t="s">
        <v>1684</v>
      </c>
      <c r="C137">
        <v>282</v>
      </c>
      <c r="D137" t="s">
        <v>59</v>
      </c>
      <c r="E137" t="s">
        <v>60</v>
      </c>
      <c r="F137" t="s">
        <v>905</v>
      </c>
      <c r="G137">
        <v>999999</v>
      </c>
      <c r="H137">
        <v>1396</v>
      </c>
      <c r="I137" t="s">
        <v>1685</v>
      </c>
      <c r="J137" t="s">
        <v>907</v>
      </c>
      <c r="K137" t="s">
        <v>1686</v>
      </c>
      <c r="L137" t="s">
        <v>112</v>
      </c>
      <c r="M137">
        <v>28229</v>
      </c>
      <c r="N137" t="s">
        <v>62</v>
      </c>
      <c r="P137">
        <v>28229</v>
      </c>
      <c r="Q137" t="s">
        <v>1687</v>
      </c>
      <c r="R137" t="s">
        <v>1688</v>
      </c>
      <c r="S137" t="s">
        <v>1689</v>
      </c>
      <c r="T137" s="6">
        <v>1650000000</v>
      </c>
      <c r="U137" s="45">
        <f>VLOOKUP(B137,realPrices!C:G,5,0)</f>
        <v>0</v>
      </c>
    </row>
    <row r="138" spans="1:26" x14ac:dyDescent="0.25">
      <c r="A138" t="s">
        <v>155</v>
      </c>
      <c r="B138" t="s">
        <v>1690</v>
      </c>
      <c r="C138">
        <v>351</v>
      </c>
      <c r="D138" t="s">
        <v>59</v>
      </c>
      <c r="E138" t="s">
        <v>60</v>
      </c>
      <c r="F138" t="s">
        <v>905</v>
      </c>
      <c r="G138">
        <v>999999</v>
      </c>
      <c r="H138">
        <v>1401</v>
      </c>
      <c r="I138" t="s">
        <v>1691</v>
      </c>
      <c r="J138" t="s">
        <v>907</v>
      </c>
      <c r="K138" t="s">
        <v>1692</v>
      </c>
      <c r="L138" t="s">
        <v>128</v>
      </c>
      <c r="M138">
        <v>35101</v>
      </c>
      <c r="N138" t="s">
        <v>62</v>
      </c>
      <c r="P138">
        <v>35101</v>
      </c>
      <c r="Q138" t="s">
        <v>1693</v>
      </c>
      <c r="R138" t="s">
        <v>1694</v>
      </c>
      <c r="S138" t="s">
        <v>911</v>
      </c>
      <c r="T138" s="6">
        <v>1800000000</v>
      </c>
      <c r="U138" s="45">
        <f>VLOOKUP(B138,realPrices!C:G,5,0)</f>
        <v>2433000000</v>
      </c>
    </row>
    <row r="139" spans="1:26" x14ac:dyDescent="0.25">
      <c r="A139" t="s">
        <v>763</v>
      </c>
      <c r="B139" t="s">
        <v>1695</v>
      </c>
      <c r="C139">
        <v>282</v>
      </c>
      <c r="D139" t="s">
        <v>904</v>
      </c>
      <c r="E139" t="s">
        <v>60</v>
      </c>
      <c r="F139" t="s">
        <v>905</v>
      </c>
      <c r="G139">
        <v>999999</v>
      </c>
      <c r="H139">
        <v>1399</v>
      </c>
      <c r="I139" t="s">
        <v>1696</v>
      </c>
      <c r="J139" t="s">
        <v>1101</v>
      </c>
      <c r="K139" t="s">
        <v>1697</v>
      </c>
      <c r="L139" t="s">
        <v>112</v>
      </c>
      <c r="M139">
        <v>28242</v>
      </c>
      <c r="N139" t="s">
        <v>62</v>
      </c>
      <c r="P139">
        <v>28242</v>
      </c>
      <c r="Q139" t="s">
        <v>1698</v>
      </c>
      <c r="R139" t="s">
        <v>1699</v>
      </c>
      <c r="S139" t="s">
        <v>911</v>
      </c>
      <c r="T139" s="6">
        <v>1800000000</v>
      </c>
      <c r="U139" s="45">
        <f>VLOOKUP(B139,realPrices!C:G,5,0)</f>
        <v>0</v>
      </c>
    </row>
    <row r="140" spans="1:26" x14ac:dyDescent="0.25">
      <c r="A140" t="s">
        <v>1700</v>
      </c>
      <c r="B140" t="s">
        <v>1701</v>
      </c>
      <c r="C140">
        <v>220</v>
      </c>
      <c r="D140" t="s">
        <v>59</v>
      </c>
      <c r="E140" t="s">
        <v>60</v>
      </c>
      <c r="F140" t="s">
        <v>905</v>
      </c>
      <c r="G140">
        <v>999999</v>
      </c>
      <c r="H140">
        <v>1395</v>
      </c>
      <c r="I140" t="s">
        <v>1702</v>
      </c>
      <c r="J140" t="s">
        <v>907</v>
      </c>
      <c r="K140" t="s">
        <v>1703</v>
      </c>
      <c r="L140" t="s">
        <v>100</v>
      </c>
      <c r="M140">
        <v>22009</v>
      </c>
      <c r="N140" t="s">
        <v>62</v>
      </c>
      <c r="P140">
        <v>22009</v>
      </c>
      <c r="Q140" t="s">
        <v>1704</v>
      </c>
      <c r="R140" t="s">
        <v>1705</v>
      </c>
      <c r="S140" t="s">
        <v>1019</v>
      </c>
      <c r="T140" s="6">
        <v>1700000000</v>
      </c>
      <c r="U140" s="45">
        <f>VLOOKUP(B140,realPrices!C:G,5,0)</f>
        <v>2150000000</v>
      </c>
    </row>
    <row r="141" spans="1:26" x14ac:dyDescent="0.25">
      <c r="A141" t="s">
        <v>1706</v>
      </c>
      <c r="B141" t="s">
        <v>1707</v>
      </c>
      <c r="C141">
        <v>610</v>
      </c>
      <c r="D141" t="s">
        <v>1708</v>
      </c>
      <c r="E141" t="s">
        <v>60</v>
      </c>
      <c r="F141" t="s">
        <v>905</v>
      </c>
      <c r="G141">
        <v>999999</v>
      </c>
      <c r="H141">
        <v>1396</v>
      </c>
      <c r="I141" t="s">
        <v>1709</v>
      </c>
      <c r="J141" t="s">
        <v>907</v>
      </c>
      <c r="K141" t="s">
        <v>1710</v>
      </c>
      <c r="L141" t="s">
        <v>115</v>
      </c>
      <c r="M141">
        <v>61006</v>
      </c>
      <c r="N141" t="s">
        <v>62</v>
      </c>
      <c r="P141">
        <v>61006</v>
      </c>
      <c r="Q141" t="s">
        <v>1711</v>
      </c>
      <c r="R141" t="s">
        <v>1712</v>
      </c>
      <c r="S141" t="s">
        <v>1105</v>
      </c>
      <c r="T141" s="6">
        <v>1600000000</v>
      </c>
      <c r="U141" s="45">
        <f>VLOOKUP(B141,realPrices!C:G,5,0)</f>
        <v>2030000000</v>
      </c>
    </row>
    <row r="142" spans="1:26" x14ac:dyDescent="0.25">
      <c r="A142" t="s">
        <v>1713</v>
      </c>
      <c r="B142" t="s">
        <v>1714</v>
      </c>
      <c r="C142">
        <v>285</v>
      </c>
      <c r="D142" t="s">
        <v>59</v>
      </c>
      <c r="E142" t="s">
        <v>60</v>
      </c>
      <c r="F142" t="s">
        <v>905</v>
      </c>
      <c r="G142">
        <v>999999</v>
      </c>
      <c r="H142">
        <v>1392</v>
      </c>
      <c r="I142" t="s">
        <v>1715</v>
      </c>
      <c r="J142" t="s">
        <v>907</v>
      </c>
      <c r="K142" t="s">
        <v>1716</v>
      </c>
      <c r="L142" t="s">
        <v>84</v>
      </c>
      <c r="M142">
        <v>28504</v>
      </c>
      <c r="N142" t="s">
        <v>62</v>
      </c>
      <c r="P142">
        <v>28504</v>
      </c>
      <c r="Q142" t="s">
        <v>1717</v>
      </c>
      <c r="R142" t="s">
        <v>1718</v>
      </c>
      <c r="S142" t="s">
        <v>1019</v>
      </c>
      <c r="T142" s="6">
        <v>1700000000</v>
      </c>
      <c r="U142" s="45">
        <f>VLOOKUP(B142,realPrices!C:G,5,0)</f>
        <v>0</v>
      </c>
    </row>
    <row r="143" spans="1:26" x14ac:dyDescent="0.25">
      <c r="A143" t="s">
        <v>1719</v>
      </c>
      <c r="B143" t="s">
        <v>1720</v>
      </c>
      <c r="C143">
        <v>600</v>
      </c>
      <c r="D143" t="s">
        <v>59</v>
      </c>
      <c r="E143" t="s">
        <v>60</v>
      </c>
      <c r="F143" t="s">
        <v>905</v>
      </c>
      <c r="G143">
        <v>999999</v>
      </c>
      <c r="H143">
        <v>1401</v>
      </c>
      <c r="I143" t="s">
        <v>1721</v>
      </c>
      <c r="J143" t="s">
        <v>1101</v>
      </c>
      <c r="K143" t="s">
        <v>1722</v>
      </c>
      <c r="L143" t="s">
        <v>962</v>
      </c>
      <c r="M143">
        <v>60015</v>
      </c>
      <c r="N143" t="s">
        <v>963</v>
      </c>
      <c r="P143">
        <v>60015</v>
      </c>
      <c r="Q143" t="s">
        <v>1723</v>
      </c>
      <c r="R143" t="s">
        <v>1724</v>
      </c>
      <c r="S143" t="s">
        <v>966</v>
      </c>
      <c r="T143" s="6">
        <v>2600000000</v>
      </c>
      <c r="U143" s="45">
        <f>VLOOKUP(B143,realPrices!C:G,5,0)</f>
        <v>3619999999</v>
      </c>
      <c r="Z143"/>
    </row>
    <row r="144" spans="1:26" x14ac:dyDescent="0.25">
      <c r="A144" t="s">
        <v>1725</v>
      </c>
      <c r="B144" t="s">
        <v>1726</v>
      </c>
      <c r="C144">
        <v>707</v>
      </c>
      <c r="D144" t="s">
        <v>1079</v>
      </c>
      <c r="E144" t="s">
        <v>60</v>
      </c>
      <c r="F144" t="s">
        <v>905</v>
      </c>
      <c r="G144">
        <v>999999</v>
      </c>
      <c r="H144">
        <v>1402</v>
      </c>
      <c r="I144" t="s">
        <v>1727</v>
      </c>
      <c r="J144" t="s">
        <v>907</v>
      </c>
      <c r="K144" t="s">
        <v>1728</v>
      </c>
      <c r="L144" t="s">
        <v>465</v>
      </c>
      <c r="M144">
        <v>70709</v>
      </c>
      <c r="N144" t="s">
        <v>62</v>
      </c>
      <c r="P144">
        <v>70709</v>
      </c>
      <c r="Q144" t="s">
        <v>1729</v>
      </c>
      <c r="R144" t="s">
        <v>1730</v>
      </c>
      <c r="S144" t="s">
        <v>992</v>
      </c>
      <c r="T144" s="6">
        <v>4500000000</v>
      </c>
      <c r="U144" s="45">
        <f>VLOOKUP(B144,realPrices!C:G,5,0)</f>
        <v>5612345678</v>
      </c>
    </row>
    <row r="145" spans="1:26" x14ac:dyDescent="0.25">
      <c r="A145" t="s">
        <v>1700</v>
      </c>
      <c r="B145" t="s">
        <v>1731</v>
      </c>
      <c r="C145">
        <v>220</v>
      </c>
      <c r="D145" t="s">
        <v>59</v>
      </c>
      <c r="E145" t="s">
        <v>60</v>
      </c>
      <c r="F145" t="s">
        <v>905</v>
      </c>
      <c r="G145">
        <v>999999</v>
      </c>
      <c r="H145">
        <v>1397</v>
      </c>
      <c r="I145" t="s">
        <v>1732</v>
      </c>
      <c r="J145" t="s">
        <v>907</v>
      </c>
      <c r="K145" t="s">
        <v>1733</v>
      </c>
      <c r="L145" t="s">
        <v>100</v>
      </c>
      <c r="M145">
        <v>22009</v>
      </c>
      <c r="N145" t="s">
        <v>62</v>
      </c>
      <c r="P145">
        <v>22009</v>
      </c>
      <c r="Q145" t="s">
        <v>1734</v>
      </c>
      <c r="R145" t="s">
        <v>1735</v>
      </c>
      <c r="S145" t="s">
        <v>1324</v>
      </c>
      <c r="T145" s="6">
        <v>1500000000</v>
      </c>
      <c r="U145" s="45">
        <f>VLOOKUP(B145,realPrices!C:G,5,0)</f>
        <v>0</v>
      </c>
    </row>
    <row r="146" spans="1:26" x14ac:dyDescent="0.25">
      <c r="A146" t="s">
        <v>1736</v>
      </c>
      <c r="B146" t="s">
        <v>1737</v>
      </c>
      <c r="C146">
        <v>220</v>
      </c>
      <c r="D146" t="s">
        <v>59</v>
      </c>
      <c r="E146" t="s">
        <v>60</v>
      </c>
      <c r="F146" t="s">
        <v>905</v>
      </c>
      <c r="G146">
        <v>999999</v>
      </c>
      <c r="H146">
        <v>1398</v>
      </c>
      <c r="I146" t="s">
        <v>1738</v>
      </c>
      <c r="J146" t="s">
        <v>907</v>
      </c>
      <c r="K146" t="s">
        <v>1739</v>
      </c>
      <c r="L146" t="s">
        <v>100</v>
      </c>
      <c r="M146">
        <v>22013</v>
      </c>
      <c r="N146" t="s">
        <v>62</v>
      </c>
      <c r="P146">
        <v>22013</v>
      </c>
      <c r="Q146" t="s">
        <v>1740</v>
      </c>
      <c r="R146" t="s">
        <v>1741</v>
      </c>
      <c r="S146" t="s">
        <v>1105</v>
      </c>
      <c r="T146" s="6">
        <v>1600000000</v>
      </c>
      <c r="U146" s="45">
        <f>VLOOKUP(B146,realPrices!C:G,5,0)</f>
        <v>1800999999</v>
      </c>
    </row>
    <row r="147" spans="1:26" x14ac:dyDescent="0.25">
      <c r="A147" t="s">
        <v>382</v>
      </c>
      <c r="B147" t="s">
        <v>1742</v>
      </c>
      <c r="C147">
        <v>575</v>
      </c>
      <c r="D147" t="s">
        <v>59</v>
      </c>
      <c r="E147" t="s">
        <v>60</v>
      </c>
      <c r="F147" t="s">
        <v>905</v>
      </c>
      <c r="G147">
        <v>999999</v>
      </c>
      <c r="H147">
        <v>1401</v>
      </c>
      <c r="I147" t="s">
        <v>1743</v>
      </c>
      <c r="J147" t="s">
        <v>907</v>
      </c>
      <c r="K147" t="s">
        <v>1744</v>
      </c>
      <c r="L147" t="s">
        <v>124</v>
      </c>
      <c r="M147">
        <v>57519</v>
      </c>
      <c r="N147" t="s">
        <v>62</v>
      </c>
      <c r="P147">
        <v>57519</v>
      </c>
      <c r="Q147" t="s">
        <v>1745</v>
      </c>
      <c r="R147" t="s">
        <v>1746</v>
      </c>
      <c r="S147" t="s">
        <v>1019</v>
      </c>
      <c r="T147" s="6">
        <v>1700000000</v>
      </c>
      <c r="U147" s="45">
        <f>VLOOKUP(B147,realPrices!C:G,5,0)</f>
        <v>3570000000</v>
      </c>
    </row>
    <row r="148" spans="1:26" x14ac:dyDescent="0.25">
      <c r="A148" t="s">
        <v>765</v>
      </c>
      <c r="B148" t="s">
        <v>1747</v>
      </c>
      <c r="C148">
        <v>322</v>
      </c>
      <c r="D148" t="s">
        <v>904</v>
      </c>
      <c r="E148" t="s">
        <v>60</v>
      </c>
      <c r="F148" t="s">
        <v>905</v>
      </c>
      <c r="G148">
        <v>999999</v>
      </c>
      <c r="H148">
        <v>1400</v>
      </c>
      <c r="I148" t="s">
        <v>1748</v>
      </c>
      <c r="J148" t="s">
        <v>907</v>
      </c>
      <c r="K148" t="s">
        <v>1749</v>
      </c>
      <c r="L148" t="s">
        <v>65</v>
      </c>
      <c r="M148">
        <v>32201</v>
      </c>
      <c r="N148" t="s">
        <v>62</v>
      </c>
      <c r="P148">
        <v>32201</v>
      </c>
      <c r="Q148" t="s">
        <v>1750</v>
      </c>
      <c r="R148" t="s">
        <v>1751</v>
      </c>
      <c r="S148" t="s">
        <v>957</v>
      </c>
      <c r="T148" s="6">
        <v>3800000000</v>
      </c>
      <c r="U148" s="45">
        <f>VLOOKUP(B148,realPrices!C:G,5,0)</f>
        <v>0</v>
      </c>
      <c r="Z148"/>
    </row>
    <row r="149" spans="1:26" x14ac:dyDescent="0.25">
      <c r="A149" t="s">
        <v>469</v>
      </c>
      <c r="B149" t="s">
        <v>1752</v>
      </c>
      <c r="C149">
        <v>707</v>
      </c>
      <c r="D149" t="s">
        <v>1028</v>
      </c>
      <c r="E149" t="s">
        <v>60</v>
      </c>
      <c r="F149" t="s">
        <v>905</v>
      </c>
      <c r="G149">
        <v>999999</v>
      </c>
      <c r="H149">
        <v>1401</v>
      </c>
      <c r="I149" t="s">
        <v>1753</v>
      </c>
      <c r="J149" t="s">
        <v>907</v>
      </c>
      <c r="K149" t="s">
        <v>1754</v>
      </c>
      <c r="L149" t="s">
        <v>465</v>
      </c>
      <c r="M149">
        <v>70702</v>
      </c>
      <c r="N149" t="s">
        <v>62</v>
      </c>
      <c r="P149">
        <v>70702</v>
      </c>
      <c r="Q149" t="s">
        <v>1755</v>
      </c>
      <c r="R149" t="s">
        <v>1756</v>
      </c>
      <c r="S149" t="s">
        <v>1239</v>
      </c>
      <c r="T149" s="6">
        <v>4200000000</v>
      </c>
      <c r="U149" s="45">
        <f>VLOOKUP(B149,realPrices!C:G,5,0)</f>
        <v>5250000009</v>
      </c>
    </row>
    <row r="150" spans="1:26" x14ac:dyDescent="0.25">
      <c r="A150" t="s">
        <v>463</v>
      </c>
      <c r="B150" t="s">
        <v>1757</v>
      </c>
      <c r="C150">
        <v>707</v>
      </c>
      <c r="D150" t="s">
        <v>59</v>
      </c>
      <c r="E150" t="s">
        <v>60</v>
      </c>
      <c r="F150" t="s">
        <v>905</v>
      </c>
      <c r="G150">
        <v>999999</v>
      </c>
      <c r="H150">
        <v>1401</v>
      </c>
      <c r="I150" t="s">
        <v>1758</v>
      </c>
      <c r="J150" t="s">
        <v>907</v>
      </c>
      <c r="K150" t="s">
        <v>1759</v>
      </c>
      <c r="L150" t="s">
        <v>465</v>
      </c>
      <c r="M150">
        <v>70702</v>
      </c>
      <c r="N150" t="s">
        <v>62</v>
      </c>
      <c r="P150">
        <v>70702</v>
      </c>
      <c r="Q150" t="s">
        <v>1760</v>
      </c>
      <c r="R150" t="s">
        <v>1761</v>
      </c>
      <c r="S150" t="s">
        <v>973</v>
      </c>
      <c r="T150" s="6">
        <v>3900000000</v>
      </c>
      <c r="U150" s="45">
        <f>VLOOKUP(B150,realPrices!C:G,5,0)</f>
        <v>4910000000</v>
      </c>
    </row>
    <row r="151" spans="1:26" x14ac:dyDescent="0.25">
      <c r="A151" t="s">
        <v>1762</v>
      </c>
      <c r="B151" t="s">
        <v>1763</v>
      </c>
      <c r="C151">
        <v>287</v>
      </c>
      <c r="D151" t="s">
        <v>59</v>
      </c>
      <c r="E151" t="s">
        <v>60</v>
      </c>
      <c r="F151" t="s">
        <v>905</v>
      </c>
      <c r="G151">
        <v>999999</v>
      </c>
      <c r="H151">
        <v>1397</v>
      </c>
      <c r="I151" t="s">
        <v>1764</v>
      </c>
      <c r="J151" t="s">
        <v>1101</v>
      </c>
      <c r="K151" t="s">
        <v>1765</v>
      </c>
      <c r="L151" t="s">
        <v>1349</v>
      </c>
      <c r="M151">
        <v>28706</v>
      </c>
      <c r="N151" t="s">
        <v>62</v>
      </c>
      <c r="P151">
        <v>28706</v>
      </c>
      <c r="Q151" t="s">
        <v>1766</v>
      </c>
      <c r="R151" t="s">
        <v>1767</v>
      </c>
      <c r="S151" t="s">
        <v>1105</v>
      </c>
      <c r="T151" s="6">
        <v>1600000000</v>
      </c>
      <c r="U151" s="45">
        <f>VLOOKUP(B151,realPrices!C:G,5,0)</f>
        <v>3619999999</v>
      </c>
      <c r="Z151"/>
    </row>
    <row r="152" spans="1:26" x14ac:dyDescent="0.25">
      <c r="A152" t="s">
        <v>1768</v>
      </c>
      <c r="B152" t="s">
        <v>1769</v>
      </c>
      <c r="C152">
        <v>707</v>
      </c>
      <c r="D152" t="s">
        <v>952</v>
      </c>
      <c r="E152" t="s">
        <v>60</v>
      </c>
      <c r="F152" t="s">
        <v>905</v>
      </c>
      <c r="G152">
        <v>999999</v>
      </c>
      <c r="H152">
        <v>1401</v>
      </c>
      <c r="I152" t="s">
        <v>1770</v>
      </c>
      <c r="J152" t="s">
        <v>907</v>
      </c>
      <c r="K152" t="s">
        <v>1771</v>
      </c>
      <c r="L152" t="s">
        <v>465</v>
      </c>
      <c r="M152">
        <v>70702</v>
      </c>
      <c r="N152" t="s">
        <v>62</v>
      </c>
      <c r="P152">
        <v>70702</v>
      </c>
      <c r="Q152" t="s">
        <v>1772</v>
      </c>
      <c r="R152" t="s">
        <v>1773</v>
      </c>
      <c r="S152" t="s">
        <v>1774</v>
      </c>
      <c r="T152" s="6">
        <v>3700000000</v>
      </c>
      <c r="U152" s="45">
        <f>VLOOKUP(B152,realPrices!C:G,5,0)</f>
        <v>3950000000</v>
      </c>
      <c r="Z152"/>
    </row>
    <row r="153" spans="1:26" x14ac:dyDescent="0.25">
      <c r="A153" t="s">
        <v>1531</v>
      </c>
      <c r="B153" t="s">
        <v>1775</v>
      </c>
      <c r="C153">
        <v>351</v>
      </c>
      <c r="D153" t="s">
        <v>1028</v>
      </c>
      <c r="E153" t="s">
        <v>60</v>
      </c>
      <c r="F153" t="s">
        <v>905</v>
      </c>
      <c r="G153">
        <v>999999</v>
      </c>
      <c r="H153">
        <v>1402</v>
      </c>
      <c r="I153" t="s">
        <v>1776</v>
      </c>
      <c r="J153" t="s">
        <v>1101</v>
      </c>
      <c r="K153" t="s">
        <v>1777</v>
      </c>
      <c r="L153" t="s">
        <v>128</v>
      </c>
      <c r="M153">
        <v>35106</v>
      </c>
      <c r="N153" t="s">
        <v>62</v>
      </c>
      <c r="P153">
        <v>35106</v>
      </c>
      <c r="Q153" t="s">
        <v>1778</v>
      </c>
      <c r="R153" t="s">
        <v>1779</v>
      </c>
      <c r="S153" t="s">
        <v>1013</v>
      </c>
      <c r="T153" s="6">
        <v>1900000000</v>
      </c>
      <c r="U153" s="45">
        <f>VLOOKUP(B153,realPrices!C:G,5,0)</f>
        <v>2743000000</v>
      </c>
    </row>
    <row r="154" spans="1:26" x14ac:dyDescent="0.25">
      <c r="A154" t="s">
        <v>1768</v>
      </c>
      <c r="B154" t="s">
        <v>1780</v>
      </c>
      <c r="C154">
        <v>707</v>
      </c>
      <c r="D154" t="s">
        <v>952</v>
      </c>
      <c r="E154" t="s">
        <v>60</v>
      </c>
      <c r="F154" t="s">
        <v>905</v>
      </c>
      <c r="G154">
        <v>999999</v>
      </c>
      <c r="H154">
        <v>1401</v>
      </c>
      <c r="I154" t="s">
        <v>1781</v>
      </c>
      <c r="J154" t="s">
        <v>1101</v>
      </c>
      <c r="K154" t="s">
        <v>1782</v>
      </c>
      <c r="L154" t="s">
        <v>465</v>
      </c>
      <c r="M154">
        <v>70702</v>
      </c>
      <c r="N154" t="s">
        <v>62</v>
      </c>
      <c r="P154">
        <v>70702</v>
      </c>
      <c r="Q154" t="s">
        <v>1783</v>
      </c>
      <c r="R154" t="s">
        <v>1784</v>
      </c>
      <c r="S154" t="s">
        <v>957</v>
      </c>
      <c r="T154" s="6">
        <v>3800000000</v>
      </c>
      <c r="U154" s="45">
        <f>VLOOKUP(B154,realPrices!C:G,5,0)</f>
        <v>5000000000</v>
      </c>
    </row>
    <row r="155" spans="1:26" x14ac:dyDescent="0.25">
      <c r="A155" t="s">
        <v>1785</v>
      </c>
      <c r="B155" t="s">
        <v>1786</v>
      </c>
      <c r="C155">
        <v>704</v>
      </c>
      <c r="D155" t="s">
        <v>59</v>
      </c>
      <c r="E155" t="s">
        <v>60</v>
      </c>
      <c r="F155" t="s">
        <v>905</v>
      </c>
      <c r="G155">
        <v>999999</v>
      </c>
      <c r="H155">
        <v>1402</v>
      </c>
      <c r="I155" t="s">
        <v>1787</v>
      </c>
      <c r="J155" t="s">
        <v>907</v>
      </c>
      <c r="K155" t="s">
        <v>1788</v>
      </c>
      <c r="L155" t="s">
        <v>546</v>
      </c>
      <c r="M155">
        <v>70410</v>
      </c>
      <c r="N155" t="s">
        <v>62</v>
      </c>
      <c r="P155">
        <v>70410</v>
      </c>
      <c r="Q155" t="s">
        <v>1789</v>
      </c>
      <c r="R155" t="s">
        <v>1790</v>
      </c>
      <c r="S155" t="s">
        <v>973</v>
      </c>
      <c r="T155" s="6">
        <v>3900000000</v>
      </c>
      <c r="U155" s="45">
        <f>VLOOKUP(B155,realPrices!C:G,5,0)</f>
        <v>4919999999</v>
      </c>
    </row>
    <row r="156" spans="1:26" x14ac:dyDescent="0.25">
      <c r="A156" t="s">
        <v>469</v>
      </c>
      <c r="B156" t="s">
        <v>1791</v>
      </c>
      <c r="C156">
        <v>707</v>
      </c>
      <c r="D156" t="s">
        <v>1028</v>
      </c>
      <c r="E156" t="s">
        <v>60</v>
      </c>
      <c r="F156" t="s">
        <v>905</v>
      </c>
      <c r="G156">
        <v>999999</v>
      </c>
      <c r="H156">
        <v>1401</v>
      </c>
      <c r="I156" t="s">
        <v>1792</v>
      </c>
      <c r="J156" t="s">
        <v>907</v>
      </c>
      <c r="K156" t="s">
        <v>1793</v>
      </c>
      <c r="L156" t="s">
        <v>465</v>
      </c>
      <c r="M156">
        <v>70702</v>
      </c>
      <c r="N156" t="s">
        <v>62</v>
      </c>
      <c r="P156">
        <v>70702</v>
      </c>
      <c r="Q156" t="s">
        <v>1794</v>
      </c>
      <c r="R156" t="s">
        <v>1795</v>
      </c>
      <c r="S156" t="s">
        <v>957</v>
      </c>
      <c r="T156" s="6">
        <v>3800000000</v>
      </c>
      <c r="U156" s="45">
        <f>VLOOKUP(B156,realPrices!C:G,5,0)</f>
        <v>5510000018</v>
      </c>
    </row>
    <row r="157" spans="1:26" x14ac:dyDescent="0.25">
      <c r="A157" t="s">
        <v>1626</v>
      </c>
      <c r="B157" t="s">
        <v>1796</v>
      </c>
      <c r="C157">
        <v>272</v>
      </c>
      <c r="D157" t="s">
        <v>1320</v>
      </c>
      <c r="E157" t="s">
        <v>994</v>
      </c>
      <c r="F157" t="s">
        <v>905</v>
      </c>
      <c r="G157">
        <v>999999</v>
      </c>
      <c r="H157">
        <v>1394</v>
      </c>
      <c r="I157" t="s">
        <v>1797</v>
      </c>
      <c r="J157" t="s">
        <v>907</v>
      </c>
      <c r="K157" t="s">
        <v>1798</v>
      </c>
      <c r="L157" t="s">
        <v>81</v>
      </c>
      <c r="M157">
        <v>27222</v>
      </c>
      <c r="N157" t="s">
        <v>62</v>
      </c>
      <c r="P157">
        <v>27222</v>
      </c>
      <c r="Q157" t="s">
        <v>1799</v>
      </c>
      <c r="R157" t="s">
        <v>1800</v>
      </c>
      <c r="S157" t="s">
        <v>1801</v>
      </c>
      <c r="T157" s="6">
        <v>1300000000</v>
      </c>
      <c r="U157" s="45">
        <f>VLOOKUP(B157,realPrices!C:G,5,0)</f>
        <v>0</v>
      </c>
    </row>
    <row r="158" spans="1:26" x14ac:dyDescent="0.25">
      <c r="A158" t="s">
        <v>534</v>
      </c>
      <c r="B158" t="s">
        <v>1802</v>
      </c>
      <c r="C158">
        <v>703</v>
      </c>
      <c r="D158" t="s">
        <v>59</v>
      </c>
      <c r="E158" t="s">
        <v>60</v>
      </c>
      <c r="F158" t="s">
        <v>905</v>
      </c>
      <c r="G158">
        <v>999999</v>
      </c>
      <c r="H158">
        <v>1400</v>
      </c>
      <c r="I158" t="s">
        <v>1803</v>
      </c>
      <c r="J158" t="s">
        <v>907</v>
      </c>
      <c r="K158" t="s">
        <v>1804</v>
      </c>
      <c r="L158" t="s">
        <v>412</v>
      </c>
      <c r="M158">
        <v>70317</v>
      </c>
      <c r="N158" t="s">
        <v>62</v>
      </c>
      <c r="P158">
        <v>70317</v>
      </c>
      <c r="Q158" t="s">
        <v>1805</v>
      </c>
      <c r="R158" t="s">
        <v>1806</v>
      </c>
      <c r="S158" t="s">
        <v>1338</v>
      </c>
      <c r="T158" s="6">
        <v>3000000000</v>
      </c>
      <c r="U158" s="45">
        <f>VLOOKUP(B158,realPrices!C:G,5,0)</f>
        <v>3919999999</v>
      </c>
    </row>
    <row r="159" spans="1:26" x14ac:dyDescent="0.25">
      <c r="A159" t="s">
        <v>1807</v>
      </c>
      <c r="B159" t="s">
        <v>1808</v>
      </c>
      <c r="C159">
        <v>600</v>
      </c>
      <c r="D159" t="s">
        <v>1028</v>
      </c>
      <c r="E159" t="s">
        <v>60</v>
      </c>
      <c r="F159" t="s">
        <v>905</v>
      </c>
      <c r="G159">
        <v>999999</v>
      </c>
      <c r="H159">
        <v>1397</v>
      </c>
      <c r="I159" t="s">
        <v>1809</v>
      </c>
      <c r="J159" t="s">
        <v>907</v>
      </c>
      <c r="K159" t="s">
        <v>1810</v>
      </c>
      <c r="L159" t="s">
        <v>962</v>
      </c>
      <c r="M159">
        <v>60002</v>
      </c>
      <c r="N159" t="s">
        <v>963</v>
      </c>
      <c r="P159">
        <v>60002</v>
      </c>
      <c r="Q159" t="s">
        <v>1811</v>
      </c>
      <c r="R159" t="s">
        <v>1812</v>
      </c>
      <c r="S159" t="s">
        <v>1332</v>
      </c>
      <c r="T159" s="6">
        <v>2500000000</v>
      </c>
      <c r="U159" s="45">
        <f>VLOOKUP(B159,realPrices!C:G,5,0)</f>
        <v>0</v>
      </c>
      <c r="Z159"/>
    </row>
    <row r="160" spans="1:26" x14ac:dyDescent="0.25">
      <c r="A160" t="s">
        <v>447</v>
      </c>
      <c r="B160" t="s">
        <v>1813</v>
      </c>
      <c r="C160">
        <v>600</v>
      </c>
      <c r="D160" t="s">
        <v>59</v>
      </c>
      <c r="E160" t="s">
        <v>60</v>
      </c>
      <c r="F160" t="s">
        <v>905</v>
      </c>
      <c r="G160">
        <v>999999</v>
      </c>
      <c r="H160">
        <v>1400</v>
      </c>
      <c r="I160" t="s">
        <v>1814</v>
      </c>
      <c r="J160" t="s">
        <v>907</v>
      </c>
      <c r="K160" t="s">
        <v>1815</v>
      </c>
      <c r="L160" t="s">
        <v>962</v>
      </c>
      <c r="M160">
        <v>60010</v>
      </c>
      <c r="N160" t="s">
        <v>963</v>
      </c>
      <c r="P160">
        <v>60010</v>
      </c>
      <c r="Q160" t="s">
        <v>1816</v>
      </c>
      <c r="R160" t="s">
        <v>1817</v>
      </c>
      <c r="S160" t="s">
        <v>950</v>
      </c>
      <c r="T160" s="6">
        <v>2700000000</v>
      </c>
      <c r="U160" s="45">
        <f>VLOOKUP(B160,realPrices!C:G,5,0)</f>
        <v>3500000000</v>
      </c>
    </row>
    <row r="161" spans="1:26" x14ac:dyDescent="0.25">
      <c r="A161" t="s">
        <v>425</v>
      </c>
      <c r="B161" t="s">
        <v>1818</v>
      </c>
      <c r="C161">
        <v>260</v>
      </c>
      <c r="D161" t="s">
        <v>59</v>
      </c>
      <c r="E161" t="s">
        <v>60</v>
      </c>
      <c r="F161" t="s">
        <v>905</v>
      </c>
      <c r="G161">
        <v>999999</v>
      </c>
      <c r="H161">
        <v>1397</v>
      </c>
      <c r="I161" t="s">
        <v>1819</v>
      </c>
      <c r="J161" t="s">
        <v>907</v>
      </c>
      <c r="K161" t="s">
        <v>1820</v>
      </c>
      <c r="L161" t="s">
        <v>118</v>
      </c>
      <c r="M161">
        <v>26030</v>
      </c>
      <c r="N161" t="s">
        <v>963</v>
      </c>
      <c r="P161">
        <v>26030</v>
      </c>
      <c r="Q161" t="s">
        <v>1821</v>
      </c>
      <c r="R161" t="s">
        <v>1822</v>
      </c>
      <c r="S161" t="s">
        <v>1019</v>
      </c>
      <c r="T161" s="6">
        <v>1700000000</v>
      </c>
      <c r="U161" s="45">
        <f>VLOOKUP(B161,realPrices!C:G,5,0)</f>
        <v>0</v>
      </c>
    </row>
    <row r="162" spans="1:26" x14ac:dyDescent="0.25">
      <c r="A162" t="s">
        <v>561</v>
      </c>
      <c r="B162" t="s">
        <v>1823</v>
      </c>
      <c r="C162">
        <v>606</v>
      </c>
      <c r="D162" t="s">
        <v>1028</v>
      </c>
      <c r="E162" t="s">
        <v>60</v>
      </c>
      <c r="F162" t="s">
        <v>905</v>
      </c>
      <c r="G162">
        <v>999999</v>
      </c>
      <c r="H162">
        <v>1401</v>
      </c>
      <c r="I162" t="s">
        <v>1824</v>
      </c>
      <c r="J162" t="s">
        <v>907</v>
      </c>
      <c r="K162" t="s">
        <v>1825</v>
      </c>
      <c r="L162" t="s">
        <v>560</v>
      </c>
      <c r="M162">
        <v>60602</v>
      </c>
      <c r="N162" t="s">
        <v>947</v>
      </c>
      <c r="P162">
        <v>60602</v>
      </c>
      <c r="Q162" t="s">
        <v>1826</v>
      </c>
      <c r="R162" t="s">
        <v>1827</v>
      </c>
      <c r="S162" t="s">
        <v>1084</v>
      </c>
      <c r="T162" s="6">
        <v>3400000000</v>
      </c>
      <c r="U162" s="45">
        <f>VLOOKUP(B162,realPrices!C:G,5,0)</f>
        <v>4400000000</v>
      </c>
      <c r="Z162"/>
    </row>
    <row r="163" spans="1:26" x14ac:dyDescent="0.25">
      <c r="A163" t="s">
        <v>743</v>
      </c>
      <c r="B163" t="s">
        <v>1828</v>
      </c>
      <c r="C163">
        <v>518</v>
      </c>
      <c r="D163" t="s">
        <v>904</v>
      </c>
      <c r="E163" t="s">
        <v>60</v>
      </c>
      <c r="F163" t="s">
        <v>905</v>
      </c>
      <c r="G163">
        <v>999999</v>
      </c>
      <c r="H163">
        <v>1400</v>
      </c>
      <c r="I163" t="s">
        <v>1829</v>
      </c>
      <c r="J163" t="s">
        <v>907</v>
      </c>
      <c r="K163" t="s">
        <v>1830</v>
      </c>
      <c r="L163" t="s">
        <v>742</v>
      </c>
      <c r="M163">
        <v>51802</v>
      </c>
      <c r="N163" t="s">
        <v>963</v>
      </c>
      <c r="P163">
        <v>51802</v>
      </c>
      <c r="Q163" t="s">
        <v>1831</v>
      </c>
      <c r="R163" t="s">
        <v>1832</v>
      </c>
      <c r="S163" t="s">
        <v>1774</v>
      </c>
      <c r="T163" s="6">
        <v>3700000000</v>
      </c>
      <c r="U163" s="45">
        <f>VLOOKUP(B163,realPrices!C:G,5,0)</f>
        <v>7667899999</v>
      </c>
      <c r="Z163"/>
    </row>
    <row r="164" spans="1:26" x14ac:dyDescent="0.25">
      <c r="A164" t="s">
        <v>373</v>
      </c>
      <c r="B164" t="s">
        <v>1833</v>
      </c>
      <c r="C164">
        <v>575</v>
      </c>
      <c r="D164" t="s">
        <v>904</v>
      </c>
      <c r="E164" t="s">
        <v>60</v>
      </c>
      <c r="F164" t="s">
        <v>905</v>
      </c>
      <c r="G164">
        <v>999999</v>
      </c>
      <c r="H164">
        <v>1401</v>
      </c>
      <c r="I164" t="s">
        <v>1834</v>
      </c>
      <c r="J164" t="s">
        <v>1101</v>
      </c>
      <c r="K164" t="s">
        <v>1835</v>
      </c>
      <c r="L164" t="s">
        <v>124</v>
      </c>
      <c r="M164">
        <v>57519</v>
      </c>
      <c r="N164" t="s">
        <v>62</v>
      </c>
      <c r="P164">
        <v>57519</v>
      </c>
      <c r="Q164" t="s">
        <v>1836</v>
      </c>
      <c r="R164" t="s">
        <v>1837</v>
      </c>
      <c r="S164" t="s">
        <v>1019</v>
      </c>
      <c r="T164" s="6">
        <v>1700000000</v>
      </c>
      <c r="U164" s="45">
        <f>VLOOKUP(B164,realPrices!C:G,5,0)</f>
        <v>3210000000</v>
      </c>
    </row>
    <row r="165" spans="1:26" x14ac:dyDescent="0.25">
      <c r="A165" t="s">
        <v>1233</v>
      </c>
      <c r="B165" t="s">
        <v>1838</v>
      </c>
      <c r="C165">
        <v>707</v>
      </c>
      <c r="D165" t="s">
        <v>904</v>
      </c>
      <c r="E165" t="s">
        <v>60</v>
      </c>
      <c r="F165" t="s">
        <v>905</v>
      </c>
      <c r="G165">
        <v>999999</v>
      </c>
      <c r="H165">
        <v>1402</v>
      </c>
      <c r="I165" t="s">
        <v>1839</v>
      </c>
      <c r="J165" t="s">
        <v>1101</v>
      </c>
      <c r="K165" t="s">
        <v>1840</v>
      </c>
      <c r="L165" t="s">
        <v>465</v>
      </c>
      <c r="M165">
        <v>70709</v>
      </c>
      <c r="N165" t="s">
        <v>62</v>
      </c>
      <c r="P165">
        <v>70709</v>
      </c>
      <c r="Q165" t="s">
        <v>1841</v>
      </c>
      <c r="R165" t="s">
        <v>1842</v>
      </c>
      <c r="S165" t="s">
        <v>992</v>
      </c>
      <c r="T165" s="6">
        <v>4500000000</v>
      </c>
      <c r="U165" s="45">
        <f>VLOOKUP(B165,realPrices!C:G,5,0)</f>
        <v>6759999999</v>
      </c>
    </row>
    <row r="166" spans="1:26" x14ac:dyDescent="0.25">
      <c r="A166" t="s">
        <v>635</v>
      </c>
      <c r="B166" t="s">
        <v>1843</v>
      </c>
      <c r="C166">
        <v>707</v>
      </c>
      <c r="D166" t="s">
        <v>1327</v>
      </c>
      <c r="E166" t="s">
        <v>60</v>
      </c>
      <c r="F166" t="s">
        <v>905</v>
      </c>
      <c r="G166">
        <v>999999</v>
      </c>
      <c r="H166">
        <v>1399</v>
      </c>
      <c r="I166" t="s">
        <v>1844</v>
      </c>
      <c r="J166" t="s">
        <v>1101</v>
      </c>
      <c r="K166" t="s">
        <v>1845</v>
      </c>
      <c r="L166" t="s">
        <v>465</v>
      </c>
      <c r="M166">
        <v>70702</v>
      </c>
      <c r="N166" t="s">
        <v>62</v>
      </c>
      <c r="P166">
        <v>70702</v>
      </c>
      <c r="Q166" t="s">
        <v>1846</v>
      </c>
      <c r="R166" t="s">
        <v>1847</v>
      </c>
      <c r="S166" t="s">
        <v>957</v>
      </c>
      <c r="T166" s="6">
        <v>3800000000</v>
      </c>
      <c r="U166" s="45">
        <f>VLOOKUP(B166,realPrices!C:G,5,0)</f>
        <v>3870000000</v>
      </c>
    </row>
    <row r="167" spans="1:26" x14ac:dyDescent="0.25">
      <c r="A167" t="s">
        <v>958</v>
      </c>
      <c r="B167" t="s">
        <v>1848</v>
      </c>
      <c r="C167">
        <v>600</v>
      </c>
      <c r="D167" t="s">
        <v>59</v>
      </c>
      <c r="E167" t="s">
        <v>60</v>
      </c>
      <c r="F167" t="s">
        <v>905</v>
      </c>
      <c r="G167">
        <v>999999</v>
      </c>
      <c r="H167">
        <v>1402</v>
      </c>
      <c r="I167" t="s">
        <v>1849</v>
      </c>
      <c r="J167" t="s">
        <v>907</v>
      </c>
      <c r="K167" t="s">
        <v>1850</v>
      </c>
      <c r="L167" t="s">
        <v>962</v>
      </c>
      <c r="M167">
        <v>60017</v>
      </c>
      <c r="N167" t="s">
        <v>963</v>
      </c>
      <c r="P167">
        <v>60017</v>
      </c>
      <c r="Q167" t="s">
        <v>1851</v>
      </c>
      <c r="R167" t="s">
        <v>1852</v>
      </c>
      <c r="S167" t="s">
        <v>1069</v>
      </c>
      <c r="T167" s="6">
        <v>2900000000</v>
      </c>
      <c r="U167" s="45">
        <f>VLOOKUP(B167,realPrices!C:G,5,0)</f>
        <v>3999500000</v>
      </c>
    </row>
    <row r="168" spans="1:26" x14ac:dyDescent="0.25">
      <c r="A168" t="s">
        <v>459</v>
      </c>
      <c r="B168" t="s">
        <v>1853</v>
      </c>
      <c r="C168">
        <v>600</v>
      </c>
      <c r="D168" t="s">
        <v>59</v>
      </c>
      <c r="E168" t="s">
        <v>60</v>
      </c>
      <c r="F168" t="s">
        <v>66</v>
      </c>
      <c r="G168">
        <v>999999</v>
      </c>
      <c r="H168">
        <v>1401</v>
      </c>
      <c r="I168" t="s">
        <v>1854</v>
      </c>
      <c r="J168" t="s">
        <v>1855</v>
      </c>
      <c r="K168" t="s">
        <v>1856</v>
      </c>
      <c r="L168" t="s">
        <v>962</v>
      </c>
      <c r="M168">
        <v>60006</v>
      </c>
      <c r="N168" t="s">
        <v>963</v>
      </c>
      <c r="P168">
        <v>60006</v>
      </c>
      <c r="Q168" t="s">
        <v>1857</v>
      </c>
      <c r="R168" t="s">
        <v>1858</v>
      </c>
      <c r="S168" t="s">
        <v>1859</v>
      </c>
      <c r="T168" s="6">
        <v>4800000000</v>
      </c>
      <c r="U168" s="45">
        <f>VLOOKUP(B168,realPrices!C:G,5,0)</f>
        <v>6326000009</v>
      </c>
    </row>
    <row r="169" spans="1:26" x14ac:dyDescent="0.25">
      <c r="A169" t="s">
        <v>382</v>
      </c>
      <c r="B169" t="s">
        <v>1860</v>
      </c>
      <c r="C169">
        <v>575</v>
      </c>
      <c r="D169" t="s">
        <v>59</v>
      </c>
      <c r="E169" t="s">
        <v>60</v>
      </c>
      <c r="F169" t="s">
        <v>905</v>
      </c>
      <c r="G169">
        <v>999999</v>
      </c>
      <c r="H169">
        <v>1401</v>
      </c>
      <c r="I169" t="s">
        <v>1861</v>
      </c>
      <c r="J169" t="s">
        <v>907</v>
      </c>
      <c r="K169" t="s">
        <v>1862</v>
      </c>
      <c r="L169" t="s">
        <v>124</v>
      </c>
      <c r="M169">
        <v>57519</v>
      </c>
      <c r="N169" t="s">
        <v>62</v>
      </c>
      <c r="P169">
        <v>57519</v>
      </c>
      <c r="Q169" t="s">
        <v>1863</v>
      </c>
      <c r="R169" t="s">
        <v>1864</v>
      </c>
      <c r="S169" t="s">
        <v>1019</v>
      </c>
      <c r="T169" s="6">
        <v>1700000000</v>
      </c>
      <c r="U169" s="45">
        <f>VLOOKUP(B169,realPrices!C:G,5,0)</f>
        <v>3220000000</v>
      </c>
    </row>
    <row r="170" spans="1:26" x14ac:dyDescent="0.25">
      <c r="A170" t="s">
        <v>773</v>
      </c>
      <c r="B170" t="s">
        <v>1865</v>
      </c>
      <c r="C170">
        <v>351</v>
      </c>
      <c r="D170" t="s">
        <v>59</v>
      </c>
      <c r="E170" t="s">
        <v>60</v>
      </c>
      <c r="F170" t="s">
        <v>905</v>
      </c>
      <c r="G170">
        <v>999999</v>
      </c>
      <c r="H170">
        <v>1402</v>
      </c>
      <c r="I170" t="s">
        <v>1866</v>
      </c>
      <c r="J170" t="s">
        <v>907</v>
      </c>
      <c r="K170" t="s">
        <v>1867</v>
      </c>
      <c r="L170" t="s">
        <v>128</v>
      </c>
      <c r="M170">
        <v>35102</v>
      </c>
      <c r="N170" t="s">
        <v>62</v>
      </c>
      <c r="P170">
        <v>35102</v>
      </c>
      <c r="Q170" t="s">
        <v>1868</v>
      </c>
      <c r="R170" t="s">
        <v>1869</v>
      </c>
      <c r="S170" t="s">
        <v>936</v>
      </c>
      <c r="T170" s="6">
        <v>2000000000</v>
      </c>
      <c r="U170" s="45">
        <f>VLOOKUP(B170,realPrices!C:G,5,0)</f>
        <v>3021000000</v>
      </c>
      <c r="Z170"/>
    </row>
    <row r="171" spans="1:26" x14ac:dyDescent="0.25">
      <c r="A171" t="s">
        <v>483</v>
      </c>
      <c r="B171" t="s">
        <v>1870</v>
      </c>
      <c r="C171">
        <v>703</v>
      </c>
      <c r="D171" t="s">
        <v>904</v>
      </c>
      <c r="E171" t="s">
        <v>60</v>
      </c>
      <c r="F171" t="s">
        <v>905</v>
      </c>
      <c r="G171">
        <v>999999</v>
      </c>
      <c r="H171">
        <v>1401</v>
      </c>
      <c r="I171" t="s">
        <v>1871</v>
      </c>
      <c r="J171" t="s">
        <v>907</v>
      </c>
      <c r="K171" t="s">
        <v>1872</v>
      </c>
      <c r="L171" t="s">
        <v>412</v>
      </c>
      <c r="M171">
        <v>70317</v>
      </c>
      <c r="N171" t="s">
        <v>62</v>
      </c>
      <c r="P171">
        <v>70317</v>
      </c>
      <c r="Q171" t="s">
        <v>1873</v>
      </c>
      <c r="R171" t="s">
        <v>1874</v>
      </c>
      <c r="S171" t="s">
        <v>1774</v>
      </c>
      <c r="T171" s="6">
        <v>3700000000</v>
      </c>
      <c r="U171" s="45">
        <f>VLOOKUP(B171,realPrices!C:G,5,0)</f>
        <v>4510000000</v>
      </c>
      <c r="Z171"/>
    </row>
    <row r="172" spans="1:26" x14ac:dyDescent="0.25">
      <c r="A172" t="s">
        <v>1875</v>
      </c>
      <c r="B172" t="s">
        <v>1876</v>
      </c>
      <c r="C172">
        <v>283</v>
      </c>
      <c r="D172" t="s">
        <v>59</v>
      </c>
      <c r="E172" t="s">
        <v>994</v>
      </c>
      <c r="F172" t="s">
        <v>905</v>
      </c>
      <c r="G172">
        <v>999999</v>
      </c>
      <c r="H172">
        <v>1392</v>
      </c>
      <c r="I172" t="s">
        <v>1877</v>
      </c>
      <c r="J172" t="s">
        <v>907</v>
      </c>
      <c r="K172" t="s">
        <v>1878</v>
      </c>
      <c r="L172" t="s">
        <v>446</v>
      </c>
      <c r="M172">
        <v>28309</v>
      </c>
      <c r="N172" t="s">
        <v>62</v>
      </c>
      <c r="P172">
        <v>28309</v>
      </c>
      <c r="Q172" t="s">
        <v>1879</v>
      </c>
      <c r="R172" t="s">
        <v>1880</v>
      </c>
      <c r="S172" t="s">
        <v>1105</v>
      </c>
      <c r="T172" s="6">
        <v>1600000000</v>
      </c>
      <c r="U172" s="45">
        <f>VLOOKUP(B172,realPrices!C:G,5,0)</f>
        <v>0</v>
      </c>
    </row>
    <row r="173" spans="1:26" x14ac:dyDescent="0.25">
      <c r="A173" t="s">
        <v>147</v>
      </c>
      <c r="B173" t="s">
        <v>1881</v>
      </c>
      <c r="C173">
        <v>291</v>
      </c>
      <c r="D173" t="s">
        <v>59</v>
      </c>
      <c r="E173" t="s">
        <v>994</v>
      </c>
      <c r="F173" t="s">
        <v>905</v>
      </c>
      <c r="G173">
        <v>999999</v>
      </c>
      <c r="H173">
        <v>1395</v>
      </c>
      <c r="I173" t="s">
        <v>1882</v>
      </c>
      <c r="J173" t="s">
        <v>1101</v>
      </c>
      <c r="K173" t="s">
        <v>1883</v>
      </c>
      <c r="L173" t="s">
        <v>104</v>
      </c>
      <c r="M173">
        <v>29111</v>
      </c>
      <c r="N173" t="s">
        <v>62</v>
      </c>
      <c r="P173">
        <v>29111</v>
      </c>
      <c r="Q173" t="s">
        <v>1884</v>
      </c>
      <c r="R173" t="s">
        <v>1885</v>
      </c>
      <c r="S173" t="s">
        <v>1324</v>
      </c>
      <c r="T173" s="6">
        <v>1500000000</v>
      </c>
      <c r="U173" s="45">
        <f>VLOOKUP(B173,realPrices!C:G,5,0)</f>
        <v>1710000000</v>
      </c>
    </row>
    <row r="174" spans="1:26" x14ac:dyDescent="0.25">
      <c r="A174" t="s">
        <v>113</v>
      </c>
      <c r="B174" t="s">
        <v>1886</v>
      </c>
      <c r="C174">
        <v>610</v>
      </c>
      <c r="D174" t="s">
        <v>59</v>
      </c>
      <c r="E174" t="s">
        <v>60</v>
      </c>
      <c r="F174" t="s">
        <v>905</v>
      </c>
      <c r="G174">
        <v>999999</v>
      </c>
      <c r="H174">
        <v>1401</v>
      </c>
      <c r="I174" t="s">
        <v>1887</v>
      </c>
      <c r="J174" t="s">
        <v>907</v>
      </c>
      <c r="K174" t="s">
        <v>1888</v>
      </c>
      <c r="L174" t="s">
        <v>115</v>
      </c>
      <c r="M174">
        <v>61015</v>
      </c>
      <c r="N174" t="s">
        <v>62</v>
      </c>
      <c r="P174">
        <v>61015</v>
      </c>
      <c r="Q174" t="s">
        <v>1889</v>
      </c>
      <c r="R174" t="s">
        <v>1890</v>
      </c>
      <c r="S174" t="s">
        <v>1019</v>
      </c>
      <c r="T174" s="6">
        <v>1700000000</v>
      </c>
      <c r="U174" s="45">
        <f>VLOOKUP(B174,realPrices!C:G,5,0)</f>
        <v>2279999999</v>
      </c>
      <c r="Z174"/>
    </row>
    <row r="175" spans="1:26" x14ac:dyDescent="0.25">
      <c r="A175" t="s">
        <v>1299</v>
      </c>
      <c r="B175" t="s">
        <v>1891</v>
      </c>
      <c r="C175">
        <v>285</v>
      </c>
      <c r="D175" t="s">
        <v>59</v>
      </c>
      <c r="E175" t="s">
        <v>60</v>
      </c>
      <c r="F175" t="s">
        <v>905</v>
      </c>
      <c r="G175">
        <v>999999</v>
      </c>
      <c r="H175">
        <v>1402</v>
      </c>
      <c r="I175" t="s">
        <v>1892</v>
      </c>
      <c r="J175" t="s">
        <v>907</v>
      </c>
      <c r="K175" t="s">
        <v>1893</v>
      </c>
      <c r="L175" t="s">
        <v>84</v>
      </c>
      <c r="M175">
        <v>28529</v>
      </c>
      <c r="N175" t="s">
        <v>62</v>
      </c>
      <c r="P175">
        <v>28529</v>
      </c>
      <c r="Q175" t="s">
        <v>1894</v>
      </c>
      <c r="R175" t="s">
        <v>1895</v>
      </c>
      <c r="S175" t="s">
        <v>1007</v>
      </c>
      <c r="T175" s="6">
        <v>2300000000</v>
      </c>
      <c r="U175" s="45">
        <f>VLOOKUP(B175,realPrices!C:G,5,0)</f>
        <v>5222000000</v>
      </c>
    </row>
    <row r="176" spans="1:26" x14ac:dyDescent="0.25">
      <c r="A176" t="s">
        <v>958</v>
      </c>
      <c r="B176" t="s">
        <v>1896</v>
      </c>
      <c r="C176">
        <v>600</v>
      </c>
      <c r="D176" t="s">
        <v>59</v>
      </c>
      <c r="E176" t="s">
        <v>60</v>
      </c>
      <c r="F176" t="s">
        <v>905</v>
      </c>
      <c r="G176">
        <v>999999</v>
      </c>
      <c r="H176">
        <v>1402</v>
      </c>
      <c r="I176" t="s">
        <v>1897</v>
      </c>
      <c r="J176" t="s">
        <v>1101</v>
      </c>
      <c r="K176" t="s">
        <v>1898</v>
      </c>
      <c r="L176" t="s">
        <v>962</v>
      </c>
      <c r="M176">
        <v>60017</v>
      </c>
      <c r="N176" t="s">
        <v>963</v>
      </c>
      <c r="P176">
        <v>60017</v>
      </c>
      <c r="Q176" t="s">
        <v>1899</v>
      </c>
      <c r="R176" t="s">
        <v>1900</v>
      </c>
      <c r="S176" t="s">
        <v>1338</v>
      </c>
      <c r="T176" s="6">
        <v>3000000000</v>
      </c>
      <c r="U176" s="45">
        <f>VLOOKUP(B176,realPrices!C:G,5,0)</f>
        <v>3170000000</v>
      </c>
    </row>
    <row r="177" spans="1:26" x14ac:dyDescent="0.25">
      <c r="A177" t="s">
        <v>1542</v>
      </c>
      <c r="B177" t="s">
        <v>1901</v>
      </c>
      <c r="C177">
        <v>260</v>
      </c>
      <c r="D177" t="s">
        <v>59</v>
      </c>
      <c r="E177" t="s">
        <v>60</v>
      </c>
      <c r="F177" t="s">
        <v>905</v>
      </c>
      <c r="G177">
        <v>999999</v>
      </c>
      <c r="H177">
        <v>1396</v>
      </c>
      <c r="I177" t="s">
        <v>1902</v>
      </c>
      <c r="J177" t="s">
        <v>907</v>
      </c>
      <c r="K177" t="s">
        <v>1903</v>
      </c>
      <c r="L177" t="s">
        <v>118</v>
      </c>
      <c r="M177">
        <v>26028</v>
      </c>
      <c r="N177" t="s">
        <v>963</v>
      </c>
      <c r="P177">
        <v>26028</v>
      </c>
      <c r="Q177" t="s">
        <v>1904</v>
      </c>
      <c r="R177" t="s">
        <v>1905</v>
      </c>
      <c r="S177" t="s">
        <v>911</v>
      </c>
      <c r="T177" s="6">
        <v>1800000000</v>
      </c>
      <c r="U177" s="45">
        <f>VLOOKUP(B177,realPrices!C:G,5,0)</f>
        <v>2488888000</v>
      </c>
    </row>
    <row r="178" spans="1:26" x14ac:dyDescent="0.25">
      <c r="A178" t="s">
        <v>82</v>
      </c>
      <c r="B178" t="s">
        <v>1906</v>
      </c>
      <c r="C178">
        <v>285</v>
      </c>
      <c r="D178" t="s">
        <v>59</v>
      </c>
      <c r="E178" t="s">
        <v>60</v>
      </c>
      <c r="F178" t="s">
        <v>905</v>
      </c>
      <c r="G178">
        <v>999999</v>
      </c>
      <c r="H178">
        <v>1401</v>
      </c>
      <c r="I178" t="s">
        <v>1907</v>
      </c>
      <c r="J178" t="s">
        <v>907</v>
      </c>
      <c r="K178" t="s">
        <v>1908</v>
      </c>
      <c r="L178" t="s">
        <v>84</v>
      </c>
      <c r="M178">
        <v>28520</v>
      </c>
      <c r="N178" t="s">
        <v>62</v>
      </c>
      <c r="P178">
        <v>28520</v>
      </c>
      <c r="Q178" t="s">
        <v>1909</v>
      </c>
      <c r="R178" t="s">
        <v>1910</v>
      </c>
      <c r="S178" t="s">
        <v>1013</v>
      </c>
      <c r="T178" s="6">
        <v>1900000000</v>
      </c>
      <c r="U178" s="45">
        <f>VLOOKUP(B178,realPrices!C:G,5,0)</f>
        <v>3599999999</v>
      </c>
    </row>
    <row r="179" spans="1:26" x14ac:dyDescent="0.25">
      <c r="A179" t="s">
        <v>773</v>
      </c>
      <c r="B179" t="s">
        <v>1911</v>
      </c>
      <c r="C179">
        <v>351</v>
      </c>
      <c r="D179" t="s">
        <v>59</v>
      </c>
      <c r="E179" t="s">
        <v>60</v>
      </c>
      <c r="F179" t="s">
        <v>905</v>
      </c>
      <c r="G179">
        <v>999999</v>
      </c>
      <c r="H179">
        <v>1401</v>
      </c>
      <c r="I179" t="s">
        <v>1912</v>
      </c>
      <c r="J179" t="s">
        <v>1101</v>
      </c>
      <c r="K179" t="s">
        <v>1913</v>
      </c>
      <c r="L179" t="s">
        <v>128</v>
      </c>
      <c r="M179">
        <v>35102</v>
      </c>
      <c r="N179" t="s">
        <v>62</v>
      </c>
      <c r="P179">
        <v>35102</v>
      </c>
      <c r="Q179" t="s">
        <v>1914</v>
      </c>
      <c r="R179" t="s">
        <v>1915</v>
      </c>
      <c r="S179" t="s">
        <v>911</v>
      </c>
      <c r="T179" s="6">
        <v>1800000000</v>
      </c>
      <c r="U179" s="45">
        <f>VLOOKUP(B179,realPrices!C:G,5,0)</f>
        <v>2235800000</v>
      </c>
    </row>
    <row r="180" spans="1:26" x14ac:dyDescent="0.25">
      <c r="A180" t="s">
        <v>967</v>
      </c>
      <c r="B180" t="s">
        <v>1916</v>
      </c>
      <c r="C180">
        <v>282</v>
      </c>
      <c r="D180" t="s">
        <v>59</v>
      </c>
      <c r="E180" t="s">
        <v>60</v>
      </c>
      <c r="F180" t="s">
        <v>905</v>
      </c>
      <c r="G180">
        <v>999999</v>
      </c>
      <c r="H180">
        <v>1400</v>
      </c>
      <c r="I180" t="s">
        <v>1917</v>
      </c>
      <c r="J180" t="s">
        <v>1101</v>
      </c>
      <c r="K180" t="s">
        <v>1918</v>
      </c>
      <c r="L180" t="s">
        <v>112</v>
      </c>
      <c r="M180">
        <v>28242</v>
      </c>
      <c r="N180" t="s">
        <v>62</v>
      </c>
      <c r="P180">
        <v>28242</v>
      </c>
      <c r="Q180" t="s">
        <v>1919</v>
      </c>
      <c r="R180" t="s">
        <v>1920</v>
      </c>
      <c r="S180" t="s">
        <v>911</v>
      </c>
      <c r="T180" s="6">
        <v>1800000000</v>
      </c>
      <c r="U180" s="45">
        <f>VLOOKUP(B180,realPrices!C:G,5,0)</f>
        <v>2655850000</v>
      </c>
      <c r="Z180"/>
    </row>
    <row r="181" spans="1:26" x14ac:dyDescent="0.25">
      <c r="A181" t="s">
        <v>1921</v>
      </c>
      <c r="B181" t="s">
        <v>1922</v>
      </c>
      <c r="C181">
        <v>351</v>
      </c>
      <c r="D181" t="s">
        <v>904</v>
      </c>
      <c r="E181" t="s">
        <v>60</v>
      </c>
      <c r="F181" t="s">
        <v>905</v>
      </c>
      <c r="G181">
        <v>999999</v>
      </c>
      <c r="H181">
        <v>1402</v>
      </c>
      <c r="I181" t="s">
        <v>1923</v>
      </c>
      <c r="J181" t="s">
        <v>907</v>
      </c>
      <c r="K181" t="s">
        <v>1924</v>
      </c>
      <c r="L181" t="s">
        <v>128</v>
      </c>
      <c r="M181">
        <v>35107</v>
      </c>
      <c r="N181" t="s">
        <v>62</v>
      </c>
      <c r="P181">
        <v>35107</v>
      </c>
      <c r="Q181" t="s">
        <v>1925</v>
      </c>
      <c r="R181" t="s">
        <v>1926</v>
      </c>
      <c r="S181" t="s">
        <v>1013</v>
      </c>
      <c r="T181" s="6">
        <v>1900000000</v>
      </c>
      <c r="U181" s="45">
        <f>VLOOKUP(B181,realPrices!C:G,5,0)</f>
        <v>3101000000</v>
      </c>
      <c r="Z181"/>
    </row>
    <row r="182" spans="1:26" x14ac:dyDescent="0.25">
      <c r="A182" t="s">
        <v>453</v>
      </c>
      <c r="B182" t="s">
        <v>1927</v>
      </c>
      <c r="C182">
        <v>351</v>
      </c>
      <c r="D182" t="s">
        <v>904</v>
      </c>
      <c r="E182" t="s">
        <v>60</v>
      </c>
      <c r="F182" t="s">
        <v>905</v>
      </c>
      <c r="G182">
        <v>999999</v>
      </c>
      <c r="H182">
        <v>1401</v>
      </c>
      <c r="I182" t="s">
        <v>1928</v>
      </c>
      <c r="J182" t="s">
        <v>907</v>
      </c>
      <c r="K182" t="s">
        <v>1929</v>
      </c>
      <c r="L182" t="s">
        <v>128</v>
      </c>
      <c r="M182">
        <v>35103</v>
      </c>
      <c r="N182" t="s">
        <v>62</v>
      </c>
      <c r="P182">
        <v>35103</v>
      </c>
      <c r="Q182" t="s">
        <v>1930</v>
      </c>
      <c r="R182" t="s">
        <v>1931</v>
      </c>
      <c r="S182" t="s">
        <v>1019</v>
      </c>
      <c r="T182" s="6">
        <v>1700000000</v>
      </c>
      <c r="U182" s="45">
        <f>VLOOKUP(B182,realPrices!C:G,5,0)</f>
        <v>2785000000</v>
      </c>
    </row>
    <row r="183" spans="1:26" x14ac:dyDescent="0.25">
      <c r="A183" t="s">
        <v>768</v>
      </c>
      <c r="B183" t="s">
        <v>1932</v>
      </c>
      <c r="C183">
        <v>704</v>
      </c>
      <c r="D183" t="s">
        <v>59</v>
      </c>
      <c r="E183" t="s">
        <v>60</v>
      </c>
      <c r="F183" t="s">
        <v>905</v>
      </c>
      <c r="G183">
        <v>999999</v>
      </c>
      <c r="H183">
        <v>1401</v>
      </c>
      <c r="I183" t="s">
        <v>1933</v>
      </c>
      <c r="J183" t="s">
        <v>907</v>
      </c>
      <c r="K183" t="s">
        <v>1934</v>
      </c>
      <c r="L183" t="s">
        <v>546</v>
      </c>
      <c r="M183">
        <v>70406</v>
      </c>
      <c r="N183" t="s">
        <v>62</v>
      </c>
      <c r="P183">
        <v>70406</v>
      </c>
      <c r="Q183" t="s">
        <v>1935</v>
      </c>
      <c r="R183" t="s">
        <v>1936</v>
      </c>
      <c r="S183" t="s">
        <v>1332</v>
      </c>
      <c r="T183" s="6">
        <v>2500000000</v>
      </c>
      <c r="U183" s="45">
        <f>VLOOKUP(B183,realPrices!C:G,5,0)</f>
        <v>4219999999</v>
      </c>
      <c r="Z183"/>
    </row>
    <row r="184" spans="1:26" x14ac:dyDescent="0.25">
      <c r="A184" t="s">
        <v>762</v>
      </c>
      <c r="B184" t="s">
        <v>1937</v>
      </c>
      <c r="C184">
        <v>285</v>
      </c>
      <c r="D184" t="s">
        <v>59</v>
      </c>
      <c r="E184" t="s">
        <v>60</v>
      </c>
      <c r="F184" t="s">
        <v>905</v>
      </c>
      <c r="G184">
        <v>999999</v>
      </c>
      <c r="H184">
        <v>1396</v>
      </c>
      <c r="I184" t="s">
        <v>1938</v>
      </c>
      <c r="J184" t="s">
        <v>1101</v>
      </c>
      <c r="K184" t="s">
        <v>1939</v>
      </c>
      <c r="L184" t="s">
        <v>84</v>
      </c>
      <c r="M184">
        <v>28515</v>
      </c>
      <c r="N184" t="s">
        <v>62</v>
      </c>
      <c r="P184">
        <v>28515</v>
      </c>
      <c r="Q184" t="s">
        <v>1940</v>
      </c>
      <c r="R184" t="s">
        <v>1941</v>
      </c>
      <c r="S184" t="s">
        <v>1019</v>
      </c>
      <c r="T184" s="6">
        <v>1700000000</v>
      </c>
      <c r="U184" s="45">
        <f>VLOOKUP(B184,realPrices!C:G,5,0)</f>
        <v>2852000000</v>
      </c>
    </row>
    <row r="185" spans="1:26" x14ac:dyDescent="0.25">
      <c r="A185" t="s">
        <v>1942</v>
      </c>
      <c r="B185" t="s">
        <v>1943</v>
      </c>
      <c r="C185">
        <v>256</v>
      </c>
      <c r="D185" t="s">
        <v>1079</v>
      </c>
      <c r="E185" t="s">
        <v>60</v>
      </c>
      <c r="F185" t="s">
        <v>905</v>
      </c>
      <c r="G185">
        <v>999999</v>
      </c>
      <c r="H185">
        <v>1392</v>
      </c>
      <c r="I185" t="s">
        <v>1944</v>
      </c>
      <c r="J185" t="s">
        <v>907</v>
      </c>
      <c r="K185" t="s">
        <v>1945</v>
      </c>
      <c r="L185" t="s">
        <v>74</v>
      </c>
      <c r="M185">
        <v>25614</v>
      </c>
      <c r="N185" t="s">
        <v>62</v>
      </c>
      <c r="P185">
        <v>25614</v>
      </c>
      <c r="Q185" t="s">
        <v>1946</v>
      </c>
      <c r="R185" t="s">
        <v>1947</v>
      </c>
      <c r="S185" t="s">
        <v>1184</v>
      </c>
      <c r="T185" s="6">
        <v>1400000000</v>
      </c>
      <c r="U185" s="45">
        <f>VLOOKUP(B185,realPrices!C:G,5,0)</f>
        <v>0</v>
      </c>
      <c r="Z185"/>
    </row>
    <row r="186" spans="1:26" x14ac:dyDescent="0.25">
      <c r="A186" t="s">
        <v>1490</v>
      </c>
      <c r="B186" t="s">
        <v>1948</v>
      </c>
      <c r="C186">
        <v>282</v>
      </c>
      <c r="D186" t="s">
        <v>59</v>
      </c>
      <c r="E186" t="s">
        <v>60</v>
      </c>
      <c r="F186" t="s">
        <v>905</v>
      </c>
      <c r="G186">
        <v>999999</v>
      </c>
      <c r="H186">
        <v>1395</v>
      </c>
      <c r="I186" t="s">
        <v>1949</v>
      </c>
      <c r="J186" t="s">
        <v>907</v>
      </c>
      <c r="K186" t="s">
        <v>1950</v>
      </c>
      <c r="L186" t="s">
        <v>112</v>
      </c>
      <c r="M186">
        <v>28229</v>
      </c>
      <c r="N186" t="s">
        <v>62</v>
      </c>
      <c r="P186">
        <v>28229</v>
      </c>
      <c r="Q186" t="s">
        <v>1951</v>
      </c>
      <c r="R186" t="s">
        <v>1952</v>
      </c>
      <c r="S186" t="s">
        <v>1105</v>
      </c>
      <c r="T186" s="6">
        <v>1600000000</v>
      </c>
      <c r="U186" s="45">
        <f>VLOOKUP(B186,realPrices!C:G,5,0)</f>
        <v>0</v>
      </c>
      <c r="Z186"/>
    </row>
    <row r="187" spans="1:26" x14ac:dyDescent="0.25">
      <c r="A187" t="s">
        <v>569</v>
      </c>
      <c r="B187" t="s">
        <v>1953</v>
      </c>
      <c r="C187">
        <v>560</v>
      </c>
      <c r="D187" t="s">
        <v>1954</v>
      </c>
      <c r="E187" t="s">
        <v>60</v>
      </c>
      <c r="F187" t="s">
        <v>905</v>
      </c>
      <c r="G187">
        <v>999999</v>
      </c>
      <c r="H187">
        <v>1396</v>
      </c>
      <c r="I187" t="s">
        <v>1955</v>
      </c>
      <c r="J187" t="s">
        <v>907</v>
      </c>
      <c r="K187" t="s">
        <v>1956</v>
      </c>
      <c r="L187" t="s">
        <v>94</v>
      </c>
      <c r="M187">
        <v>56077</v>
      </c>
      <c r="N187" t="s">
        <v>62</v>
      </c>
      <c r="P187">
        <v>56077</v>
      </c>
      <c r="Q187" t="s">
        <v>1957</v>
      </c>
      <c r="R187" t="s">
        <v>1958</v>
      </c>
      <c r="S187" t="s">
        <v>1013</v>
      </c>
      <c r="T187" s="6">
        <v>1900000000</v>
      </c>
      <c r="U187" s="45">
        <f>VLOOKUP(B187,realPrices!C:G,5,0)</f>
        <v>2200000000</v>
      </c>
    </row>
    <row r="188" spans="1:26" x14ac:dyDescent="0.25">
      <c r="A188" t="s">
        <v>656</v>
      </c>
      <c r="B188" t="s">
        <v>1959</v>
      </c>
      <c r="C188">
        <v>323</v>
      </c>
      <c r="D188" t="s">
        <v>952</v>
      </c>
      <c r="E188" t="s">
        <v>60</v>
      </c>
      <c r="F188" t="s">
        <v>905</v>
      </c>
      <c r="G188">
        <v>999999</v>
      </c>
      <c r="H188">
        <v>1402</v>
      </c>
      <c r="I188" t="s">
        <v>1960</v>
      </c>
      <c r="J188" t="s">
        <v>1101</v>
      </c>
      <c r="K188" t="s">
        <v>1961</v>
      </c>
      <c r="L188" t="s">
        <v>649</v>
      </c>
      <c r="M188">
        <v>32301</v>
      </c>
      <c r="N188" t="s">
        <v>62</v>
      </c>
      <c r="P188">
        <v>32301</v>
      </c>
      <c r="Q188" t="s">
        <v>1962</v>
      </c>
      <c r="R188" t="s">
        <v>1963</v>
      </c>
      <c r="S188" t="s">
        <v>1239</v>
      </c>
      <c r="T188" s="6">
        <v>4200000000</v>
      </c>
      <c r="U188" s="45">
        <f>VLOOKUP(B188,realPrices!C:G,5,0)</f>
        <v>5334999999</v>
      </c>
      <c r="Z188"/>
    </row>
    <row r="189" spans="1:26" x14ac:dyDescent="0.25">
      <c r="A189" t="s">
        <v>1713</v>
      </c>
      <c r="B189" t="s">
        <v>1964</v>
      </c>
      <c r="C189">
        <v>285</v>
      </c>
      <c r="D189" t="s">
        <v>59</v>
      </c>
      <c r="E189" t="s">
        <v>60</v>
      </c>
      <c r="F189" t="s">
        <v>66</v>
      </c>
      <c r="G189">
        <v>999999</v>
      </c>
      <c r="H189">
        <v>1392</v>
      </c>
      <c r="I189" t="s">
        <v>1965</v>
      </c>
      <c r="J189" t="s">
        <v>1855</v>
      </c>
      <c r="K189" t="s">
        <v>1966</v>
      </c>
      <c r="L189" t="s">
        <v>84</v>
      </c>
      <c r="M189">
        <v>28504</v>
      </c>
      <c r="N189" t="s">
        <v>62</v>
      </c>
      <c r="P189">
        <v>28504</v>
      </c>
      <c r="Q189" t="s">
        <v>1967</v>
      </c>
      <c r="R189" t="s">
        <v>1968</v>
      </c>
      <c r="S189" t="s">
        <v>1050</v>
      </c>
      <c r="T189" s="6">
        <v>2400000000</v>
      </c>
      <c r="U189" s="45">
        <f>VLOOKUP(B189,realPrices!C:G,5,0)</f>
        <v>4369999999</v>
      </c>
    </row>
    <row r="190" spans="1:26" x14ac:dyDescent="0.25">
      <c r="A190" t="s">
        <v>155</v>
      </c>
      <c r="B190" t="s">
        <v>1969</v>
      </c>
      <c r="C190">
        <v>351</v>
      </c>
      <c r="D190" t="s">
        <v>59</v>
      </c>
      <c r="E190" t="s">
        <v>60</v>
      </c>
      <c r="F190" t="s">
        <v>905</v>
      </c>
      <c r="G190">
        <v>999999</v>
      </c>
      <c r="H190">
        <v>1401</v>
      </c>
      <c r="I190" t="s">
        <v>1970</v>
      </c>
      <c r="J190" t="s">
        <v>907</v>
      </c>
      <c r="K190" t="s">
        <v>1971</v>
      </c>
      <c r="L190" t="s">
        <v>128</v>
      </c>
      <c r="M190">
        <v>35101</v>
      </c>
      <c r="N190" t="s">
        <v>62</v>
      </c>
      <c r="P190">
        <v>35101</v>
      </c>
      <c r="Q190" t="s">
        <v>1972</v>
      </c>
      <c r="R190" t="s">
        <v>1973</v>
      </c>
      <c r="S190" t="s">
        <v>911</v>
      </c>
      <c r="T190" s="6">
        <v>1800000000</v>
      </c>
      <c r="U190" s="45">
        <f>VLOOKUP(B190,realPrices!C:G,5,0)</f>
        <v>3569999999</v>
      </c>
      <c r="Z190"/>
    </row>
    <row r="191" spans="1:26" x14ac:dyDescent="0.25">
      <c r="A191" t="s">
        <v>389</v>
      </c>
      <c r="B191" t="s">
        <v>1974</v>
      </c>
      <c r="C191">
        <v>351</v>
      </c>
      <c r="D191" t="s">
        <v>59</v>
      </c>
      <c r="E191" t="s">
        <v>60</v>
      </c>
      <c r="F191" t="s">
        <v>905</v>
      </c>
      <c r="G191">
        <v>999999</v>
      </c>
      <c r="H191">
        <v>1401</v>
      </c>
      <c r="I191" t="s">
        <v>1975</v>
      </c>
      <c r="J191" t="s">
        <v>1101</v>
      </c>
      <c r="K191" t="s">
        <v>1976</v>
      </c>
      <c r="L191" t="s">
        <v>128</v>
      </c>
      <c r="M191">
        <v>35103</v>
      </c>
      <c r="N191" t="s">
        <v>62</v>
      </c>
      <c r="P191">
        <v>35103</v>
      </c>
      <c r="Q191" t="s">
        <v>1977</v>
      </c>
      <c r="R191" t="s">
        <v>1978</v>
      </c>
      <c r="S191" t="s">
        <v>911</v>
      </c>
      <c r="T191" s="6">
        <v>1800000000</v>
      </c>
      <c r="U191" s="45">
        <f>VLOOKUP(B191,realPrices!C:G,5,0)</f>
        <v>2800000000</v>
      </c>
    </row>
    <row r="192" spans="1:26" x14ac:dyDescent="0.25">
      <c r="A192" t="s">
        <v>1979</v>
      </c>
      <c r="B192" t="s">
        <v>1980</v>
      </c>
      <c r="C192">
        <v>575</v>
      </c>
      <c r="D192" t="s">
        <v>59</v>
      </c>
      <c r="E192" t="s">
        <v>60</v>
      </c>
      <c r="F192" t="s">
        <v>905</v>
      </c>
      <c r="G192">
        <v>999999</v>
      </c>
      <c r="H192">
        <v>1402</v>
      </c>
      <c r="I192" t="s">
        <v>1981</v>
      </c>
      <c r="J192" t="s">
        <v>907</v>
      </c>
      <c r="K192" t="s">
        <v>1982</v>
      </c>
      <c r="L192" t="s">
        <v>124</v>
      </c>
      <c r="M192">
        <v>57527</v>
      </c>
      <c r="N192" t="s">
        <v>62</v>
      </c>
      <c r="P192">
        <v>57527</v>
      </c>
      <c r="Q192" t="s">
        <v>1983</v>
      </c>
      <c r="R192" t="s">
        <v>1984</v>
      </c>
      <c r="S192" t="s">
        <v>1019</v>
      </c>
      <c r="T192" s="6">
        <v>1700000000</v>
      </c>
      <c r="U192" s="45">
        <f>VLOOKUP(B192,realPrices!C:G,5,0)</f>
        <v>2120000000</v>
      </c>
    </row>
    <row r="193" spans="1:26" x14ac:dyDescent="0.25">
      <c r="A193" t="s">
        <v>741</v>
      </c>
      <c r="B193" t="s">
        <v>1985</v>
      </c>
      <c r="C193">
        <v>518</v>
      </c>
      <c r="D193" t="s">
        <v>1028</v>
      </c>
      <c r="E193" t="s">
        <v>60</v>
      </c>
      <c r="F193" t="s">
        <v>905</v>
      </c>
      <c r="G193">
        <v>999999</v>
      </c>
      <c r="H193">
        <v>1401</v>
      </c>
      <c r="I193" t="s">
        <v>1986</v>
      </c>
      <c r="J193" t="s">
        <v>907</v>
      </c>
      <c r="K193" t="s">
        <v>1987</v>
      </c>
      <c r="L193" t="s">
        <v>742</v>
      </c>
      <c r="M193">
        <v>51802</v>
      </c>
      <c r="N193" t="s">
        <v>963</v>
      </c>
      <c r="P193">
        <v>51802</v>
      </c>
      <c r="Q193" t="s">
        <v>1988</v>
      </c>
      <c r="R193" t="s">
        <v>1989</v>
      </c>
      <c r="S193" t="s">
        <v>1056</v>
      </c>
      <c r="T193" s="6">
        <v>3500000000</v>
      </c>
      <c r="U193" s="45">
        <f>VLOOKUP(B193,realPrices!C:G,5,0)</f>
        <v>6166666667</v>
      </c>
      <c r="Z193"/>
    </row>
    <row r="194" spans="1:26" x14ac:dyDescent="0.25">
      <c r="A194" t="s">
        <v>1990</v>
      </c>
      <c r="B194" t="s">
        <v>1991</v>
      </c>
      <c r="C194">
        <v>600</v>
      </c>
      <c r="D194" t="s">
        <v>59</v>
      </c>
      <c r="E194" t="s">
        <v>60</v>
      </c>
      <c r="F194" t="s">
        <v>66</v>
      </c>
      <c r="G194">
        <v>999999</v>
      </c>
      <c r="H194">
        <v>1398</v>
      </c>
      <c r="I194" t="s">
        <v>1992</v>
      </c>
      <c r="J194" t="s">
        <v>1855</v>
      </c>
      <c r="K194" t="s">
        <v>1993</v>
      </c>
      <c r="L194" t="s">
        <v>962</v>
      </c>
      <c r="M194">
        <v>60005</v>
      </c>
      <c r="N194" t="s">
        <v>963</v>
      </c>
      <c r="P194">
        <v>60005</v>
      </c>
      <c r="Q194" t="s">
        <v>1994</v>
      </c>
      <c r="R194" t="s">
        <v>1995</v>
      </c>
      <c r="S194" t="s">
        <v>1859</v>
      </c>
      <c r="T194" s="6">
        <v>4800000000</v>
      </c>
      <c r="U194" s="45">
        <f>VLOOKUP(B194,realPrices!C:G,5,0)</f>
        <v>5726000009</v>
      </c>
    </row>
    <row r="195" spans="1:26" x14ac:dyDescent="0.25">
      <c r="A195" t="s">
        <v>382</v>
      </c>
      <c r="B195" t="s">
        <v>1996</v>
      </c>
      <c r="C195">
        <v>575</v>
      </c>
      <c r="D195" t="s">
        <v>59</v>
      </c>
      <c r="E195" t="s">
        <v>60</v>
      </c>
      <c r="F195" t="s">
        <v>905</v>
      </c>
      <c r="G195">
        <v>999999</v>
      </c>
      <c r="H195">
        <v>1401</v>
      </c>
      <c r="I195" t="s">
        <v>1997</v>
      </c>
      <c r="J195" t="s">
        <v>907</v>
      </c>
      <c r="K195" t="s">
        <v>1998</v>
      </c>
      <c r="L195" t="s">
        <v>124</v>
      </c>
      <c r="M195">
        <v>57519</v>
      </c>
      <c r="N195" t="s">
        <v>62</v>
      </c>
      <c r="P195">
        <v>57519</v>
      </c>
      <c r="Q195" t="s">
        <v>1999</v>
      </c>
      <c r="R195" t="s">
        <v>2000</v>
      </c>
      <c r="S195" t="s">
        <v>1019</v>
      </c>
      <c r="T195" s="6">
        <v>1700000000</v>
      </c>
      <c r="U195" s="45">
        <f>VLOOKUP(B195,realPrices!C:G,5,0)</f>
        <v>2844444444</v>
      </c>
    </row>
    <row r="196" spans="1:26" x14ac:dyDescent="0.25">
      <c r="A196" t="s">
        <v>2001</v>
      </c>
      <c r="B196" t="s">
        <v>2002</v>
      </c>
      <c r="C196">
        <v>575</v>
      </c>
      <c r="D196" t="s">
        <v>59</v>
      </c>
      <c r="E196" t="s">
        <v>60</v>
      </c>
      <c r="F196" t="s">
        <v>905</v>
      </c>
      <c r="G196">
        <v>999999</v>
      </c>
      <c r="H196">
        <v>1402</v>
      </c>
      <c r="I196" t="s">
        <v>2003</v>
      </c>
      <c r="J196" t="s">
        <v>907</v>
      </c>
      <c r="K196" t="s">
        <v>2004</v>
      </c>
      <c r="L196" t="s">
        <v>124</v>
      </c>
      <c r="M196">
        <v>57529</v>
      </c>
      <c r="N196" t="s">
        <v>62</v>
      </c>
      <c r="P196">
        <v>57529</v>
      </c>
      <c r="Q196" t="s">
        <v>2005</v>
      </c>
      <c r="R196" t="s">
        <v>2006</v>
      </c>
      <c r="S196" t="s">
        <v>911</v>
      </c>
      <c r="T196" s="6">
        <v>1800000000</v>
      </c>
      <c r="U196" s="45">
        <f>VLOOKUP(B196,realPrices!C:G,5,0)</f>
        <v>3258880000</v>
      </c>
    </row>
    <row r="197" spans="1:26" x14ac:dyDescent="0.25">
      <c r="A197" t="s">
        <v>2007</v>
      </c>
      <c r="B197" t="s">
        <v>2008</v>
      </c>
      <c r="C197">
        <v>293</v>
      </c>
      <c r="D197" t="s">
        <v>59</v>
      </c>
      <c r="E197" t="s">
        <v>60</v>
      </c>
      <c r="F197" t="s">
        <v>905</v>
      </c>
      <c r="G197">
        <v>999999</v>
      </c>
      <c r="H197">
        <v>1399</v>
      </c>
      <c r="I197" t="s">
        <v>2009</v>
      </c>
      <c r="J197" t="s">
        <v>907</v>
      </c>
      <c r="K197" t="s">
        <v>2010</v>
      </c>
      <c r="L197" t="s">
        <v>97</v>
      </c>
      <c r="M197">
        <v>29352</v>
      </c>
      <c r="N197" t="s">
        <v>62</v>
      </c>
      <c r="P197">
        <v>29352</v>
      </c>
      <c r="Q197" t="s">
        <v>2011</v>
      </c>
      <c r="R197" t="s">
        <v>2012</v>
      </c>
      <c r="S197" t="s">
        <v>1324</v>
      </c>
      <c r="T197" s="6">
        <v>1500000000</v>
      </c>
      <c r="U197" s="45">
        <f>VLOOKUP(B197,realPrices!C:G,5,0)</f>
        <v>1570000000</v>
      </c>
      <c r="Z197"/>
    </row>
    <row r="198" spans="1:26" x14ac:dyDescent="0.25">
      <c r="A198" t="s">
        <v>469</v>
      </c>
      <c r="B198" t="s">
        <v>2013</v>
      </c>
      <c r="C198">
        <v>707</v>
      </c>
      <c r="D198" t="s">
        <v>1028</v>
      </c>
      <c r="E198" t="s">
        <v>60</v>
      </c>
      <c r="F198" t="s">
        <v>905</v>
      </c>
      <c r="G198">
        <v>999999</v>
      </c>
      <c r="H198">
        <v>1401</v>
      </c>
      <c r="I198" t="s">
        <v>2014</v>
      </c>
      <c r="J198" t="s">
        <v>907</v>
      </c>
      <c r="K198" t="s">
        <v>2015</v>
      </c>
      <c r="L198" t="s">
        <v>465</v>
      </c>
      <c r="M198">
        <v>70702</v>
      </c>
      <c r="N198" t="s">
        <v>62</v>
      </c>
      <c r="P198">
        <v>70702</v>
      </c>
      <c r="Q198" t="s">
        <v>2016</v>
      </c>
      <c r="R198" t="s">
        <v>2017</v>
      </c>
      <c r="S198" t="s">
        <v>992</v>
      </c>
      <c r="T198" s="6">
        <v>4500000000</v>
      </c>
      <c r="U198" s="45">
        <f>VLOOKUP(B198,realPrices!C:G,5,0)</f>
        <v>4567899999</v>
      </c>
    </row>
    <row r="199" spans="1:26" x14ac:dyDescent="0.25">
      <c r="A199" t="s">
        <v>967</v>
      </c>
      <c r="B199" t="s">
        <v>2018</v>
      </c>
      <c r="C199">
        <v>282</v>
      </c>
      <c r="D199" t="s">
        <v>59</v>
      </c>
      <c r="E199" t="s">
        <v>60</v>
      </c>
      <c r="F199" t="s">
        <v>905</v>
      </c>
      <c r="G199">
        <v>999999</v>
      </c>
      <c r="H199">
        <v>1400</v>
      </c>
      <c r="I199" t="s">
        <v>2019</v>
      </c>
      <c r="J199" t="s">
        <v>1101</v>
      </c>
      <c r="K199" t="s">
        <v>2020</v>
      </c>
      <c r="L199" t="s">
        <v>112</v>
      </c>
      <c r="M199">
        <v>28242</v>
      </c>
      <c r="N199" t="s">
        <v>62</v>
      </c>
      <c r="P199">
        <v>28242</v>
      </c>
      <c r="Q199" t="s">
        <v>2021</v>
      </c>
      <c r="R199" t="s">
        <v>2022</v>
      </c>
      <c r="S199" t="s">
        <v>911</v>
      </c>
      <c r="T199" s="6">
        <v>1800000000</v>
      </c>
      <c r="U199" s="45">
        <f>VLOOKUP(B199,realPrices!C:G,5,0)</f>
        <v>2709999990</v>
      </c>
      <c r="Z199"/>
    </row>
    <row r="200" spans="1:26" x14ac:dyDescent="0.25">
      <c r="A200" t="s">
        <v>669</v>
      </c>
      <c r="B200" t="s">
        <v>2023</v>
      </c>
      <c r="C200">
        <v>322</v>
      </c>
      <c r="D200" t="s">
        <v>1320</v>
      </c>
      <c r="E200" t="s">
        <v>60</v>
      </c>
      <c r="F200" t="s">
        <v>905</v>
      </c>
      <c r="G200">
        <v>999999</v>
      </c>
      <c r="H200">
        <v>1401</v>
      </c>
      <c r="I200" t="s">
        <v>2024</v>
      </c>
      <c r="J200" t="s">
        <v>907</v>
      </c>
      <c r="K200" t="s">
        <v>2025</v>
      </c>
      <c r="L200" t="s">
        <v>65</v>
      </c>
      <c r="M200">
        <v>32201</v>
      </c>
      <c r="N200" t="s">
        <v>62</v>
      </c>
      <c r="P200">
        <v>32201</v>
      </c>
      <c r="Q200" t="s">
        <v>2026</v>
      </c>
      <c r="R200" t="s">
        <v>2027</v>
      </c>
      <c r="S200" t="s">
        <v>1084</v>
      </c>
      <c r="T200" s="6">
        <v>3400000000</v>
      </c>
      <c r="U200" s="45">
        <f>VLOOKUP(B200,realPrices!C:G,5,0)</f>
        <v>0</v>
      </c>
      <c r="Z200"/>
    </row>
    <row r="201" spans="1:26" x14ac:dyDescent="0.25">
      <c r="A201" t="s">
        <v>2028</v>
      </c>
      <c r="B201" t="s">
        <v>2029</v>
      </c>
      <c r="C201">
        <v>703</v>
      </c>
      <c r="D201" t="s">
        <v>952</v>
      </c>
      <c r="E201" t="s">
        <v>60</v>
      </c>
      <c r="F201" t="s">
        <v>905</v>
      </c>
      <c r="G201">
        <v>999999</v>
      </c>
      <c r="H201">
        <v>1401</v>
      </c>
      <c r="I201" t="s">
        <v>2030</v>
      </c>
      <c r="J201" t="s">
        <v>907</v>
      </c>
      <c r="K201" t="s">
        <v>2031</v>
      </c>
      <c r="L201" t="s">
        <v>412</v>
      </c>
      <c r="M201">
        <v>70322</v>
      </c>
      <c r="N201" t="s">
        <v>62</v>
      </c>
      <c r="P201">
        <v>70322</v>
      </c>
      <c r="Q201" t="s">
        <v>2032</v>
      </c>
      <c r="R201" t="s">
        <v>2033</v>
      </c>
      <c r="S201" t="s">
        <v>1423</v>
      </c>
      <c r="T201" s="6">
        <v>3200000000</v>
      </c>
      <c r="U201" s="45">
        <f>VLOOKUP(B201,realPrices!C:G,5,0)</f>
        <v>3333000000</v>
      </c>
      <c r="Z201"/>
    </row>
    <row r="202" spans="1:26" x14ac:dyDescent="0.25">
      <c r="A202" t="s">
        <v>2034</v>
      </c>
      <c r="B202" t="s">
        <v>2035</v>
      </c>
      <c r="C202">
        <v>701</v>
      </c>
      <c r="D202" t="s">
        <v>904</v>
      </c>
      <c r="E202" t="s">
        <v>60</v>
      </c>
      <c r="F202" t="s">
        <v>905</v>
      </c>
      <c r="G202">
        <v>999999</v>
      </c>
      <c r="H202">
        <v>1398</v>
      </c>
      <c r="I202" t="s">
        <v>2036</v>
      </c>
      <c r="J202" t="s">
        <v>907</v>
      </c>
      <c r="K202" t="s">
        <v>2037</v>
      </c>
      <c r="L202" t="s">
        <v>130</v>
      </c>
      <c r="M202">
        <v>70115</v>
      </c>
      <c r="N202" t="s">
        <v>62</v>
      </c>
      <c r="P202">
        <v>70115</v>
      </c>
      <c r="Q202" t="s">
        <v>2038</v>
      </c>
      <c r="R202" t="s">
        <v>2039</v>
      </c>
      <c r="S202" t="s">
        <v>1172</v>
      </c>
      <c r="T202" s="6">
        <v>3600000000</v>
      </c>
      <c r="U202" s="45">
        <f>VLOOKUP(B202,realPrices!C:G,5,0)</f>
        <v>0</v>
      </c>
    </row>
    <row r="203" spans="1:26" x14ac:dyDescent="0.25">
      <c r="A203" t="s">
        <v>382</v>
      </c>
      <c r="B203" t="s">
        <v>2040</v>
      </c>
      <c r="C203">
        <v>575</v>
      </c>
      <c r="D203" t="s">
        <v>59</v>
      </c>
      <c r="E203" t="s">
        <v>60</v>
      </c>
      <c r="F203" t="s">
        <v>905</v>
      </c>
      <c r="G203">
        <v>999999</v>
      </c>
      <c r="H203">
        <v>1400</v>
      </c>
      <c r="I203" t="s">
        <v>2041</v>
      </c>
      <c r="J203" t="s">
        <v>1101</v>
      </c>
      <c r="K203" t="s">
        <v>2042</v>
      </c>
      <c r="L203" t="s">
        <v>124</v>
      </c>
      <c r="M203">
        <v>57519</v>
      </c>
      <c r="N203" t="s">
        <v>62</v>
      </c>
      <c r="P203">
        <v>57519</v>
      </c>
      <c r="Q203" t="s">
        <v>2043</v>
      </c>
      <c r="R203" t="s">
        <v>2044</v>
      </c>
      <c r="S203" t="s">
        <v>1019</v>
      </c>
      <c r="T203" s="6">
        <v>1700000000</v>
      </c>
      <c r="U203" s="45">
        <f>VLOOKUP(B203,realPrices!C:G,5,0)</f>
        <v>3110000000</v>
      </c>
      <c r="Z203"/>
    </row>
    <row r="204" spans="1:26" x14ac:dyDescent="0.25">
      <c r="A204" t="s">
        <v>1462</v>
      </c>
      <c r="B204" t="s">
        <v>2045</v>
      </c>
      <c r="C204">
        <v>220</v>
      </c>
      <c r="D204" t="s">
        <v>59</v>
      </c>
      <c r="E204" t="s">
        <v>60</v>
      </c>
      <c r="F204" t="s">
        <v>905</v>
      </c>
      <c r="G204">
        <v>999999</v>
      </c>
      <c r="H204">
        <v>1399</v>
      </c>
      <c r="I204" t="s">
        <v>2046</v>
      </c>
      <c r="J204" t="s">
        <v>907</v>
      </c>
      <c r="K204" t="s">
        <v>2047</v>
      </c>
      <c r="L204" t="s">
        <v>100</v>
      </c>
      <c r="M204">
        <v>22011</v>
      </c>
      <c r="N204" t="s">
        <v>62</v>
      </c>
      <c r="P204">
        <v>22011</v>
      </c>
      <c r="Q204" t="s">
        <v>2048</v>
      </c>
      <c r="R204" t="s">
        <v>2049</v>
      </c>
      <c r="S204" t="s">
        <v>1019</v>
      </c>
      <c r="T204" s="6">
        <v>1700000000</v>
      </c>
      <c r="U204" s="45">
        <f>VLOOKUP(B204,realPrices!C:G,5,0)</f>
        <v>3019999999</v>
      </c>
    </row>
    <row r="205" spans="1:26" x14ac:dyDescent="0.25">
      <c r="A205" t="s">
        <v>735</v>
      </c>
      <c r="B205" t="s">
        <v>2050</v>
      </c>
      <c r="C205">
        <v>522</v>
      </c>
      <c r="D205" t="s">
        <v>1028</v>
      </c>
      <c r="E205" t="s">
        <v>60</v>
      </c>
      <c r="F205" t="s">
        <v>905</v>
      </c>
      <c r="G205">
        <v>999999</v>
      </c>
      <c r="H205">
        <v>1401</v>
      </c>
      <c r="I205" t="s">
        <v>2051</v>
      </c>
      <c r="J205" t="s">
        <v>907</v>
      </c>
      <c r="K205" t="s">
        <v>2052</v>
      </c>
      <c r="L205" t="s">
        <v>736</v>
      </c>
      <c r="M205">
        <v>52201</v>
      </c>
      <c r="N205" t="s">
        <v>947</v>
      </c>
      <c r="P205">
        <v>52201</v>
      </c>
      <c r="Q205" t="s">
        <v>2053</v>
      </c>
      <c r="R205" t="s">
        <v>2054</v>
      </c>
      <c r="S205" t="s">
        <v>1774</v>
      </c>
      <c r="T205" s="6">
        <v>3700000000</v>
      </c>
      <c r="U205" s="45">
        <f>VLOOKUP(B205,realPrices!C:G,5,0)</f>
        <v>8889999999</v>
      </c>
      <c r="Z205"/>
    </row>
    <row r="206" spans="1:26" x14ac:dyDescent="0.25">
      <c r="A206" t="s">
        <v>2055</v>
      </c>
      <c r="B206" t="s">
        <v>2056</v>
      </c>
      <c r="C206">
        <v>292</v>
      </c>
      <c r="D206" t="s">
        <v>2057</v>
      </c>
      <c r="E206" t="s">
        <v>60</v>
      </c>
      <c r="F206" t="s">
        <v>905</v>
      </c>
      <c r="G206">
        <v>999999</v>
      </c>
      <c r="H206">
        <v>1393</v>
      </c>
      <c r="I206" t="s">
        <v>2058</v>
      </c>
      <c r="J206" t="s">
        <v>907</v>
      </c>
      <c r="K206" t="s">
        <v>2059</v>
      </c>
      <c r="L206" t="s">
        <v>2060</v>
      </c>
      <c r="M206">
        <v>29212</v>
      </c>
      <c r="N206" t="s">
        <v>62</v>
      </c>
      <c r="P206">
        <v>29212</v>
      </c>
      <c r="Q206" t="s">
        <v>2061</v>
      </c>
      <c r="R206" t="s">
        <v>2062</v>
      </c>
      <c r="S206" t="s">
        <v>1184</v>
      </c>
      <c r="T206" s="6">
        <v>1400000000</v>
      </c>
      <c r="U206" s="45">
        <f>VLOOKUP(B206,realPrices!C:G,5,0)</f>
        <v>1759999999</v>
      </c>
      <c r="Z206"/>
    </row>
    <row r="207" spans="1:26" x14ac:dyDescent="0.25">
      <c r="A207" t="s">
        <v>113</v>
      </c>
      <c r="B207" t="s">
        <v>2063</v>
      </c>
      <c r="C207">
        <v>610</v>
      </c>
      <c r="D207" t="s">
        <v>59</v>
      </c>
      <c r="E207" t="s">
        <v>60</v>
      </c>
      <c r="F207" t="s">
        <v>905</v>
      </c>
      <c r="G207">
        <v>999999</v>
      </c>
      <c r="H207">
        <v>1401</v>
      </c>
      <c r="I207" t="s">
        <v>2064</v>
      </c>
      <c r="J207" t="s">
        <v>907</v>
      </c>
      <c r="K207" t="s">
        <v>2065</v>
      </c>
      <c r="L207" t="s">
        <v>115</v>
      </c>
      <c r="M207">
        <v>61015</v>
      </c>
      <c r="N207" t="s">
        <v>62</v>
      </c>
      <c r="P207">
        <v>61015</v>
      </c>
      <c r="Q207" t="s">
        <v>2066</v>
      </c>
      <c r="R207" t="s">
        <v>2067</v>
      </c>
      <c r="S207" t="s">
        <v>1105</v>
      </c>
      <c r="T207" s="6">
        <v>1600000000</v>
      </c>
      <c r="U207" s="45">
        <f>VLOOKUP(B207,realPrices!C:G,5,0)</f>
        <v>2352000000</v>
      </c>
      <c r="Z207"/>
    </row>
    <row r="208" spans="1:26" x14ac:dyDescent="0.25">
      <c r="A208" t="s">
        <v>1462</v>
      </c>
      <c r="B208" t="s">
        <v>2068</v>
      </c>
      <c r="C208">
        <v>220</v>
      </c>
      <c r="D208" t="s">
        <v>59</v>
      </c>
      <c r="E208" t="s">
        <v>60</v>
      </c>
      <c r="F208" t="s">
        <v>905</v>
      </c>
      <c r="G208">
        <v>999999</v>
      </c>
      <c r="H208">
        <v>1400</v>
      </c>
      <c r="I208" t="s">
        <v>2069</v>
      </c>
      <c r="J208" t="s">
        <v>907</v>
      </c>
      <c r="K208" t="s">
        <v>2070</v>
      </c>
      <c r="L208" t="s">
        <v>100</v>
      </c>
      <c r="M208">
        <v>22011</v>
      </c>
      <c r="N208" t="s">
        <v>62</v>
      </c>
      <c r="P208">
        <v>22011</v>
      </c>
      <c r="Q208" t="s">
        <v>2071</v>
      </c>
      <c r="R208" t="s">
        <v>2072</v>
      </c>
      <c r="S208" t="s">
        <v>1105</v>
      </c>
      <c r="T208" s="6">
        <v>1600000000</v>
      </c>
      <c r="U208" s="45">
        <f>VLOOKUP(B208,realPrices!C:G,5,0)</f>
        <v>3205000000</v>
      </c>
      <c r="Z208"/>
    </row>
    <row r="209" spans="1:1012 1027:1492" x14ac:dyDescent="0.25">
      <c r="A209" t="s">
        <v>1542</v>
      </c>
      <c r="B209" t="s">
        <v>2073</v>
      </c>
      <c r="C209">
        <v>260</v>
      </c>
      <c r="D209" t="s">
        <v>59</v>
      </c>
      <c r="E209" t="s">
        <v>60</v>
      </c>
      <c r="F209" t="s">
        <v>905</v>
      </c>
      <c r="G209">
        <v>999999</v>
      </c>
      <c r="H209">
        <v>1396</v>
      </c>
      <c r="I209" t="s">
        <v>2074</v>
      </c>
      <c r="J209" t="s">
        <v>907</v>
      </c>
      <c r="K209" t="s">
        <v>2075</v>
      </c>
      <c r="L209" t="s">
        <v>118</v>
      </c>
      <c r="M209">
        <v>26028</v>
      </c>
      <c r="N209" t="s">
        <v>963</v>
      </c>
      <c r="P209">
        <v>26028</v>
      </c>
      <c r="Q209" t="s">
        <v>2076</v>
      </c>
      <c r="R209" t="s">
        <v>2077</v>
      </c>
      <c r="S209" t="s">
        <v>1019</v>
      </c>
      <c r="T209" s="6">
        <v>1700000000</v>
      </c>
      <c r="U209" s="45">
        <f>VLOOKUP(B209,realPrices!C:G,5,0)</f>
        <v>2531234567</v>
      </c>
    </row>
    <row r="210" spans="1:1012 1027:1492" x14ac:dyDescent="0.25">
      <c r="A210" t="s">
        <v>113</v>
      </c>
      <c r="B210" t="s">
        <v>2078</v>
      </c>
      <c r="C210">
        <v>610</v>
      </c>
      <c r="D210" t="s">
        <v>59</v>
      </c>
      <c r="E210" t="s">
        <v>60</v>
      </c>
      <c r="F210" t="s">
        <v>66</v>
      </c>
      <c r="G210">
        <v>999999</v>
      </c>
      <c r="H210">
        <v>1400</v>
      </c>
      <c r="I210" t="s">
        <v>2079</v>
      </c>
      <c r="J210" t="s">
        <v>1855</v>
      </c>
      <c r="K210" t="s">
        <v>2080</v>
      </c>
      <c r="L210" t="s">
        <v>115</v>
      </c>
      <c r="M210">
        <v>61015</v>
      </c>
      <c r="N210" t="s">
        <v>62</v>
      </c>
      <c r="P210">
        <v>61015</v>
      </c>
      <c r="Q210" t="s">
        <v>2081</v>
      </c>
      <c r="R210" t="s">
        <v>2082</v>
      </c>
      <c r="S210" t="s">
        <v>1084</v>
      </c>
      <c r="T210" s="6">
        <v>3400000000</v>
      </c>
      <c r="U210" s="45">
        <f>VLOOKUP(B210,realPrices!C:G,5,0)</f>
        <v>4711234567</v>
      </c>
      <c r="Z210"/>
    </row>
    <row r="211" spans="1:1012 1027:1492" x14ac:dyDescent="0.25">
      <c r="A211" t="s">
        <v>1368</v>
      </c>
      <c r="B211" t="s">
        <v>2083</v>
      </c>
      <c r="C211">
        <v>274</v>
      </c>
      <c r="D211" t="s">
        <v>59</v>
      </c>
      <c r="E211" t="s">
        <v>60</v>
      </c>
      <c r="F211" t="s">
        <v>905</v>
      </c>
      <c r="G211">
        <v>999999</v>
      </c>
      <c r="H211">
        <v>1399</v>
      </c>
      <c r="I211" t="s">
        <v>2084</v>
      </c>
      <c r="J211" t="s">
        <v>907</v>
      </c>
      <c r="K211" t="s">
        <v>2085</v>
      </c>
      <c r="L211" t="s">
        <v>89</v>
      </c>
      <c r="M211">
        <v>27433</v>
      </c>
      <c r="N211" t="s">
        <v>62</v>
      </c>
      <c r="P211">
        <v>27433</v>
      </c>
      <c r="Q211" t="s">
        <v>2086</v>
      </c>
      <c r="R211" t="s">
        <v>2087</v>
      </c>
      <c r="S211" t="s">
        <v>1155</v>
      </c>
      <c r="T211" s="6">
        <v>2800000000</v>
      </c>
      <c r="U211" s="45">
        <f>VLOOKUP(B211,realPrices!C:G,5,0)</f>
        <v>4888888888</v>
      </c>
    </row>
    <row r="212" spans="1:1012 1027:1492" x14ac:dyDescent="0.25">
      <c r="A212" t="s">
        <v>447</v>
      </c>
      <c r="B212" t="s">
        <v>2088</v>
      </c>
      <c r="C212">
        <v>600</v>
      </c>
      <c r="D212" t="s">
        <v>59</v>
      </c>
      <c r="E212" t="s">
        <v>60</v>
      </c>
      <c r="F212" t="s">
        <v>905</v>
      </c>
      <c r="G212">
        <v>999999</v>
      </c>
      <c r="H212">
        <v>1401</v>
      </c>
      <c r="I212" t="s">
        <v>2089</v>
      </c>
      <c r="J212" t="s">
        <v>907</v>
      </c>
      <c r="K212" t="s">
        <v>2090</v>
      </c>
      <c r="L212" t="s">
        <v>962</v>
      </c>
      <c r="M212">
        <v>60010</v>
      </c>
      <c r="N212" t="s">
        <v>963</v>
      </c>
      <c r="P212">
        <v>60010</v>
      </c>
      <c r="Q212" t="s">
        <v>2091</v>
      </c>
      <c r="R212" t="s">
        <v>2092</v>
      </c>
      <c r="S212" t="s">
        <v>1155</v>
      </c>
      <c r="T212" s="6">
        <v>2800000000</v>
      </c>
      <c r="U212" s="45">
        <f>VLOOKUP(B212,realPrices!C:G,5,0)</f>
        <v>3510000000</v>
      </c>
    </row>
    <row r="213" spans="1:1012 1027:1492" x14ac:dyDescent="0.25">
      <c r="A213" t="s">
        <v>2093</v>
      </c>
      <c r="B213" t="s">
        <v>2094</v>
      </c>
      <c r="C213">
        <v>600</v>
      </c>
      <c r="D213" t="s">
        <v>59</v>
      </c>
      <c r="E213" t="s">
        <v>60</v>
      </c>
      <c r="F213" t="s">
        <v>905</v>
      </c>
      <c r="G213">
        <v>999999</v>
      </c>
      <c r="H213">
        <v>1402</v>
      </c>
      <c r="I213" t="s">
        <v>2095</v>
      </c>
      <c r="J213" t="s">
        <v>1101</v>
      </c>
      <c r="K213" t="s">
        <v>2096</v>
      </c>
      <c r="L213" t="s">
        <v>962</v>
      </c>
      <c r="M213">
        <v>60019</v>
      </c>
      <c r="N213" t="s">
        <v>963</v>
      </c>
      <c r="P213">
        <v>60019</v>
      </c>
      <c r="Q213" t="s">
        <v>2097</v>
      </c>
      <c r="R213" t="s">
        <v>2098</v>
      </c>
      <c r="S213" t="s">
        <v>1155</v>
      </c>
      <c r="T213" s="6">
        <v>2800000000</v>
      </c>
      <c r="U213" s="45">
        <f>VLOOKUP(B213,realPrices!C:G,5,0)</f>
        <v>3300000000</v>
      </c>
    </row>
    <row r="214" spans="1:1012 1027:1492" x14ac:dyDescent="0.25">
      <c r="A214" t="s">
        <v>447</v>
      </c>
      <c r="B214" t="s">
        <v>2099</v>
      </c>
      <c r="C214">
        <v>600</v>
      </c>
      <c r="D214" t="s">
        <v>59</v>
      </c>
      <c r="E214" t="s">
        <v>60</v>
      </c>
      <c r="F214" t="s">
        <v>905</v>
      </c>
      <c r="G214">
        <v>999999</v>
      </c>
      <c r="H214">
        <v>1401</v>
      </c>
      <c r="I214" t="s">
        <v>2100</v>
      </c>
      <c r="J214" t="s">
        <v>907</v>
      </c>
      <c r="K214" t="s">
        <v>2101</v>
      </c>
      <c r="L214" t="s">
        <v>962</v>
      </c>
      <c r="M214">
        <v>60010</v>
      </c>
      <c r="N214" t="s">
        <v>963</v>
      </c>
      <c r="P214">
        <v>60010</v>
      </c>
      <c r="Q214" t="s">
        <v>2102</v>
      </c>
      <c r="R214" t="s">
        <v>2103</v>
      </c>
      <c r="S214" t="s">
        <v>1155</v>
      </c>
      <c r="T214" s="6">
        <v>2800000000</v>
      </c>
      <c r="U214" s="45">
        <f>VLOOKUP(B214,realPrices!C:G,5,0)</f>
        <v>3550000000</v>
      </c>
      <c r="Z214"/>
    </row>
    <row r="215" spans="1:1012 1027:1492" x14ac:dyDescent="0.25">
      <c r="A215" t="s">
        <v>942</v>
      </c>
      <c r="B215" t="s">
        <v>2104</v>
      </c>
      <c r="C215">
        <v>606</v>
      </c>
      <c r="D215" t="s">
        <v>944</v>
      </c>
      <c r="E215" t="s">
        <v>60</v>
      </c>
      <c r="F215" t="s">
        <v>905</v>
      </c>
      <c r="G215">
        <v>999999</v>
      </c>
      <c r="H215">
        <v>1402</v>
      </c>
      <c r="I215" t="s">
        <v>2105</v>
      </c>
      <c r="J215" t="s">
        <v>907</v>
      </c>
      <c r="K215" t="s">
        <v>2106</v>
      </c>
      <c r="L215" t="s">
        <v>560</v>
      </c>
      <c r="M215">
        <v>60606</v>
      </c>
      <c r="N215" t="s">
        <v>947</v>
      </c>
      <c r="P215">
        <v>60606</v>
      </c>
      <c r="Q215" t="s">
        <v>2107</v>
      </c>
      <c r="R215" t="s">
        <v>2108</v>
      </c>
      <c r="S215" t="s">
        <v>1423</v>
      </c>
      <c r="T215" s="6">
        <v>3200000000</v>
      </c>
      <c r="U215" s="45">
        <f>VLOOKUP(B215,realPrices!C:G,5,0)</f>
        <v>3600000000</v>
      </c>
      <c r="Z215"/>
    </row>
    <row r="216" spans="1:1012 1027:1492" x14ac:dyDescent="0.25">
      <c r="A216" t="s">
        <v>772</v>
      </c>
      <c r="B216" t="s">
        <v>2109</v>
      </c>
      <c r="C216">
        <v>575</v>
      </c>
      <c r="D216" t="s">
        <v>904</v>
      </c>
      <c r="E216" t="s">
        <v>60</v>
      </c>
      <c r="F216" t="s">
        <v>905</v>
      </c>
      <c r="G216">
        <v>999999</v>
      </c>
      <c r="H216">
        <v>1401</v>
      </c>
      <c r="I216" t="s">
        <v>2110</v>
      </c>
      <c r="J216" t="s">
        <v>907</v>
      </c>
      <c r="K216" t="s">
        <v>2111</v>
      </c>
      <c r="L216" t="s">
        <v>124</v>
      </c>
      <c r="M216">
        <v>57522</v>
      </c>
      <c r="N216" t="s">
        <v>62</v>
      </c>
      <c r="P216">
        <v>57522</v>
      </c>
      <c r="Q216" t="s">
        <v>2112</v>
      </c>
      <c r="R216" t="s">
        <v>2113</v>
      </c>
      <c r="S216" t="s">
        <v>1019</v>
      </c>
      <c r="T216" s="6">
        <v>1700000000</v>
      </c>
      <c r="U216" s="45">
        <f>VLOOKUP(B216,realPrices!C:G,5,0)</f>
        <v>2620000999</v>
      </c>
    </row>
    <row r="217" spans="1:1012 1027:1492" x14ac:dyDescent="0.25">
      <c r="A217" t="s">
        <v>155</v>
      </c>
      <c r="B217" t="s">
        <v>2114</v>
      </c>
      <c r="C217">
        <v>351</v>
      </c>
      <c r="D217" t="s">
        <v>59</v>
      </c>
      <c r="E217" t="s">
        <v>60</v>
      </c>
      <c r="F217" t="s">
        <v>905</v>
      </c>
      <c r="G217">
        <v>999999</v>
      </c>
      <c r="H217">
        <v>1401</v>
      </c>
      <c r="I217" t="s">
        <v>2115</v>
      </c>
      <c r="J217" t="s">
        <v>907</v>
      </c>
      <c r="K217" t="s">
        <v>2116</v>
      </c>
      <c r="L217" t="s">
        <v>128</v>
      </c>
      <c r="M217">
        <v>35101</v>
      </c>
      <c r="N217" t="s">
        <v>62</v>
      </c>
      <c r="P217">
        <v>35101</v>
      </c>
      <c r="Q217" t="s">
        <v>2117</v>
      </c>
      <c r="R217" t="s">
        <v>2118</v>
      </c>
      <c r="S217" t="s">
        <v>911</v>
      </c>
      <c r="T217" s="6">
        <v>1800000000</v>
      </c>
      <c r="U217" s="45">
        <f>VLOOKUP(B217,realPrices!C:G,5,0)</f>
        <v>2153333333</v>
      </c>
      <c r="AK217" s="6"/>
      <c r="AZ217" s="6"/>
      <c r="BO217" s="6"/>
      <c r="CD217" s="6"/>
      <c r="CS217" s="6"/>
      <c r="DH217" s="6"/>
      <c r="DW217" s="6"/>
      <c r="EL217" s="6"/>
      <c r="FA217" s="6"/>
      <c r="FP217" s="6"/>
      <c r="GE217" s="6"/>
      <c r="GT217" s="6"/>
      <c r="HI217" s="6"/>
      <c r="HX217" s="6"/>
      <c r="IM217" s="6"/>
      <c r="JB217" s="6"/>
      <c r="JQ217" s="6"/>
      <c r="KF217" s="6"/>
      <c r="KU217" s="6"/>
      <c r="LJ217" s="6"/>
      <c r="LY217" s="6"/>
      <c r="MN217" s="6"/>
      <c r="NC217" s="6"/>
      <c r="NR217" s="6"/>
      <c r="OG217" s="6"/>
      <c r="OV217" s="6"/>
      <c r="PK217" s="6"/>
      <c r="PZ217" s="6"/>
      <c r="QO217" s="6"/>
      <c r="RD217" s="6"/>
      <c r="RS217" s="6"/>
      <c r="SH217" s="6"/>
      <c r="SW217" s="6"/>
      <c r="TL217" s="6"/>
      <c r="UA217" s="6"/>
      <c r="UP217" s="6"/>
      <c r="VE217" s="6"/>
      <c r="VT217" s="6"/>
      <c r="WI217" s="6"/>
      <c r="WX217" s="6"/>
      <c r="XM217" s="6"/>
      <c r="YB217" s="6"/>
      <c r="YQ217" s="6"/>
      <c r="ZF217" s="6"/>
      <c r="ZU217" s="6"/>
      <c r="AAJ217" s="6"/>
      <c r="AAY217" s="6"/>
      <c r="ABN217" s="6"/>
      <c r="ACC217" s="6"/>
      <c r="ACR217" s="6"/>
      <c r="ADG217" s="6"/>
      <c r="ADV217" s="6"/>
      <c r="AEK217" s="6"/>
      <c r="AEZ217" s="6"/>
      <c r="AFO217" s="6"/>
      <c r="AGD217" s="6"/>
      <c r="AGS217" s="6"/>
      <c r="AHH217" s="6"/>
      <c r="AHW217" s="6"/>
      <c r="AIL217" s="6"/>
      <c r="AJA217" s="6"/>
      <c r="AJP217" s="6"/>
      <c r="AKE217" s="6"/>
      <c r="AKT217" s="6"/>
      <c r="ALI217" s="6"/>
      <c r="ALX217" s="6"/>
      <c r="AMM217" s="6"/>
      <c r="ANB217" s="6"/>
      <c r="ANQ217" s="6"/>
      <c r="AOF217" s="6"/>
      <c r="AOU217" s="6"/>
      <c r="APJ217" s="6"/>
      <c r="APY217" s="6"/>
      <c r="AQN217" s="6"/>
      <c r="ARC217" s="6"/>
      <c r="ARR217" s="6"/>
      <c r="ASG217" s="6"/>
      <c r="ASV217" s="6"/>
      <c r="ATK217" s="6"/>
      <c r="ATZ217" s="6"/>
      <c r="AUO217" s="6"/>
      <c r="AVD217" s="6"/>
      <c r="AVS217" s="6"/>
      <c r="AWH217" s="6"/>
      <c r="AWW217" s="6"/>
      <c r="AXL217" s="6"/>
      <c r="AYA217" s="6"/>
      <c r="AYP217" s="6"/>
      <c r="AZE217" s="6"/>
      <c r="AZT217" s="6"/>
      <c r="BAI217" s="6"/>
      <c r="BAX217" s="6"/>
      <c r="BBM217" s="6"/>
      <c r="BCB217" s="6"/>
      <c r="BCQ217" s="6"/>
      <c r="BDF217" s="6"/>
      <c r="BDU217" s="6"/>
      <c r="BEJ217" s="6"/>
    </row>
    <row r="218" spans="1:1012 1027:1492" x14ac:dyDescent="0.25">
      <c r="A218" t="s">
        <v>2119</v>
      </c>
      <c r="B218" t="s">
        <v>2120</v>
      </c>
      <c r="C218">
        <v>600</v>
      </c>
      <c r="D218" t="s">
        <v>59</v>
      </c>
      <c r="E218" t="s">
        <v>60</v>
      </c>
      <c r="F218" t="s">
        <v>905</v>
      </c>
      <c r="G218">
        <v>999999</v>
      </c>
      <c r="H218">
        <v>1402</v>
      </c>
      <c r="I218" t="s">
        <v>2121</v>
      </c>
      <c r="J218" t="s">
        <v>907</v>
      </c>
      <c r="K218" t="s">
        <v>2122</v>
      </c>
      <c r="L218" t="s">
        <v>962</v>
      </c>
      <c r="M218">
        <v>60021</v>
      </c>
      <c r="N218" t="s">
        <v>963</v>
      </c>
      <c r="P218">
        <v>60021</v>
      </c>
      <c r="Q218" t="s">
        <v>2123</v>
      </c>
      <c r="R218" t="s">
        <v>2124</v>
      </c>
      <c r="S218" t="s">
        <v>986</v>
      </c>
      <c r="T218" s="6">
        <v>3100000000</v>
      </c>
      <c r="U218" s="45">
        <f>VLOOKUP(B218,realPrices!C:G,5,0)</f>
        <v>4138999899</v>
      </c>
    </row>
    <row r="219" spans="1:1012 1027:1492" x14ac:dyDescent="0.25">
      <c r="A219" t="s">
        <v>2125</v>
      </c>
      <c r="B219" t="s">
        <v>2126</v>
      </c>
      <c r="C219">
        <v>575</v>
      </c>
      <c r="D219" t="s">
        <v>59</v>
      </c>
      <c r="E219" t="s">
        <v>60</v>
      </c>
      <c r="F219" t="s">
        <v>905</v>
      </c>
      <c r="G219">
        <v>999999</v>
      </c>
      <c r="H219">
        <v>1402</v>
      </c>
      <c r="I219" t="s">
        <v>2127</v>
      </c>
      <c r="J219" t="s">
        <v>907</v>
      </c>
      <c r="K219" t="s">
        <v>2128</v>
      </c>
      <c r="L219" t="s">
        <v>124</v>
      </c>
      <c r="M219">
        <v>57526</v>
      </c>
      <c r="N219" t="s">
        <v>62</v>
      </c>
      <c r="P219">
        <v>57526</v>
      </c>
      <c r="Q219" t="s">
        <v>2129</v>
      </c>
      <c r="R219" t="s">
        <v>2130</v>
      </c>
      <c r="S219" t="s">
        <v>1105</v>
      </c>
      <c r="T219" s="6">
        <v>1600000000</v>
      </c>
      <c r="U219" s="45">
        <f>VLOOKUP(B219,realPrices!C:G,5,0)</f>
        <v>3055555555</v>
      </c>
      <c r="Z219"/>
    </row>
    <row r="220" spans="1:1012 1027:1492" x14ac:dyDescent="0.25">
      <c r="A220" t="s">
        <v>1478</v>
      </c>
      <c r="B220" t="s">
        <v>2131</v>
      </c>
      <c r="C220">
        <v>282</v>
      </c>
      <c r="D220" t="s">
        <v>59</v>
      </c>
      <c r="E220" t="s">
        <v>60</v>
      </c>
      <c r="F220" t="s">
        <v>905</v>
      </c>
      <c r="G220">
        <v>999999</v>
      </c>
      <c r="H220">
        <v>1398</v>
      </c>
      <c r="I220" t="s">
        <v>2132</v>
      </c>
      <c r="J220" t="s">
        <v>1101</v>
      </c>
      <c r="K220" t="s">
        <v>2133</v>
      </c>
      <c r="L220" t="s">
        <v>112</v>
      </c>
      <c r="M220">
        <v>28232</v>
      </c>
      <c r="N220" t="s">
        <v>62</v>
      </c>
      <c r="P220">
        <v>28232</v>
      </c>
      <c r="Q220" t="s">
        <v>2134</v>
      </c>
      <c r="R220" t="s">
        <v>2135</v>
      </c>
      <c r="S220" t="s">
        <v>911</v>
      </c>
      <c r="T220" s="6">
        <v>1800000000</v>
      </c>
      <c r="U220" s="45">
        <f>VLOOKUP(B220,realPrices!C:G,5,0)</f>
        <v>2330000999</v>
      </c>
      <c r="Z220"/>
    </row>
    <row r="221" spans="1:1012 1027:1492" x14ac:dyDescent="0.25">
      <c r="A221" t="s">
        <v>382</v>
      </c>
      <c r="B221" t="s">
        <v>2136</v>
      </c>
      <c r="C221">
        <v>575</v>
      </c>
      <c r="D221" t="s">
        <v>59</v>
      </c>
      <c r="E221" t="s">
        <v>60</v>
      </c>
      <c r="F221" t="s">
        <v>905</v>
      </c>
      <c r="G221">
        <v>999999</v>
      </c>
      <c r="H221">
        <v>1401</v>
      </c>
      <c r="I221" t="s">
        <v>2137</v>
      </c>
      <c r="J221" t="s">
        <v>1101</v>
      </c>
      <c r="K221" t="s">
        <v>2138</v>
      </c>
      <c r="L221" t="s">
        <v>124</v>
      </c>
      <c r="M221">
        <v>57519</v>
      </c>
      <c r="N221" t="s">
        <v>62</v>
      </c>
      <c r="P221">
        <v>57519</v>
      </c>
      <c r="Q221" t="s">
        <v>2139</v>
      </c>
      <c r="R221" t="s">
        <v>2140</v>
      </c>
      <c r="S221" t="s">
        <v>1105</v>
      </c>
      <c r="T221" s="6">
        <v>1600000000</v>
      </c>
      <c r="U221" s="45">
        <f>VLOOKUP(B221,realPrices!C:G,5,0)</f>
        <v>1800000000</v>
      </c>
    </row>
    <row r="222" spans="1:1012 1027:1492" x14ac:dyDescent="0.25">
      <c r="A222" t="s">
        <v>2141</v>
      </c>
      <c r="B222" t="s">
        <v>2142</v>
      </c>
      <c r="C222">
        <v>606</v>
      </c>
      <c r="D222" t="s">
        <v>952</v>
      </c>
      <c r="E222" t="s">
        <v>60</v>
      </c>
      <c r="F222" t="s">
        <v>905</v>
      </c>
      <c r="G222">
        <v>999999</v>
      </c>
      <c r="H222">
        <v>1401</v>
      </c>
      <c r="I222" t="s">
        <v>2143</v>
      </c>
      <c r="J222" t="s">
        <v>1101</v>
      </c>
      <c r="K222" t="s">
        <v>2144</v>
      </c>
      <c r="L222" t="s">
        <v>560</v>
      </c>
      <c r="M222">
        <v>60603</v>
      </c>
      <c r="N222" t="s">
        <v>947</v>
      </c>
      <c r="P222">
        <v>60603</v>
      </c>
      <c r="Q222" t="s">
        <v>2145</v>
      </c>
      <c r="R222" t="s">
        <v>2146</v>
      </c>
      <c r="S222" t="s">
        <v>1069</v>
      </c>
      <c r="T222" s="6">
        <v>2900000000</v>
      </c>
      <c r="U222" s="45">
        <f>VLOOKUP(B222,realPrices!C:G,5,0)</f>
        <v>4688888000</v>
      </c>
    </row>
    <row r="223" spans="1:1012 1027:1492" x14ac:dyDescent="0.25">
      <c r="A223" t="s">
        <v>414</v>
      </c>
      <c r="B223" t="s">
        <v>2147</v>
      </c>
      <c r="C223">
        <v>351</v>
      </c>
      <c r="D223" t="s">
        <v>1028</v>
      </c>
      <c r="E223" t="s">
        <v>60</v>
      </c>
      <c r="F223" t="s">
        <v>905</v>
      </c>
      <c r="G223">
        <v>999999</v>
      </c>
      <c r="H223">
        <v>1402</v>
      </c>
      <c r="I223" t="s">
        <v>2148</v>
      </c>
      <c r="J223" t="s">
        <v>907</v>
      </c>
      <c r="K223" t="s">
        <v>2149</v>
      </c>
      <c r="L223" t="s">
        <v>128</v>
      </c>
      <c r="M223">
        <v>35103</v>
      </c>
      <c r="N223" t="s">
        <v>62</v>
      </c>
      <c r="P223">
        <v>35103</v>
      </c>
      <c r="Q223" t="s">
        <v>2150</v>
      </c>
      <c r="R223" t="s">
        <v>2151</v>
      </c>
      <c r="S223" t="s">
        <v>1013</v>
      </c>
      <c r="T223" s="6">
        <v>1900000000</v>
      </c>
      <c r="U223" s="45">
        <f>VLOOKUP(B223,realPrices!C:G,5,0)</f>
        <v>2900000000</v>
      </c>
    </row>
    <row r="224" spans="1:1012 1027:1492" x14ac:dyDescent="0.25">
      <c r="A224" t="s">
        <v>2152</v>
      </c>
      <c r="B224" t="s">
        <v>2153</v>
      </c>
      <c r="C224">
        <v>285</v>
      </c>
      <c r="D224" t="s">
        <v>59</v>
      </c>
      <c r="E224" t="s">
        <v>60</v>
      </c>
      <c r="F224" t="s">
        <v>905</v>
      </c>
      <c r="G224">
        <v>999999</v>
      </c>
      <c r="H224">
        <v>1398</v>
      </c>
      <c r="I224" t="s">
        <v>2154</v>
      </c>
      <c r="J224" t="s">
        <v>1101</v>
      </c>
      <c r="K224" t="s">
        <v>2155</v>
      </c>
      <c r="L224" t="s">
        <v>84</v>
      </c>
      <c r="M224">
        <v>28518</v>
      </c>
      <c r="N224" t="s">
        <v>62</v>
      </c>
      <c r="P224">
        <v>28518</v>
      </c>
      <c r="Q224" t="s">
        <v>2156</v>
      </c>
      <c r="R224" t="s">
        <v>2157</v>
      </c>
      <c r="S224" t="s">
        <v>936</v>
      </c>
      <c r="T224" s="6">
        <v>2000000000</v>
      </c>
      <c r="U224" s="45">
        <f>VLOOKUP(B224,realPrices!C:G,5,0)</f>
        <v>2910009999</v>
      </c>
    </row>
    <row r="225" spans="1:26" x14ac:dyDescent="0.25">
      <c r="A225" t="s">
        <v>770</v>
      </c>
      <c r="B225" t="s">
        <v>2158</v>
      </c>
      <c r="C225">
        <v>703</v>
      </c>
      <c r="D225" t="s">
        <v>59</v>
      </c>
      <c r="E225" t="s">
        <v>60</v>
      </c>
      <c r="F225" t="s">
        <v>905</v>
      </c>
      <c r="G225">
        <v>999999</v>
      </c>
      <c r="H225">
        <v>1396</v>
      </c>
      <c r="I225" t="s">
        <v>2159</v>
      </c>
      <c r="J225" t="s">
        <v>1101</v>
      </c>
      <c r="K225" t="s">
        <v>2160</v>
      </c>
      <c r="L225" t="s">
        <v>412</v>
      </c>
      <c r="M225">
        <v>70301</v>
      </c>
      <c r="N225" t="s">
        <v>62</v>
      </c>
      <c r="P225">
        <v>70301</v>
      </c>
      <c r="Q225" t="s">
        <v>2161</v>
      </c>
      <c r="R225" t="s">
        <v>2162</v>
      </c>
      <c r="S225" t="s">
        <v>966</v>
      </c>
      <c r="T225" s="6">
        <v>2600000000</v>
      </c>
      <c r="U225" s="45">
        <f>VLOOKUP(B225,realPrices!C:G,5,0)</f>
        <v>2815000000</v>
      </c>
      <c r="Z225"/>
    </row>
    <row r="226" spans="1:26" x14ac:dyDescent="0.25">
      <c r="A226" t="s">
        <v>447</v>
      </c>
      <c r="B226" t="s">
        <v>2163</v>
      </c>
      <c r="C226">
        <v>600</v>
      </c>
      <c r="D226" t="s">
        <v>59</v>
      </c>
      <c r="E226" t="s">
        <v>60</v>
      </c>
      <c r="F226" t="s">
        <v>905</v>
      </c>
      <c r="G226">
        <v>999999</v>
      </c>
      <c r="H226">
        <v>1401</v>
      </c>
      <c r="I226" t="s">
        <v>2164</v>
      </c>
      <c r="J226" t="s">
        <v>907</v>
      </c>
      <c r="K226" t="s">
        <v>2165</v>
      </c>
      <c r="L226" t="s">
        <v>962</v>
      </c>
      <c r="M226">
        <v>60010</v>
      </c>
      <c r="N226" t="s">
        <v>963</v>
      </c>
      <c r="P226">
        <v>60010</v>
      </c>
      <c r="Q226" t="s">
        <v>2166</v>
      </c>
      <c r="R226" t="s">
        <v>2167</v>
      </c>
      <c r="S226" t="s">
        <v>1069</v>
      </c>
      <c r="T226" s="6">
        <v>2900000000</v>
      </c>
      <c r="U226" s="45">
        <f>VLOOKUP(B226,realPrices!C:G,5,0)</f>
        <v>3350000000</v>
      </c>
      <c r="Z226"/>
    </row>
    <row r="227" spans="1:26" x14ac:dyDescent="0.25">
      <c r="A227" t="s">
        <v>2168</v>
      </c>
      <c r="B227" t="s">
        <v>2169</v>
      </c>
      <c r="C227">
        <v>606</v>
      </c>
      <c r="D227" t="s">
        <v>944</v>
      </c>
      <c r="E227" t="s">
        <v>60</v>
      </c>
      <c r="F227" t="s">
        <v>905</v>
      </c>
      <c r="G227">
        <v>999999</v>
      </c>
      <c r="H227">
        <v>1402</v>
      </c>
      <c r="I227" t="s">
        <v>2170</v>
      </c>
      <c r="J227" t="s">
        <v>907</v>
      </c>
      <c r="K227" t="s">
        <v>2171</v>
      </c>
      <c r="L227" t="s">
        <v>560</v>
      </c>
      <c r="M227">
        <v>60607</v>
      </c>
      <c r="N227" t="s">
        <v>947</v>
      </c>
      <c r="P227">
        <v>60607</v>
      </c>
      <c r="Q227" t="s">
        <v>2172</v>
      </c>
      <c r="R227" t="s">
        <v>2173</v>
      </c>
      <c r="S227" t="s">
        <v>1056</v>
      </c>
      <c r="T227" s="6">
        <v>3500000000</v>
      </c>
      <c r="U227" s="45">
        <f>VLOOKUP(B227,realPrices!C:G,5,0)</f>
        <v>5080000000</v>
      </c>
      <c r="Z227"/>
    </row>
    <row r="228" spans="1:26" x14ac:dyDescent="0.25">
      <c r="A228" t="s">
        <v>2174</v>
      </c>
      <c r="B228" t="s">
        <v>2175</v>
      </c>
      <c r="C228">
        <v>285</v>
      </c>
      <c r="D228" t="s">
        <v>904</v>
      </c>
      <c r="E228" t="s">
        <v>60</v>
      </c>
      <c r="F228" t="s">
        <v>905</v>
      </c>
      <c r="G228">
        <v>999999</v>
      </c>
      <c r="H228">
        <v>1394</v>
      </c>
      <c r="I228" t="s">
        <v>2176</v>
      </c>
      <c r="J228" t="s">
        <v>1101</v>
      </c>
      <c r="K228" t="s">
        <v>2177</v>
      </c>
      <c r="L228" t="s">
        <v>84</v>
      </c>
      <c r="M228">
        <v>28512</v>
      </c>
      <c r="N228" t="s">
        <v>62</v>
      </c>
      <c r="P228">
        <v>28512</v>
      </c>
      <c r="Q228" t="s">
        <v>2178</v>
      </c>
      <c r="R228" t="s">
        <v>2179</v>
      </c>
      <c r="S228" t="s">
        <v>1019</v>
      </c>
      <c r="T228" s="6">
        <v>1700000000</v>
      </c>
      <c r="U228" s="45">
        <f>VLOOKUP(B228,realPrices!C:G,5,0)</f>
        <v>2350000000</v>
      </c>
      <c r="Z228"/>
    </row>
    <row r="229" spans="1:26" x14ac:dyDescent="0.25">
      <c r="A229" t="s">
        <v>82</v>
      </c>
      <c r="B229" t="s">
        <v>2180</v>
      </c>
      <c r="C229">
        <v>285</v>
      </c>
      <c r="D229" t="s">
        <v>59</v>
      </c>
      <c r="E229" t="s">
        <v>60</v>
      </c>
      <c r="F229" t="s">
        <v>905</v>
      </c>
      <c r="G229">
        <v>999999</v>
      </c>
      <c r="H229">
        <v>1401</v>
      </c>
      <c r="I229" t="s">
        <v>2181</v>
      </c>
      <c r="J229" t="s">
        <v>907</v>
      </c>
      <c r="K229" t="s">
        <v>2182</v>
      </c>
      <c r="L229" t="s">
        <v>84</v>
      </c>
      <c r="M229">
        <v>28520</v>
      </c>
      <c r="N229" t="s">
        <v>62</v>
      </c>
      <c r="P229">
        <v>28520</v>
      </c>
      <c r="Q229" t="s">
        <v>2183</v>
      </c>
      <c r="R229" t="s">
        <v>2184</v>
      </c>
      <c r="S229" t="s">
        <v>930</v>
      </c>
      <c r="T229" s="6">
        <v>2200000000</v>
      </c>
      <c r="U229" s="45">
        <f>VLOOKUP(B229,realPrices!C:G,5,0)</f>
        <v>3650000000</v>
      </c>
    </row>
    <row r="230" spans="1:26" x14ac:dyDescent="0.25">
      <c r="A230" t="s">
        <v>155</v>
      </c>
      <c r="B230" t="s">
        <v>2185</v>
      </c>
      <c r="C230">
        <v>351</v>
      </c>
      <c r="D230" t="s">
        <v>59</v>
      </c>
      <c r="E230" t="s">
        <v>60</v>
      </c>
      <c r="F230" t="s">
        <v>905</v>
      </c>
      <c r="G230">
        <v>999999</v>
      </c>
      <c r="H230">
        <v>1401</v>
      </c>
      <c r="I230" t="s">
        <v>2186</v>
      </c>
      <c r="J230" t="s">
        <v>907</v>
      </c>
      <c r="K230" t="s">
        <v>2187</v>
      </c>
      <c r="L230" t="s">
        <v>128</v>
      </c>
      <c r="M230">
        <v>35101</v>
      </c>
      <c r="N230" t="s">
        <v>62</v>
      </c>
      <c r="P230">
        <v>35101</v>
      </c>
      <c r="Q230" t="s">
        <v>2188</v>
      </c>
      <c r="R230" t="s">
        <v>2189</v>
      </c>
      <c r="S230" t="s">
        <v>911</v>
      </c>
      <c r="T230" s="6">
        <v>1800000000</v>
      </c>
      <c r="U230" s="45">
        <f>VLOOKUP(B230,realPrices!C:G,5,0)</f>
        <v>2333000000</v>
      </c>
    </row>
    <row r="231" spans="1:26" x14ac:dyDescent="0.25">
      <c r="A231" t="s">
        <v>1098</v>
      </c>
      <c r="B231" t="s">
        <v>1099</v>
      </c>
      <c r="C231">
        <v>285</v>
      </c>
      <c r="D231" t="s">
        <v>59</v>
      </c>
      <c r="E231" t="s">
        <v>60</v>
      </c>
      <c r="F231" t="s">
        <v>905</v>
      </c>
      <c r="G231">
        <v>999999</v>
      </c>
      <c r="H231">
        <v>1396</v>
      </c>
      <c r="I231" t="s">
        <v>1100</v>
      </c>
      <c r="J231" t="s">
        <v>1101</v>
      </c>
      <c r="K231" t="s">
        <v>1102</v>
      </c>
      <c r="L231" t="s">
        <v>84</v>
      </c>
      <c r="M231">
        <v>28513</v>
      </c>
      <c r="N231" t="s">
        <v>62</v>
      </c>
      <c r="P231" t="s">
        <v>2436</v>
      </c>
      <c r="Q231" t="s">
        <v>1103</v>
      </c>
      <c r="R231" t="s">
        <v>1104</v>
      </c>
      <c r="S231" t="s">
        <v>1013</v>
      </c>
      <c r="T231" s="6">
        <v>1900000000</v>
      </c>
      <c r="U231" s="45">
        <f>VLOOKUP(B231,realPrices!C:G,5,0)</f>
        <v>2822999999</v>
      </c>
      <c r="Z231"/>
    </row>
    <row r="232" spans="1:26" x14ac:dyDescent="0.25">
      <c r="A232" t="s">
        <v>456</v>
      </c>
      <c r="B232" t="s">
        <v>2437</v>
      </c>
      <c r="C232">
        <v>285</v>
      </c>
      <c r="D232" t="s">
        <v>904</v>
      </c>
      <c r="E232" t="s">
        <v>60</v>
      </c>
      <c r="F232" t="s">
        <v>905</v>
      </c>
      <c r="G232">
        <v>999999</v>
      </c>
      <c r="H232">
        <v>1402</v>
      </c>
      <c r="I232" t="s">
        <v>2438</v>
      </c>
      <c r="J232" t="s">
        <v>1101</v>
      </c>
      <c r="K232" t="s">
        <v>2439</v>
      </c>
      <c r="L232" t="s">
        <v>84</v>
      </c>
      <c r="M232">
        <v>28520</v>
      </c>
      <c r="N232" t="s">
        <v>62</v>
      </c>
      <c r="P232" t="s">
        <v>2440</v>
      </c>
      <c r="Q232" t="s">
        <v>2441</v>
      </c>
      <c r="R232" t="s">
        <v>1110</v>
      </c>
      <c r="S232" t="s">
        <v>986</v>
      </c>
      <c r="T232" s="6">
        <v>3100000000</v>
      </c>
      <c r="U232" s="45">
        <f>VLOOKUP(B232,realPrices!C:G,5,0)</f>
        <v>3164500000</v>
      </c>
      <c r="Z232"/>
    </row>
    <row r="233" spans="1:26" x14ac:dyDescent="0.25">
      <c r="A233" t="s">
        <v>2442</v>
      </c>
      <c r="B233" t="s">
        <v>2443</v>
      </c>
      <c r="C233">
        <v>351</v>
      </c>
      <c r="D233" t="s">
        <v>904</v>
      </c>
      <c r="E233" t="s">
        <v>60</v>
      </c>
      <c r="F233" t="s">
        <v>905</v>
      </c>
      <c r="G233">
        <v>999999</v>
      </c>
      <c r="H233">
        <v>1402</v>
      </c>
      <c r="I233" t="s">
        <v>2444</v>
      </c>
      <c r="J233" t="s">
        <v>1101</v>
      </c>
      <c r="K233" t="s">
        <v>2445</v>
      </c>
      <c r="L233" t="s">
        <v>128</v>
      </c>
      <c r="M233">
        <v>35108</v>
      </c>
      <c r="N233" t="s">
        <v>62</v>
      </c>
      <c r="P233" t="s">
        <v>2446</v>
      </c>
      <c r="Q233" t="s">
        <v>2447</v>
      </c>
      <c r="R233" t="s">
        <v>1115</v>
      </c>
      <c r="S233" t="s">
        <v>950</v>
      </c>
      <c r="T233" s="6">
        <v>2700000000</v>
      </c>
      <c r="U233" s="45">
        <f>VLOOKUP(B233,realPrices!C:G,5,0)</f>
        <v>4555000000</v>
      </c>
      <c r="Z233"/>
    </row>
    <row r="234" spans="1:26" x14ac:dyDescent="0.25">
      <c r="A234" t="s">
        <v>116</v>
      </c>
      <c r="B234" t="s">
        <v>2448</v>
      </c>
      <c r="C234">
        <v>260</v>
      </c>
      <c r="D234" t="s">
        <v>59</v>
      </c>
      <c r="E234" t="s">
        <v>60</v>
      </c>
      <c r="F234" t="s">
        <v>905</v>
      </c>
      <c r="G234">
        <v>999999</v>
      </c>
      <c r="H234">
        <v>1399</v>
      </c>
      <c r="I234" t="s">
        <v>2449</v>
      </c>
      <c r="J234" t="s">
        <v>1101</v>
      </c>
      <c r="K234" t="s">
        <v>2450</v>
      </c>
      <c r="L234" t="s">
        <v>118</v>
      </c>
      <c r="M234">
        <v>26031</v>
      </c>
      <c r="N234" t="s">
        <v>963</v>
      </c>
      <c r="P234" t="s">
        <v>2451</v>
      </c>
      <c r="Q234" t="s">
        <v>2452</v>
      </c>
      <c r="R234" t="s">
        <v>1120</v>
      </c>
      <c r="S234" t="s">
        <v>1013</v>
      </c>
      <c r="T234" s="6">
        <v>1900000000</v>
      </c>
      <c r="U234" s="45">
        <f>VLOOKUP(B234,realPrices!C:G,5,0)</f>
        <v>3059999999</v>
      </c>
      <c r="Z234"/>
    </row>
    <row r="235" spans="1:26" x14ac:dyDescent="0.25">
      <c r="A235" t="s">
        <v>1098</v>
      </c>
      <c r="B235" t="s">
        <v>1121</v>
      </c>
      <c r="C235">
        <v>285</v>
      </c>
      <c r="D235" t="s">
        <v>59</v>
      </c>
      <c r="E235" t="s">
        <v>60</v>
      </c>
      <c r="F235" t="s">
        <v>905</v>
      </c>
      <c r="G235">
        <v>999999</v>
      </c>
      <c r="H235">
        <v>1395</v>
      </c>
      <c r="I235" t="s">
        <v>1122</v>
      </c>
      <c r="J235" t="s">
        <v>1101</v>
      </c>
      <c r="K235" t="s">
        <v>1123</v>
      </c>
      <c r="L235" t="s">
        <v>84</v>
      </c>
      <c r="M235">
        <v>28513</v>
      </c>
      <c r="N235" t="s">
        <v>62</v>
      </c>
      <c r="P235" t="s">
        <v>2436</v>
      </c>
      <c r="Q235" t="s">
        <v>1124</v>
      </c>
      <c r="R235" t="s">
        <v>1125</v>
      </c>
      <c r="S235" t="s">
        <v>1338</v>
      </c>
      <c r="T235" s="6">
        <v>3000000000</v>
      </c>
      <c r="U235" s="45">
        <f>VLOOKUP(B235,realPrices!C:G,5,0)</f>
        <v>2719999999</v>
      </c>
      <c r="Z235"/>
    </row>
    <row r="236" spans="1:26" x14ac:dyDescent="0.25">
      <c r="A236" t="s">
        <v>2453</v>
      </c>
      <c r="B236" t="s">
        <v>2454</v>
      </c>
      <c r="C236">
        <v>274</v>
      </c>
      <c r="D236" t="s">
        <v>59</v>
      </c>
      <c r="E236" t="s">
        <v>60</v>
      </c>
      <c r="F236" t="s">
        <v>905</v>
      </c>
      <c r="G236">
        <v>999999</v>
      </c>
      <c r="H236">
        <v>1394</v>
      </c>
      <c r="I236" t="s">
        <v>2455</v>
      </c>
      <c r="J236" t="s">
        <v>1101</v>
      </c>
      <c r="K236" t="s">
        <v>2456</v>
      </c>
      <c r="L236" t="s">
        <v>89</v>
      </c>
      <c r="M236">
        <v>27430</v>
      </c>
      <c r="N236" t="s">
        <v>62</v>
      </c>
      <c r="P236" t="s">
        <v>2457</v>
      </c>
      <c r="Q236" t="s">
        <v>2458</v>
      </c>
      <c r="R236" t="s">
        <v>1130</v>
      </c>
      <c r="S236" t="s">
        <v>1000</v>
      </c>
      <c r="T236" s="6">
        <v>2100000000</v>
      </c>
      <c r="U236" s="45">
        <f>VLOOKUP(B236,realPrices!C:G,5,0)</f>
        <v>2515000000</v>
      </c>
      <c r="Z236"/>
    </row>
    <row r="237" spans="1:26" x14ac:dyDescent="0.25">
      <c r="A237" t="s">
        <v>397</v>
      </c>
      <c r="B237" t="s">
        <v>2459</v>
      </c>
      <c r="C237">
        <v>351</v>
      </c>
      <c r="D237" t="s">
        <v>1028</v>
      </c>
      <c r="E237" t="s">
        <v>60</v>
      </c>
      <c r="F237" t="s">
        <v>905</v>
      </c>
      <c r="G237">
        <v>999999</v>
      </c>
      <c r="H237">
        <v>1401</v>
      </c>
      <c r="I237" t="s">
        <v>2460</v>
      </c>
      <c r="J237" t="s">
        <v>1101</v>
      </c>
      <c r="K237" t="s">
        <v>2461</v>
      </c>
      <c r="L237" t="s">
        <v>128</v>
      </c>
      <c r="M237">
        <v>35101</v>
      </c>
      <c r="N237" t="s">
        <v>62</v>
      </c>
      <c r="P237" t="s">
        <v>2462</v>
      </c>
      <c r="Q237" t="s">
        <v>2463</v>
      </c>
      <c r="R237" t="s">
        <v>1136</v>
      </c>
      <c r="S237" t="s">
        <v>1155</v>
      </c>
      <c r="T237" s="6">
        <v>2800000000</v>
      </c>
      <c r="U237" s="45">
        <f>VLOOKUP(B237,realPrices!C:G,5,0)</f>
        <v>3119999999</v>
      </c>
      <c r="Z237"/>
    </row>
    <row r="238" spans="1:26" x14ac:dyDescent="0.25">
      <c r="A238" t="s">
        <v>127</v>
      </c>
      <c r="B238" t="s">
        <v>2464</v>
      </c>
      <c r="C238">
        <v>351</v>
      </c>
      <c r="D238" t="s">
        <v>904</v>
      </c>
      <c r="E238" t="s">
        <v>60</v>
      </c>
      <c r="F238" t="s">
        <v>905</v>
      </c>
      <c r="G238">
        <v>999999</v>
      </c>
      <c r="H238">
        <v>1401</v>
      </c>
      <c r="I238" t="s">
        <v>2465</v>
      </c>
      <c r="J238" t="s">
        <v>1101</v>
      </c>
      <c r="K238" t="s">
        <v>2466</v>
      </c>
      <c r="L238" t="s">
        <v>128</v>
      </c>
      <c r="M238">
        <v>35101</v>
      </c>
      <c r="N238" t="s">
        <v>62</v>
      </c>
      <c r="P238" t="s">
        <v>2462</v>
      </c>
      <c r="Q238" t="s">
        <v>2467</v>
      </c>
      <c r="R238" t="s">
        <v>1141</v>
      </c>
      <c r="S238" t="s">
        <v>986</v>
      </c>
      <c r="T238" s="6">
        <v>3100000000</v>
      </c>
      <c r="U238" s="45">
        <f>VLOOKUP(B238,realPrices!C:G,5,0)</f>
        <v>3102999999</v>
      </c>
      <c r="Z238"/>
    </row>
    <row r="239" spans="1:26" x14ac:dyDescent="0.25">
      <c r="A239" t="s">
        <v>413</v>
      </c>
      <c r="B239" t="s">
        <v>2468</v>
      </c>
      <c r="C239">
        <v>610</v>
      </c>
      <c r="D239" t="s">
        <v>1079</v>
      </c>
      <c r="E239" t="s">
        <v>60</v>
      </c>
      <c r="F239" t="s">
        <v>905</v>
      </c>
      <c r="G239">
        <v>999999</v>
      </c>
      <c r="H239">
        <v>1401</v>
      </c>
      <c r="I239" t="s">
        <v>2469</v>
      </c>
      <c r="J239" t="s">
        <v>1101</v>
      </c>
      <c r="K239" t="s">
        <v>2470</v>
      </c>
      <c r="L239" t="s">
        <v>115</v>
      </c>
      <c r="M239">
        <v>61015</v>
      </c>
      <c r="N239" t="s">
        <v>62</v>
      </c>
      <c r="P239" t="s">
        <v>2471</v>
      </c>
      <c r="Q239" t="s">
        <v>2472</v>
      </c>
      <c r="R239" t="s">
        <v>1149</v>
      </c>
      <c r="S239" t="s">
        <v>1013</v>
      </c>
      <c r="T239" s="6">
        <v>1900000000</v>
      </c>
      <c r="U239" s="45">
        <f>VLOOKUP(B239,realPrices!C:G,5,0)</f>
        <v>3323254500</v>
      </c>
      <c r="Z239"/>
    </row>
    <row r="240" spans="1:26" x14ac:dyDescent="0.25">
      <c r="A240" t="s">
        <v>2473</v>
      </c>
      <c r="B240" t="s">
        <v>2474</v>
      </c>
      <c r="C240">
        <v>291</v>
      </c>
      <c r="D240" t="s">
        <v>59</v>
      </c>
      <c r="E240" t="s">
        <v>994</v>
      </c>
      <c r="F240" t="s">
        <v>905</v>
      </c>
      <c r="G240">
        <v>999999</v>
      </c>
      <c r="H240">
        <v>1396</v>
      </c>
      <c r="I240" t="s">
        <v>2475</v>
      </c>
      <c r="J240" t="s">
        <v>1101</v>
      </c>
      <c r="K240" t="s">
        <v>2476</v>
      </c>
      <c r="L240" t="s">
        <v>104</v>
      </c>
      <c r="M240">
        <v>29110</v>
      </c>
      <c r="N240" t="s">
        <v>62</v>
      </c>
      <c r="P240" t="s">
        <v>2477</v>
      </c>
      <c r="Q240" t="s">
        <v>2478</v>
      </c>
      <c r="R240" t="s">
        <v>1154</v>
      </c>
      <c r="S240" t="s">
        <v>2479</v>
      </c>
      <c r="T240" s="6">
        <v>1100000000</v>
      </c>
      <c r="U240" s="45">
        <f>VLOOKUP(B240,realPrices!C:G,5,0)</f>
        <v>2100000000</v>
      </c>
      <c r="Z240"/>
    </row>
    <row r="241" spans="1:26" x14ac:dyDescent="0.25">
      <c r="A241" t="s">
        <v>967</v>
      </c>
      <c r="B241" t="s">
        <v>2480</v>
      </c>
      <c r="C241">
        <v>282</v>
      </c>
      <c r="D241" t="s">
        <v>59</v>
      </c>
      <c r="E241" t="s">
        <v>60</v>
      </c>
      <c r="F241" t="s">
        <v>905</v>
      </c>
      <c r="G241">
        <v>999999</v>
      </c>
      <c r="H241">
        <v>1400</v>
      </c>
      <c r="I241" t="s">
        <v>2481</v>
      </c>
      <c r="J241" t="s">
        <v>1101</v>
      </c>
      <c r="K241" t="s">
        <v>2482</v>
      </c>
      <c r="L241" t="s">
        <v>112</v>
      </c>
      <c r="M241">
        <v>28242</v>
      </c>
      <c r="N241" t="s">
        <v>62</v>
      </c>
      <c r="P241" t="s">
        <v>2483</v>
      </c>
      <c r="Q241" t="s">
        <v>2484</v>
      </c>
      <c r="R241" t="s">
        <v>1160</v>
      </c>
      <c r="S241" t="s">
        <v>911</v>
      </c>
      <c r="T241" s="6">
        <v>1800000000</v>
      </c>
      <c r="U241" s="45">
        <f>VLOOKUP(B241,realPrices!C:G,5,0)</f>
        <v>2456666666</v>
      </c>
      <c r="Z241"/>
    </row>
    <row r="242" spans="1:26" x14ac:dyDescent="0.25">
      <c r="A242" t="s">
        <v>467</v>
      </c>
      <c r="B242" t="s">
        <v>2485</v>
      </c>
      <c r="C242">
        <v>600</v>
      </c>
      <c r="D242" t="s">
        <v>1028</v>
      </c>
      <c r="E242" t="s">
        <v>60</v>
      </c>
      <c r="F242" t="s">
        <v>905</v>
      </c>
      <c r="G242">
        <v>999999</v>
      </c>
      <c r="H242">
        <v>1401</v>
      </c>
      <c r="I242" t="s">
        <v>2486</v>
      </c>
      <c r="J242" t="s">
        <v>907</v>
      </c>
      <c r="K242" t="s">
        <v>2487</v>
      </c>
      <c r="L242" t="s">
        <v>962</v>
      </c>
      <c r="M242">
        <v>60010</v>
      </c>
      <c r="N242" t="s">
        <v>963</v>
      </c>
      <c r="P242" t="s">
        <v>2488</v>
      </c>
      <c r="Q242" t="s">
        <v>2489</v>
      </c>
      <c r="R242" t="s">
        <v>1165</v>
      </c>
      <c r="S242" t="s">
        <v>957</v>
      </c>
      <c r="T242" s="6">
        <v>3800000000</v>
      </c>
      <c r="U242" s="45">
        <f>VLOOKUP(B242,realPrices!C:G,5,0)</f>
        <v>5610099999</v>
      </c>
      <c r="Z242"/>
    </row>
    <row r="243" spans="1:26" x14ac:dyDescent="0.25">
      <c r="A243" t="s">
        <v>958</v>
      </c>
      <c r="B243" t="s">
        <v>2490</v>
      </c>
      <c r="C243">
        <v>600</v>
      </c>
      <c r="D243" t="s">
        <v>59</v>
      </c>
      <c r="E243" t="s">
        <v>60</v>
      </c>
      <c r="F243" t="s">
        <v>905</v>
      </c>
      <c r="G243">
        <v>999999</v>
      </c>
      <c r="H243">
        <v>1402</v>
      </c>
      <c r="I243" t="s">
        <v>2491</v>
      </c>
      <c r="J243" t="s">
        <v>1101</v>
      </c>
      <c r="K243" t="s">
        <v>2492</v>
      </c>
      <c r="L243" t="s">
        <v>962</v>
      </c>
      <c r="M243">
        <v>60017</v>
      </c>
      <c r="N243" t="s">
        <v>963</v>
      </c>
      <c r="P243" t="s">
        <v>2493</v>
      </c>
      <c r="Q243" t="s">
        <v>2494</v>
      </c>
      <c r="R243" t="s">
        <v>1171</v>
      </c>
      <c r="S243" t="s">
        <v>1338</v>
      </c>
      <c r="T243" s="6">
        <v>3000000000</v>
      </c>
      <c r="U243" s="45">
        <f>VLOOKUP(B243,realPrices!C:G,5,0)</f>
        <v>4866999999</v>
      </c>
      <c r="Z243"/>
    </row>
    <row r="244" spans="1:26" x14ac:dyDescent="0.25">
      <c r="A244" t="s">
        <v>82</v>
      </c>
      <c r="B244" t="s">
        <v>2495</v>
      </c>
      <c r="C244">
        <v>285</v>
      </c>
      <c r="D244" t="s">
        <v>59</v>
      </c>
      <c r="E244" t="s">
        <v>60</v>
      </c>
      <c r="F244" t="s">
        <v>905</v>
      </c>
      <c r="G244">
        <v>999999</v>
      </c>
      <c r="H244">
        <v>1400</v>
      </c>
      <c r="I244" t="s">
        <v>2496</v>
      </c>
      <c r="J244" t="s">
        <v>1101</v>
      </c>
      <c r="K244" t="s">
        <v>2497</v>
      </c>
      <c r="L244" t="s">
        <v>84</v>
      </c>
      <c r="M244">
        <v>28520</v>
      </c>
      <c r="N244" t="s">
        <v>62</v>
      </c>
      <c r="P244" t="s">
        <v>2440</v>
      </c>
      <c r="Q244" t="s">
        <v>2498</v>
      </c>
      <c r="R244" t="s">
        <v>1177</v>
      </c>
      <c r="S244" t="s">
        <v>1338</v>
      </c>
      <c r="T244" s="6">
        <v>3000000000</v>
      </c>
      <c r="U244" s="45">
        <f>VLOOKUP(B244,realPrices!C:G,5,0)</f>
        <v>3480088888</v>
      </c>
      <c r="Z244"/>
    </row>
    <row r="245" spans="1:26" x14ac:dyDescent="0.25">
      <c r="A245" t="s">
        <v>467</v>
      </c>
      <c r="B245" t="s">
        <v>2499</v>
      </c>
      <c r="C245">
        <v>600</v>
      </c>
      <c r="D245" t="s">
        <v>1028</v>
      </c>
      <c r="E245" t="s">
        <v>60</v>
      </c>
      <c r="F245" t="s">
        <v>905</v>
      </c>
      <c r="G245">
        <v>999999</v>
      </c>
      <c r="H245">
        <v>1400</v>
      </c>
      <c r="I245" t="s">
        <v>2500</v>
      </c>
      <c r="J245" t="s">
        <v>1101</v>
      </c>
      <c r="K245" t="s">
        <v>2501</v>
      </c>
      <c r="L245" t="s">
        <v>962</v>
      </c>
      <c r="M245">
        <v>60010</v>
      </c>
      <c r="N245" t="s">
        <v>963</v>
      </c>
      <c r="P245" t="s">
        <v>2488</v>
      </c>
      <c r="Q245" t="s">
        <v>2502</v>
      </c>
      <c r="R245" t="s">
        <v>1183</v>
      </c>
      <c r="S245" t="s">
        <v>1332</v>
      </c>
      <c r="T245" s="6">
        <v>2500000000</v>
      </c>
      <c r="U245" s="45">
        <f>VLOOKUP(B245,realPrices!C:G,5,0)</f>
        <v>3620000000</v>
      </c>
      <c r="Z245"/>
    </row>
    <row r="246" spans="1:26" x14ac:dyDescent="0.25">
      <c r="A246" t="s">
        <v>2503</v>
      </c>
      <c r="B246" t="s">
        <v>2504</v>
      </c>
      <c r="C246">
        <v>287</v>
      </c>
      <c r="D246" t="s">
        <v>59</v>
      </c>
      <c r="E246" t="s">
        <v>60</v>
      </c>
      <c r="F246" t="s">
        <v>905</v>
      </c>
      <c r="G246">
        <v>999999</v>
      </c>
      <c r="H246">
        <v>1399</v>
      </c>
      <c r="I246" t="s">
        <v>2505</v>
      </c>
      <c r="J246" t="s">
        <v>1101</v>
      </c>
      <c r="K246" t="s">
        <v>2506</v>
      </c>
      <c r="L246" t="s">
        <v>1349</v>
      </c>
      <c r="M246">
        <v>28714</v>
      </c>
      <c r="N246" t="s">
        <v>62</v>
      </c>
      <c r="P246" t="s">
        <v>2507</v>
      </c>
      <c r="Q246" t="s">
        <v>2508</v>
      </c>
      <c r="R246" t="s">
        <v>1189</v>
      </c>
      <c r="S246" t="s">
        <v>1184</v>
      </c>
      <c r="T246" s="6">
        <v>1400000000</v>
      </c>
      <c r="U246" s="45">
        <f>VLOOKUP(B246,realPrices!C:G,5,0)</f>
        <v>3499999990</v>
      </c>
      <c r="Z246"/>
    </row>
    <row r="247" spans="1:26" x14ac:dyDescent="0.25">
      <c r="A247" t="s">
        <v>1062</v>
      </c>
      <c r="B247" t="s">
        <v>2509</v>
      </c>
      <c r="C247">
        <v>269</v>
      </c>
      <c r="D247" t="s">
        <v>59</v>
      </c>
      <c r="E247" t="s">
        <v>60</v>
      </c>
      <c r="F247" t="s">
        <v>905</v>
      </c>
      <c r="G247">
        <v>999999</v>
      </c>
      <c r="H247">
        <v>1402</v>
      </c>
      <c r="I247" t="s">
        <v>2510</v>
      </c>
      <c r="J247" t="s">
        <v>1101</v>
      </c>
      <c r="K247" t="s">
        <v>2511</v>
      </c>
      <c r="L247" t="s">
        <v>1066</v>
      </c>
      <c r="M247">
        <v>26902</v>
      </c>
      <c r="N247" t="s">
        <v>62</v>
      </c>
      <c r="P247" t="s">
        <v>2512</v>
      </c>
      <c r="Q247" t="s">
        <v>2513</v>
      </c>
      <c r="R247" t="s">
        <v>1194</v>
      </c>
      <c r="S247" t="s">
        <v>1007</v>
      </c>
      <c r="T247" s="6">
        <v>2300000000</v>
      </c>
      <c r="U247" s="45">
        <f>VLOOKUP(B247,realPrices!C:G,5,0)</f>
        <v>3055555555</v>
      </c>
      <c r="Z247"/>
    </row>
    <row r="248" spans="1:26" x14ac:dyDescent="0.25">
      <c r="A248" t="s">
        <v>2514</v>
      </c>
      <c r="B248" t="s">
        <v>2515</v>
      </c>
      <c r="C248">
        <v>703</v>
      </c>
      <c r="D248" t="s">
        <v>1320</v>
      </c>
      <c r="E248" t="s">
        <v>60</v>
      </c>
      <c r="F248" t="s">
        <v>905</v>
      </c>
      <c r="G248">
        <v>999999</v>
      </c>
      <c r="H248">
        <v>1399</v>
      </c>
      <c r="I248" t="s">
        <v>2516</v>
      </c>
      <c r="J248" t="s">
        <v>1101</v>
      </c>
      <c r="K248" t="s">
        <v>2517</v>
      </c>
      <c r="L248" t="s">
        <v>412</v>
      </c>
      <c r="M248">
        <v>70314</v>
      </c>
      <c r="N248" t="s">
        <v>62</v>
      </c>
      <c r="P248" t="s">
        <v>2518</v>
      </c>
      <c r="Q248" t="s">
        <v>2519</v>
      </c>
      <c r="R248" t="s">
        <v>1205</v>
      </c>
      <c r="S248" t="s">
        <v>1338</v>
      </c>
      <c r="T248" s="6">
        <v>3000000000</v>
      </c>
      <c r="U248" s="45">
        <f>VLOOKUP(B248,realPrices!C:G,5,0)</f>
        <v>5022150000</v>
      </c>
      <c r="Z248"/>
    </row>
    <row r="249" spans="1:26" x14ac:dyDescent="0.25">
      <c r="A249" t="s">
        <v>413</v>
      </c>
      <c r="B249" t="s">
        <v>2520</v>
      </c>
      <c r="C249">
        <v>610</v>
      </c>
      <c r="D249" t="s">
        <v>1079</v>
      </c>
      <c r="E249" t="s">
        <v>60</v>
      </c>
      <c r="F249" t="s">
        <v>905</v>
      </c>
      <c r="G249">
        <v>999999</v>
      </c>
      <c r="H249">
        <v>1401</v>
      </c>
      <c r="I249" t="s">
        <v>2521</v>
      </c>
      <c r="J249" t="s">
        <v>1101</v>
      </c>
      <c r="K249" t="s">
        <v>2522</v>
      </c>
      <c r="L249" t="s">
        <v>115</v>
      </c>
      <c r="M249">
        <v>61015</v>
      </c>
      <c r="N249" t="s">
        <v>62</v>
      </c>
      <c r="P249" t="s">
        <v>2471</v>
      </c>
      <c r="Q249" t="s">
        <v>2523</v>
      </c>
      <c r="R249" t="s">
        <v>1210</v>
      </c>
      <c r="S249" t="s">
        <v>1019</v>
      </c>
      <c r="T249" s="6">
        <v>1700000000</v>
      </c>
      <c r="U249" s="45">
        <f>VLOOKUP(B249,realPrices!C:G,5,0)</f>
        <v>2386666666</v>
      </c>
      <c r="Z249"/>
    </row>
    <row r="250" spans="1:26" x14ac:dyDescent="0.25">
      <c r="A250" t="s">
        <v>1211</v>
      </c>
      <c r="B250" t="s">
        <v>1212</v>
      </c>
      <c r="C250">
        <v>322</v>
      </c>
      <c r="D250" t="s">
        <v>952</v>
      </c>
      <c r="E250" t="s">
        <v>60</v>
      </c>
      <c r="F250" t="s">
        <v>905</v>
      </c>
      <c r="G250">
        <v>999999</v>
      </c>
      <c r="H250">
        <v>1402</v>
      </c>
      <c r="I250" t="s">
        <v>1213</v>
      </c>
      <c r="J250" t="s">
        <v>1101</v>
      </c>
      <c r="K250" t="s">
        <v>1214</v>
      </c>
      <c r="L250" t="s">
        <v>65</v>
      </c>
      <c r="M250">
        <v>32207</v>
      </c>
      <c r="N250" t="s">
        <v>62</v>
      </c>
      <c r="P250" t="s">
        <v>2524</v>
      </c>
      <c r="Q250" t="s">
        <v>1215</v>
      </c>
      <c r="R250" t="s">
        <v>1216</v>
      </c>
      <c r="S250" t="s">
        <v>1172</v>
      </c>
      <c r="T250" s="6">
        <v>3600000000</v>
      </c>
      <c r="U250" s="45">
        <f>VLOOKUP(B250,realPrices!C:G,5,0)</f>
        <v>0</v>
      </c>
      <c r="Z250"/>
    </row>
    <row r="251" spans="1:26" x14ac:dyDescent="0.25">
      <c r="A251" t="s">
        <v>1283</v>
      </c>
      <c r="B251" t="s">
        <v>2525</v>
      </c>
      <c r="C251">
        <v>351</v>
      </c>
      <c r="D251" t="s">
        <v>59</v>
      </c>
      <c r="E251" t="s">
        <v>60</v>
      </c>
      <c r="F251" t="s">
        <v>905</v>
      </c>
      <c r="G251">
        <v>999999</v>
      </c>
      <c r="H251">
        <v>1402</v>
      </c>
      <c r="I251" t="s">
        <v>2526</v>
      </c>
      <c r="J251" t="s">
        <v>1101</v>
      </c>
      <c r="K251" t="s">
        <v>2527</v>
      </c>
      <c r="L251" t="s">
        <v>128</v>
      </c>
      <c r="M251">
        <v>35108</v>
      </c>
      <c r="N251" t="s">
        <v>62</v>
      </c>
      <c r="P251" t="s">
        <v>2446</v>
      </c>
      <c r="Q251" t="s">
        <v>2528</v>
      </c>
      <c r="R251" t="s">
        <v>1222</v>
      </c>
      <c r="S251" t="s">
        <v>1184</v>
      </c>
      <c r="T251" s="6">
        <v>1400000000</v>
      </c>
      <c r="U251" s="45">
        <f>VLOOKUP(B251,realPrices!C:G,5,0)</f>
        <v>3409528600</v>
      </c>
      <c r="Z251"/>
    </row>
    <row r="252" spans="1:26" x14ac:dyDescent="0.25">
      <c r="A252" t="s">
        <v>82</v>
      </c>
      <c r="B252" t="s">
        <v>1223</v>
      </c>
      <c r="C252">
        <v>285</v>
      </c>
      <c r="D252" t="s">
        <v>59</v>
      </c>
      <c r="E252" t="s">
        <v>60</v>
      </c>
      <c r="F252" t="s">
        <v>905</v>
      </c>
      <c r="G252">
        <v>999999</v>
      </c>
      <c r="H252">
        <v>1401</v>
      </c>
      <c r="I252" t="s">
        <v>1224</v>
      </c>
      <c r="J252" t="s">
        <v>1101</v>
      </c>
      <c r="K252" t="s">
        <v>1225</v>
      </c>
      <c r="L252" t="s">
        <v>84</v>
      </c>
      <c r="M252">
        <v>28520</v>
      </c>
      <c r="N252" t="s">
        <v>62</v>
      </c>
      <c r="P252" t="s">
        <v>2440</v>
      </c>
      <c r="Q252" t="s">
        <v>1226</v>
      </c>
      <c r="R252" t="s">
        <v>1227</v>
      </c>
      <c r="S252" t="s">
        <v>950</v>
      </c>
      <c r="T252" s="6">
        <v>2700000000</v>
      </c>
      <c r="U252" s="45">
        <f>VLOOKUP(B252,realPrices!C:G,5,0)</f>
        <v>3721234567</v>
      </c>
      <c r="Z252"/>
    </row>
    <row r="253" spans="1:26" x14ac:dyDescent="0.25">
      <c r="A253" t="s">
        <v>2529</v>
      </c>
      <c r="B253" t="s">
        <v>2530</v>
      </c>
      <c r="C253">
        <v>606</v>
      </c>
      <c r="D253" t="s">
        <v>59</v>
      </c>
      <c r="E253" t="s">
        <v>60</v>
      </c>
      <c r="F253" t="s">
        <v>905</v>
      </c>
      <c r="G253">
        <v>999999</v>
      </c>
      <c r="H253">
        <v>1402</v>
      </c>
      <c r="I253" t="s">
        <v>2531</v>
      </c>
      <c r="J253" t="s">
        <v>1101</v>
      </c>
      <c r="K253" t="s">
        <v>2532</v>
      </c>
      <c r="L253" t="s">
        <v>560</v>
      </c>
      <c r="M253">
        <v>60607</v>
      </c>
      <c r="N253" t="s">
        <v>947</v>
      </c>
      <c r="P253" t="s">
        <v>2533</v>
      </c>
      <c r="Q253" t="s">
        <v>2534</v>
      </c>
      <c r="R253" t="s">
        <v>1232</v>
      </c>
      <c r="S253" t="s">
        <v>1056</v>
      </c>
      <c r="T253" s="6">
        <v>3500000000</v>
      </c>
      <c r="U253" s="45">
        <f>VLOOKUP(B253,realPrices!C:G,5,0)</f>
        <v>4348888800</v>
      </c>
      <c r="Z253"/>
    </row>
    <row r="254" spans="1:26" x14ac:dyDescent="0.25">
      <c r="A254" t="s">
        <v>379</v>
      </c>
      <c r="B254" t="s">
        <v>2535</v>
      </c>
      <c r="C254">
        <v>268</v>
      </c>
      <c r="D254" t="s">
        <v>59</v>
      </c>
      <c r="E254" t="s">
        <v>60</v>
      </c>
      <c r="F254" t="s">
        <v>905</v>
      </c>
      <c r="G254">
        <v>999999</v>
      </c>
      <c r="H254">
        <v>1396</v>
      </c>
      <c r="I254" t="s">
        <v>2536</v>
      </c>
      <c r="J254" t="s">
        <v>1101</v>
      </c>
      <c r="K254" t="s">
        <v>2537</v>
      </c>
      <c r="L254" t="s">
        <v>381</v>
      </c>
      <c r="M254">
        <v>26815</v>
      </c>
      <c r="N254" t="s">
        <v>963</v>
      </c>
      <c r="P254" t="s">
        <v>2538</v>
      </c>
      <c r="Q254" t="s">
        <v>2539</v>
      </c>
      <c r="R254" t="s">
        <v>1238</v>
      </c>
      <c r="S254" t="s">
        <v>1007</v>
      </c>
      <c r="T254" s="6">
        <v>2300000000</v>
      </c>
      <c r="U254" s="45">
        <f>VLOOKUP(B254,realPrices!C:G,5,0)</f>
        <v>3055000000</v>
      </c>
      <c r="Z254"/>
    </row>
    <row r="255" spans="1:26" x14ac:dyDescent="0.25">
      <c r="A255" t="s">
        <v>1240</v>
      </c>
      <c r="B255" t="s">
        <v>1241</v>
      </c>
      <c r="C255">
        <v>351</v>
      </c>
      <c r="D255" t="s">
        <v>59</v>
      </c>
      <c r="E255" t="s">
        <v>60</v>
      </c>
      <c r="F255" t="s">
        <v>905</v>
      </c>
      <c r="G255">
        <v>999999</v>
      </c>
      <c r="H255">
        <v>1401</v>
      </c>
      <c r="I255" t="s">
        <v>1242</v>
      </c>
      <c r="J255" t="s">
        <v>1101</v>
      </c>
      <c r="K255" t="s">
        <v>1243</v>
      </c>
      <c r="L255" t="s">
        <v>128</v>
      </c>
      <c r="M255">
        <v>35105</v>
      </c>
      <c r="N255" t="s">
        <v>62</v>
      </c>
      <c r="P255" t="s">
        <v>2540</v>
      </c>
      <c r="Q255" t="s">
        <v>1244</v>
      </c>
      <c r="R255" t="s">
        <v>1245</v>
      </c>
      <c r="S255" t="s">
        <v>986</v>
      </c>
      <c r="T255" s="6">
        <v>3100000000</v>
      </c>
      <c r="U255" s="45">
        <f>VLOOKUP(B255,realPrices!C:G,5,0)</f>
        <v>2921000000</v>
      </c>
      <c r="Z255"/>
    </row>
    <row r="256" spans="1:26" x14ac:dyDescent="0.25">
      <c r="A256" t="s">
        <v>559</v>
      </c>
      <c r="B256" t="s">
        <v>1246</v>
      </c>
      <c r="C256">
        <v>606</v>
      </c>
      <c r="D256" t="s">
        <v>59</v>
      </c>
      <c r="E256" t="s">
        <v>60</v>
      </c>
      <c r="F256" t="s">
        <v>905</v>
      </c>
      <c r="G256">
        <v>999999</v>
      </c>
      <c r="H256">
        <v>1401</v>
      </c>
      <c r="I256" t="s">
        <v>1247</v>
      </c>
      <c r="J256" t="s">
        <v>1101</v>
      </c>
      <c r="K256" t="s">
        <v>1248</v>
      </c>
      <c r="L256" t="s">
        <v>560</v>
      </c>
      <c r="M256">
        <v>60602</v>
      </c>
      <c r="N256" t="s">
        <v>947</v>
      </c>
      <c r="P256" t="s">
        <v>2541</v>
      </c>
      <c r="Q256" t="s">
        <v>1249</v>
      </c>
      <c r="R256" t="s">
        <v>1250</v>
      </c>
      <c r="S256" t="s">
        <v>1155</v>
      </c>
      <c r="T256" s="6">
        <v>2800000000</v>
      </c>
      <c r="U256" s="45">
        <f>VLOOKUP(B256,realPrices!C:G,5,0)</f>
        <v>4313630430</v>
      </c>
      <c r="Z256"/>
    </row>
    <row r="257" spans="1:26" x14ac:dyDescent="0.25">
      <c r="A257" t="s">
        <v>389</v>
      </c>
      <c r="B257" t="s">
        <v>1251</v>
      </c>
      <c r="C257">
        <v>351</v>
      </c>
      <c r="D257" t="s">
        <v>59</v>
      </c>
      <c r="E257" t="s">
        <v>60</v>
      </c>
      <c r="F257" t="s">
        <v>905</v>
      </c>
      <c r="G257">
        <v>999999</v>
      </c>
      <c r="H257">
        <v>1401</v>
      </c>
      <c r="I257" t="s">
        <v>1252</v>
      </c>
      <c r="J257" t="s">
        <v>1101</v>
      </c>
      <c r="K257" t="s">
        <v>1253</v>
      </c>
      <c r="L257" t="s">
        <v>128</v>
      </c>
      <c r="M257">
        <v>35103</v>
      </c>
      <c r="N257" t="s">
        <v>62</v>
      </c>
      <c r="P257" t="s">
        <v>2542</v>
      </c>
      <c r="Q257" t="s">
        <v>1254</v>
      </c>
      <c r="R257" t="s">
        <v>1255</v>
      </c>
      <c r="S257" t="s">
        <v>1332</v>
      </c>
      <c r="T257" s="6">
        <v>2500000000</v>
      </c>
      <c r="U257" s="45">
        <f>VLOOKUP(B257,realPrices!C:G,5,0)</f>
        <v>2433000000</v>
      </c>
      <c r="Z257"/>
    </row>
    <row r="258" spans="1:26" x14ac:dyDescent="0.25">
      <c r="A258" t="s">
        <v>1098</v>
      </c>
      <c r="B258" t="s">
        <v>1256</v>
      </c>
      <c r="C258">
        <v>285</v>
      </c>
      <c r="D258" t="s">
        <v>59</v>
      </c>
      <c r="E258" t="s">
        <v>60</v>
      </c>
      <c r="F258" t="s">
        <v>905</v>
      </c>
      <c r="G258">
        <v>999999</v>
      </c>
      <c r="H258">
        <v>1397</v>
      </c>
      <c r="I258" t="s">
        <v>1257</v>
      </c>
      <c r="J258" t="s">
        <v>1101</v>
      </c>
      <c r="K258" t="s">
        <v>1258</v>
      </c>
      <c r="L258" t="s">
        <v>84</v>
      </c>
      <c r="M258">
        <v>28513</v>
      </c>
      <c r="N258" t="s">
        <v>62</v>
      </c>
      <c r="P258" t="s">
        <v>2436</v>
      </c>
      <c r="Q258" t="s">
        <v>1259</v>
      </c>
      <c r="R258" t="s">
        <v>1260</v>
      </c>
      <c r="S258" t="s">
        <v>1332</v>
      </c>
      <c r="T258" s="6">
        <v>2500000000</v>
      </c>
      <c r="U258" s="45">
        <f>VLOOKUP(B258,realPrices!C:G,5,0)</f>
        <v>2110990000</v>
      </c>
      <c r="Z258"/>
    </row>
    <row r="259" spans="1:26" x14ac:dyDescent="0.25">
      <c r="A259" t="s">
        <v>453</v>
      </c>
      <c r="B259" t="s">
        <v>2543</v>
      </c>
      <c r="C259">
        <v>351</v>
      </c>
      <c r="D259" t="s">
        <v>904</v>
      </c>
      <c r="E259" t="s">
        <v>60</v>
      </c>
      <c r="F259" t="s">
        <v>905</v>
      </c>
      <c r="G259">
        <v>999999</v>
      </c>
      <c r="H259">
        <v>1401</v>
      </c>
      <c r="I259" t="s">
        <v>2544</v>
      </c>
      <c r="J259" t="s">
        <v>1101</v>
      </c>
      <c r="K259" t="s">
        <v>2545</v>
      </c>
      <c r="L259" t="s">
        <v>128</v>
      </c>
      <c r="M259">
        <v>35103</v>
      </c>
      <c r="N259" t="s">
        <v>62</v>
      </c>
      <c r="P259" t="s">
        <v>2542</v>
      </c>
      <c r="Q259" t="s">
        <v>2546</v>
      </c>
      <c r="R259" t="s">
        <v>1391</v>
      </c>
      <c r="S259" t="s">
        <v>1338</v>
      </c>
      <c r="T259" s="6">
        <v>3000000000</v>
      </c>
      <c r="U259" s="45">
        <f>VLOOKUP(B259,realPrices!C:G,5,0)</f>
        <v>3333333333</v>
      </c>
      <c r="Z259"/>
    </row>
    <row r="260" spans="1:26" x14ac:dyDescent="0.25">
      <c r="A260" t="s">
        <v>2547</v>
      </c>
      <c r="B260" t="s">
        <v>2548</v>
      </c>
      <c r="C260">
        <v>351</v>
      </c>
      <c r="D260" t="s">
        <v>904</v>
      </c>
      <c r="E260" t="s">
        <v>60</v>
      </c>
      <c r="F260" t="s">
        <v>905</v>
      </c>
      <c r="G260">
        <v>999999</v>
      </c>
      <c r="H260">
        <v>1401</v>
      </c>
      <c r="I260" t="s">
        <v>2549</v>
      </c>
      <c r="J260" t="s">
        <v>1101</v>
      </c>
      <c r="K260" t="s">
        <v>2550</v>
      </c>
      <c r="L260" t="s">
        <v>128</v>
      </c>
      <c r="M260">
        <v>35102</v>
      </c>
      <c r="N260" t="s">
        <v>62</v>
      </c>
      <c r="P260" t="s">
        <v>2551</v>
      </c>
      <c r="Q260" t="s">
        <v>2552</v>
      </c>
      <c r="R260" t="s">
        <v>1397</v>
      </c>
      <c r="S260" t="s">
        <v>1069</v>
      </c>
      <c r="T260" s="6">
        <v>2900000000</v>
      </c>
      <c r="U260" s="45">
        <f>VLOOKUP(B260,realPrices!C:G,5,0)</f>
        <v>2942222222</v>
      </c>
      <c r="Z260"/>
    </row>
    <row r="261" spans="1:26" x14ac:dyDescent="0.25">
      <c r="A261" t="s">
        <v>764</v>
      </c>
      <c r="B261" t="s">
        <v>1398</v>
      </c>
      <c r="C261">
        <v>701</v>
      </c>
      <c r="D261" t="s">
        <v>1079</v>
      </c>
      <c r="E261" t="s">
        <v>60</v>
      </c>
      <c r="F261" t="s">
        <v>905</v>
      </c>
      <c r="G261">
        <v>999999</v>
      </c>
      <c r="H261">
        <v>1399</v>
      </c>
      <c r="I261" t="s">
        <v>1399</v>
      </c>
      <c r="J261" t="s">
        <v>1101</v>
      </c>
      <c r="K261" t="s">
        <v>1400</v>
      </c>
      <c r="L261" t="s">
        <v>130</v>
      </c>
      <c r="M261">
        <v>70117</v>
      </c>
      <c r="N261" t="s">
        <v>62</v>
      </c>
      <c r="P261" t="s">
        <v>2553</v>
      </c>
      <c r="Q261" t="s">
        <v>1401</v>
      </c>
      <c r="R261" t="s">
        <v>1402</v>
      </c>
      <c r="S261" t="s">
        <v>2554</v>
      </c>
      <c r="T261" s="6">
        <v>5100000000</v>
      </c>
      <c r="U261" s="45">
        <f>VLOOKUP(B261,realPrices!C:G,5,0)</f>
        <v>0</v>
      </c>
      <c r="Z261"/>
    </row>
    <row r="262" spans="1:26" x14ac:dyDescent="0.25">
      <c r="A262" t="s">
        <v>389</v>
      </c>
      <c r="B262" t="s">
        <v>1403</v>
      </c>
      <c r="C262">
        <v>351</v>
      </c>
      <c r="D262" t="s">
        <v>59</v>
      </c>
      <c r="E262" t="s">
        <v>60</v>
      </c>
      <c r="F262" t="s">
        <v>905</v>
      </c>
      <c r="G262">
        <v>999999</v>
      </c>
      <c r="H262">
        <v>1401</v>
      </c>
      <c r="I262" t="s">
        <v>1404</v>
      </c>
      <c r="J262" t="s">
        <v>1101</v>
      </c>
      <c r="K262" t="s">
        <v>1405</v>
      </c>
      <c r="L262" t="s">
        <v>128</v>
      </c>
      <c r="M262">
        <v>35103</v>
      </c>
      <c r="N262" t="s">
        <v>62</v>
      </c>
      <c r="P262" t="s">
        <v>2542</v>
      </c>
      <c r="Q262" t="s">
        <v>1406</v>
      </c>
      <c r="R262" t="s">
        <v>1407</v>
      </c>
      <c r="S262" t="s">
        <v>966</v>
      </c>
      <c r="T262" s="6">
        <v>2600000000</v>
      </c>
      <c r="U262" s="45">
        <f>VLOOKUP(B262,realPrices!C:G,5,0)</f>
        <v>1955555555</v>
      </c>
      <c r="Z262"/>
    </row>
    <row r="263" spans="1:26" x14ac:dyDescent="0.25">
      <c r="A263" t="s">
        <v>382</v>
      </c>
      <c r="B263" t="s">
        <v>1408</v>
      </c>
      <c r="C263">
        <v>575</v>
      </c>
      <c r="D263" t="s">
        <v>59</v>
      </c>
      <c r="E263" t="s">
        <v>60</v>
      </c>
      <c r="F263" t="s">
        <v>905</v>
      </c>
      <c r="G263">
        <v>999999</v>
      </c>
      <c r="H263">
        <v>1401</v>
      </c>
      <c r="I263" t="s">
        <v>1409</v>
      </c>
      <c r="J263" t="s">
        <v>1101</v>
      </c>
      <c r="K263" t="s">
        <v>1410</v>
      </c>
      <c r="L263" t="s">
        <v>124</v>
      </c>
      <c r="M263">
        <v>57519</v>
      </c>
      <c r="N263" t="s">
        <v>62</v>
      </c>
      <c r="P263" t="s">
        <v>2555</v>
      </c>
      <c r="Q263" t="s">
        <v>1411</v>
      </c>
      <c r="R263" t="s">
        <v>1412</v>
      </c>
      <c r="S263" t="s">
        <v>966</v>
      </c>
      <c r="T263" s="6">
        <v>2600000000</v>
      </c>
      <c r="U263" s="45">
        <f>VLOOKUP(B263,realPrices!C:G,5,0)</f>
        <v>2100999999</v>
      </c>
      <c r="Z263"/>
    </row>
    <row r="264" spans="1:26" x14ac:dyDescent="0.25">
      <c r="A264" t="s">
        <v>82</v>
      </c>
      <c r="B264" t="s">
        <v>2556</v>
      </c>
      <c r="C264">
        <v>285</v>
      </c>
      <c r="D264" t="s">
        <v>59</v>
      </c>
      <c r="E264" t="s">
        <v>60</v>
      </c>
      <c r="F264" t="s">
        <v>905</v>
      </c>
      <c r="G264">
        <v>999999</v>
      </c>
      <c r="H264">
        <v>1400</v>
      </c>
      <c r="I264" t="s">
        <v>2557</v>
      </c>
      <c r="J264" t="s">
        <v>1101</v>
      </c>
      <c r="K264" t="s">
        <v>2558</v>
      </c>
      <c r="L264" t="s">
        <v>84</v>
      </c>
      <c r="M264">
        <v>28520</v>
      </c>
      <c r="N264" t="s">
        <v>62</v>
      </c>
      <c r="P264" t="s">
        <v>2440</v>
      </c>
      <c r="Q264" t="s">
        <v>2559</v>
      </c>
      <c r="R264" t="s">
        <v>1417</v>
      </c>
      <c r="S264" t="s">
        <v>1084</v>
      </c>
      <c r="T264" s="6">
        <v>3400000000</v>
      </c>
      <c r="U264" s="45">
        <f>VLOOKUP(B264,realPrices!C:G,5,0)</f>
        <v>4500000050</v>
      </c>
      <c r="Z264"/>
    </row>
    <row r="265" spans="1:26" x14ac:dyDescent="0.25">
      <c r="A265" t="s">
        <v>559</v>
      </c>
      <c r="B265" t="s">
        <v>1418</v>
      </c>
      <c r="C265">
        <v>606</v>
      </c>
      <c r="D265" t="s">
        <v>59</v>
      </c>
      <c r="E265" t="s">
        <v>60</v>
      </c>
      <c r="F265" t="s">
        <v>905</v>
      </c>
      <c r="G265">
        <v>999999</v>
      </c>
      <c r="H265">
        <v>1401</v>
      </c>
      <c r="I265" t="s">
        <v>1419</v>
      </c>
      <c r="J265" t="s">
        <v>1101</v>
      </c>
      <c r="K265" t="s">
        <v>1420</v>
      </c>
      <c r="L265" t="s">
        <v>560</v>
      </c>
      <c r="M265">
        <v>60602</v>
      </c>
      <c r="N265" t="s">
        <v>947</v>
      </c>
      <c r="P265" t="s">
        <v>2541</v>
      </c>
      <c r="Q265" t="s">
        <v>1421</v>
      </c>
      <c r="R265" t="s">
        <v>1422</v>
      </c>
      <c r="S265" t="s">
        <v>1056</v>
      </c>
      <c r="T265" s="6">
        <v>3500000000</v>
      </c>
      <c r="U265" s="45">
        <f>VLOOKUP(B265,realPrices!C:G,5,0)</f>
        <v>4355000000</v>
      </c>
      <c r="Z265"/>
    </row>
    <row r="266" spans="1:26" x14ac:dyDescent="0.25">
      <c r="A266" t="s">
        <v>917</v>
      </c>
      <c r="B266" t="s">
        <v>2560</v>
      </c>
      <c r="C266">
        <v>351</v>
      </c>
      <c r="D266" t="s">
        <v>59</v>
      </c>
      <c r="E266" t="s">
        <v>60</v>
      </c>
      <c r="F266" t="s">
        <v>905</v>
      </c>
      <c r="G266">
        <v>999999</v>
      </c>
      <c r="H266">
        <v>1402</v>
      </c>
      <c r="I266" t="s">
        <v>2561</v>
      </c>
      <c r="J266" t="s">
        <v>1101</v>
      </c>
      <c r="K266" t="s">
        <v>2562</v>
      </c>
      <c r="L266" t="s">
        <v>128</v>
      </c>
      <c r="M266">
        <v>35106</v>
      </c>
      <c r="N266" t="s">
        <v>62</v>
      </c>
      <c r="P266" t="s">
        <v>2563</v>
      </c>
      <c r="Q266" t="s">
        <v>2564</v>
      </c>
      <c r="R266" t="s">
        <v>1429</v>
      </c>
      <c r="S266" t="s">
        <v>1069</v>
      </c>
      <c r="T266" s="6">
        <v>2900000000</v>
      </c>
      <c r="U266" s="45">
        <f>VLOOKUP(B266,realPrices!C:G,5,0)</f>
        <v>2900000001</v>
      </c>
      <c r="Z266"/>
    </row>
    <row r="267" spans="1:26" x14ac:dyDescent="0.25">
      <c r="A267" t="s">
        <v>155</v>
      </c>
      <c r="B267" t="s">
        <v>2565</v>
      </c>
      <c r="C267">
        <v>351</v>
      </c>
      <c r="D267" t="s">
        <v>59</v>
      </c>
      <c r="E267" t="s">
        <v>60</v>
      </c>
      <c r="F267" t="s">
        <v>905</v>
      </c>
      <c r="G267">
        <v>999999</v>
      </c>
      <c r="H267">
        <v>1401</v>
      </c>
      <c r="I267" t="s">
        <v>2566</v>
      </c>
      <c r="J267" t="s">
        <v>1101</v>
      </c>
      <c r="K267" t="s">
        <v>2567</v>
      </c>
      <c r="L267" t="s">
        <v>128</v>
      </c>
      <c r="M267">
        <v>35101</v>
      </c>
      <c r="N267" t="s">
        <v>62</v>
      </c>
      <c r="P267" t="s">
        <v>2462</v>
      </c>
      <c r="Q267" t="s">
        <v>2568</v>
      </c>
      <c r="R267" t="s">
        <v>1435</v>
      </c>
      <c r="S267" t="s">
        <v>1332</v>
      </c>
      <c r="T267" s="6">
        <v>2500000000</v>
      </c>
      <c r="U267" s="45">
        <f>VLOOKUP(B267,realPrices!C:G,5,0)</f>
        <v>3400099000</v>
      </c>
      <c r="Z267"/>
    </row>
    <row r="268" spans="1:26" x14ac:dyDescent="0.25">
      <c r="A268" t="s">
        <v>1098</v>
      </c>
      <c r="B268" t="s">
        <v>1436</v>
      </c>
      <c r="C268">
        <v>285</v>
      </c>
      <c r="D268" t="s">
        <v>59</v>
      </c>
      <c r="E268" t="s">
        <v>60</v>
      </c>
      <c r="F268" t="s">
        <v>905</v>
      </c>
      <c r="G268">
        <v>999999</v>
      </c>
      <c r="H268">
        <v>1395</v>
      </c>
      <c r="I268" t="s">
        <v>1437</v>
      </c>
      <c r="J268" t="s">
        <v>1101</v>
      </c>
      <c r="K268" t="s">
        <v>1438</v>
      </c>
      <c r="L268" t="s">
        <v>84</v>
      </c>
      <c r="M268">
        <v>28513</v>
      </c>
      <c r="N268" t="s">
        <v>62</v>
      </c>
      <c r="P268" t="s">
        <v>2436</v>
      </c>
      <c r="Q268" t="s">
        <v>1439</v>
      </c>
      <c r="R268" t="s">
        <v>1440</v>
      </c>
      <c r="S268" t="s">
        <v>930</v>
      </c>
      <c r="T268" s="6">
        <v>2200000000</v>
      </c>
      <c r="U268" s="45">
        <f>VLOOKUP(B268,realPrices!C:G,5,0)</f>
        <v>2611555000</v>
      </c>
      <c r="Z268"/>
    </row>
    <row r="269" spans="1:26" x14ac:dyDescent="0.25">
      <c r="A269" t="s">
        <v>155</v>
      </c>
      <c r="B269" t="s">
        <v>2569</v>
      </c>
      <c r="C269">
        <v>351</v>
      </c>
      <c r="D269" t="s">
        <v>59</v>
      </c>
      <c r="E269" t="s">
        <v>60</v>
      </c>
      <c r="F269" t="s">
        <v>905</v>
      </c>
      <c r="G269">
        <v>999999</v>
      </c>
      <c r="H269">
        <v>1401</v>
      </c>
      <c r="I269" t="s">
        <v>2570</v>
      </c>
      <c r="J269" t="s">
        <v>1101</v>
      </c>
      <c r="K269" t="s">
        <v>2571</v>
      </c>
      <c r="L269" t="s">
        <v>128</v>
      </c>
      <c r="M269">
        <v>35101</v>
      </c>
      <c r="N269" t="s">
        <v>62</v>
      </c>
      <c r="P269" t="s">
        <v>2462</v>
      </c>
      <c r="Q269" t="s">
        <v>2572</v>
      </c>
      <c r="R269" t="s">
        <v>1446</v>
      </c>
      <c r="S269" t="s">
        <v>1050</v>
      </c>
      <c r="T269" s="6">
        <v>2400000000</v>
      </c>
      <c r="U269" s="45">
        <f>VLOOKUP(B269,realPrices!C:G,5,0)</f>
        <v>3355600000</v>
      </c>
      <c r="Z269"/>
    </row>
    <row r="270" spans="1:26" x14ac:dyDescent="0.25">
      <c r="A270" t="s">
        <v>1386</v>
      </c>
      <c r="B270" t="s">
        <v>2573</v>
      </c>
      <c r="C270">
        <v>707</v>
      </c>
      <c r="D270" t="s">
        <v>59</v>
      </c>
      <c r="E270" t="s">
        <v>60</v>
      </c>
      <c r="F270" t="s">
        <v>905</v>
      </c>
      <c r="G270">
        <v>999999</v>
      </c>
      <c r="H270">
        <v>1402</v>
      </c>
      <c r="I270" t="s">
        <v>2574</v>
      </c>
      <c r="J270" t="s">
        <v>907</v>
      </c>
      <c r="K270" t="s">
        <v>2575</v>
      </c>
      <c r="L270" t="s">
        <v>465</v>
      </c>
      <c r="M270">
        <v>70709</v>
      </c>
      <c r="N270" t="s">
        <v>62</v>
      </c>
      <c r="P270" t="s">
        <v>2576</v>
      </c>
      <c r="Q270" t="s">
        <v>2577</v>
      </c>
      <c r="R270" t="s">
        <v>1451</v>
      </c>
      <c r="S270" t="s">
        <v>1056</v>
      </c>
      <c r="T270" s="6">
        <v>3500000000</v>
      </c>
      <c r="U270" s="45">
        <f>VLOOKUP(B270,realPrices!C:G,5,0)</f>
        <v>4960000000</v>
      </c>
      <c r="Z270"/>
    </row>
    <row r="271" spans="1:26" x14ac:dyDescent="0.25">
      <c r="A271" t="s">
        <v>82</v>
      </c>
      <c r="B271" t="s">
        <v>2578</v>
      </c>
      <c r="C271">
        <v>285</v>
      </c>
      <c r="D271" t="s">
        <v>59</v>
      </c>
      <c r="E271" t="s">
        <v>60</v>
      </c>
      <c r="F271" t="s">
        <v>905</v>
      </c>
      <c r="G271">
        <v>999999</v>
      </c>
      <c r="H271">
        <v>1400</v>
      </c>
      <c r="I271" t="s">
        <v>2579</v>
      </c>
      <c r="J271" t="s">
        <v>1101</v>
      </c>
      <c r="K271" t="s">
        <v>2580</v>
      </c>
      <c r="L271" t="s">
        <v>84</v>
      </c>
      <c r="M271">
        <v>28520</v>
      </c>
      <c r="N271" t="s">
        <v>62</v>
      </c>
      <c r="P271" t="s">
        <v>2440</v>
      </c>
      <c r="Q271" t="s">
        <v>2581</v>
      </c>
      <c r="R271" t="s">
        <v>1456</v>
      </c>
      <c r="S271" t="s">
        <v>1338</v>
      </c>
      <c r="T271" s="6">
        <v>3000000000</v>
      </c>
      <c r="U271" s="45">
        <f>VLOOKUP(B271,realPrices!C:G,5,0)</f>
        <v>3680000000</v>
      </c>
      <c r="Z271"/>
    </row>
    <row r="272" spans="1:26" x14ac:dyDescent="0.25">
      <c r="A272" t="s">
        <v>2582</v>
      </c>
      <c r="B272" t="s">
        <v>2583</v>
      </c>
      <c r="C272">
        <v>703</v>
      </c>
      <c r="D272" t="s">
        <v>1079</v>
      </c>
      <c r="E272" t="s">
        <v>60</v>
      </c>
      <c r="F272" t="s">
        <v>905</v>
      </c>
      <c r="G272">
        <v>999999</v>
      </c>
      <c r="H272">
        <v>1397</v>
      </c>
      <c r="I272" t="s">
        <v>2584</v>
      </c>
      <c r="J272" t="s">
        <v>1101</v>
      </c>
      <c r="K272" t="s">
        <v>2585</v>
      </c>
      <c r="L272" t="s">
        <v>412</v>
      </c>
      <c r="M272">
        <v>70301</v>
      </c>
      <c r="N272" t="s">
        <v>62</v>
      </c>
      <c r="P272" t="s">
        <v>2586</v>
      </c>
      <c r="Q272" t="s">
        <v>2587</v>
      </c>
      <c r="R272" t="s">
        <v>1461</v>
      </c>
      <c r="S272" t="s">
        <v>1155</v>
      </c>
      <c r="T272" s="6">
        <v>2800000000</v>
      </c>
      <c r="U272" s="45">
        <f>VLOOKUP(B272,realPrices!C:G,5,0)</f>
        <v>3881800008</v>
      </c>
      <c r="Z272"/>
    </row>
    <row r="273" spans="1:26" x14ac:dyDescent="0.25">
      <c r="A273" t="s">
        <v>459</v>
      </c>
      <c r="B273" t="s">
        <v>2588</v>
      </c>
      <c r="C273">
        <v>600</v>
      </c>
      <c r="D273" t="s">
        <v>59</v>
      </c>
      <c r="E273" t="s">
        <v>60</v>
      </c>
      <c r="F273" t="s">
        <v>905</v>
      </c>
      <c r="G273">
        <v>999999</v>
      </c>
      <c r="H273">
        <v>1401</v>
      </c>
      <c r="I273" t="s">
        <v>2589</v>
      </c>
      <c r="J273" t="s">
        <v>1101</v>
      </c>
      <c r="K273" t="s">
        <v>2590</v>
      </c>
      <c r="L273" t="s">
        <v>962</v>
      </c>
      <c r="M273">
        <v>60006</v>
      </c>
      <c r="N273" t="s">
        <v>963</v>
      </c>
      <c r="P273" t="s">
        <v>2591</v>
      </c>
      <c r="Q273" t="s">
        <v>2592</v>
      </c>
      <c r="R273" t="s">
        <v>1467</v>
      </c>
      <c r="S273" t="s">
        <v>1423</v>
      </c>
      <c r="T273" s="6">
        <v>3200000000</v>
      </c>
      <c r="U273" s="45">
        <f>VLOOKUP(B273,realPrices!C:G,5,0)</f>
        <v>4120000000</v>
      </c>
      <c r="Z273"/>
    </row>
    <row r="274" spans="1:26" x14ac:dyDescent="0.25">
      <c r="A274" t="s">
        <v>2593</v>
      </c>
      <c r="B274" t="s">
        <v>2594</v>
      </c>
      <c r="C274">
        <v>703</v>
      </c>
      <c r="D274" t="s">
        <v>1028</v>
      </c>
      <c r="E274" t="s">
        <v>60</v>
      </c>
      <c r="F274" t="s">
        <v>905</v>
      </c>
      <c r="G274">
        <v>999999</v>
      </c>
      <c r="H274">
        <v>1400</v>
      </c>
      <c r="I274" t="s">
        <v>2595</v>
      </c>
      <c r="J274" t="s">
        <v>1101</v>
      </c>
      <c r="K274" t="s">
        <v>2596</v>
      </c>
      <c r="L274" t="s">
        <v>412</v>
      </c>
      <c r="M274">
        <v>70317</v>
      </c>
      <c r="N274" t="s">
        <v>62</v>
      </c>
      <c r="P274" t="s">
        <v>2597</v>
      </c>
      <c r="Q274" t="s">
        <v>2598</v>
      </c>
      <c r="R274" t="s">
        <v>1472</v>
      </c>
      <c r="S274" t="s">
        <v>950</v>
      </c>
      <c r="T274" s="6">
        <v>2700000000</v>
      </c>
      <c r="U274" s="45">
        <f>VLOOKUP(B274,realPrices!C:G,5,0)</f>
        <v>3722222222</v>
      </c>
      <c r="Z274"/>
    </row>
    <row r="275" spans="1:26" x14ac:dyDescent="0.25">
      <c r="A275" t="s">
        <v>2599</v>
      </c>
      <c r="B275" t="s">
        <v>2600</v>
      </c>
      <c r="C275">
        <v>220</v>
      </c>
      <c r="D275" t="s">
        <v>904</v>
      </c>
      <c r="E275" t="s">
        <v>60</v>
      </c>
      <c r="F275" t="s">
        <v>905</v>
      </c>
      <c r="G275">
        <v>999999</v>
      </c>
      <c r="H275">
        <v>1397</v>
      </c>
      <c r="I275" t="s">
        <v>2601</v>
      </c>
      <c r="J275" t="s">
        <v>1101</v>
      </c>
      <c r="K275" t="s">
        <v>2602</v>
      </c>
      <c r="L275" t="s">
        <v>100</v>
      </c>
      <c r="M275">
        <v>22009</v>
      </c>
      <c r="N275" t="s">
        <v>62</v>
      </c>
      <c r="P275" t="s">
        <v>2603</v>
      </c>
      <c r="Q275" t="s">
        <v>2604</v>
      </c>
      <c r="R275" t="s">
        <v>1483</v>
      </c>
      <c r="S275" t="s">
        <v>1000</v>
      </c>
      <c r="T275" s="6">
        <v>2100000000</v>
      </c>
      <c r="U275" s="45">
        <f>VLOOKUP(B275,realPrices!C:G,5,0)</f>
        <v>3080009999</v>
      </c>
      <c r="Z275"/>
    </row>
    <row r="276" spans="1:26" x14ac:dyDescent="0.25">
      <c r="A276" t="s">
        <v>1131</v>
      </c>
      <c r="B276" t="s">
        <v>2605</v>
      </c>
      <c r="C276">
        <v>260</v>
      </c>
      <c r="D276" t="s">
        <v>59</v>
      </c>
      <c r="E276" t="s">
        <v>60</v>
      </c>
      <c r="F276" t="s">
        <v>905</v>
      </c>
      <c r="G276">
        <v>999999</v>
      </c>
      <c r="H276">
        <v>1401</v>
      </c>
      <c r="I276" t="s">
        <v>2606</v>
      </c>
      <c r="J276" t="s">
        <v>1101</v>
      </c>
      <c r="K276" t="s">
        <v>2607</v>
      </c>
      <c r="L276" t="s">
        <v>118</v>
      </c>
      <c r="M276">
        <v>26035</v>
      </c>
      <c r="N276" t="s">
        <v>963</v>
      </c>
      <c r="P276" t="s">
        <v>2608</v>
      </c>
      <c r="Q276" t="s">
        <v>2609</v>
      </c>
      <c r="R276" t="s">
        <v>1489</v>
      </c>
      <c r="S276" t="s">
        <v>1050</v>
      </c>
      <c r="T276" s="6">
        <v>2400000000</v>
      </c>
      <c r="U276" s="45">
        <f>VLOOKUP(B276,realPrices!C:G,5,0)</f>
        <v>3269999999</v>
      </c>
      <c r="Z276"/>
    </row>
    <row r="277" spans="1:26" x14ac:dyDescent="0.25">
      <c r="A277" t="s">
        <v>2610</v>
      </c>
      <c r="B277" t="s">
        <v>2611</v>
      </c>
      <c r="C277">
        <v>323</v>
      </c>
      <c r="D277" t="s">
        <v>1079</v>
      </c>
      <c r="E277" t="s">
        <v>60</v>
      </c>
      <c r="F277" t="s">
        <v>905</v>
      </c>
      <c r="G277">
        <v>999999</v>
      </c>
      <c r="H277">
        <v>1402</v>
      </c>
      <c r="I277" t="s">
        <v>2612</v>
      </c>
      <c r="J277" t="s">
        <v>1101</v>
      </c>
      <c r="K277" t="s">
        <v>2613</v>
      </c>
      <c r="L277" t="s">
        <v>649</v>
      </c>
      <c r="M277">
        <v>32301</v>
      </c>
      <c r="N277" t="s">
        <v>62</v>
      </c>
      <c r="P277" t="s">
        <v>2614</v>
      </c>
      <c r="Q277" t="s">
        <v>2615</v>
      </c>
      <c r="R277" t="s">
        <v>1495</v>
      </c>
      <c r="S277" t="s">
        <v>992</v>
      </c>
      <c r="T277" s="6">
        <v>4500000000</v>
      </c>
      <c r="U277" s="45">
        <f>VLOOKUP(B277,realPrices!C:G,5,0)</f>
        <v>4670000009</v>
      </c>
      <c r="Z277"/>
    </row>
    <row r="278" spans="1:26" x14ac:dyDescent="0.25">
      <c r="A278" t="s">
        <v>2473</v>
      </c>
      <c r="B278" t="s">
        <v>2616</v>
      </c>
      <c r="C278">
        <v>291</v>
      </c>
      <c r="D278" t="s">
        <v>59</v>
      </c>
      <c r="E278" t="s">
        <v>994</v>
      </c>
      <c r="F278" t="s">
        <v>905</v>
      </c>
      <c r="G278">
        <v>999999</v>
      </c>
      <c r="H278">
        <v>1394</v>
      </c>
      <c r="I278" t="s">
        <v>2617</v>
      </c>
      <c r="J278" t="s">
        <v>1101</v>
      </c>
      <c r="K278" t="s">
        <v>2618</v>
      </c>
      <c r="L278" t="s">
        <v>104</v>
      </c>
      <c r="M278">
        <v>29110</v>
      </c>
      <c r="N278" t="s">
        <v>62</v>
      </c>
      <c r="P278" t="s">
        <v>2477</v>
      </c>
      <c r="Q278" t="s">
        <v>2619</v>
      </c>
      <c r="R278" t="s">
        <v>1500</v>
      </c>
      <c r="S278" t="s">
        <v>2479</v>
      </c>
      <c r="T278" s="6">
        <v>1100000000</v>
      </c>
      <c r="U278" s="45">
        <f>VLOOKUP(B278,realPrices!C:G,5,0)</f>
        <v>1250000001</v>
      </c>
      <c r="Z278"/>
    </row>
    <row r="279" spans="1:26" x14ac:dyDescent="0.25">
      <c r="A279" t="s">
        <v>763</v>
      </c>
      <c r="B279" t="s">
        <v>2620</v>
      </c>
      <c r="C279">
        <v>282</v>
      </c>
      <c r="D279" t="s">
        <v>904</v>
      </c>
      <c r="E279" t="s">
        <v>60</v>
      </c>
      <c r="F279" t="s">
        <v>905</v>
      </c>
      <c r="G279">
        <v>999999</v>
      </c>
      <c r="H279">
        <v>1399</v>
      </c>
      <c r="I279" t="s">
        <v>2621</v>
      </c>
      <c r="J279" t="s">
        <v>1101</v>
      </c>
      <c r="K279" t="s">
        <v>2622</v>
      </c>
      <c r="L279" t="s">
        <v>112</v>
      </c>
      <c r="M279">
        <v>28242</v>
      </c>
      <c r="N279" t="s">
        <v>62</v>
      </c>
      <c r="P279" t="s">
        <v>2483</v>
      </c>
      <c r="Q279" t="s">
        <v>2623</v>
      </c>
      <c r="R279" t="s">
        <v>1505</v>
      </c>
      <c r="S279" t="s">
        <v>1184</v>
      </c>
      <c r="T279" s="6">
        <v>1400000000</v>
      </c>
      <c r="U279" s="45">
        <f>VLOOKUP(B279,realPrices!C:G,5,0)</f>
        <v>2460000009</v>
      </c>
      <c r="Z279"/>
    </row>
    <row r="280" spans="1:26" x14ac:dyDescent="0.25">
      <c r="A280" t="s">
        <v>737</v>
      </c>
      <c r="B280" t="s">
        <v>2624</v>
      </c>
      <c r="C280">
        <v>566</v>
      </c>
      <c r="D280" t="s">
        <v>1954</v>
      </c>
      <c r="E280" t="s">
        <v>60</v>
      </c>
      <c r="F280" t="s">
        <v>905</v>
      </c>
      <c r="G280">
        <v>999999</v>
      </c>
      <c r="H280">
        <v>1396</v>
      </c>
      <c r="I280" t="s">
        <v>2625</v>
      </c>
      <c r="J280" t="s">
        <v>1101</v>
      </c>
      <c r="K280" t="s">
        <v>2626</v>
      </c>
      <c r="L280" t="s">
        <v>739</v>
      </c>
      <c r="M280">
        <v>56679</v>
      </c>
      <c r="N280" t="s">
        <v>62</v>
      </c>
      <c r="P280" t="s">
        <v>2627</v>
      </c>
      <c r="Q280" t="s">
        <v>2628</v>
      </c>
      <c r="R280" t="s">
        <v>1510</v>
      </c>
      <c r="S280" t="s">
        <v>966</v>
      </c>
      <c r="T280" s="6">
        <v>2600000000</v>
      </c>
      <c r="U280" s="45">
        <f>VLOOKUP(B280,realPrices!C:G,5,0)</f>
        <v>4125000000</v>
      </c>
      <c r="Z280"/>
    </row>
    <row r="281" spans="1:26" x14ac:dyDescent="0.25">
      <c r="A281" t="s">
        <v>382</v>
      </c>
      <c r="B281" t="s">
        <v>1511</v>
      </c>
      <c r="C281">
        <v>575</v>
      </c>
      <c r="D281" t="s">
        <v>59</v>
      </c>
      <c r="E281" t="s">
        <v>60</v>
      </c>
      <c r="F281" t="s">
        <v>905</v>
      </c>
      <c r="G281">
        <v>999999</v>
      </c>
      <c r="H281">
        <v>1400</v>
      </c>
      <c r="I281" t="s">
        <v>1512</v>
      </c>
      <c r="J281" t="s">
        <v>1101</v>
      </c>
      <c r="K281" t="s">
        <v>1513</v>
      </c>
      <c r="L281" t="s">
        <v>124</v>
      </c>
      <c r="M281">
        <v>57519</v>
      </c>
      <c r="N281" t="s">
        <v>62</v>
      </c>
      <c r="P281" t="s">
        <v>2555</v>
      </c>
      <c r="Q281" t="s">
        <v>1514</v>
      </c>
      <c r="R281" t="s">
        <v>1515</v>
      </c>
      <c r="S281" t="s">
        <v>1332</v>
      </c>
      <c r="T281" s="6">
        <v>2500000000</v>
      </c>
      <c r="U281" s="45">
        <f>VLOOKUP(B281,realPrices!C:G,5,0)</f>
        <v>1933333300</v>
      </c>
      <c r="Z281"/>
    </row>
    <row r="282" spans="1:26" x14ac:dyDescent="0.25">
      <c r="A282" t="s">
        <v>447</v>
      </c>
      <c r="B282" t="s">
        <v>2629</v>
      </c>
      <c r="C282">
        <v>600</v>
      </c>
      <c r="D282" t="s">
        <v>59</v>
      </c>
      <c r="E282" t="s">
        <v>60</v>
      </c>
      <c r="F282" t="s">
        <v>905</v>
      </c>
      <c r="G282">
        <v>999999</v>
      </c>
      <c r="H282">
        <v>1401</v>
      </c>
      <c r="I282" t="s">
        <v>2630</v>
      </c>
      <c r="J282" t="s">
        <v>1101</v>
      </c>
      <c r="K282" t="s">
        <v>2631</v>
      </c>
      <c r="L282" t="s">
        <v>962</v>
      </c>
      <c r="M282">
        <v>60010</v>
      </c>
      <c r="N282" t="s">
        <v>963</v>
      </c>
      <c r="P282" t="s">
        <v>2488</v>
      </c>
      <c r="Q282" t="s">
        <v>2632</v>
      </c>
      <c r="R282" t="s">
        <v>1520</v>
      </c>
      <c r="S282" t="s">
        <v>1423</v>
      </c>
      <c r="T282" s="6">
        <v>3200000000</v>
      </c>
      <c r="U282" s="45">
        <f>VLOOKUP(B282,realPrices!C:G,5,0)</f>
        <v>4030000009</v>
      </c>
      <c r="Z282"/>
    </row>
    <row r="283" spans="1:26" x14ac:dyDescent="0.25">
      <c r="A283" t="s">
        <v>917</v>
      </c>
      <c r="B283" t="s">
        <v>1521</v>
      </c>
      <c r="C283">
        <v>351</v>
      </c>
      <c r="D283" t="s">
        <v>59</v>
      </c>
      <c r="E283" t="s">
        <v>60</v>
      </c>
      <c r="F283" t="s">
        <v>905</v>
      </c>
      <c r="G283">
        <v>999999</v>
      </c>
      <c r="H283">
        <v>1402</v>
      </c>
      <c r="I283" t="s">
        <v>1522</v>
      </c>
      <c r="J283" t="s">
        <v>1101</v>
      </c>
      <c r="K283" t="s">
        <v>1523</v>
      </c>
      <c r="L283" t="s">
        <v>128</v>
      </c>
      <c r="M283">
        <v>35106</v>
      </c>
      <c r="N283" t="s">
        <v>62</v>
      </c>
      <c r="P283" t="s">
        <v>2563</v>
      </c>
      <c r="Q283" t="s">
        <v>1524</v>
      </c>
      <c r="R283" t="s">
        <v>1525</v>
      </c>
      <c r="S283" t="s">
        <v>966</v>
      </c>
      <c r="T283" s="6">
        <v>2600000000</v>
      </c>
      <c r="U283" s="45">
        <f>VLOOKUP(B283,realPrices!C:G,5,0)</f>
        <v>2333000000</v>
      </c>
      <c r="Z283"/>
    </row>
    <row r="284" spans="1:26" x14ac:dyDescent="0.25">
      <c r="A284" t="s">
        <v>1240</v>
      </c>
      <c r="B284" t="s">
        <v>1526</v>
      </c>
      <c r="C284">
        <v>351</v>
      </c>
      <c r="D284" t="s">
        <v>59</v>
      </c>
      <c r="E284" t="s">
        <v>60</v>
      </c>
      <c r="F284" t="s">
        <v>905</v>
      </c>
      <c r="G284">
        <v>999999</v>
      </c>
      <c r="H284">
        <v>1401</v>
      </c>
      <c r="I284" t="s">
        <v>1527</v>
      </c>
      <c r="J284" t="s">
        <v>1101</v>
      </c>
      <c r="K284" t="s">
        <v>1528</v>
      </c>
      <c r="L284" t="s">
        <v>128</v>
      </c>
      <c r="M284">
        <v>35105</v>
      </c>
      <c r="N284" t="s">
        <v>62</v>
      </c>
      <c r="P284" t="s">
        <v>2540</v>
      </c>
      <c r="Q284" t="s">
        <v>1529</v>
      </c>
      <c r="R284" t="s">
        <v>1530</v>
      </c>
      <c r="S284" t="s">
        <v>950</v>
      </c>
      <c r="T284" s="6">
        <v>2700000000</v>
      </c>
      <c r="U284" s="45">
        <f>VLOOKUP(B284,realPrices!C:G,5,0)</f>
        <v>3566666660</v>
      </c>
      <c r="Z284"/>
    </row>
    <row r="285" spans="1:26" x14ac:dyDescent="0.25">
      <c r="A285" t="s">
        <v>669</v>
      </c>
      <c r="B285" t="s">
        <v>2633</v>
      </c>
      <c r="C285">
        <v>322</v>
      </c>
      <c r="D285" t="s">
        <v>1320</v>
      </c>
      <c r="E285" t="s">
        <v>60</v>
      </c>
      <c r="F285" t="s">
        <v>905</v>
      </c>
      <c r="G285">
        <v>999999</v>
      </c>
      <c r="H285">
        <v>1400</v>
      </c>
      <c r="I285" t="s">
        <v>2634</v>
      </c>
      <c r="J285" t="s">
        <v>1101</v>
      </c>
      <c r="K285" t="s">
        <v>2635</v>
      </c>
      <c r="L285" t="s">
        <v>65</v>
      </c>
      <c r="M285">
        <v>32201</v>
      </c>
      <c r="N285" t="s">
        <v>62</v>
      </c>
      <c r="P285" t="s">
        <v>2636</v>
      </c>
      <c r="Q285" t="s">
        <v>2637</v>
      </c>
      <c r="R285" t="s">
        <v>1536</v>
      </c>
      <c r="S285" t="s">
        <v>950</v>
      </c>
      <c r="T285" s="6">
        <v>2700000000</v>
      </c>
      <c r="U285" s="45">
        <f>VLOOKUP(B285,realPrices!C:G,5,0)</f>
        <v>3300000000</v>
      </c>
      <c r="Z285"/>
    </row>
    <row r="286" spans="1:26" x14ac:dyDescent="0.25">
      <c r="A286" t="s">
        <v>2599</v>
      </c>
      <c r="B286" t="s">
        <v>2638</v>
      </c>
      <c r="C286">
        <v>220</v>
      </c>
      <c r="D286" t="s">
        <v>904</v>
      </c>
      <c r="E286" t="s">
        <v>60</v>
      </c>
      <c r="F286" t="s">
        <v>905</v>
      </c>
      <c r="G286">
        <v>999999</v>
      </c>
      <c r="H286">
        <v>1398</v>
      </c>
      <c r="I286" t="s">
        <v>2639</v>
      </c>
      <c r="J286" t="s">
        <v>907</v>
      </c>
      <c r="K286" t="s">
        <v>2640</v>
      </c>
      <c r="L286" t="s">
        <v>100</v>
      </c>
      <c r="M286">
        <v>22009</v>
      </c>
      <c r="N286" t="s">
        <v>62</v>
      </c>
      <c r="P286" t="s">
        <v>2603</v>
      </c>
      <c r="Q286" t="s">
        <v>2641</v>
      </c>
      <c r="R286" t="s">
        <v>1541</v>
      </c>
      <c r="S286" t="s">
        <v>1801</v>
      </c>
      <c r="T286" s="6">
        <v>1300000000</v>
      </c>
      <c r="U286" s="45">
        <f>VLOOKUP(B286,realPrices!C:G,5,0)</f>
        <v>2240800999</v>
      </c>
      <c r="Z286"/>
    </row>
    <row r="287" spans="1:26" x14ac:dyDescent="0.25">
      <c r="A287" t="s">
        <v>2642</v>
      </c>
      <c r="B287" t="s">
        <v>2643</v>
      </c>
      <c r="C287">
        <v>293</v>
      </c>
      <c r="D287" t="s">
        <v>59</v>
      </c>
      <c r="E287" t="s">
        <v>60</v>
      </c>
      <c r="F287" t="s">
        <v>905</v>
      </c>
      <c r="G287">
        <v>999999</v>
      </c>
      <c r="H287">
        <v>1397</v>
      </c>
      <c r="I287" t="s">
        <v>2644</v>
      </c>
      <c r="J287" t="s">
        <v>1101</v>
      </c>
      <c r="K287" t="s">
        <v>2645</v>
      </c>
      <c r="L287" t="s">
        <v>97</v>
      </c>
      <c r="M287">
        <v>29340</v>
      </c>
      <c r="N287" t="s">
        <v>62</v>
      </c>
      <c r="P287" t="s">
        <v>2646</v>
      </c>
      <c r="Q287" t="s">
        <v>2647</v>
      </c>
      <c r="R287" t="s">
        <v>1657</v>
      </c>
      <c r="S287" t="s">
        <v>1324</v>
      </c>
      <c r="T287" s="6">
        <v>1500000000</v>
      </c>
      <c r="U287" s="45">
        <f>VLOOKUP(B287,realPrices!C:G,5,0)</f>
        <v>1622222222</v>
      </c>
      <c r="Z287"/>
    </row>
    <row r="288" spans="1:26" x14ac:dyDescent="0.25">
      <c r="A288" t="s">
        <v>447</v>
      </c>
      <c r="B288" t="s">
        <v>2648</v>
      </c>
      <c r="C288">
        <v>600</v>
      </c>
      <c r="D288" t="s">
        <v>59</v>
      </c>
      <c r="E288" t="s">
        <v>60</v>
      </c>
      <c r="F288" t="s">
        <v>905</v>
      </c>
      <c r="G288">
        <v>999999</v>
      </c>
      <c r="H288">
        <v>1401</v>
      </c>
      <c r="I288" t="s">
        <v>2649</v>
      </c>
      <c r="J288" t="s">
        <v>1101</v>
      </c>
      <c r="K288" t="s">
        <v>2650</v>
      </c>
      <c r="L288" t="s">
        <v>962</v>
      </c>
      <c r="M288">
        <v>60010</v>
      </c>
      <c r="N288" t="s">
        <v>963</v>
      </c>
      <c r="P288" t="s">
        <v>2488</v>
      </c>
      <c r="Q288" t="s">
        <v>2651</v>
      </c>
      <c r="R288" t="s">
        <v>1662</v>
      </c>
      <c r="S288" t="s">
        <v>1423</v>
      </c>
      <c r="T288" s="6">
        <v>3200000000</v>
      </c>
      <c r="U288" s="45">
        <f>VLOOKUP(B288,realPrices!C:G,5,0)</f>
        <v>3622222222</v>
      </c>
      <c r="Z288"/>
    </row>
    <row r="289" spans="1:26" x14ac:dyDescent="0.25">
      <c r="A289" t="s">
        <v>463</v>
      </c>
      <c r="B289" t="s">
        <v>2652</v>
      </c>
      <c r="C289">
        <v>707</v>
      </c>
      <c r="D289" t="s">
        <v>59</v>
      </c>
      <c r="E289" t="s">
        <v>60</v>
      </c>
      <c r="F289" t="s">
        <v>905</v>
      </c>
      <c r="G289">
        <v>999999</v>
      </c>
      <c r="H289">
        <v>1400</v>
      </c>
      <c r="I289" t="s">
        <v>2653</v>
      </c>
      <c r="J289" t="s">
        <v>1101</v>
      </c>
      <c r="K289" t="s">
        <v>2654</v>
      </c>
      <c r="L289" t="s">
        <v>465</v>
      </c>
      <c r="M289">
        <v>70702</v>
      </c>
      <c r="N289" t="s">
        <v>62</v>
      </c>
      <c r="P289" t="s">
        <v>2655</v>
      </c>
      <c r="Q289" t="s">
        <v>2656</v>
      </c>
      <c r="R289" t="s">
        <v>1668</v>
      </c>
      <c r="S289" t="s">
        <v>2657</v>
      </c>
      <c r="T289" s="6">
        <v>5000000000</v>
      </c>
      <c r="U289" s="45">
        <f>VLOOKUP(B289,realPrices!C:G,5,0)</f>
        <v>6765432000</v>
      </c>
      <c r="Z289"/>
    </row>
    <row r="290" spans="1:26" x14ac:dyDescent="0.25">
      <c r="A290" t="s">
        <v>2658</v>
      </c>
      <c r="B290" t="s">
        <v>2659</v>
      </c>
      <c r="C290">
        <v>582</v>
      </c>
      <c r="D290" t="s">
        <v>59</v>
      </c>
      <c r="E290" t="s">
        <v>60</v>
      </c>
      <c r="F290" t="s">
        <v>905</v>
      </c>
      <c r="G290">
        <v>999999</v>
      </c>
      <c r="H290">
        <v>1397</v>
      </c>
      <c r="I290" t="s">
        <v>2660</v>
      </c>
      <c r="J290" t="s">
        <v>907</v>
      </c>
      <c r="K290" t="s">
        <v>2661</v>
      </c>
      <c r="L290" t="s">
        <v>2662</v>
      </c>
      <c r="M290">
        <v>58202</v>
      </c>
      <c r="N290" t="s">
        <v>62</v>
      </c>
      <c r="P290" t="s">
        <v>2663</v>
      </c>
      <c r="Q290" t="s">
        <v>2664</v>
      </c>
      <c r="R290" t="s">
        <v>1673</v>
      </c>
      <c r="S290" t="s">
        <v>2665</v>
      </c>
      <c r="T290" s="6">
        <v>1150000000</v>
      </c>
      <c r="U290" s="45">
        <f>VLOOKUP(B290,realPrices!C:G,5,0)</f>
        <v>1865000000</v>
      </c>
      <c r="Z290"/>
    </row>
    <row r="291" spans="1:26" x14ac:dyDescent="0.25">
      <c r="A291" t="s">
        <v>467</v>
      </c>
      <c r="B291" t="s">
        <v>2666</v>
      </c>
      <c r="C291">
        <v>600</v>
      </c>
      <c r="D291" t="s">
        <v>1028</v>
      </c>
      <c r="E291" t="s">
        <v>60</v>
      </c>
      <c r="F291" t="s">
        <v>905</v>
      </c>
      <c r="G291">
        <v>999999</v>
      </c>
      <c r="H291">
        <v>1401</v>
      </c>
      <c r="I291" t="s">
        <v>2667</v>
      </c>
      <c r="J291" t="s">
        <v>1101</v>
      </c>
      <c r="K291" t="s">
        <v>2668</v>
      </c>
      <c r="L291" t="s">
        <v>962</v>
      </c>
      <c r="M291">
        <v>60010</v>
      </c>
      <c r="N291" t="s">
        <v>963</v>
      </c>
      <c r="P291" t="s">
        <v>2488</v>
      </c>
      <c r="Q291" t="s">
        <v>2669</v>
      </c>
      <c r="R291" t="s">
        <v>1678</v>
      </c>
      <c r="S291" t="s">
        <v>1423</v>
      </c>
      <c r="T291" s="6">
        <v>3200000000</v>
      </c>
      <c r="U291" s="45">
        <f>VLOOKUP(B291,realPrices!C:G,5,0)</f>
        <v>4020000009</v>
      </c>
      <c r="Z291"/>
    </row>
    <row r="292" spans="1:26" x14ac:dyDescent="0.25">
      <c r="A292" t="s">
        <v>743</v>
      </c>
      <c r="B292" t="s">
        <v>2670</v>
      </c>
      <c r="C292">
        <v>518</v>
      </c>
      <c r="D292" t="s">
        <v>904</v>
      </c>
      <c r="E292" t="s">
        <v>60</v>
      </c>
      <c r="F292" t="s">
        <v>905</v>
      </c>
      <c r="G292">
        <v>999999</v>
      </c>
      <c r="H292">
        <v>1400</v>
      </c>
      <c r="I292" t="s">
        <v>2671</v>
      </c>
      <c r="J292" t="s">
        <v>1101</v>
      </c>
      <c r="K292" t="s">
        <v>2672</v>
      </c>
      <c r="L292" t="s">
        <v>742</v>
      </c>
      <c r="M292">
        <v>51802</v>
      </c>
      <c r="N292" t="s">
        <v>963</v>
      </c>
      <c r="P292" t="s">
        <v>2673</v>
      </c>
      <c r="Q292" t="s">
        <v>2674</v>
      </c>
      <c r="R292" t="s">
        <v>1683</v>
      </c>
      <c r="S292" t="s">
        <v>2675</v>
      </c>
      <c r="T292" s="6">
        <v>7300000000</v>
      </c>
      <c r="U292" s="45">
        <f>VLOOKUP(B292,realPrices!C:G,5,0)</f>
        <v>9355555555</v>
      </c>
      <c r="Z292"/>
    </row>
    <row r="293" spans="1:26" x14ac:dyDescent="0.25">
      <c r="A293" t="s">
        <v>389</v>
      </c>
      <c r="B293" t="s">
        <v>2676</v>
      </c>
      <c r="C293">
        <v>351</v>
      </c>
      <c r="D293" t="s">
        <v>59</v>
      </c>
      <c r="E293" t="s">
        <v>60</v>
      </c>
      <c r="F293" t="s">
        <v>905</v>
      </c>
      <c r="G293">
        <v>999999</v>
      </c>
      <c r="H293">
        <v>1401</v>
      </c>
      <c r="I293" t="s">
        <v>2677</v>
      </c>
      <c r="J293" t="s">
        <v>1101</v>
      </c>
      <c r="K293" t="s">
        <v>2678</v>
      </c>
      <c r="L293" t="s">
        <v>128</v>
      </c>
      <c r="M293">
        <v>35103</v>
      </c>
      <c r="N293" t="s">
        <v>62</v>
      </c>
      <c r="P293" t="s">
        <v>2542</v>
      </c>
      <c r="Q293" t="s">
        <v>2679</v>
      </c>
      <c r="R293" t="s">
        <v>1688</v>
      </c>
      <c r="S293" t="s">
        <v>1069</v>
      </c>
      <c r="T293" s="6">
        <v>2900000000</v>
      </c>
      <c r="U293" s="45">
        <f>VLOOKUP(B293,realPrices!C:G,5,0)</f>
        <v>3229999999</v>
      </c>
      <c r="Z293"/>
    </row>
    <row r="294" spans="1:26" x14ac:dyDescent="0.25">
      <c r="A294" t="s">
        <v>2680</v>
      </c>
      <c r="B294" t="s">
        <v>2681</v>
      </c>
      <c r="C294">
        <v>169</v>
      </c>
      <c r="D294" t="s">
        <v>1079</v>
      </c>
      <c r="E294" t="s">
        <v>994</v>
      </c>
      <c r="F294" t="s">
        <v>905</v>
      </c>
      <c r="G294">
        <v>999999</v>
      </c>
      <c r="H294">
        <v>1401</v>
      </c>
      <c r="I294" t="s">
        <v>2682</v>
      </c>
      <c r="J294" t="s">
        <v>1101</v>
      </c>
      <c r="K294" t="s">
        <v>2683</v>
      </c>
      <c r="L294" t="s">
        <v>1146</v>
      </c>
      <c r="M294">
        <v>16901</v>
      </c>
      <c r="N294" t="s">
        <v>1147</v>
      </c>
      <c r="P294" t="s">
        <v>2684</v>
      </c>
      <c r="Q294" t="s">
        <v>2685</v>
      </c>
      <c r="R294" t="s">
        <v>1694</v>
      </c>
      <c r="S294" t="s">
        <v>911</v>
      </c>
      <c r="T294" s="6">
        <v>1800000000</v>
      </c>
      <c r="U294" s="45">
        <f>VLOOKUP(B294,realPrices!C:G,5,0)</f>
        <v>2220000100</v>
      </c>
      <c r="Z294"/>
    </row>
    <row r="295" spans="1:26" x14ac:dyDescent="0.25">
      <c r="A295" t="s">
        <v>763</v>
      </c>
      <c r="B295" t="s">
        <v>1695</v>
      </c>
      <c r="C295">
        <v>282</v>
      </c>
      <c r="D295" t="s">
        <v>904</v>
      </c>
      <c r="E295" t="s">
        <v>60</v>
      </c>
      <c r="F295" t="s">
        <v>905</v>
      </c>
      <c r="G295">
        <v>999999</v>
      </c>
      <c r="H295">
        <v>1399</v>
      </c>
      <c r="I295" t="s">
        <v>1696</v>
      </c>
      <c r="J295" t="s">
        <v>1101</v>
      </c>
      <c r="K295" t="s">
        <v>1697</v>
      </c>
      <c r="L295" t="s">
        <v>112</v>
      </c>
      <c r="M295">
        <v>28242</v>
      </c>
      <c r="N295" t="s">
        <v>62</v>
      </c>
      <c r="P295" t="s">
        <v>2483</v>
      </c>
      <c r="Q295" t="s">
        <v>1698</v>
      </c>
      <c r="R295" t="s">
        <v>1699</v>
      </c>
      <c r="S295" t="s">
        <v>1050</v>
      </c>
      <c r="T295" s="6">
        <v>2400000000</v>
      </c>
      <c r="U295" s="45">
        <f>VLOOKUP(B295,realPrices!C:G,5,0)</f>
        <v>0</v>
      </c>
      <c r="Z295"/>
    </row>
    <row r="296" spans="1:26" x14ac:dyDescent="0.25">
      <c r="A296" t="s">
        <v>735</v>
      </c>
      <c r="B296" t="s">
        <v>2686</v>
      </c>
      <c r="C296">
        <v>522</v>
      </c>
      <c r="D296" t="s">
        <v>1028</v>
      </c>
      <c r="E296" t="s">
        <v>60</v>
      </c>
      <c r="F296" t="s">
        <v>905</v>
      </c>
      <c r="G296">
        <v>999999</v>
      </c>
      <c r="H296">
        <v>1401</v>
      </c>
      <c r="I296" t="s">
        <v>2687</v>
      </c>
      <c r="J296" t="s">
        <v>1101</v>
      </c>
      <c r="K296" t="s">
        <v>2688</v>
      </c>
      <c r="L296" t="s">
        <v>736</v>
      </c>
      <c r="M296">
        <v>52201</v>
      </c>
      <c r="N296" t="s">
        <v>947</v>
      </c>
      <c r="P296" t="s">
        <v>2689</v>
      </c>
      <c r="Q296" t="s">
        <v>2690</v>
      </c>
      <c r="R296" t="s">
        <v>1705</v>
      </c>
      <c r="S296" t="s">
        <v>2657</v>
      </c>
      <c r="T296" s="6">
        <v>5000000000</v>
      </c>
      <c r="U296" s="45">
        <f>VLOOKUP(B296,realPrices!C:G,5,0)</f>
        <v>8128888000</v>
      </c>
      <c r="Z296"/>
    </row>
    <row r="297" spans="1:26" x14ac:dyDescent="0.25">
      <c r="A297" t="s">
        <v>2691</v>
      </c>
      <c r="B297" t="s">
        <v>2692</v>
      </c>
      <c r="C297">
        <v>256</v>
      </c>
      <c r="D297" t="s">
        <v>1028</v>
      </c>
      <c r="E297" t="s">
        <v>60</v>
      </c>
      <c r="F297" t="s">
        <v>905</v>
      </c>
      <c r="G297">
        <v>999999</v>
      </c>
      <c r="H297">
        <v>1398</v>
      </c>
      <c r="I297" t="s">
        <v>2693</v>
      </c>
      <c r="J297" t="s">
        <v>2694</v>
      </c>
      <c r="K297" t="s">
        <v>2695</v>
      </c>
      <c r="L297" t="s">
        <v>74</v>
      </c>
      <c r="M297">
        <v>25637</v>
      </c>
      <c r="N297" t="s">
        <v>62</v>
      </c>
      <c r="P297" t="s">
        <v>2696</v>
      </c>
      <c r="Q297" t="s">
        <v>2697</v>
      </c>
      <c r="R297" t="s">
        <v>1712</v>
      </c>
      <c r="S297" t="s">
        <v>1172</v>
      </c>
      <c r="T297" s="6">
        <v>3600000000</v>
      </c>
      <c r="U297" s="45">
        <f>VLOOKUP(B297,realPrices!C:G,5,0)</f>
        <v>3710999999</v>
      </c>
      <c r="Z297"/>
    </row>
    <row r="298" spans="1:26" x14ac:dyDescent="0.25">
      <c r="A298" t="s">
        <v>472</v>
      </c>
      <c r="B298" t="s">
        <v>2698</v>
      </c>
      <c r="C298">
        <v>600</v>
      </c>
      <c r="D298" t="s">
        <v>1028</v>
      </c>
      <c r="E298" t="s">
        <v>60</v>
      </c>
      <c r="F298" t="s">
        <v>905</v>
      </c>
      <c r="G298">
        <v>999999</v>
      </c>
      <c r="H298">
        <v>1401</v>
      </c>
      <c r="I298" t="s">
        <v>2699</v>
      </c>
      <c r="J298" t="s">
        <v>1101</v>
      </c>
      <c r="K298" t="s">
        <v>2700</v>
      </c>
      <c r="L298" t="s">
        <v>962</v>
      </c>
      <c r="M298">
        <v>60006</v>
      </c>
      <c r="N298" t="s">
        <v>963</v>
      </c>
      <c r="P298" t="s">
        <v>2591</v>
      </c>
      <c r="Q298" t="s">
        <v>2701</v>
      </c>
      <c r="R298" t="s">
        <v>1718</v>
      </c>
      <c r="S298" t="s">
        <v>986</v>
      </c>
      <c r="T298" s="6">
        <v>3100000000</v>
      </c>
      <c r="U298" s="45">
        <f>VLOOKUP(B298,realPrices!C:G,5,0)</f>
        <v>4660000000</v>
      </c>
      <c r="Z298"/>
    </row>
    <row r="299" spans="1:26" x14ac:dyDescent="0.25">
      <c r="A299" t="s">
        <v>1719</v>
      </c>
      <c r="B299" t="s">
        <v>1720</v>
      </c>
      <c r="C299">
        <v>600</v>
      </c>
      <c r="D299" t="s">
        <v>59</v>
      </c>
      <c r="E299" t="s">
        <v>60</v>
      </c>
      <c r="F299" t="s">
        <v>905</v>
      </c>
      <c r="G299">
        <v>999999</v>
      </c>
      <c r="H299">
        <v>1401</v>
      </c>
      <c r="I299" t="s">
        <v>1721</v>
      </c>
      <c r="J299" t="s">
        <v>1101</v>
      </c>
      <c r="K299" t="s">
        <v>1722</v>
      </c>
      <c r="L299" t="s">
        <v>962</v>
      </c>
      <c r="M299">
        <v>60015</v>
      </c>
      <c r="N299" t="s">
        <v>963</v>
      </c>
      <c r="P299" t="s">
        <v>2702</v>
      </c>
      <c r="Q299" t="s">
        <v>1723</v>
      </c>
      <c r="R299" t="s">
        <v>1724</v>
      </c>
      <c r="S299" t="s">
        <v>2703</v>
      </c>
      <c r="T299" s="6">
        <v>4000000000</v>
      </c>
      <c r="U299" s="45">
        <f>VLOOKUP(B299,realPrices!C:G,5,0)</f>
        <v>3619999999</v>
      </c>
      <c r="Z299"/>
    </row>
    <row r="300" spans="1:26" x14ac:dyDescent="0.25">
      <c r="A300" t="s">
        <v>1098</v>
      </c>
      <c r="B300" t="s">
        <v>2704</v>
      </c>
      <c r="C300">
        <v>285</v>
      </c>
      <c r="D300" t="s">
        <v>59</v>
      </c>
      <c r="E300" t="s">
        <v>60</v>
      </c>
      <c r="F300" t="s">
        <v>905</v>
      </c>
      <c r="G300">
        <v>999999</v>
      </c>
      <c r="H300">
        <v>1395</v>
      </c>
      <c r="I300" t="s">
        <v>2705</v>
      </c>
      <c r="J300" t="s">
        <v>1101</v>
      </c>
      <c r="K300" t="s">
        <v>2706</v>
      </c>
      <c r="L300" t="s">
        <v>84</v>
      </c>
      <c r="M300">
        <v>28513</v>
      </c>
      <c r="N300" t="s">
        <v>62</v>
      </c>
      <c r="P300" t="s">
        <v>2436</v>
      </c>
      <c r="Q300" t="s">
        <v>2707</v>
      </c>
      <c r="R300" t="s">
        <v>1730</v>
      </c>
      <c r="S300" t="s">
        <v>1332</v>
      </c>
      <c r="T300" s="6">
        <v>2500000000</v>
      </c>
      <c r="U300" s="45">
        <f>VLOOKUP(B300,realPrices!C:G,5,0)</f>
        <v>2520000999</v>
      </c>
      <c r="Z300"/>
    </row>
    <row r="301" spans="1:26" x14ac:dyDescent="0.25">
      <c r="A301" t="s">
        <v>2708</v>
      </c>
      <c r="B301" t="s">
        <v>2709</v>
      </c>
      <c r="C301">
        <v>285</v>
      </c>
      <c r="D301" t="s">
        <v>59</v>
      </c>
      <c r="E301" t="s">
        <v>60</v>
      </c>
      <c r="F301" t="s">
        <v>905</v>
      </c>
      <c r="G301">
        <v>999999</v>
      </c>
      <c r="H301">
        <v>1397</v>
      </c>
      <c r="I301" t="s">
        <v>2710</v>
      </c>
      <c r="J301" t="s">
        <v>1101</v>
      </c>
      <c r="K301" t="s">
        <v>2711</v>
      </c>
      <c r="L301" t="s">
        <v>84</v>
      </c>
      <c r="M301">
        <v>28516</v>
      </c>
      <c r="N301" t="s">
        <v>62</v>
      </c>
      <c r="P301" t="s">
        <v>2712</v>
      </c>
      <c r="Q301" t="s">
        <v>2713</v>
      </c>
      <c r="R301" t="s">
        <v>1735</v>
      </c>
      <c r="S301" t="s">
        <v>1000</v>
      </c>
      <c r="T301" s="6">
        <v>2100000000</v>
      </c>
      <c r="U301" s="45">
        <f>VLOOKUP(B301,realPrices!C:G,5,0)</f>
        <v>2329999999</v>
      </c>
      <c r="Z301"/>
    </row>
    <row r="302" spans="1:26" x14ac:dyDescent="0.25">
      <c r="A302" t="s">
        <v>1267</v>
      </c>
      <c r="B302" t="s">
        <v>2714</v>
      </c>
      <c r="C302">
        <v>351</v>
      </c>
      <c r="D302" t="s">
        <v>59</v>
      </c>
      <c r="E302" t="s">
        <v>60</v>
      </c>
      <c r="F302" t="s">
        <v>905</v>
      </c>
      <c r="G302">
        <v>999999</v>
      </c>
      <c r="H302">
        <v>1402</v>
      </c>
      <c r="I302" t="s">
        <v>2715</v>
      </c>
      <c r="J302" t="s">
        <v>1101</v>
      </c>
      <c r="K302" t="s">
        <v>2716</v>
      </c>
      <c r="L302" t="s">
        <v>128</v>
      </c>
      <c r="M302">
        <v>35107</v>
      </c>
      <c r="N302" t="s">
        <v>62</v>
      </c>
      <c r="P302" t="s">
        <v>2717</v>
      </c>
      <c r="Q302" t="s">
        <v>2718</v>
      </c>
      <c r="R302" t="s">
        <v>1741</v>
      </c>
      <c r="S302" t="s">
        <v>957</v>
      </c>
      <c r="T302" s="6">
        <v>3800000000</v>
      </c>
      <c r="U302" s="45">
        <f>VLOOKUP(B302,realPrices!C:G,5,0)</f>
        <v>4855150000</v>
      </c>
      <c r="Z302"/>
    </row>
    <row r="303" spans="1:26" x14ac:dyDescent="0.25">
      <c r="A303" t="s">
        <v>447</v>
      </c>
      <c r="B303" t="s">
        <v>2719</v>
      </c>
      <c r="C303">
        <v>600</v>
      </c>
      <c r="D303" t="s">
        <v>59</v>
      </c>
      <c r="E303" t="s">
        <v>60</v>
      </c>
      <c r="F303" t="s">
        <v>905</v>
      </c>
      <c r="G303">
        <v>999999</v>
      </c>
      <c r="H303">
        <v>1401</v>
      </c>
      <c r="I303" t="s">
        <v>2720</v>
      </c>
      <c r="J303" t="s">
        <v>1101</v>
      </c>
      <c r="K303" t="s">
        <v>2721</v>
      </c>
      <c r="L303" t="s">
        <v>962</v>
      </c>
      <c r="M303">
        <v>60010</v>
      </c>
      <c r="N303" t="s">
        <v>963</v>
      </c>
      <c r="P303" t="s">
        <v>2488</v>
      </c>
      <c r="Q303" t="s">
        <v>2722</v>
      </c>
      <c r="R303" t="s">
        <v>1746</v>
      </c>
      <c r="S303" t="s">
        <v>1056</v>
      </c>
      <c r="T303" s="6">
        <v>3500000000</v>
      </c>
      <c r="U303" s="45">
        <f>VLOOKUP(B303,realPrices!C:G,5,0)</f>
        <v>4778888888</v>
      </c>
      <c r="Z303"/>
    </row>
    <row r="304" spans="1:26" x14ac:dyDescent="0.25">
      <c r="A304" t="s">
        <v>765</v>
      </c>
      <c r="B304" t="s">
        <v>1747</v>
      </c>
      <c r="C304">
        <v>322</v>
      </c>
      <c r="D304" t="s">
        <v>904</v>
      </c>
      <c r="E304" t="s">
        <v>60</v>
      </c>
      <c r="F304" t="s">
        <v>905</v>
      </c>
      <c r="G304">
        <v>999999</v>
      </c>
      <c r="H304">
        <v>1400</v>
      </c>
      <c r="I304" t="s">
        <v>1748</v>
      </c>
      <c r="J304" t="s">
        <v>907</v>
      </c>
      <c r="K304" t="s">
        <v>1749</v>
      </c>
      <c r="L304" t="s">
        <v>65</v>
      </c>
      <c r="M304">
        <v>32201</v>
      </c>
      <c r="N304" t="s">
        <v>62</v>
      </c>
      <c r="P304" t="s">
        <v>2636</v>
      </c>
      <c r="Q304" t="s">
        <v>1750</v>
      </c>
      <c r="R304" t="s">
        <v>1751</v>
      </c>
      <c r="S304" t="s">
        <v>986</v>
      </c>
      <c r="T304" s="6">
        <v>3100000000</v>
      </c>
      <c r="U304" s="45">
        <f>VLOOKUP(B304,realPrices!C:G,5,0)</f>
        <v>0</v>
      </c>
      <c r="Z304"/>
    </row>
    <row r="305" spans="1:26" x14ac:dyDescent="0.25">
      <c r="A305" t="s">
        <v>2723</v>
      </c>
      <c r="B305" t="s">
        <v>2724</v>
      </c>
      <c r="C305">
        <v>723</v>
      </c>
      <c r="D305" t="s">
        <v>59</v>
      </c>
      <c r="E305" t="s">
        <v>60</v>
      </c>
      <c r="F305" t="s">
        <v>905</v>
      </c>
      <c r="G305">
        <v>999999</v>
      </c>
      <c r="H305">
        <v>1396</v>
      </c>
      <c r="I305" t="s">
        <v>2725</v>
      </c>
      <c r="J305" t="s">
        <v>907</v>
      </c>
      <c r="K305" t="s">
        <v>2726</v>
      </c>
      <c r="L305" t="s">
        <v>109</v>
      </c>
      <c r="M305">
        <v>72301</v>
      </c>
      <c r="N305" t="s">
        <v>963</v>
      </c>
      <c r="P305" t="s">
        <v>2727</v>
      </c>
      <c r="Q305" t="s">
        <v>2728</v>
      </c>
      <c r="R305" t="s">
        <v>1756</v>
      </c>
      <c r="S305" t="s">
        <v>1013</v>
      </c>
      <c r="T305" s="6">
        <v>1900000000</v>
      </c>
      <c r="U305" s="45">
        <f>VLOOKUP(B305,realPrices!C:G,5,0)</f>
        <v>3356789999</v>
      </c>
      <c r="Z305"/>
    </row>
    <row r="306" spans="1:26" x14ac:dyDescent="0.25">
      <c r="A306" t="s">
        <v>456</v>
      </c>
      <c r="B306" t="s">
        <v>2729</v>
      </c>
      <c r="C306">
        <v>285</v>
      </c>
      <c r="D306" t="s">
        <v>904</v>
      </c>
      <c r="E306" t="s">
        <v>60</v>
      </c>
      <c r="F306" t="s">
        <v>905</v>
      </c>
      <c r="G306">
        <v>999999</v>
      </c>
      <c r="H306">
        <v>1402</v>
      </c>
      <c r="I306" t="s">
        <v>2730</v>
      </c>
      <c r="J306" t="s">
        <v>1101</v>
      </c>
      <c r="K306" t="s">
        <v>2731</v>
      </c>
      <c r="L306" t="s">
        <v>84</v>
      </c>
      <c r="M306">
        <v>28520</v>
      </c>
      <c r="N306" t="s">
        <v>62</v>
      </c>
      <c r="P306" t="s">
        <v>2440</v>
      </c>
      <c r="Q306" t="s">
        <v>2732</v>
      </c>
      <c r="R306" t="s">
        <v>1761</v>
      </c>
      <c r="S306" t="s">
        <v>957</v>
      </c>
      <c r="T306" s="6">
        <v>3800000000</v>
      </c>
      <c r="U306" s="45">
        <f>VLOOKUP(B306,realPrices!C:G,5,0)</f>
        <v>4520000000</v>
      </c>
      <c r="Z306"/>
    </row>
    <row r="307" spans="1:26" x14ac:dyDescent="0.25">
      <c r="A307" t="s">
        <v>1762</v>
      </c>
      <c r="B307" t="s">
        <v>1763</v>
      </c>
      <c r="C307">
        <v>287</v>
      </c>
      <c r="D307" t="s">
        <v>59</v>
      </c>
      <c r="E307" t="s">
        <v>60</v>
      </c>
      <c r="F307" t="s">
        <v>905</v>
      </c>
      <c r="G307">
        <v>999999</v>
      </c>
      <c r="H307">
        <v>1397</v>
      </c>
      <c r="I307" t="s">
        <v>1764</v>
      </c>
      <c r="J307" t="s">
        <v>1101</v>
      </c>
      <c r="K307" t="s">
        <v>1765</v>
      </c>
      <c r="L307" t="s">
        <v>1349</v>
      </c>
      <c r="M307">
        <v>28706</v>
      </c>
      <c r="N307" t="s">
        <v>62</v>
      </c>
      <c r="P307" t="s">
        <v>2733</v>
      </c>
      <c r="Q307" t="s">
        <v>1766</v>
      </c>
      <c r="R307" t="s">
        <v>1767</v>
      </c>
      <c r="S307" t="s">
        <v>1332</v>
      </c>
      <c r="T307" s="6">
        <v>2500000000</v>
      </c>
      <c r="U307" s="45">
        <f>VLOOKUP(B307,realPrices!C:G,5,0)</f>
        <v>3619999999</v>
      </c>
      <c r="Z307"/>
    </row>
    <row r="308" spans="1:26" x14ac:dyDescent="0.25">
      <c r="A308" t="s">
        <v>2723</v>
      </c>
      <c r="B308" t="s">
        <v>2734</v>
      </c>
      <c r="C308">
        <v>723</v>
      </c>
      <c r="D308" t="s">
        <v>59</v>
      </c>
      <c r="E308" t="s">
        <v>60</v>
      </c>
      <c r="F308" t="s">
        <v>905</v>
      </c>
      <c r="G308">
        <v>999999</v>
      </c>
      <c r="H308">
        <v>1396</v>
      </c>
      <c r="I308" t="s">
        <v>2735</v>
      </c>
      <c r="J308" t="s">
        <v>907</v>
      </c>
      <c r="K308" t="s">
        <v>2736</v>
      </c>
      <c r="L308" t="s">
        <v>109</v>
      </c>
      <c r="M308">
        <v>72301</v>
      </c>
      <c r="N308" t="s">
        <v>963</v>
      </c>
      <c r="P308" t="s">
        <v>2727</v>
      </c>
      <c r="Q308" t="s">
        <v>2737</v>
      </c>
      <c r="R308" t="s">
        <v>1773</v>
      </c>
      <c r="S308" t="s">
        <v>911</v>
      </c>
      <c r="T308" s="6">
        <v>1800000000</v>
      </c>
      <c r="U308" s="45">
        <f>VLOOKUP(B308,realPrices!C:G,5,0)</f>
        <v>2155555000</v>
      </c>
      <c r="Z308"/>
    </row>
    <row r="309" spans="1:26" x14ac:dyDescent="0.25">
      <c r="A309" t="s">
        <v>1531</v>
      </c>
      <c r="B309" t="s">
        <v>1775</v>
      </c>
      <c r="C309">
        <v>351</v>
      </c>
      <c r="D309" t="s">
        <v>1028</v>
      </c>
      <c r="E309" t="s">
        <v>60</v>
      </c>
      <c r="F309" t="s">
        <v>905</v>
      </c>
      <c r="G309">
        <v>999999</v>
      </c>
      <c r="H309">
        <v>1402</v>
      </c>
      <c r="I309" t="s">
        <v>1776</v>
      </c>
      <c r="J309" t="s">
        <v>1101</v>
      </c>
      <c r="K309" t="s">
        <v>1777</v>
      </c>
      <c r="L309" t="s">
        <v>128</v>
      </c>
      <c r="M309">
        <v>35106</v>
      </c>
      <c r="N309" t="s">
        <v>62</v>
      </c>
      <c r="P309" t="s">
        <v>2563</v>
      </c>
      <c r="Q309" t="s">
        <v>1778</v>
      </c>
      <c r="R309" t="s">
        <v>1779</v>
      </c>
      <c r="S309" t="s">
        <v>1172</v>
      </c>
      <c r="T309" s="6">
        <v>3600000000</v>
      </c>
      <c r="U309" s="45">
        <f>VLOOKUP(B309,realPrices!C:G,5,0)</f>
        <v>2743000000</v>
      </c>
      <c r="Z309"/>
    </row>
    <row r="310" spans="1:26" x14ac:dyDescent="0.25">
      <c r="A310" t="s">
        <v>1768</v>
      </c>
      <c r="B310" t="s">
        <v>1780</v>
      </c>
      <c r="C310">
        <v>707</v>
      </c>
      <c r="D310" t="s">
        <v>952</v>
      </c>
      <c r="E310" t="s">
        <v>60</v>
      </c>
      <c r="F310" t="s">
        <v>905</v>
      </c>
      <c r="G310">
        <v>999999</v>
      </c>
      <c r="H310">
        <v>1401</v>
      </c>
      <c r="I310" t="s">
        <v>1781</v>
      </c>
      <c r="J310" t="s">
        <v>1101</v>
      </c>
      <c r="K310" t="s">
        <v>1782</v>
      </c>
      <c r="L310" t="s">
        <v>465</v>
      </c>
      <c r="M310">
        <v>70702</v>
      </c>
      <c r="N310" t="s">
        <v>62</v>
      </c>
      <c r="P310" t="s">
        <v>2655</v>
      </c>
      <c r="Q310" t="s">
        <v>1783</v>
      </c>
      <c r="R310" t="s">
        <v>1784</v>
      </c>
      <c r="S310" t="s">
        <v>2657</v>
      </c>
      <c r="T310" s="6">
        <v>5000000000</v>
      </c>
      <c r="U310" s="45">
        <f>VLOOKUP(B310,realPrices!C:G,5,0)</f>
        <v>5000000000</v>
      </c>
      <c r="Z310"/>
    </row>
    <row r="311" spans="1:26" x14ac:dyDescent="0.25">
      <c r="A311" t="s">
        <v>127</v>
      </c>
      <c r="B311" t="s">
        <v>2738</v>
      </c>
      <c r="C311">
        <v>351</v>
      </c>
      <c r="D311" t="s">
        <v>904</v>
      </c>
      <c r="E311" t="s">
        <v>60</v>
      </c>
      <c r="F311" t="s">
        <v>905</v>
      </c>
      <c r="G311">
        <v>999999</v>
      </c>
      <c r="H311">
        <v>1401</v>
      </c>
      <c r="I311" t="s">
        <v>2739</v>
      </c>
      <c r="J311" t="s">
        <v>1101</v>
      </c>
      <c r="K311" t="s">
        <v>2740</v>
      </c>
      <c r="L311" t="s">
        <v>128</v>
      </c>
      <c r="M311">
        <v>35101</v>
      </c>
      <c r="N311" t="s">
        <v>62</v>
      </c>
      <c r="P311" t="s">
        <v>2462</v>
      </c>
      <c r="Q311" t="s">
        <v>2741</v>
      </c>
      <c r="R311" t="s">
        <v>1790</v>
      </c>
      <c r="S311" t="s">
        <v>1332</v>
      </c>
      <c r="T311" s="6">
        <v>2500000000</v>
      </c>
      <c r="U311" s="45">
        <f>VLOOKUP(B311,realPrices!C:G,5,0)</f>
        <v>2722222222</v>
      </c>
      <c r="Z311"/>
    </row>
    <row r="312" spans="1:26" x14ac:dyDescent="0.25">
      <c r="A312" t="s">
        <v>155</v>
      </c>
      <c r="B312" t="s">
        <v>2742</v>
      </c>
      <c r="C312">
        <v>351</v>
      </c>
      <c r="D312" t="s">
        <v>59</v>
      </c>
      <c r="E312" t="s">
        <v>60</v>
      </c>
      <c r="F312" t="s">
        <v>905</v>
      </c>
      <c r="G312">
        <v>999999</v>
      </c>
      <c r="H312">
        <v>1401</v>
      </c>
      <c r="I312" t="s">
        <v>2743</v>
      </c>
      <c r="J312" t="s">
        <v>1101</v>
      </c>
      <c r="K312" t="s">
        <v>2744</v>
      </c>
      <c r="L312" t="s">
        <v>128</v>
      </c>
      <c r="M312">
        <v>35101</v>
      </c>
      <c r="N312" t="s">
        <v>62</v>
      </c>
      <c r="P312" t="s">
        <v>2462</v>
      </c>
      <c r="Q312" t="s">
        <v>2745</v>
      </c>
      <c r="R312" t="s">
        <v>1795</v>
      </c>
      <c r="S312" t="s">
        <v>1050</v>
      </c>
      <c r="T312" s="6">
        <v>2400000000</v>
      </c>
      <c r="U312" s="45">
        <f>VLOOKUP(B312,realPrices!C:G,5,0)</f>
        <v>2785555555</v>
      </c>
      <c r="Z312"/>
    </row>
    <row r="313" spans="1:26" x14ac:dyDescent="0.25">
      <c r="A313" t="s">
        <v>447</v>
      </c>
      <c r="B313" t="s">
        <v>2746</v>
      </c>
      <c r="C313">
        <v>600</v>
      </c>
      <c r="D313" t="s">
        <v>59</v>
      </c>
      <c r="E313" t="s">
        <v>60</v>
      </c>
      <c r="F313" t="s">
        <v>905</v>
      </c>
      <c r="G313">
        <v>999999</v>
      </c>
      <c r="H313">
        <v>1401</v>
      </c>
      <c r="I313" t="s">
        <v>2747</v>
      </c>
      <c r="J313" t="s">
        <v>1101</v>
      </c>
      <c r="K313" t="s">
        <v>2748</v>
      </c>
      <c r="L313" t="s">
        <v>962</v>
      </c>
      <c r="M313">
        <v>60010</v>
      </c>
      <c r="N313" t="s">
        <v>963</v>
      </c>
      <c r="P313" t="s">
        <v>2488</v>
      </c>
      <c r="Q313" t="s">
        <v>2749</v>
      </c>
      <c r="R313" t="s">
        <v>1800</v>
      </c>
      <c r="S313" t="s">
        <v>986</v>
      </c>
      <c r="T313" s="6">
        <v>3100000000</v>
      </c>
      <c r="U313" s="45">
        <f>VLOOKUP(B313,realPrices!C:G,5,0)</f>
        <v>4020000009</v>
      </c>
      <c r="Z313"/>
    </row>
    <row r="314" spans="1:26" x14ac:dyDescent="0.25">
      <c r="A314" t="s">
        <v>116</v>
      </c>
      <c r="B314" t="s">
        <v>2750</v>
      </c>
      <c r="C314">
        <v>260</v>
      </c>
      <c r="D314" t="s">
        <v>59</v>
      </c>
      <c r="E314" t="s">
        <v>60</v>
      </c>
      <c r="F314" t="s">
        <v>905</v>
      </c>
      <c r="G314">
        <v>999999</v>
      </c>
      <c r="H314">
        <v>1400</v>
      </c>
      <c r="I314" t="s">
        <v>2751</v>
      </c>
      <c r="J314" t="s">
        <v>1101</v>
      </c>
      <c r="K314" t="s">
        <v>2752</v>
      </c>
      <c r="L314" t="s">
        <v>118</v>
      </c>
      <c r="M314">
        <v>26031</v>
      </c>
      <c r="N314" t="s">
        <v>963</v>
      </c>
      <c r="P314" t="s">
        <v>2451</v>
      </c>
      <c r="Q314" t="s">
        <v>2753</v>
      </c>
      <c r="R314" t="s">
        <v>1806</v>
      </c>
      <c r="S314" t="s">
        <v>1007</v>
      </c>
      <c r="T314" s="6">
        <v>2300000000</v>
      </c>
      <c r="U314" s="45">
        <f>VLOOKUP(B314,realPrices!C:G,5,0)</f>
        <v>2810000000</v>
      </c>
      <c r="Z314"/>
    </row>
    <row r="315" spans="1:26" x14ac:dyDescent="0.25">
      <c r="A315" t="s">
        <v>82</v>
      </c>
      <c r="B315" t="s">
        <v>2754</v>
      </c>
      <c r="C315">
        <v>285</v>
      </c>
      <c r="D315" t="s">
        <v>59</v>
      </c>
      <c r="E315" t="s">
        <v>60</v>
      </c>
      <c r="F315" t="s">
        <v>905</v>
      </c>
      <c r="G315">
        <v>999999</v>
      </c>
      <c r="H315">
        <v>1400</v>
      </c>
      <c r="I315" t="s">
        <v>2755</v>
      </c>
      <c r="J315" t="s">
        <v>1101</v>
      </c>
      <c r="K315" t="s">
        <v>2756</v>
      </c>
      <c r="L315" t="s">
        <v>84</v>
      </c>
      <c r="M315">
        <v>28520</v>
      </c>
      <c r="N315" t="s">
        <v>62</v>
      </c>
      <c r="P315" t="s">
        <v>2440</v>
      </c>
      <c r="Q315" t="s">
        <v>2757</v>
      </c>
      <c r="R315" t="s">
        <v>1812</v>
      </c>
      <c r="S315" t="s">
        <v>1000</v>
      </c>
      <c r="T315" s="6">
        <v>2100000000</v>
      </c>
      <c r="U315" s="45">
        <f>VLOOKUP(B315,realPrices!C:G,5,0)</f>
        <v>3520000000</v>
      </c>
      <c r="Z315"/>
    </row>
    <row r="316" spans="1:26" x14ac:dyDescent="0.25">
      <c r="A316" t="s">
        <v>2758</v>
      </c>
      <c r="B316" t="s">
        <v>2759</v>
      </c>
      <c r="C316">
        <v>704</v>
      </c>
      <c r="D316" t="s">
        <v>1028</v>
      </c>
      <c r="E316" t="s">
        <v>60</v>
      </c>
      <c r="F316" t="s">
        <v>905</v>
      </c>
      <c r="G316">
        <v>999999</v>
      </c>
      <c r="H316">
        <v>1398</v>
      </c>
      <c r="I316" t="s">
        <v>2760</v>
      </c>
      <c r="J316" t="s">
        <v>1101</v>
      </c>
      <c r="K316" t="s">
        <v>2761</v>
      </c>
      <c r="L316" t="s">
        <v>546</v>
      </c>
      <c r="M316">
        <v>70401</v>
      </c>
      <c r="N316" t="s">
        <v>62</v>
      </c>
      <c r="P316" t="s">
        <v>2762</v>
      </c>
      <c r="Q316" t="s">
        <v>2763</v>
      </c>
      <c r="R316" t="s">
        <v>1817</v>
      </c>
      <c r="S316" t="s">
        <v>950</v>
      </c>
      <c r="T316" s="6">
        <v>2700000000</v>
      </c>
      <c r="U316" s="45">
        <f>VLOOKUP(B316,realPrices!C:G,5,0)</f>
        <v>3730000000</v>
      </c>
      <c r="Z316"/>
    </row>
    <row r="317" spans="1:26" x14ac:dyDescent="0.25">
      <c r="A317" t="s">
        <v>116</v>
      </c>
      <c r="B317" t="s">
        <v>2764</v>
      </c>
      <c r="C317">
        <v>260</v>
      </c>
      <c r="D317" t="s">
        <v>59</v>
      </c>
      <c r="E317" t="s">
        <v>60</v>
      </c>
      <c r="F317" t="s">
        <v>905</v>
      </c>
      <c r="G317">
        <v>999999</v>
      </c>
      <c r="H317">
        <v>1401</v>
      </c>
      <c r="I317" t="s">
        <v>2765</v>
      </c>
      <c r="J317" t="s">
        <v>1101</v>
      </c>
      <c r="K317" t="s">
        <v>2766</v>
      </c>
      <c r="L317" t="s">
        <v>118</v>
      </c>
      <c r="M317">
        <v>26031</v>
      </c>
      <c r="N317" t="s">
        <v>963</v>
      </c>
      <c r="P317" t="s">
        <v>2451</v>
      </c>
      <c r="Q317" t="s">
        <v>2767</v>
      </c>
      <c r="R317" t="s">
        <v>1822</v>
      </c>
      <c r="S317" t="s">
        <v>911</v>
      </c>
      <c r="T317" s="6">
        <v>1800000000</v>
      </c>
      <c r="U317" s="45">
        <f>VLOOKUP(B317,realPrices!C:G,5,0)</f>
        <v>2835555555</v>
      </c>
      <c r="Z317"/>
    </row>
    <row r="318" spans="1:26" x14ac:dyDescent="0.25">
      <c r="A318" t="s">
        <v>772</v>
      </c>
      <c r="B318" t="s">
        <v>2768</v>
      </c>
      <c r="C318">
        <v>575</v>
      </c>
      <c r="D318" t="s">
        <v>904</v>
      </c>
      <c r="E318" t="s">
        <v>60</v>
      </c>
      <c r="F318" t="s">
        <v>905</v>
      </c>
      <c r="G318">
        <v>999999</v>
      </c>
      <c r="H318">
        <v>1401</v>
      </c>
      <c r="I318" t="s">
        <v>2769</v>
      </c>
      <c r="J318" t="s">
        <v>1101</v>
      </c>
      <c r="K318" t="s">
        <v>2770</v>
      </c>
      <c r="L318" t="s">
        <v>124</v>
      </c>
      <c r="M318">
        <v>57522</v>
      </c>
      <c r="N318" t="s">
        <v>62</v>
      </c>
      <c r="P318" t="s">
        <v>2771</v>
      </c>
      <c r="Q318" t="s">
        <v>2772</v>
      </c>
      <c r="R318" t="s">
        <v>1827</v>
      </c>
      <c r="S318" t="s">
        <v>950</v>
      </c>
      <c r="T318" s="6">
        <v>2700000000</v>
      </c>
      <c r="U318" s="45">
        <f>VLOOKUP(B318,realPrices!C:G,5,0)</f>
        <v>4055898569</v>
      </c>
      <c r="Z318"/>
    </row>
    <row r="319" spans="1:26" x14ac:dyDescent="0.25">
      <c r="A319" t="s">
        <v>113</v>
      </c>
      <c r="B319" t="s">
        <v>2773</v>
      </c>
      <c r="C319">
        <v>610</v>
      </c>
      <c r="D319" t="s">
        <v>59</v>
      </c>
      <c r="E319" t="s">
        <v>60</v>
      </c>
      <c r="F319" t="s">
        <v>905</v>
      </c>
      <c r="G319">
        <v>999999</v>
      </c>
      <c r="H319">
        <v>1401</v>
      </c>
      <c r="I319" t="s">
        <v>2774</v>
      </c>
      <c r="J319" t="s">
        <v>1101</v>
      </c>
      <c r="K319" t="s">
        <v>2775</v>
      </c>
      <c r="L319" t="s">
        <v>115</v>
      </c>
      <c r="M319">
        <v>61015</v>
      </c>
      <c r="N319" t="s">
        <v>62</v>
      </c>
      <c r="P319" t="s">
        <v>2471</v>
      </c>
      <c r="Q319" t="s">
        <v>2776</v>
      </c>
      <c r="R319" t="s">
        <v>1832</v>
      </c>
      <c r="S319" t="s">
        <v>1324</v>
      </c>
      <c r="T319" s="6">
        <v>1500000000</v>
      </c>
      <c r="U319" s="45">
        <f>VLOOKUP(B319,realPrices!C:G,5,0)</f>
        <v>2344598749</v>
      </c>
      <c r="Z319"/>
    </row>
    <row r="320" spans="1:26" x14ac:dyDescent="0.25">
      <c r="A320" t="s">
        <v>373</v>
      </c>
      <c r="B320" t="s">
        <v>1833</v>
      </c>
      <c r="C320">
        <v>575</v>
      </c>
      <c r="D320" t="s">
        <v>904</v>
      </c>
      <c r="E320" t="s">
        <v>60</v>
      </c>
      <c r="F320" t="s">
        <v>905</v>
      </c>
      <c r="G320">
        <v>999999</v>
      </c>
      <c r="H320">
        <v>1401</v>
      </c>
      <c r="I320" t="s">
        <v>1834</v>
      </c>
      <c r="J320" t="s">
        <v>1101</v>
      </c>
      <c r="K320" t="s">
        <v>1835</v>
      </c>
      <c r="L320" t="s">
        <v>124</v>
      </c>
      <c r="M320">
        <v>57519</v>
      </c>
      <c r="N320" t="s">
        <v>62</v>
      </c>
      <c r="P320" t="s">
        <v>2555</v>
      </c>
      <c r="Q320" t="s">
        <v>1836</v>
      </c>
      <c r="R320" t="s">
        <v>1837</v>
      </c>
      <c r="S320" t="s">
        <v>1155</v>
      </c>
      <c r="T320" s="6">
        <v>2800000000</v>
      </c>
      <c r="U320" s="45">
        <f>VLOOKUP(B320,realPrices!C:G,5,0)</f>
        <v>3210000000</v>
      </c>
      <c r="Z320"/>
    </row>
    <row r="321" spans="1:26" x14ac:dyDescent="0.25">
      <c r="A321" t="s">
        <v>1233</v>
      </c>
      <c r="B321" t="s">
        <v>1838</v>
      </c>
      <c r="C321">
        <v>707</v>
      </c>
      <c r="D321" t="s">
        <v>904</v>
      </c>
      <c r="E321" t="s">
        <v>60</v>
      </c>
      <c r="F321" t="s">
        <v>905</v>
      </c>
      <c r="G321">
        <v>999999</v>
      </c>
      <c r="H321">
        <v>1402</v>
      </c>
      <c r="I321" t="s">
        <v>1839</v>
      </c>
      <c r="J321" t="s">
        <v>1101</v>
      </c>
      <c r="K321" t="s">
        <v>1840</v>
      </c>
      <c r="L321" t="s">
        <v>465</v>
      </c>
      <c r="M321">
        <v>70709</v>
      </c>
      <c r="N321" t="s">
        <v>62</v>
      </c>
      <c r="P321" t="s">
        <v>2576</v>
      </c>
      <c r="Q321" t="s">
        <v>1841</v>
      </c>
      <c r="R321" t="s">
        <v>1842</v>
      </c>
      <c r="S321" t="s">
        <v>2777</v>
      </c>
      <c r="T321" s="6">
        <v>5800000000</v>
      </c>
      <c r="U321" s="45">
        <f>VLOOKUP(B321,realPrices!C:G,5,0)</f>
        <v>6759999999</v>
      </c>
      <c r="Z321"/>
    </row>
    <row r="322" spans="1:26" x14ac:dyDescent="0.25">
      <c r="A322" t="s">
        <v>635</v>
      </c>
      <c r="B322" t="s">
        <v>1843</v>
      </c>
      <c r="C322">
        <v>707</v>
      </c>
      <c r="D322" t="s">
        <v>1327</v>
      </c>
      <c r="E322" t="s">
        <v>60</v>
      </c>
      <c r="F322" t="s">
        <v>905</v>
      </c>
      <c r="G322">
        <v>999999</v>
      </c>
      <c r="H322">
        <v>1399</v>
      </c>
      <c r="I322" t="s">
        <v>1844</v>
      </c>
      <c r="J322" t="s">
        <v>1101</v>
      </c>
      <c r="K322" t="s">
        <v>1845</v>
      </c>
      <c r="L322" t="s">
        <v>465</v>
      </c>
      <c r="M322">
        <v>70702</v>
      </c>
      <c r="N322" t="s">
        <v>62</v>
      </c>
      <c r="P322" t="s">
        <v>2655</v>
      </c>
      <c r="Q322" t="s">
        <v>1846</v>
      </c>
      <c r="R322" t="s">
        <v>1847</v>
      </c>
      <c r="S322" t="s">
        <v>2778</v>
      </c>
      <c r="T322" s="6">
        <v>4100000000</v>
      </c>
      <c r="U322" s="45">
        <f>VLOOKUP(B322,realPrices!C:G,5,0)</f>
        <v>3870000000</v>
      </c>
      <c r="Z322"/>
    </row>
    <row r="323" spans="1:26" x14ac:dyDescent="0.25">
      <c r="A323" t="s">
        <v>2473</v>
      </c>
      <c r="B323" t="s">
        <v>2779</v>
      </c>
      <c r="C323">
        <v>291</v>
      </c>
      <c r="D323" t="s">
        <v>59</v>
      </c>
      <c r="E323" t="s">
        <v>994</v>
      </c>
      <c r="F323" t="s">
        <v>905</v>
      </c>
      <c r="G323">
        <v>999999</v>
      </c>
      <c r="H323">
        <v>1396</v>
      </c>
      <c r="I323" t="s">
        <v>2780</v>
      </c>
      <c r="J323" t="s">
        <v>1101</v>
      </c>
      <c r="K323" t="s">
        <v>2781</v>
      </c>
      <c r="L323" t="s">
        <v>104</v>
      </c>
      <c r="M323">
        <v>29110</v>
      </c>
      <c r="N323" t="s">
        <v>62</v>
      </c>
      <c r="P323" t="s">
        <v>2477</v>
      </c>
      <c r="Q323" t="s">
        <v>2782</v>
      </c>
      <c r="R323" t="s">
        <v>1852</v>
      </c>
      <c r="S323" t="s">
        <v>2783</v>
      </c>
      <c r="T323" s="6">
        <v>1200000000</v>
      </c>
      <c r="U323" s="45">
        <f>VLOOKUP(B323,realPrices!C:G,5,0)</f>
        <v>2738000000</v>
      </c>
      <c r="Z323"/>
    </row>
    <row r="324" spans="1:26" x14ac:dyDescent="0.25">
      <c r="A324" t="s">
        <v>147</v>
      </c>
      <c r="B324" t="s">
        <v>2784</v>
      </c>
      <c r="C324">
        <v>291</v>
      </c>
      <c r="D324" t="s">
        <v>59</v>
      </c>
      <c r="E324" t="s">
        <v>994</v>
      </c>
      <c r="F324" t="s">
        <v>905</v>
      </c>
      <c r="G324">
        <v>999999</v>
      </c>
      <c r="H324">
        <v>1394</v>
      </c>
      <c r="I324" t="s">
        <v>2785</v>
      </c>
      <c r="J324" t="s">
        <v>1101</v>
      </c>
      <c r="K324" t="s">
        <v>2786</v>
      </c>
      <c r="L324" t="s">
        <v>104</v>
      </c>
      <c r="M324">
        <v>29111</v>
      </c>
      <c r="N324" t="s">
        <v>62</v>
      </c>
      <c r="P324" t="s">
        <v>2787</v>
      </c>
      <c r="Q324" t="s">
        <v>2788</v>
      </c>
      <c r="R324" t="s">
        <v>1858</v>
      </c>
      <c r="S324" t="s">
        <v>2479</v>
      </c>
      <c r="T324" s="6">
        <v>1100000000</v>
      </c>
      <c r="U324" s="45">
        <f>VLOOKUP(B324,realPrices!C:G,5,0)</f>
        <v>1949100000</v>
      </c>
      <c r="Z324"/>
    </row>
    <row r="325" spans="1:26" x14ac:dyDescent="0.25">
      <c r="A325" t="s">
        <v>743</v>
      </c>
      <c r="B325" t="s">
        <v>2789</v>
      </c>
      <c r="C325">
        <v>518</v>
      </c>
      <c r="D325" t="s">
        <v>904</v>
      </c>
      <c r="E325" t="s">
        <v>60</v>
      </c>
      <c r="F325" t="s">
        <v>905</v>
      </c>
      <c r="G325">
        <v>999999</v>
      </c>
      <c r="H325">
        <v>1400</v>
      </c>
      <c r="I325" t="s">
        <v>2790</v>
      </c>
      <c r="J325" t="s">
        <v>1101</v>
      </c>
      <c r="K325" t="s">
        <v>2791</v>
      </c>
      <c r="L325" t="s">
        <v>742</v>
      </c>
      <c r="M325">
        <v>51802</v>
      </c>
      <c r="N325" t="s">
        <v>963</v>
      </c>
      <c r="P325" t="s">
        <v>2673</v>
      </c>
      <c r="Q325" t="s">
        <v>2792</v>
      </c>
      <c r="R325" t="s">
        <v>1864</v>
      </c>
      <c r="S325" t="s">
        <v>2793</v>
      </c>
      <c r="T325" s="6">
        <v>8700000000</v>
      </c>
      <c r="U325" s="45">
        <f>VLOOKUP(B325,realPrices!C:G,5,0)</f>
        <v>11621234567</v>
      </c>
      <c r="Z325"/>
    </row>
    <row r="326" spans="1:26" x14ac:dyDescent="0.25">
      <c r="A326" t="s">
        <v>82</v>
      </c>
      <c r="B326" t="s">
        <v>2794</v>
      </c>
      <c r="C326">
        <v>285</v>
      </c>
      <c r="D326" t="s">
        <v>59</v>
      </c>
      <c r="E326" t="s">
        <v>60</v>
      </c>
      <c r="F326" t="s">
        <v>905</v>
      </c>
      <c r="G326">
        <v>999999</v>
      </c>
      <c r="H326">
        <v>1400</v>
      </c>
      <c r="I326" t="s">
        <v>2795</v>
      </c>
      <c r="J326" t="s">
        <v>1101</v>
      </c>
      <c r="K326" t="s">
        <v>2796</v>
      </c>
      <c r="L326" t="s">
        <v>84</v>
      </c>
      <c r="M326">
        <v>28520</v>
      </c>
      <c r="N326" t="s">
        <v>62</v>
      </c>
      <c r="P326" t="s">
        <v>2440</v>
      </c>
      <c r="Q326" t="s">
        <v>2797</v>
      </c>
      <c r="R326" t="s">
        <v>1869</v>
      </c>
      <c r="S326" t="s">
        <v>950</v>
      </c>
      <c r="T326" s="6">
        <v>2700000000</v>
      </c>
      <c r="U326" s="45">
        <f>VLOOKUP(B326,realPrices!C:G,5,0)</f>
        <v>3820000000</v>
      </c>
      <c r="Z326"/>
    </row>
    <row r="327" spans="1:26" x14ac:dyDescent="0.25">
      <c r="A327" t="s">
        <v>447</v>
      </c>
      <c r="B327" t="s">
        <v>2798</v>
      </c>
      <c r="C327">
        <v>600</v>
      </c>
      <c r="D327" t="s">
        <v>59</v>
      </c>
      <c r="E327" t="s">
        <v>60</v>
      </c>
      <c r="F327" t="s">
        <v>905</v>
      </c>
      <c r="G327">
        <v>999999</v>
      </c>
      <c r="H327">
        <v>1401</v>
      </c>
      <c r="I327" t="s">
        <v>2799</v>
      </c>
      <c r="J327" t="s">
        <v>1101</v>
      </c>
      <c r="K327" t="s">
        <v>2800</v>
      </c>
      <c r="L327" t="s">
        <v>962</v>
      </c>
      <c r="M327">
        <v>60010</v>
      </c>
      <c r="N327" t="s">
        <v>963</v>
      </c>
      <c r="P327" t="s">
        <v>2488</v>
      </c>
      <c r="Q327" t="s">
        <v>2801</v>
      </c>
      <c r="R327" t="s">
        <v>1874</v>
      </c>
      <c r="S327" t="s">
        <v>1084</v>
      </c>
      <c r="T327" s="6">
        <v>3400000000</v>
      </c>
      <c r="U327" s="45">
        <f>VLOOKUP(B327,realPrices!C:G,5,0)</f>
        <v>4432000111</v>
      </c>
      <c r="Z327"/>
    </row>
    <row r="328" spans="1:26" x14ac:dyDescent="0.25">
      <c r="A328" t="s">
        <v>1386</v>
      </c>
      <c r="B328" t="s">
        <v>2802</v>
      </c>
      <c r="C328">
        <v>707</v>
      </c>
      <c r="D328" t="s">
        <v>59</v>
      </c>
      <c r="E328" t="s">
        <v>60</v>
      </c>
      <c r="F328" t="s">
        <v>905</v>
      </c>
      <c r="G328">
        <v>999999</v>
      </c>
      <c r="H328">
        <v>1402</v>
      </c>
      <c r="I328" t="s">
        <v>2803</v>
      </c>
      <c r="J328" t="s">
        <v>1101</v>
      </c>
      <c r="K328" t="s">
        <v>2804</v>
      </c>
      <c r="L328" t="s">
        <v>465</v>
      </c>
      <c r="M328">
        <v>70709</v>
      </c>
      <c r="N328" t="s">
        <v>62</v>
      </c>
      <c r="P328" t="s">
        <v>2576</v>
      </c>
      <c r="Q328" t="s">
        <v>2805</v>
      </c>
      <c r="R328" t="s">
        <v>1880</v>
      </c>
      <c r="S328" t="s">
        <v>2806</v>
      </c>
      <c r="T328" s="6">
        <v>4600000000</v>
      </c>
      <c r="U328" s="45">
        <f>VLOOKUP(B328,realPrices!C:G,5,0)</f>
        <v>5108888888</v>
      </c>
      <c r="Z328"/>
    </row>
    <row r="329" spans="1:26" x14ac:dyDescent="0.25">
      <c r="A329" t="s">
        <v>147</v>
      </c>
      <c r="B329" t="s">
        <v>1881</v>
      </c>
      <c r="C329">
        <v>291</v>
      </c>
      <c r="D329" t="s">
        <v>59</v>
      </c>
      <c r="E329" t="s">
        <v>994</v>
      </c>
      <c r="F329" t="s">
        <v>905</v>
      </c>
      <c r="G329">
        <v>999999</v>
      </c>
      <c r="H329">
        <v>1395</v>
      </c>
      <c r="I329" t="s">
        <v>1882</v>
      </c>
      <c r="J329" t="s">
        <v>1101</v>
      </c>
      <c r="K329" t="s">
        <v>1883</v>
      </c>
      <c r="L329" t="s">
        <v>104</v>
      </c>
      <c r="M329">
        <v>29111</v>
      </c>
      <c r="N329" t="s">
        <v>62</v>
      </c>
      <c r="P329" t="s">
        <v>2787</v>
      </c>
      <c r="Q329" t="s">
        <v>1884</v>
      </c>
      <c r="R329" t="s">
        <v>1885</v>
      </c>
      <c r="S329" t="s">
        <v>2807</v>
      </c>
      <c r="T329" s="6">
        <v>950000000</v>
      </c>
      <c r="U329" s="45">
        <f>VLOOKUP(B329,realPrices!C:G,5,0)</f>
        <v>1710000000</v>
      </c>
      <c r="Z329"/>
    </row>
    <row r="330" spans="1:26" x14ac:dyDescent="0.25">
      <c r="A330" t="s">
        <v>155</v>
      </c>
      <c r="B330" t="s">
        <v>2808</v>
      </c>
      <c r="C330">
        <v>351</v>
      </c>
      <c r="D330" t="s">
        <v>59</v>
      </c>
      <c r="E330" t="s">
        <v>60</v>
      </c>
      <c r="F330" t="s">
        <v>905</v>
      </c>
      <c r="G330">
        <v>999999</v>
      </c>
      <c r="H330">
        <v>1401</v>
      </c>
      <c r="I330" t="s">
        <v>2809</v>
      </c>
      <c r="J330" t="s">
        <v>1101</v>
      </c>
      <c r="K330" t="s">
        <v>2810</v>
      </c>
      <c r="L330" t="s">
        <v>128</v>
      </c>
      <c r="M330">
        <v>35101</v>
      </c>
      <c r="N330" t="s">
        <v>62</v>
      </c>
      <c r="P330" t="s">
        <v>2462</v>
      </c>
      <c r="Q330" t="s">
        <v>2811</v>
      </c>
      <c r="R330" t="s">
        <v>1890</v>
      </c>
      <c r="S330" t="s">
        <v>1019</v>
      </c>
      <c r="T330" s="6">
        <v>1700000000</v>
      </c>
      <c r="U330" s="45">
        <f>VLOOKUP(B330,realPrices!C:G,5,0)</f>
        <v>2306666666</v>
      </c>
      <c r="Z330"/>
    </row>
    <row r="331" spans="1:26" x14ac:dyDescent="0.25">
      <c r="A331" t="s">
        <v>762</v>
      </c>
      <c r="B331" t="s">
        <v>2812</v>
      </c>
      <c r="C331">
        <v>285</v>
      </c>
      <c r="D331" t="s">
        <v>59</v>
      </c>
      <c r="E331" t="s">
        <v>60</v>
      </c>
      <c r="F331" t="s">
        <v>905</v>
      </c>
      <c r="G331">
        <v>999999</v>
      </c>
      <c r="H331">
        <v>1396</v>
      </c>
      <c r="I331" t="s">
        <v>2813</v>
      </c>
      <c r="J331" t="s">
        <v>1101</v>
      </c>
      <c r="K331" t="s">
        <v>2814</v>
      </c>
      <c r="L331" t="s">
        <v>84</v>
      </c>
      <c r="M331">
        <v>28515</v>
      </c>
      <c r="N331" t="s">
        <v>62</v>
      </c>
      <c r="P331" t="s">
        <v>2815</v>
      </c>
      <c r="Q331" t="s">
        <v>2816</v>
      </c>
      <c r="R331" t="s">
        <v>1895</v>
      </c>
      <c r="S331" t="s">
        <v>1069</v>
      </c>
      <c r="T331" s="6">
        <v>2900000000</v>
      </c>
      <c r="U331" s="45">
        <f>VLOOKUP(B331,realPrices!C:G,5,0)</f>
        <v>3510000000</v>
      </c>
      <c r="Z331"/>
    </row>
    <row r="332" spans="1:26" x14ac:dyDescent="0.25">
      <c r="A332" t="s">
        <v>958</v>
      </c>
      <c r="B332" t="s">
        <v>1896</v>
      </c>
      <c r="C332">
        <v>600</v>
      </c>
      <c r="D332" t="s">
        <v>59</v>
      </c>
      <c r="E332" t="s">
        <v>60</v>
      </c>
      <c r="F332" t="s">
        <v>905</v>
      </c>
      <c r="G332">
        <v>999999</v>
      </c>
      <c r="H332">
        <v>1402</v>
      </c>
      <c r="I332" t="s">
        <v>1897</v>
      </c>
      <c r="J332" t="s">
        <v>1101</v>
      </c>
      <c r="K332" t="s">
        <v>1898</v>
      </c>
      <c r="L332" t="s">
        <v>962</v>
      </c>
      <c r="M332">
        <v>60017</v>
      </c>
      <c r="N332" t="s">
        <v>963</v>
      </c>
      <c r="P332" t="s">
        <v>2493</v>
      </c>
      <c r="Q332" t="s">
        <v>1899</v>
      </c>
      <c r="R332" t="s">
        <v>1900</v>
      </c>
      <c r="S332" t="s">
        <v>973</v>
      </c>
      <c r="T332" s="6">
        <v>3900000000</v>
      </c>
      <c r="U332" s="45">
        <f>VLOOKUP(B332,realPrices!C:G,5,0)</f>
        <v>3170000000</v>
      </c>
      <c r="Z332"/>
    </row>
    <row r="333" spans="1:26" x14ac:dyDescent="0.25">
      <c r="A333" t="s">
        <v>2453</v>
      </c>
      <c r="B333" t="s">
        <v>2817</v>
      </c>
      <c r="C333">
        <v>274</v>
      </c>
      <c r="D333" t="s">
        <v>59</v>
      </c>
      <c r="E333" t="s">
        <v>60</v>
      </c>
      <c r="F333" t="s">
        <v>905</v>
      </c>
      <c r="G333">
        <v>999999</v>
      </c>
      <c r="H333">
        <v>1397</v>
      </c>
      <c r="I333" t="s">
        <v>2818</v>
      </c>
      <c r="J333" t="s">
        <v>1101</v>
      </c>
      <c r="K333" t="s">
        <v>2819</v>
      </c>
      <c r="L333" t="s">
        <v>89</v>
      </c>
      <c r="M333">
        <v>27430</v>
      </c>
      <c r="N333" t="s">
        <v>62</v>
      </c>
      <c r="P333" t="s">
        <v>2457</v>
      </c>
      <c r="Q333" t="s">
        <v>2820</v>
      </c>
      <c r="R333" t="s">
        <v>1905</v>
      </c>
      <c r="S333" t="s">
        <v>1000</v>
      </c>
      <c r="T333" s="6">
        <v>2100000000</v>
      </c>
      <c r="U333" s="45">
        <f>VLOOKUP(B333,realPrices!C:G,5,0)</f>
        <v>2870000000</v>
      </c>
      <c r="Z333"/>
    </row>
    <row r="334" spans="1:26" x14ac:dyDescent="0.25">
      <c r="A334" t="s">
        <v>82</v>
      </c>
      <c r="B334" t="s">
        <v>2821</v>
      </c>
      <c r="C334">
        <v>285</v>
      </c>
      <c r="D334" t="s">
        <v>59</v>
      </c>
      <c r="E334" t="s">
        <v>60</v>
      </c>
      <c r="F334" t="s">
        <v>905</v>
      </c>
      <c r="G334">
        <v>999999</v>
      </c>
      <c r="H334">
        <v>1401</v>
      </c>
      <c r="I334" t="s">
        <v>2822</v>
      </c>
      <c r="J334" t="s">
        <v>1101</v>
      </c>
      <c r="K334" t="s">
        <v>2823</v>
      </c>
      <c r="L334" t="s">
        <v>84</v>
      </c>
      <c r="M334">
        <v>28520</v>
      </c>
      <c r="N334" t="s">
        <v>62</v>
      </c>
      <c r="P334" t="s">
        <v>2440</v>
      </c>
      <c r="Q334" t="s">
        <v>2824</v>
      </c>
      <c r="R334" t="s">
        <v>1910</v>
      </c>
      <c r="S334" t="s">
        <v>1338</v>
      </c>
      <c r="T334" s="6">
        <v>3000000000</v>
      </c>
      <c r="U334" s="45">
        <f>VLOOKUP(B334,realPrices!C:G,5,0)</f>
        <v>4120000000</v>
      </c>
      <c r="Z334"/>
    </row>
    <row r="335" spans="1:26" x14ac:dyDescent="0.25">
      <c r="A335" t="s">
        <v>773</v>
      </c>
      <c r="B335" t="s">
        <v>1911</v>
      </c>
      <c r="C335">
        <v>351</v>
      </c>
      <c r="D335" t="s">
        <v>59</v>
      </c>
      <c r="E335" t="s">
        <v>60</v>
      </c>
      <c r="F335" t="s">
        <v>905</v>
      </c>
      <c r="G335">
        <v>999999</v>
      </c>
      <c r="H335">
        <v>1401</v>
      </c>
      <c r="I335" t="s">
        <v>1912</v>
      </c>
      <c r="J335" t="s">
        <v>1101</v>
      </c>
      <c r="K335" t="s">
        <v>1913</v>
      </c>
      <c r="L335" t="s">
        <v>128</v>
      </c>
      <c r="M335">
        <v>35102</v>
      </c>
      <c r="N335" t="s">
        <v>62</v>
      </c>
      <c r="P335" t="s">
        <v>2551</v>
      </c>
      <c r="Q335" t="s">
        <v>1914</v>
      </c>
      <c r="R335" t="s">
        <v>1915</v>
      </c>
      <c r="S335" t="s">
        <v>1332</v>
      </c>
      <c r="T335" s="6">
        <v>2500000000</v>
      </c>
      <c r="U335" s="45">
        <f>VLOOKUP(B335,realPrices!C:G,5,0)</f>
        <v>2235800000</v>
      </c>
      <c r="Z335"/>
    </row>
    <row r="336" spans="1:26" x14ac:dyDescent="0.25">
      <c r="A336" t="s">
        <v>967</v>
      </c>
      <c r="B336" t="s">
        <v>1916</v>
      </c>
      <c r="C336">
        <v>282</v>
      </c>
      <c r="D336" t="s">
        <v>59</v>
      </c>
      <c r="E336" t="s">
        <v>60</v>
      </c>
      <c r="F336" t="s">
        <v>905</v>
      </c>
      <c r="G336">
        <v>999999</v>
      </c>
      <c r="H336">
        <v>1400</v>
      </c>
      <c r="I336" t="s">
        <v>1917</v>
      </c>
      <c r="J336" t="s">
        <v>1101</v>
      </c>
      <c r="K336" t="s">
        <v>1918</v>
      </c>
      <c r="L336" t="s">
        <v>112</v>
      </c>
      <c r="M336">
        <v>28242</v>
      </c>
      <c r="N336" t="s">
        <v>62</v>
      </c>
      <c r="P336" t="s">
        <v>2483</v>
      </c>
      <c r="Q336" t="s">
        <v>1919</v>
      </c>
      <c r="R336" t="s">
        <v>1920</v>
      </c>
      <c r="S336" t="s">
        <v>1069</v>
      </c>
      <c r="T336" s="6">
        <v>2900000000</v>
      </c>
      <c r="U336" s="45">
        <f>VLOOKUP(B336,realPrices!C:G,5,0)</f>
        <v>2655850000</v>
      </c>
      <c r="Z336"/>
    </row>
    <row r="337" spans="1:26" x14ac:dyDescent="0.25">
      <c r="A337" t="s">
        <v>2825</v>
      </c>
      <c r="B337" t="s">
        <v>2826</v>
      </c>
      <c r="C337">
        <v>555</v>
      </c>
      <c r="D337" t="s">
        <v>904</v>
      </c>
      <c r="E337" t="s">
        <v>994</v>
      </c>
      <c r="F337" t="s">
        <v>905</v>
      </c>
      <c r="G337">
        <v>999999</v>
      </c>
      <c r="H337">
        <v>1402</v>
      </c>
      <c r="I337" t="s">
        <v>2827</v>
      </c>
      <c r="J337" t="s">
        <v>1101</v>
      </c>
      <c r="K337" t="s">
        <v>2828</v>
      </c>
      <c r="L337" t="s">
        <v>2829</v>
      </c>
      <c r="M337">
        <v>55507</v>
      </c>
      <c r="N337" t="s">
        <v>62</v>
      </c>
      <c r="P337" t="s">
        <v>2830</v>
      </c>
      <c r="Q337" t="s">
        <v>2831</v>
      </c>
      <c r="R337" t="s">
        <v>1926</v>
      </c>
      <c r="S337" t="s">
        <v>1338</v>
      </c>
      <c r="T337" s="6">
        <v>3000000000</v>
      </c>
      <c r="U337" s="45">
        <f>VLOOKUP(B337,realPrices!C:G,5,0)</f>
        <v>3900000999</v>
      </c>
      <c r="Z337"/>
    </row>
    <row r="338" spans="1:26" x14ac:dyDescent="0.25">
      <c r="A338" t="s">
        <v>1038</v>
      </c>
      <c r="B338" t="s">
        <v>2832</v>
      </c>
      <c r="C338">
        <v>293</v>
      </c>
      <c r="D338" t="s">
        <v>59</v>
      </c>
      <c r="E338" t="s">
        <v>60</v>
      </c>
      <c r="F338" t="s">
        <v>905</v>
      </c>
      <c r="G338">
        <v>999999</v>
      </c>
      <c r="H338">
        <v>1394</v>
      </c>
      <c r="I338" t="s">
        <v>2833</v>
      </c>
      <c r="J338" t="s">
        <v>1101</v>
      </c>
      <c r="K338" t="s">
        <v>2834</v>
      </c>
      <c r="L338" t="s">
        <v>97</v>
      </c>
      <c r="M338">
        <v>29339</v>
      </c>
      <c r="N338" t="s">
        <v>62</v>
      </c>
      <c r="P338" t="s">
        <v>2835</v>
      </c>
      <c r="Q338" t="s">
        <v>2836</v>
      </c>
      <c r="R338" t="s">
        <v>1931</v>
      </c>
      <c r="S338" t="s">
        <v>2479</v>
      </c>
      <c r="T338" s="6">
        <v>1100000000</v>
      </c>
      <c r="U338" s="45">
        <f>VLOOKUP(B338,realPrices!C:G,5,0)</f>
        <v>1511111111</v>
      </c>
      <c r="Z338"/>
    </row>
    <row r="339" spans="1:26" x14ac:dyDescent="0.25">
      <c r="A339" t="s">
        <v>2837</v>
      </c>
      <c r="B339" t="s">
        <v>2838</v>
      </c>
      <c r="C339">
        <v>291</v>
      </c>
      <c r="D339" t="s">
        <v>59</v>
      </c>
      <c r="E339" t="s">
        <v>994</v>
      </c>
      <c r="F339" t="s">
        <v>905</v>
      </c>
      <c r="G339">
        <v>999999</v>
      </c>
      <c r="H339">
        <v>1400</v>
      </c>
      <c r="I339" t="s">
        <v>2839</v>
      </c>
      <c r="J339" t="s">
        <v>907</v>
      </c>
      <c r="K339" t="s">
        <v>2840</v>
      </c>
      <c r="L339" t="s">
        <v>104</v>
      </c>
      <c r="M339">
        <v>29126</v>
      </c>
      <c r="N339" t="s">
        <v>62</v>
      </c>
      <c r="P339" t="s">
        <v>2841</v>
      </c>
      <c r="Q339" t="s">
        <v>2842</v>
      </c>
      <c r="R339" t="s">
        <v>1936</v>
      </c>
      <c r="S339" t="s">
        <v>1184</v>
      </c>
      <c r="T339" s="6">
        <v>1400000000</v>
      </c>
      <c r="U339" s="45">
        <f>VLOOKUP(B339,realPrices!C:G,5,0)</f>
        <v>2412000000</v>
      </c>
      <c r="Z339"/>
    </row>
    <row r="340" spans="1:26" x14ac:dyDescent="0.25">
      <c r="A340" t="s">
        <v>762</v>
      </c>
      <c r="B340" t="s">
        <v>1937</v>
      </c>
      <c r="C340">
        <v>285</v>
      </c>
      <c r="D340" t="s">
        <v>59</v>
      </c>
      <c r="E340" t="s">
        <v>60</v>
      </c>
      <c r="F340" t="s">
        <v>905</v>
      </c>
      <c r="G340">
        <v>999999</v>
      </c>
      <c r="H340">
        <v>1396</v>
      </c>
      <c r="I340" t="s">
        <v>1938</v>
      </c>
      <c r="J340" t="s">
        <v>1101</v>
      </c>
      <c r="K340" t="s">
        <v>1939</v>
      </c>
      <c r="L340" t="s">
        <v>84</v>
      </c>
      <c r="M340">
        <v>28515</v>
      </c>
      <c r="N340" t="s">
        <v>62</v>
      </c>
      <c r="P340" t="s">
        <v>2815</v>
      </c>
      <c r="Q340" t="s">
        <v>1940</v>
      </c>
      <c r="R340" t="s">
        <v>1941</v>
      </c>
      <c r="S340" t="s">
        <v>966</v>
      </c>
      <c r="T340" s="6">
        <v>2600000000</v>
      </c>
      <c r="U340" s="45">
        <f>VLOOKUP(B340,realPrices!C:G,5,0)</f>
        <v>2852000000</v>
      </c>
      <c r="Z340"/>
    </row>
    <row r="341" spans="1:26" x14ac:dyDescent="0.25">
      <c r="A341" t="s">
        <v>466</v>
      </c>
      <c r="B341" t="s">
        <v>2843</v>
      </c>
      <c r="C341">
        <v>707</v>
      </c>
      <c r="D341" t="s">
        <v>904</v>
      </c>
      <c r="E341" t="s">
        <v>60</v>
      </c>
      <c r="F341" t="s">
        <v>905</v>
      </c>
      <c r="G341">
        <v>999999</v>
      </c>
      <c r="H341">
        <v>1400</v>
      </c>
      <c r="I341" t="s">
        <v>2844</v>
      </c>
      <c r="J341" t="s">
        <v>1101</v>
      </c>
      <c r="K341" t="s">
        <v>2845</v>
      </c>
      <c r="L341" t="s">
        <v>465</v>
      </c>
      <c r="M341">
        <v>70702</v>
      </c>
      <c r="N341" t="s">
        <v>62</v>
      </c>
      <c r="P341" t="s">
        <v>2655</v>
      </c>
      <c r="Q341" t="s">
        <v>2846</v>
      </c>
      <c r="R341" t="s">
        <v>1947</v>
      </c>
      <c r="S341" t="s">
        <v>1239</v>
      </c>
      <c r="T341" s="6">
        <v>4200000000</v>
      </c>
      <c r="U341" s="45">
        <f>VLOOKUP(B341,realPrices!C:G,5,0)</f>
        <v>4869999999</v>
      </c>
      <c r="Z341"/>
    </row>
    <row r="342" spans="1:26" x14ac:dyDescent="0.25">
      <c r="A342" t="s">
        <v>2847</v>
      </c>
      <c r="B342" t="s">
        <v>2848</v>
      </c>
      <c r="C342">
        <v>285</v>
      </c>
      <c r="D342" t="s">
        <v>904</v>
      </c>
      <c r="E342" t="s">
        <v>60</v>
      </c>
      <c r="F342" t="s">
        <v>905</v>
      </c>
      <c r="G342">
        <v>999999</v>
      </c>
      <c r="H342">
        <v>1401</v>
      </c>
      <c r="I342" t="s">
        <v>2849</v>
      </c>
      <c r="J342" t="s">
        <v>1101</v>
      </c>
      <c r="K342" t="s">
        <v>2850</v>
      </c>
      <c r="L342" t="s">
        <v>84</v>
      </c>
      <c r="M342">
        <v>28527</v>
      </c>
      <c r="N342" t="s">
        <v>62</v>
      </c>
      <c r="P342" t="s">
        <v>2851</v>
      </c>
      <c r="Q342" t="s">
        <v>2852</v>
      </c>
      <c r="R342" t="s">
        <v>1952</v>
      </c>
      <c r="S342" t="s">
        <v>957</v>
      </c>
      <c r="T342" s="6">
        <v>3800000000</v>
      </c>
      <c r="U342" s="45">
        <f>VLOOKUP(B342,realPrices!C:G,5,0)</f>
        <v>3820000999</v>
      </c>
      <c r="Z342"/>
    </row>
    <row r="343" spans="1:26" x14ac:dyDescent="0.25">
      <c r="A343" t="s">
        <v>113</v>
      </c>
      <c r="B343" t="s">
        <v>2853</v>
      </c>
      <c r="C343">
        <v>610</v>
      </c>
      <c r="D343" t="s">
        <v>59</v>
      </c>
      <c r="E343" t="s">
        <v>60</v>
      </c>
      <c r="F343" t="s">
        <v>905</v>
      </c>
      <c r="G343">
        <v>999999</v>
      </c>
      <c r="H343">
        <v>1401</v>
      </c>
      <c r="I343" t="s">
        <v>2854</v>
      </c>
      <c r="J343" t="s">
        <v>1101</v>
      </c>
      <c r="K343" t="s">
        <v>2855</v>
      </c>
      <c r="L343" t="s">
        <v>115</v>
      </c>
      <c r="M343">
        <v>61015</v>
      </c>
      <c r="N343" t="s">
        <v>62</v>
      </c>
      <c r="P343" t="s">
        <v>2471</v>
      </c>
      <c r="Q343" t="s">
        <v>2856</v>
      </c>
      <c r="R343" t="s">
        <v>1958</v>
      </c>
      <c r="S343" t="s">
        <v>1069</v>
      </c>
      <c r="T343" s="6">
        <v>2900000000</v>
      </c>
      <c r="U343" s="45">
        <f>VLOOKUP(B343,realPrices!C:G,5,0)</f>
        <v>3366666666</v>
      </c>
      <c r="Z343"/>
    </row>
    <row r="344" spans="1:26" x14ac:dyDescent="0.25">
      <c r="A344" t="s">
        <v>656</v>
      </c>
      <c r="B344" t="s">
        <v>1959</v>
      </c>
      <c r="C344">
        <v>323</v>
      </c>
      <c r="D344" t="s">
        <v>952</v>
      </c>
      <c r="E344" t="s">
        <v>60</v>
      </c>
      <c r="F344" t="s">
        <v>905</v>
      </c>
      <c r="G344">
        <v>999999</v>
      </c>
      <c r="H344">
        <v>1402</v>
      </c>
      <c r="I344" t="s">
        <v>1960</v>
      </c>
      <c r="J344" t="s">
        <v>1101</v>
      </c>
      <c r="K344" t="s">
        <v>1961</v>
      </c>
      <c r="L344" t="s">
        <v>649</v>
      </c>
      <c r="M344">
        <v>32301</v>
      </c>
      <c r="N344" t="s">
        <v>62</v>
      </c>
      <c r="P344" t="s">
        <v>2614</v>
      </c>
      <c r="Q344" t="s">
        <v>1962</v>
      </c>
      <c r="R344" t="s">
        <v>1963</v>
      </c>
      <c r="S344" t="s">
        <v>2857</v>
      </c>
      <c r="T344" s="6">
        <v>5700000000</v>
      </c>
      <c r="U344" s="45">
        <f>VLOOKUP(B344,realPrices!C:G,5,0)</f>
        <v>5334999999</v>
      </c>
      <c r="Z344"/>
    </row>
    <row r="345" spans="1:26" x14ac:dyDescent="0.25">
      <c r="A345" t="s">
        <v>2858</v>
      </c>
      <c r="B345" t="s">
        <v>2859</v>
      </c>
      <c r="C345">
        <v>285</v>
      </c>
      <c r="D345" t="s">
        <v>1079</v>
      </c>
      <c r="E345" t="s">
        <v>60</v>
      </c>
      <c r="F345" t="s">
        <v>905</v>
      </c>
      <c r="G345">
        <v>999999</v>
      </c>
      <c r="H345">
        <v>1399</v>
      </c>
      <c r="I345" t="s">
        <v>2860</v>
      </c>
      <c r="J345" t="s">
        <v>1101</v>
      </c>
      <c r="K345" t="s">
        <v>2861</v>
      </c>
      <c r="L345" t="s">
        <v>84</v>
      </c>
      <c r="M345">
        <v>28523</v>
      </c>
      <c r="N345" t="s">
        <v>62</v>
      </c>
      <c r="P345" t="s">
        <v>2862</v>
      </c>
      <c r="Q345" t="s">
        <v>2863</v>
      </c>
      <c r="R345" t="s">
        <v>1968</v>
      </c>
      <c r="S345" t="s">
        <v>1069</v>
      </c>
      <c r="T345" s="6">
        <v>2900000000</v>
      </c>
      <c r="U345" s="45">
        <f>VLOOKUP(B345,realPrices!C:G,5,0)</f>
        <v>3415555555</v>
      </c>
      <c r="Z345"/>
    </row>
    <row r="346" spans="1:26" x14ac:dyDescent="0.25">
      <c r="A346" t="s">
        <v>656</v>
      </c>
      <c r="B346" t="s">
        <v>2864</v>
      </c>
      <c r="C346">
        <v>323</v>
      </c>
      <c r="D346" t="s">
        <v>952</v>
      </c>
      <c r="E346" t="s">
        <v>60</v>
      </c>
      <c r="F346" t="s">
        <v>905</v>
      </c>
      <c r="G346">
        <v>999999</v>
      </c>
      <c r="H346">
        <v>1400</v>
      </c>
      <c r="I346" t="s">
        <v>2865</v>
      </c>
      <c r="J346" t="s">
        <v>1101</v>
      </c>
      <c r="K346" t="s">
        <v>2866</v>
      </c>
      <c r="L346" t="s">
        <v>649</v>
      </c>
      <c r="M346">
        <v>32301</v>
      </c>
      <c r="N346" t="s">
        <v>62</v>
      </c>
      <c r="P346" t="s">
        <v>2614</v>
      </c>
      <c r="Q346" t="s">
        <v>2867</v>
      </c>
      <c r="R346" t="s">
        <v>1973</v>
      </c>
      <c r="S346" t="s">
        <v>2703</v>
      </c>
      <c r="T346" s="6">
        <v>4000000000</v>
      </c>
      <c r="U346" s="45">
        <f>VLOOKUP(B346,realPrices!C:G,5,0)</f>
        <v>4124000000</v>
      </c>
      <c r="Z346"/>
    </row>
    <row r="347" spans="1:26" x14ac:dyDescent="0.25">
      <c r="A347" t="s">
        <v>389</v>
      </c>
      <c r="B347" t="s">
        <v>1974</v>
      </c>
      <c r="C347">
        <v>351</v>
      </c>
      <c r="D347" t="s">
        <v>59</v>
      </c>
      <c r="E347" t="s">
        <v>60</v>
      </c>
      <c r="F347" t="s">
        <v>905</v>
      </c>
      <c r="G347">
        <v>999999</v>
      </c>
      <c r="H347">
        <v>1401</v>
      </c>
      <c r="I347" t="s">
        <v>1975</v>
      </c>
      <c r="J347" t="s">
        <v>1101</v>
      </c>
      <c r="K347" t="s">
        <v>1976</v>
      </c>
      <c r="L347" t="s">
        <v>128</v>
      </c>
      <c r="M347">
        <v>35103</v>
      </c>
      <c r="N347" t="s">
        <v>62</v>
      </c>
      <c r="P347" t="s">
        <v>2542</v>
      </c>
      <c r="Q347" t="s">
        <v>1977</v>
      </c>
      <c r="R347" t="s">
        <v>1978</v>
      </c>
      <c r="S347" t="s">
        <v>1056</v>
      </c>
      <c r="T347" s="6">
        <v>3500000000</v>
      </c>
      <c r="U347" s="45">
        <f>VLOOKUP(B347,realPrices!C:G,5,0)</f>
        <v>2800000000</v>
      </c>
      <c r="Z347"/>
    </row>
    <row r="348" spans="1:26" x14ac:dyDescent="0.25">
      <c r="A348" t="s">
        <v>979</v>
      </c>
      <c r="B348" t="s">
        <v>2868</v>
      </c>
      <c r="C348">
        <v>282</v>
      </c>
      <c r="D348" t="s">
        <v>59</v>
      </c>
      <c r="E348" t="s">
        <v>60</v>
      </c>
      <c r="F348" t="s">
        <v>905</v>
      </c>
      <c r="G348">
        <v>999999</v>
      </c>
      <c r="H348">
        <v>1394</v>
      </c>
      <c r="I348" t="s">
        <v>2869</v>
      </c>
      <c r="J348" t="s">
        <v>1101</v>
      </c>
      <c r="K348" t="s">
        <v>2870</v>
      </c>
      <c r="L348" t="s">
        <v>112</v>
      </c>
      <c r="M348">
        <v>28228</v>
      </c>
      <c r="N348" t="s">
        <v>62</v>
      </c>
      <c r="P348" t="s">
        <v>2871</v>
      </c>
      <c r="Q348" t="s">
        <v>2872</v>
      </c>
      <c r="R348" t="s">
        <v>1984</v>
      </c>
      <c r="S348" t="s">
        <v>1007</v>
      </c>
      <c r="T348" s="6">
        <v>2300000000</v>
      </c>
      <c r="U348" s="45">
        <f>VLOOKUP(B348,realPrices!C:G,5,0)</f>
        <v>2659999999</v>
      </c>
      <c r="Z348"/>
    </row>
    <row r="349" spans="1:26" x14ac:dyDescent="0.25">
      <c r="A349" t="s">
        <v>741</v>
      </c>
      <c r="B349" t="s">
        <v>1985</v>
      </c>
      <c r="C349">
        <v>518</v>
      </c>
      <c r="D349" t="s">
        <v>1028</v>
      </c>
      <c r="E349" t="s">
        <v>60</v>
      </c>
      <c r="F349" t="s">
        <v>905</v>
      </c>
      <c r="G349">
        <v>999999</v>
      </c>
      <c r="H349">
        <v>1401</v>
      </c>
      <c r="I349" t="s">
        <v>1986</v>
      </c>
      <c r="J349" t="s">
        <v>907</v>
      </c>
      <c r="K349" t="s">
        <v>1987</v>
      </c>
      <c r="L349" t="s">
        <v>742</v>
      </c>
      <c r="M349">
        <v>51802</v>
      </c>
      <c r="N349" t="s">
        <v>963</v>
      </c>
      <c r="P349" t="s">
        <v>2673</v>
      </c>
      <c r="Q349" t="s">
        <v>1988</v>
      </c>
      <c r="R349" t="s">
        <v>1989</v>
      </c>
      <c r="S349" t="s">
        <v>2873</v>
      </c>
      <c r="T349" s="6">
        <v>6000000000</v>
      </c>
      <c r="U349" s="45">
        <f>VLOOKUP(B349,realPrices!C:G,5,0)</f>
        <v>6166666667</v>
      </c>
      <c r="Z349"/>
    </row>
    <row r="350" spans="1:26" x14ac:dyDescent="0.25">
      <c r="A350" t="s">
        <v>2874</v>
      </c>
      <c r="B350" t="s">
        <v>2875</v>
      </c>
      <c r="C350">
        <v>285</v>
      </c>
      <c r="D350" t="s">
        <v>904</v>
      </c>
      <c r="E350" t="s">
        <v>60</v>
      </c>
      <c r="F350" t="s">
        <v>905</v>
      </c>
      <c r="G350">
        <v>999999</v>
      </c>
      <c r="H350">
        <v>1402</v>
      </c>
      <c r="I350" t="s">
        <v>2876</v>
      </c>
      <c r="J350" t="s">
        <v>1101</v>
      </c>
      <c r="K350" t="s">
        <v>2877</v>
      </c>
      <c r="L350" t="s">
        <v>84</v>
      </c>
      <c r="M350">
        <v>28529</v>
      </c>
      <c r="N350" t="s">
        <v>62</v>
      </c>
      <c r="P350" t="s">
        <v>2878</v>
      </c>
      <c r="Q350" t="s">
        <v>2879</v>
      </c>
      <c r="R350" t="s">
        <v>1995</v>
      </c>
      <c r="S350" t="s">
        <v>1239</v>
      </c>
      <c r="T350" s="6">
        <v>4200000000</v>
      </c>
      <c r="U350" s="45">
        <f>VLOOKUP(B350,realPrices!C:G,5,0)</f>
        <v>6480000000</v>
      </c>
      <c r="Z350"/>
    </row>
    <row r="351" spans="1:26" x14ac:dyDescent="0.25">
      <c r="A351" t="s">
        <v>979</v>
      </c>
      <c r="B351" t="s">
        <v>2880</v>
      </c>
      <c r="C351">
        <v>282</v>
      </c>
      <c r="D351" t="s">
        <v>59</v>
      </c>
      <c r="E351" t="s">
        <v>60</v>
      </c>
      <c r="F351" t="s">
        <v>905</v>
      </c>
      <c r="G351">
        <v>999999</v>
      </c>
      <c r="H351">
        <v>1393</v>
      </c>
      <c r="I351" t="s">
        <v>2881</v>
      </c>
      <c r="J351" t="s">
        <v>1101</v>
      </c>
      <c r="K351" t="s">
        <v>2882</v>
      </c>
      <c r="L351" t="s">
        <v>112</v>
      </c>
      <c r="M351">
        <v>28228</v>
      </c>
      <c r="N351" t="s">
        <v>62</v>
      </c>
      <c r="P351" t="s">
        <v>2871</v>
      </c>
      <c r="Q351" t="s">
        <v>2883</v>
      </c>
      <c r="R351" t="s">
        <v>2000</v>
      </c>
      <c r="S351" t="s">
        <v>2783</v>
      </c>
      <c r="T351" s="6">
        <v>1200000000</v>
      </c>
      <c r="U351" s="45">
        <f>VLOOKUP(B351,realPrices!C:G,5,0)</f>
        <v>2015999999</v>
      </c>
      <c r="Z351"/>
    </row>
    <row r="352" spans="1:26" x14ac:dyDescent="0.25">
      <c r="A352" t="s">
        <v>2884</v>
      </c>
      <c r="B352" t="s">
        <v>2885</v>
      </c>
      <c r="C352">
        <v>518</v>
      </c>
      <c r="D352" t="s">
        <v>1079</v>
      </c>
      <c r="E352" t="s">
        <v>60</v>
      </c>
      <c r="F352" t="s">
        <v>905</v>
      </c>
      <c r="G352">
        <v>999999</v>
      </c>
      <c r="H352">
        <v>1396</v>
      </c>
      <c r="I352" t="s">
        <v>2886</v>
      </c>
      <c r="J352" t="s">
        <v>1101</v>
      </c>
      <c r="K352" t="s">
        <v>2887</v>
      </c>
      <c r="L352" t="s">
        <v>742</v>
      </c>
      <c r="M352">
        <v>51801</v>
      </c>
      <c r="N352" t="s">
        <v>963</v>
      </c>
      <c r="P352" t="s">
        <v>2888</v>
      </c>
      <c r="Q352" t="s">
        <v>2889</v>
      </c>
      <c r="R352" t="s">
        <v>2006</v>
      </c>
      <c r="S352" t="s">
        <v>2890</v>
      </c>
      <c r="T352" s="6">
        <v>4300000000</v>
      </c>
      <c r="U352" s="45">
        <f>VLOOKUP(B352,realPrices!C:G,5,0)</f>
        <v>5266660000</v>
      </c>
      <c r="Z352"/>
    </row>
    <row r="353" spans="1:26" x14ac:dyDescent="0.25">
      <c r="A353" t="s">
        <v>2547</v>
      </c>
      <c r="B353" t="s">
        <v>2891</v>
      </c>
      <c r="C353">
        <v>351</v>
      </c>
      <c r="D353" t="s">
        <v>904</v>
      </c>
      <c r="E353" t="s">
        <v>60</v>
      </c>
      <c r="F353" t="s">
        <v>905</v>
      </c>
      <c r="G353">
        <v>999999</v>
      </c>
      <c r="H353">
        <v>1402</v>
      </c>
      <c r="I353" t="s">
        <v>2892</v>
      </c>
      <c r="J353" t="s">
        <v>907</v>
      </c>
      <c r="K353" t="s">
        <v>2893</v>
      </c>
      <c r="L353" t="s">
        <v>128</v>
      </c>
      <c r="M353">
        <v>35102</v>
      </c>
      <c r="N353" t="s">
        <v>62</v>
      </c>
      <c r="P353" t="s">
        <v>2551</v>
      </c>
      <c r="Q353" t="s">
        <v>2894</v>
      </c>
      <c r="R353" t="s">
        <v>2012</v>
      </c>
      <c r="S353" t="s">
        <v>936</v>
      </c>
      <c r="T353" s="6">
        <v>2000000000</v>
      </c>
      <c r="U353" s="45">
        <f>VLOOKUP(B353,realPrices!C:G,5,0)</f>
        <v>3769999999</v>
      </c>
      <c r="Z353"/>
    </row>
    <row r="354" spans="1:26" x14ac:dyDescent="0.25">
      <c r="A354" t="s">
        <v>768</v>
      </c>
      <c r="B354" t="s">
        <v>2895</v>
      </c>
      <c r="C354">
        <v>704</v>
      </c>
      <c r="D354" t="s">
        <v>59</v>
      </c>
      <c r="E354" t="s">
        <v>60</v>
      </c>
      <c r="F354" t="s">
        <v>905</v>
      </c>
      <c r="G354">
        <v>999999</v>
      </c>
      <c r="H354">
        <v>1401</v>
      </c>
      <c r="I354" t="s">
        <v>2896</v>
      </c>
      <c r="J354" t="s">
        <v>907</v>
      </c>
      <c r="K354" t="s">
        <v>2897</v>
      </c>
      <c r="L354" t="s">
        <v>546</v>
      </c>
      <c r="M354">
        <v>70406</v>
      </c>
      <c r="N354" t="s">
        <v>62</v>
      </c>
      <c r="P354" t="s">
        <v>2898</v>
      </c>
      <c r="Q354" t="s">
        <v>2899</v>
      </c>
      <c r="R354" t="s">
        <v>2017</v>
      </c>
      <c r="S354" t="s">
        <v>1069</v>
      </c>
      <c r="T354" s="6">
        <v>2900000000</v>
      </c>
      <c r="U354" s="45">
        <f>VLOOKUP(B354,realPrices!C:G,5,0)</f>
        <v>5009999999</v>
      </c>
      <c r="Z354"/>
    </row>
    <row r="355" spans="1:26" x14ac:dyDescent="0.25">
      <c r="A355" t="s">
        <v>967</v>
      </c>
      <c r="B355" t="s">
        <v>2018</v>
      </c>
      <c r="C355">
        <v>282</v>
      </c>
      <c r="D355" t="s">
        <v>59</v>
      </c>
      <c r="E355" t="s">
        <v>60</v>
      </c>
      <c r="F355" t="s">
        <v>905</v>
      </c>
      <c r="G355">
        <v>999999</v>
      </c>
      <c r="H355">
        <v>1400</v>
      </c>
      <c r="I355" t="s">
        <v>2019</v>
      </c>
      <c r="J355" t="s">
        <v>1101</v>
      </c>
      <c r="K355" t="s">
        <v>2020</v>
      </c>
      <c r="L355" t="s">
        <v>112</v>
      </c>
      <c r="M355">
        <v>28242</v>
      </c>
      <c r="N355" t="s">
        <v>62</v>
      </c>
      <c r="P355" t="s">
        <v>2483</v>
      </c>
      <c r="Q355" t="s">
        <v>2021</v>
      </c>
      <c r="R355" t="s">
        <v>2022</v>
      </c>
      <c r="S355" t="s">
        <v>950</v>
      </c>
      <c r="T355" s="6">
        <v>2700000000</v>
      </c>
      <c r="U355" s="45">
        <f>VLOOKUP(B355,realPrices!C:G,5,0)</f>
        <v>2709999990</v>
      </c>
      <c r="Z355"/>
    </row>
    <row r="356" spans="1:26" x14ac:dyDescent="0.25">
      <c r="A356" t="s">
        <v>1142</v>
      </c>
      <c r="B356" t="s">
        <v>2900</v>
      </c>
      <c r="C356">
        <v>169</v>
      </c>
      <c r="D356" t="s">
        <v>1079</v>
      </c>
      <c r="E356" t="s">
        <v>994</v>
      </c>
      <c r="F356" t="s">
        <v>905</v>
      </c>
      <c r="G356">
        <v>999999</v>
      </c>
      <c r="H356">
        <v>1402</v>
      </c>
      <c r="I356" t="s">
        <v>2901</v>
      </c>
      <c r="J356" t="s">
        <v>1101</v>
      </c>
      <c r="K356" t="s">
        <v>2902</v>
      </c>
      <c r="L356" t="s">
        <v>1146</v>
      </c>
      <c r="M356">
        <v>16903</v>
      </c>
      <c r="N356" t="s">
        <v>1147</v>
      </c>
      <c r="P356" t="s">
        <v>2903</v>
      </c>
      <c r="Q356" t="s">
        <v>2904</v>
      </c>
      <c r="R356" t="s">
        <v>2027</v>
      </c>
      <c r="S356" t="s">
        <v>1019</v>
      </c>
      <c r="T356" s="6">
        <v>1700000000</v>
      </c>
      <c r="U356" s="45">
        <f>VLOOKUP(B356,realPrices!C:G,5,0)</f>
        <v>2560000000</v>
      </c>
      <c r="Z356"/>
    </row>
    <row r="357" spans="1:26" x14ac:dyDescent="0.25">
      <c r="A357" t="s">
        <v>2028</v>
      </c>
      <c r="B357" t="s">
        <v>2029</v>
      </c>
      <c r="C357">
        <v>703</v>
      </c>
      <c r="D357" t="s">
        <v>952</v>
      </c>
      <c r="E357" t="s">
        <v>60</v>
      </c>
      <c r="F357" t="s">
        <v>905</v>
      </c>
      <c r="G357">
        <v>999999</v>
      </c>
      <c r="H357">
        <v>1401</v>
      </c>
      <c r="I357" t="s">
        <v>2030</v>
      </c>
      <c r="J357" t="s">
        <v>907</v>
      </c>
      <c r="K357" t="s">
        <v>2031</v>
      </c>
      <c r="L357" t="s">
        <v>412</v>
      </c>
      <c r="M357">
        <v>70322</v>
      </c>
      <c r="N357" t="s">
        <v>62</v>
      </c>
      <c r="P357" t="s">
        <v>2905</v>
      </c>
      <c r="Q357" t="s">
        <v>2032</v>
      </c>
      <c r="R357" t="s">
        <v>2033</v>
      </c>
      <c r="S357" t="s">
        <v>1423</v>
      </c>
      <c r="T357" s="6">
        <v>3200000000</v>
      </c>
      <c r="U357" s="45">
        <f>VLOOKUP(B357,realPrices!C:G,5,0)</f>
        <v>3333000000</v>
      </c>
      <c r="Z357"/>
    </row>
    <row r="358" spans="1:26" x14ac:dyDescent="0.25">
      <c r="A358" t="s">
        <v>373</v>
      </c>
      <c r="B358" t="s">
        <v>2906</v>
      </c>
      <c r="C358">
        <v>575</v>
      </c>
      <c r="D358" t="s">
        <v>904</v>
      </c>
      <c r="E358" t="s">
        <v>60</v>
      </c>
      <c r="F358" t="s">
        <v>905</v>
      </c>
      <c r="G358">
        <v>999999</v>
      </c>
      <c r="H358">
        <v>1401</v>
      </c>
      <c r="I358" t="s">
        <v>2907</v>
      </c>
      <c r="J358" t="s">
        <v>907</v>
      </c>
      <c r="K358" t="s">
        <v>2908</v>
      </c>
      <c r="L358" t="s">
        <v>124</v>
      </c>
      <c r="M358">
        <v>57519</v>
      </c>
      <c r="N358" t="s">
        <v>62</v>
      </c>
      <c r="P358" t="s">
        <v>2555</v>
      </c>
      <c r="Q358" t="s">
        <v>2909</v>
      </c>
      <c r="R358" t="s">
        <v>2039</v>
      </c>
      <c r="S358" t="s">
        <v>966</v>
      </c>
      <c r="T358" s="6">
        <v>2600000000</v>
      </c>
      <c r="U358" s="45">
        <f>VLOOKUP(B358,realPrices!C:G,5,0)</f>
        <v>3170000000</v>
      </c>
      <c r="Z358"/>
    </row>
    <row r="359" spans="1:26" x14ac:dyDescent="0.25">
      <c r="A359" t="s">
        <v>382</v>
      </c>
      <c r="B359" t="s">
        <v>2040</v>
      </c>
      <c r="C359">
        <v>575</v>
      </c>
      <c r="D359" t="s">
        <v>59</v>
      </c>
      <c r="E359" t="s">
        <v>60</v>
      </c>
      <c r="F359" t="s">
        <v>905</v>
      </c>
      <c r="G359">
        <v>999999</v>
      </c>
      <c r="H359">
        <v>1400</v>
      </c>
      <c r="I359" t="s">
        <v>2041</v>
      </c>
      <c r="J359" t="s">
        <v>1101</v>
      </c>
      <c r="K359" t="s">
        <v>2042</v>
      </c>
      <c r="L359" t="s">
        <v>124</v>
      </c>
      <c r="M359">
        <v>57519</v>
      </c>
      <c r="N359" t="s">
        <v>62</v>
      </c>
      <c r="P359" t="s">
        <v>2555</v>
      </c>
      <c r="Q359" t="s">
        <v>2043</v>
      </c>
      <c r="R359" t="s">
        <v>2044</v>
      </c>
      <c r="S359" t="s">
        <v>1069</v>
      </c>
      <c r="T359" s="6">
        <v>2900000000</v>
      </c>
      <c r="U359" s="45">
        <f>VLOOKUP(B359,realPrices!C:G,5,0)</f>
        <v>3110000000</v>
      </c>
      <c r="Z359"/>
    </row>
    <row r="360" spans="1:26" x14ac:dyDescent="0.25">
      <c r="A360" t="s">
        <v>155</v>
      </c>
      <c r="B360" t="s">
        <v>2910</v>
      </c>
      <c r="C360">
        <v>351</v>
      </c>
      <c r="D360" t="s">
        <v>59</v>
      </c>
      <c r="E360" t="s">
        <v>60</v>
      </c>
      <c r="F360" t="s">
        <v>905</v>
      </c>
      <c r="G360">
        <v>999999</v>
      </c>
      <c r="H360">
        <v>1401</v>
      </c>
      <c r="I360" t="s">
        <v>2911</v>
      </c>
      <c r="J360" t="s">
        <v>1101</v>
      </c>
      <c r="K360" t="s">
        <v>2912</v>
      </c>
      <c r="L360" t="s">
        <v>128</v>
      </c>
      <c r="M360">
        <v>35101</v>
      </c>
      <c r="N360" t="s">
        <v>62</v>
      </c>
      <c r="P360" t="s">
        <v>2462</v>
      </c>
      <c r="Q360" t="s">
        <v>2913</v>
      </c>
      <c r="R360" t="s">
        <v>2049</v>
      </c>
      <c r="S360" t="s">
        <v>1338</v>
      </c>
      <c r="T360" s="6">
        <v>3000000000</v>
      </c>
      <c r="U360" s="45">
        <f>VLOOKUP(B360,realPrices!C:G,5,0)</f>
        <v>3526666666</v>
      </c>
      <c r="Z360"/>
    </row>
    <row r="361" spans="1:26" x14ac:dyDescent="0.25">
      <c r="A361" t="s">
        <v>2914</v>
      </c>
      <c r="B361" t="s">
        <v>2915</v>
      </c>
      <c r="C361">
        <v>600</v>
      </c>
      <c r="D361" t="s">
        <v>2916</v>
      </c>
      <c r="E361" t="s">
        <v>60</v>
      </c>
      <c r="F361" t="s">
        <v>905</v>
      </c>
      <c r="G361">
        <v>999999</v>
      </c>
      <c r="H361">
        <v>1402</v>
      </c>
      <c r="I361" t="s">
        <v>2917</v>
      </c>
      <c r="J361" t="s">
        <v>1101</v>
      </c>
      <c r="K361" t="s">
        <v>2918</v>
      </c>
      <c r="L361" t="s">
        <v>962</v>
      </c>
      <c r="M361">
        <v>60021</v>
      </c>
      <c r="N361" t="s">
        <v>963</v>
      </c>
      <c r="P361" t="s">
        <v>2919</v>
      </c>
      <c r="Q361" t="s">
        <v>2920</v>
      </c>
      <c r="R361" t="s">
        <v>2054</v>
      </c>
      <c r="S361" t="s">
        <v>2778</v>
      </c>
      <c r="T361" s="6">
        <v>4100000000</v>
      </c>
      <c r="U361" s="45">
        <f>VLOOKUP(B361,realPrices!C:G,5,0)</f>
        <v>4793000000</v>
      </c>
      <c r="Z361"/>
    </row>
    <row r="362" spans="1:26" x14ac:dyDescent="0.25">
      <c r="A362" t="s">
        <v>382</v>
      </c>
      <c r="B362" t="s">
        <v>2921</v>
      </c>
      <c r="C362">
        <v>575</v>
      </c>
      <c r="D362" t="s">
        <v>59</v>
      </c>
      <c r="E362" t="s">
        <v>60</v>
      </c>
      <c r="F362" t="s">
        <v>905</v>
      </c>
      <c r="G362">
        <v>999999</v>
      </c>
      <c r="H362">
        <v>1401</v>
      </c>
      <c r="I362" t="s">
        <v>2922</v>
      </c>
      <c r="J362" t="s">
        <v>1101</v>
      </c>
      <c r="K362" t="s">
        <v>2923</v>
      </c>
      <c r="L362" t="s">
        <v>124</v>
      </c>
      <c r="M362">
        <v>57519</v>
      </c>
      <c r="N362" t="s">
        <v>62</v>
      </c>
      <c r="P362" t="s">
        <v>2555</v>
      </c>
      <c r="Q362" t="s">
        <v>2924</v>
      </c>
      <c r="R362" t="s">
        <v>2062</v>
      </c>
      <c r="S362" t="s">
        <v>1332</v>
      </c>
      <c r="T362" s="6">
        <v>2500000000</v>
      </c>
      <c r="U362" s="45">
        <f>VLOOKUP(B362,realPrices!C:G,5,0)</f>
        <v>2870000000</v>
      </c>
      <c r="Z362"/>
    </row>
    <row r="363" spans="1:26" x14ac:dyDescent="0.25">
      <c r="A363" t="s">
        <v>447</v>
      </c>
      <c r="B363" t="s">
        <v>2925</v>
      </c>
      <c r="C363">
        <v>600</v>
      </c>
      <c r="D363" t="s">
        <v>59</v>
      </c>
      <c r="E363" t="s">
        <v>60</v>
      </c>
      <c r="F363" t="s">
        <v>905</v>
      </c>
      <c r="G363">
        <v>999999</v>
      </c>
      <c r="H363">
        <v>1401</v>
      </c>
      <c r="I363" t="s">
        <v>2926</v>
      </c>
      <c r="J363" t="s">
        <v>1101</v>
      </c>
      <c r="K363" t="s">
        <v>2927</v>
      </c>
      <c r="L363" t="s">
        <v>962</v>
      </c>
      <c r="M363">
        <v>60010</v>
      </c>
      <c r="N363" t="s">
        <v>963</v>
      </c>
      <c r="P363" t="s">
        <v>2488</v>
      </c>
      <c r="Q363" t="s">
        <v>2928</v>
      </c>
      <c r="R363" t="s">
        <v>2067</v>
      </c>
      <c r="S363" t="s">
        <v>1056</v>
      </c>
      <c r="T363" s="6">
        <v>3500000000</v>
      </c>
      <c r="U363" s="45">
        <f>VLOOKUP(B363,realPrices!C:G,5,0)</f>
        <v>4230000009</v>
      </c>
      <c r="Z363"/>
    </row>
    <row r="364" spans="1:26" x14ac:dyDescent="0.25">
      <c r="A364" t="s">
        <v>82</v>
      </c>
      <c r="B364" t="s">
        <v>2929</v>
      </c>
      <c r="C364">
        <v>285</v>
      </c>
      <c r="D364" t="s">
        <v>59</v>
      </c>
      <c r="E364" t="s">
        <v>60</v>
      </c>
      <c r="F364" t="s">
        <v>905</v>
      </c>
      <c r="G364">
        <v>999999</v>
      </c>
      <c r="H364">
        <v>1400</v>
      </c>
      <c r="I364" t="s">
        <v>2930</v>
      </c>
      <c r="J364" t="s">
        <v>1101</v>
      </c>
      <c r="K364" t="s">
        <v>2931</v>
      </c>
      <c r="L364" t="s">
        <v>84</v>
      </c>
      <c r="M364">
        <v>28520</v>
      </c>
      <c r="N364" t="s">
        <v>62</v>
      </c>
      <c r="P364" t="s">
        <v>2440</v>
      </c>
      <c r="Q364" t="s">
        <v>2932</v>
      </c>
      <c r="R364" t="s">
        <v>2072</v>
      </c>
      <c r="S364" t="s">
        <v>911</v>
      </c>
      <c r="T364" s="6">
        <v>1800000000</v>
      </c>
      <c r="U364" s="45">
        <f>VLOOKUP(B364,realPrices!C:G,5,0)</f>
        <v>3430000000</v>
      </c>
      <c r="Z364"/>
    </row>
    <row r="365" spans="1:26" x14ac:dyDescent="0.25">
      <c r="A365" t="s">
        <v>2007</v>
      </c>
      <c r="B365" t="s">
        <v>2933</v>
      </c>
      <c r="C365">
        <v>293</v>
      </c>
      <c r="D365" t="s">
        <v>59</v>
      </c>
      <c r="E365" t="s">
        <v>60</v>
      </c>
      <c r="F365" t="s">
        <v>905</v>
      </c>
      <c r="G365">
        <v>999999</v>
      </c>
      <c r="H365">
        <v>1399</v>
      </c>
      <c r="I365" t="s">
        <v>2934</v>
      </c>
      <c r="J365" t="s">
        <v>1101</v>
      </c>
      <c r="K365" t="s">
        <v>2935</v>
      </c>
      <c r="L365" t="s">
        <v>97</v>
      </c>
      <c r="M365">
        <v>29352</v>
      </c>
      <c r="N365" t="s">
        <v>62</v>
      </c>
      <c r="P365" t="s">
        <v>2936</v>
      </c>
      <c r="Q365" t="s">
        <v>2937</v>
      </c>
      <c r="R365" t="s">
        <v>2077</v>
      </c>
      <c r="S365" t="s">
        <v>2783</v>
      </c>
      <c r="T365" s="6">
        <v>1200000000</v>
      </c>
      <c r="U365" s="45">
        <f>VLOOKUP(B365,realPrices!C:G,5,0)</f>
        <v>3078888888</v>
      </c>
      <c r="Z365"/>
    </row>
    <row r="366" spans="1:26" x14ac:dyDescent="0.25">
      <c r="A366" t="s">
        <v>449</v>
      </c>
      <c r="B366" t="s">
        <v>2938</v>
      </c>
      <c r="C366">
        <v>285</v>
      </c>
      <c r="D366" t="s">
        <v>1028</v>
      </c>
      <c r="E366" t="s">
        <v>60</v>
      </c>
      <c r="F366" t="s">
        <v>905</v>
      </c>
      <c r="G366">
        <v>999999</v>
      </c>
      <c r="H366">
        <v>1400</v>
      </c>
      <c r="I366" t="s">
        <v>2939</v>
      </c>
      <c r="J366" t="s">
        <v>1101</v>
      </c>
      <c r="K366" t="s">
        <v>2940</v>
      </c>
      <c r="L366" t="s">
        <v>84</v>
      </c>
      <c r="M366">
        <v>28520</v>
      </c>
      <c r="N366" t="s">
        <v>62</v>
      </c>
      <c r="P366" t="s">
        <v>2440</v>
      </c>
      <c r="Q366" t="s">
        <v>2941</v>
      </c>
      <c r="R366" t="s">
        <v>2082</v>
      </c>
      <c r="S366" t="s">
        <v>1013</v>
      </c>
      <c r="T366" s="6">
        <v>1900000000</v>
      </c>
      <c r="U366" s="45">
        <f>VLOOKUP(B366,realPrices!C:G,5,0)</f>
        <v>3019999999</v>
      </c>
      <c r="Z366"/>
    </row>
    <row r="367" spans="1:26" x14ac:dyDescent="0.25">
      <c r="A367" t="s">
        <v>82</v>
      </c>
      <c r="B367" t="s">
        <v>2942</v>
      </c>
      <c r="C367">
        <v>285</v>
      </c>
      <c r="D367" t="s">
        <v>59</v>
      </c>
      <c r="E367" t="s">
        <v>60</v>
      </c>
      <c r="F367" t="s">
        <v>905</v>
      </c>
      <c r="G367">
        <v>999999</v>
      </c>
      <c r="H367">
        <v>1401</v>
      </c>
      <c r="I367" t="s">
        <v>2943</v>
      </c>
      <c r="J367" t="s">
        <v>1101</v>
      </c>
      <c r="K367" t="s">
        <v>2944</v>
      </c>
      <c r="L367" t="s">
        <v>84</v>
      </c>
      <c r="M367">
        <v>28520</v>
      </c>
      <c r="N367" t="s">
        <v>62</v>
      </c>
      <c r="P367" t="s">
        <v>2440</v>
      </c>
      <c r="Q367" t="s">
        <v>2945</v>
      </c>
      <c r="R367" t="s">
        <v>2087</v>
      </c>
      <c r="S367" t="s">
        <v>1069</v>
      </c>
      <c r="T367" s="6">
        <v>2900000000</v>
      </c>
      <c r="U367" s="45">
        <f>VLOOKUP(B367,realPrices!C:G,5,0)</f>
        <v>4333333333</v>
      </c>
      <c r="Z367"/>
    </row>
    <row r="368" spans="1:26" ht="15.75" customHeight="1" x14ac:dyDescent="0.25">
      <c r="A368" t="s">
        <v>466</v>
      </c>
      <c r="B368" t="s">
        <v>2946</v>
      </c>
      <c r="C368">
        <v>707</v>
      </c>
      <c r="D368" t="s">
        <v>904</v>
      </c>
      <c r="E368" t="s">
        <v>60</v>
      </c>
      <c r="F368" t="s">
        <v>905</v>
      </c>
      <c r="G368">
        <v>999999</v>
      </c>
      <c r="H368">
        <v>1400</v>
      </c>
      <c r="I368" t="s">
        <v>2947</v>
      </c>
      <c r="J368" t="s">
        <v>907</v>
      </c>
      <c r="K368" t="s">
        <v>2948</v>
      </c>
      <c r="L368" t="s">
        <v>465</v>
      </c>
      <c r="M368">
        <v>70702</v>
      </c>
      <c r="N368" t="s">
        <v>62</v>
      </c>
      <c r="P368" t="s">
        <v>2655</v>
      </c>
      <c r="Q368" t="s">
        <v>2949</v>
      </c>
      <c r="R368" t="s">
        <v>2092</v>
      </c>
      <c r="S368" t="s">
        <v>1155</v>
      </c>
      <c r="T368" s="6">
        <v>2800000000</v>
      </c>
      <c r="U368" s="45">
        <f>VLOOKUP(B368,realPrices!C:G,5,0)</f>
        <v>3955000000</v>
      </c>
      <c r="Z368"/>
    </row>
    <row r="369" spans="1:26" x14ac:dyDescent="0.25">
      <c r="A369" t="s">
        <v>1098</v>
      </c>
      <c r="B369" t="s">
        <v>1099</v>
      </c>
      <c r="C369">
        <v>285</v>
      </c>
      <c r="D369" t="s">
        <v>59</v>
      </c>
      <c r="E369" t="s">
        <v>60</v>
      </c>
      <c r="F369" t="s">
        <v>905</v>
      </c>
      <c r="G369">
        <v>999999</v>
      </c>
      <c r="H369">
        <v>1396</v>
      </c>
      <c r="I369" t="s">
        <v>1100</v>
      </c>
      <c r="J369" t="s">
        <v>1101</v>
      </c>
      <c r="K369" t="s">
        <v>1102</v>
      </c>
      <c r="L369" t="s">
        <v>84</v>
      </c>
      <c r="M369">
        <v>28513</v>
      </c>
      <c r="N369" t="s">
        <v>62</v>
      </c>
      <c r="P369" t="s">
        <v>2436</v>
      </c>
      <c r="Q369" t="s">
        <v>1103</v>
      </c>
      <c r="R369" t="s">
        <v>1104</v>
      </c>
      <c r="S369" t="s">
        <v>1013</v>
      </c>
      <c r="T369" s="6">
        <v>1900000000</v>
      </c>
      <c r="U369" s="45">
        <f>VLOOKUP(B369,realPrices!C:G,5,0)</f>
        <v>2822999999</v>
      </c>
      <c r="Z369"/>
    </row>
    <row r="370" spans="1:26" x14ac:dyDescent="0.25">
      <c r="Z370"/>
    </row>
    <row r="371" spans="1:26" x14ac:dyDescent="0.25">
      <c r="Z371"/>
    </row>
    <row r="372" spans="1:26" x14ac:dyDescent="0.25">
      <c r="Z372"/>
    </row>
    <row r="373" spans="1:26" x14ac:dyDescent="0.25">
      <c r="Z373"/>
    </row>
    <row r="374" spans="1:26" x14ac:dyDescent="0.25">
      <c r="Z374"/>
    </row>
    <row r="375" spans="1:26" x14ac:dyDescent="0.25">
      <c r="Z375"/>
    </row>
    <row r="376" spans="1:26" x14ac:dyDescent="0.25">
      <c r="Z376"/>
    </row>
    <row r="377" spans="1:26" x14ac:dyDescent="0.25">
      <c r="Z377"/>
    </row>
    <row r="378" spans="1:26" x14ac:dyDescent="0.25">
      <c r="Z378"/>
    </row>
    <row r="379" spans="1:26" x14ac:dyDescent="0.25">
      <c r="Z379"/>
    </row>
    <row r="380" spans="1:26" x14ac:dyDescent="0.25">
      <c r="Z380"/>
    </row>
    <row r="381" spans="1:26" x14ac:dyDescent="0.25">
      <c r="Z381"/>
    </row>
    <row r="382" spans="1:26" x14ac:dyDescent="0.25">
      <c r="Z382"/>
    </row>
    <row r="383" spans="1:26" x14ac:dyDescent="0.25">
      <c r="Z383"/>
    </row>
    <row r="384" spans="1:26" x14ac:dyDescent="0.25">
      <c r="Z384"/>
    </row>
    <row r="385" spans="26:26" x14ac:dyDescent="0.25">
      <c r="Z385"/>
    </row>
    <row r="386" spans="26:26" x14ac:dyDescent="0.25">
      <c r="Z386"/>
    </row>
    <row r="387" spans="26:26" x14ac:dyDescent="0.25">
      <c r="Z387"/>
    </row>
    <row r="388" spans="26:26" x14ac:dyDescent="0.25">
      <c r="Z388"/>
    </row>
    <row r="389" spans="26:26" x14ac:dyDescent="0.25">
      <c r="Z389"/>
    </row>
    <row r="390" spans="26:26" x14ac:dyDescent="0.25">
      <c r="Z390"/>
    </row>
    <row r="391" spans="26:26" x14ac:dyDescent="0.25">
      <c r="Z391"/>
    </row>
    <row r="392" spans="26:26" x14ac:dyDescent="0.25">
      <c r="Z392"/>
    </row>
    <row r="393" spans="26:26" x14ac:dyDescent="0.25">
      <c r="Z393"/>
    </row>
    <row r="394" spans="26:26" x14ac:dyDescent="0.25">
      <c r="Z394"/>
    </row>
    <row r="395" spans="26:26" x14ac:dyDescent="0.25">
      <c r="Z395"/>
    </row>
    <row r="396" spans="26:26" x14ac:dyDescent="0.25">
      <c r="Z396"/>
    </row>
    <row r="397" spans="26:26" x14ac:dyDescent="0.25">
      <c r="Z397"/>
    </row>
    <row r="398" spans="26:26" x14ac:dyDescent="0.25">
      <c r="Z398"/>
    </row>
    <row r="399" spans="26:26" x14ac:dyDescent="0.25">
      <c r="Z399"/>
    </row>
    <row r="400" spans="26:26" x14ac:dyDescent="0.25">
      <c r="Z400"/>
    </row>
    <row r="401" spans="26:26" x14ac:dyDescent="0.25">
      <c r="Z401"/>
    </row>
    <row r="402" spans="26:26" x14ac:dyDescent="0.25">
      <c r="Z402"/>
    </row>
    <row r="403" spans="26:26" x14ac:dyDescent="0.25">
      <c r="Z403"/>
    </row>
    <row r="404" spans="26:26" x14ac:dyDescent="0.25">
      <c r="Z404"/>
    </row>
    <row r="405" spans="26:26" x14ac:dyDescent="0.25">
      <c r="Z405"/>
    </row>
    <row r="406" spans="26:26" x14ac:dyDescent="0.25">
      <c r="Z406"/>
    </row>
    <row r="407" spans="26:26" x14ac:dyDescent="0.25">
      <c r="Z407"/>
    </row>
    <row r="408" spans="26:26" x14ac:dyDescent="0.25">
      <c r="Z408"/>
    </row>
    <row r="409" spans="26:26" x14ac:dyDescent="0.25">
      <c r="Z409"/>
    </row>
    <row r="410" spans="26:26" x14ac:dyDescent="0.25">
      <c r="Z410"/>
    </row>
    <row r="411" spans="26:26" x14ac:dyDescent="0.25">
      <c r="Z411"/>
    </row>
    <row r="412" spans="26:26" x14ac:dyDescent="0.25">
      <c r="Z412"/>
    </row>
    <row r="413" spans="26:26" x14ac:dyDescent="0.25">
      <c r="Z413"/>
    </row>
    <row r="414" spans="26:26" x14ac:dyDescent="0.25">
      <c r="Z414"/>
    </row>
    <row r="415" spans="26:26" x14ac:dyDescent="0.25">
      <c r="Z415"/>
    </row>
    <row r="416" spans="26:26" x14ac:dyDescent="0.25">
      <c r="Z416"/>
    </row>
    <row r="417" spans="26:26" x14ac:dyDescent="0.25">
      <c r="Z417"/>
    </row>
    <row r="418" spans="26:26" x14ac:dyDescent="0.25">
      <c r="Z418"/>
    </row>
    <row r="419" spans="26:26" x14ac:dyDescent="0.25">
      <c r="Z419"/>
    </row>
    <row r="420" spans="26:26" x14ac:dyDescent="0.25">
      <c r="Z420"/>
    </row>
  </sheetData>
  <autoFilter ref="A1:Y1739" xr:uid="{07CADCB4-0E93-43BE-8EB7-D91F3F805192}">
    <sortState xmlns:xlrd2="http://schemas.microsoft.com/office/spreadsheetml/2017/richdata2" ref="A2:Y1739">
      <sortCondition ref="T1:T1739"/>
    </sortState>
  </autoFilter>
  <sortState xmlns:xlrd2="http://schemas.microsoft.com/office/spreadsheetml/2017/richdata2" ref="A2:S100">
    <sortCondition ref="F2:F100"/>
    <sortCondition ref="S2:S100"/>
    <sortCondition descending="1" ref="I2:I100"/>
  </sortState>
  <phoneticPr fontId="3" type="noConversion"/>
  <conditionalFormatting sqref="B531:B1048576 B421:B529 B1:B215">
    <cfRule type="duplicateValues" dxfId="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A33FD-124C-4861-8F63-E8159F0733C0}">
  <sheetPr codeName="Sheet1"/>
  <dimension ref="A1:U1852"/>
  <sheetViews>
    <sheetView zoomScale="130" zoomScaleNormal="130" workbookViewId="0">
      <selection activeCell="T9" sqref="T9"/>
    </sheetView>
  </sheetViews>
  <sheetFormatPr defaultRowHeight="15" x14ac:dyDescent="0.25"/>
  <cols>
    <col min="1" max="1" width="22.5703125" customWidth="1"/>
    <col min="4" max="4" width="14.5703125" customWidth="1"/>
  </cols>
  <sheetData>
    <row r="1" spans="1:21" x14ac:dyDescent="0.25">
      <c r="A1" s="9"/>
      <c r="B1" s="10"/>
      <c r="C1" s="10"/>
      <c r="D1" s="10"/>
      <c r="E1" s="10"/>
      <c r="F1" s="1"/>
      <c r="G1" s="6"/>
    </row>
    <row r="2" spans="1:21" x14ac:dyDescent="0.25">
      <c r="B2" s="11" t="s">
        <v>800</v>
      </c>
      <c r="C2" s="11" t="s">
        <v>801</v>
      </c>
      <c r="D2" s="12" t="s">
        <v>802</v>
      </c>
      <c r="E2" s="12" t="s">
        <v>803</v>
      </c>
      <c r="F2" s="1" t="s">
        <v>804</v>
      </c>
      <c r="G2" s="6" t="s">
        <v>805</v>
      </c>
      <c r="H2" t="s">
        <v>806</v>
      </c>
    </row>
    <row r="3" spans="1:21" x14ac:dyDescent="0.25">
      <c r="B3" s="11">
        <v>1</v>
      </c>
      <c r="C3" s="11" t="s">
        <v>1653</v>
      </c>
      <c r="D3" s="12" t="s">
        <v>2193</v>
      </c>
      <c r="E3" s="12">
        <v>999999</v>
      </c>
      <c r="F3" s="1">
        <v>1600000000</v>
      </c>
      <c r="G3" s="6">
        <v>1740000000</v>
      </c>
      <c r="H3">
        <v>1</v>
      </c>
      <c r="I3" t="s">
        <v>2194</v>
      </c>
    </row>
    <row r="4" spans="1:21" x14ac:dyDescent="0.25">
      <c r="B4" s="11">
        <v>2</v>
      </c>
      <c r="C4" s="11" t="s">
        <v>1922</v>
      </c>
      <c r="D4" s="12" t="s">
        <v>1921</v>
      </c>
      <c r="E4" s="12">
        <v>999999</v>
      </c>
      <c r="F4" s="1">
        <v>1900000000</v>
      </c>
      <c r="G4" s="6">
        <v>3101000000</v>
      </c>
      <c r="H4">
        <v>2</v>
      </c>
      <c r="I4" t="s">
        <v>2195</v>
      </c>
    </row>
    <row r="5" spans="1:21" x14ac:dyDescent="0.25">
      <c r="B5" s="11">
        <v>3</v>
      </c>
      <c r="C5" s="11" t="s">
        <v>1658</v>
      </c>
      <c r="D5" t="s">
        <v>127</v>
      </c>
      <c r="E5" s="13">
        <v>999999</v>
      </c>
      <c r="F5" s="1">
        <v>1800000000</v>
      </c>
      <c r="G5" s="6">
        <v>2615368825</v>
      </c>
      <c r="H5">
        <v>3</v>
      </c>
      <c r="I5" t="s">
        <v>2196</v>
      </c>
    </row>
    <row r="6" spans="1:21" x14ac:dyDescent="0.25">
      <c r="B6" s="11">
        <v>4</v>
      </c>
      <c r="C6" s="11" t="s">
        <v>1927</v>
      </c>
      <c r="D6" s="12" t="s">
        <v>453</v>
      </c>
      <c r="E6" s="12">
        <v>999999</v>
      </c>
      <c r="F6" s="1">
        <v>1700000000</v>
      </c>
      <c r="G6" s="6">
        <v>2785000000</v>
      </c>
      <c r="H6">
        <v>4</v>
      </c>
      <c r="I6" t="s">
        <v>2197</v>
      </c>
      <c r="U6" s="12"/>
    </row>
    <row r="7" spans="1:21" x14ac:dyDescent="0.25">
      <c r="B7" s="11">
        <v>5</v>
      </c>
      <c r="C7" s="11" t="s">
        <v>1664</v>
      </c>
      <c r="D7" s="12" t="s">
        <v>1663</v>
      </c>
      <c r="E7" s="12">
        <v>999999</v>
      </c>
      <c r="F7" s="1">
        <v>1600000000</v>
      </c>
      <c r="G7" s="6">
        <v>3275500000</v>
      </c>
      <c r="H7">
        <v>5</v>
      </c>
      <c r="I7" t="s">
        <v>2198</v>
      </c>
    </row>
    <row r="8" spans="1:21" x14ac:dyDescent="0.25">
      <c r="B8" s="11">
        <v>6</v>
      </c>
      <c r="C8" s="11" t="s">
        <v>1932</v>
      </c>
      <c r="D8" s="12" t="s">
        <v>768</v>
      </c>
      <c r="E8" s="13">
        <v>999999</v>
      </c>
      <c r="F8" s="1">
        <v>2500000000</v>
      </c>
      <c r="G8" s="6">
        <v>4219999999</v>
      </c>
      <c r="H8">
        <v>6</v>
      </c>
      <c r="I8" t="s">
        <v>2199</v>
      </c>
    </row>
    <row r="9" spans="1:21" x14ac:dyDescent="0.25">
      <c r="B9" s="11">
        <v>7</v>
      </c>
      <c r="C9" s="11" t="s">
        <v>1669</v>
      </c>
      <c r="D9" s="12" t="s">
        <v>1267</v>
      </c>
      <c r="E9" s="12">
        <v>999999</v>
      </c>
      <c r="F9" s="1">
        <v>1800000000</v>
      </c>
      <c r="G9" s="6">
        <v>2600000000</v>
      </c>
      <c r="H9">
        <v>7</v>
      </c>
      <c r="I9" t="s">
        <v>2200</v>
      </c>
    </row>
    <row r="10" spans="1:21" x14ac:dyDescent="0.25">
      <c r="B10" s="11">
        <v>8</v>
      </c>
      <c r="C10" s="11" t="s">
        <v>1937</v>
      </c>
      <c r="D10" s="12" t="s">
        <v>762</v>
      </c>
      <c r="E10" s="13">
        <v>999999</v>
      </c>
      <c r="F10" s="1">
        <v>1700000000</v>
      </c>
      <c r="G10" s="6">
        <v>2852000000</v>
      </c>
      <c r="H10">
        <v>8</v>
      </c>
      <c r="I10" t="s">
        <v>2201</v>
      </c>
    </row>
    <row r="11" spans="1:21" x14ac:dyDescent="0.25">
      <c r="B11" s="11">
        <v>9</v>
      </c>
      <c r="C11" s="11" t="s">
        <v>1674</v>
      </c>
      <c r="D11" s="12" t="s">
        <v>127</v>
      </c>
      <c r="E11" s="12">
        <v>999999</v>
      </c>
      <c r="F11" s="1">
        <v>1800000000</v>
      </c>
      <c r="G11" s="6">
        <v>2363000000</v>
      </c>
      <c r="H11">
        <v>9</v>
      </c>
      <c r="I11" t="s">
        <v>2202</v>
      </c>
    </row>
    <row r="12" spans="1:21" x14ac:dyDescent="0.25">
      <c r="B12" s="11">
        <v>10</v>
      </c>
      <c r="C12" s="11" t="s">
        <v>1943</v>
      </c>
      <c r="D12" s="12" t="s">
        <v>2203</v>
      </c>
      <c r="E12" s="12">
        <v>999999</v>
      </c>
      <c r="F12" s="1">
        <v>1400000000</v>
      </c>
      <c r="G12" s="6"/>
      <c r="H12">
        <v>10</v>
      </c>
      <c r="I12" t="s">
        <v>2204</v>
      </c>
    </row>
    <row r="13" spans="1:21" x14ac:dyDescent="0.25">
      <c r="B13" s="11">
        <v>11</v>
      </c>
      <c r="C13" s="11" t="s">
        <v>1679</v>
      </c>
      <c r="D13" s="12" t="s">
        <v>505</v>
      </c>
      <c r="E13" s="12">
        <v>999999</v>
      </c>
      <c r="F13" s="1">
        <v>1700000000</v>
      </c>
      <c r="G13" s="6">
        <v>2328800000</v>
      </c>
      <c r="H13">
        <v>11</v>
      </c>
      <c r="I13" t="s">
        <v>2205</v>
      </c>
    </row>
    <row r="14" spans="1:21" x14ac:dyDescent="0.25">
      <c r="B14" s="11">
        <v>12</v>
      </c>
      <c r="C14" s="11" t="s">
        <v>1948</v>
      </c>
      <c r="D14" s="12" t="s">
        <v>1490</v>
      </c>
      <c r="E14" s="12">
        <v>999999</v>
      </c>
      <c r="F14" s="1">
        <v>1600000000</v>
      </c>
      <c r="G14" s="6"/>
      <c r="H14">
        <v>12</v>
      </c>
      <c r="I14" t="s">
        <v>2206</v>
      </c>
    </row>
    <row r="15" spans="1:21" x14ac:dyDescent="0.25">
      <c r="B15" s="11">
        <v>13</v>
      </c>
      <c r="C15" s="11" t="s">
        <v>1684</v>
      </c>
      <c r="D15" s="12" t="s">
        <v>1490</v>
      </c>
      <c r="E15" s="12">
        <v>999999</v>
      </c>
      <c r="F15" s="1">
        <v>1650000000</v>
      </c>
      <c r="G15" s="6"/>
      <c r="H15">
        <v>13</v>
      </c>
      <c r="I15" t="s">
        <v>2207</v>
      </c>
    </row>
    <row r="16" spans="1:21" x14ac:dyDescent="0.25">
      <c r="B16" s="11">
        <v>14</v>
      </c>
      <c r="C16" s="11" t="s">
        <v>1953</v>
      </c>
      <c r="D16" s="12" t="s">
        <v>569</v>
      </c>
      <c r="E16" s="12">
        <v>999999</v>
      </c>
      <c r="F16" s="1">
        <v>1900000000</v>
      </c>
      <c r="G16" s="6">
        <v>2200000000</v>
      </c>
      <c r="H16">
        <v>14</v>
      </c>
      <c r="I16" t="s">
        <v>2208</v>
      </c>
    </row>
    <row r="17" spans="2:9" x14ac:dyDescent="0.25">
      <c r="B17" s="11">
        <v>15</v>
      </c>
      <c r="C17" s="11" t="s">
        <v>1690</v>
      </c>
      <c r="D17" s="12" t="s">
        <v>155</v>
      </c>
      <c r="E17" s="12">
        <v>999999</v>
      </c>
      <c r="F17" s="1">
        <v>1800000000</v>
      </c>
      <c r="G17" s="6">
        <v>2433000000</v>
      </c>
      <c r="H17">
        <v>15</v>
      </c>
      <c r="I17" t="s">
        <v>2209</v>
      </c>
    </row>
    <row r="18" spans="2:9" x14ac:dyDescent="0.25">
      <c r="B18" s="11">
        <v>16</v>
      </c>
      <c r="C18" s="11" t="s">
        <v>1959</v>
      </c>
      <c r="D18" s="12" t="s">
        <v>811</v>
      </c>
      <c r="E18" s="13">
        <v>999999</v>
      </c>
      <c r="F18" s="1">
        <v>4200000000</v>
      </c>
      <c r="G18" s="6">
        <v>5334999999</v>
      </c>
      <c r="H18">
        <v>16</v>
      </c>
      <c r="I18" t="s">
        <v>2210</v>
      </c>
    </row>
    <row r="19" spans="2:9" x14ac:dyDescent="0.25">
      <c r="B19" s="11">
        <v>17</v>
      </c>
      <c r="C19" s="11" t="s">
        <v>1695</v>
      </c>
      <c r="D19" s="12" t="s">
        <v>763</v>
      </c>
      <c r="E19" s="12">
        <v>999999</v>
      </c>
      <c r="F19" s="1">
        <v>1800000000</v>
      </c>
      <c r="G19" s="6"/>
      <c r="H19">
        <v>17</v>
      </c>
      <c r="I19" t="s">
        <v>2211</v>
      </c>
    </row>
    <row r="20" spans="2:9" x14ac:dyDescent="0.25">
      <c r="B20" s="11">
        <v>18</v>
      </c>
      <c r="C20" s="11" t="s">
        <v>1964</v>
      </c>
      <c r="D20" s="12" t="s">
        <v>1713</v>
      </c>
      <c r="E20" s="13">
        <v>999999</v>
      </c>
      <c r="F20" s="1">
        <v>2400000000</v>
      </c>
      <c r="G20" s="6">
        <v>4369999999</v>
      </c>
      <c r="H20">
        <v>18</v>
      </c>
      <c r="I20" t="s">
        <v>2212</v>
      </c>
    </row>
    <row r="21" spans="2:9" x14ac:dyDescent="0.25">
      <c r="B21" s="11">
        <v>19</v>
      </c>
      <c r="C21" s="11" t="s">
        <v>1701</v>
      </c>
      <c r="D21" s="12" t="s">
        <v>2213</v>
      </c>
      <c r="E21" s="13">
        <v>999999</v>
      </c>
      <c r="F21" s="1">
        <v>1700000000</v>
      </c>
      <c r="G21" s="6">
        <v>2150000000</v>
      </c>
      <c r="H21">
        <v>19</v>
      </c>
      <c r="I21" t="s">
        <v>2214</v>
      </c>
    </row>
    <row r="22" spans="2:9" x14ac:dyDescent="0.25">
      <c r="B22" s="11">
        <v>20</v>
      </c>
      <c r="C22" s="11" t="s">
        <v>1969</v>
      </c>
      <c r="D22" s="12" t="s">
        <v>155</v>
      </c>
      <c r="E22" s="12">
        <v>999999</v>
      </c>
      <c r="F22" s="1">
        <v>1800000000</v>
      </c>
      <c r="G22" s="6">
        <v>3569999999</v>
      </c>
      <c r="H22">
        <v>20</v>
      </c>
      <c r="I22" t="s">
        <v>2215</v>
      </c>
    </row>
    <row r="23" spans="2:9" x14ac:dyDescent="0.25">
      <c r="B23" s="11">
        <v>21</v>
      </c>
      <c r="C23" s="11" t="s">
        <v>1707</v>
      </c>
      <c r="D23" s="12" t="s">
        <v>1706</v>
      </c>
      <c r="E23" s="13">
        <v>999999</v>
      </c>
      <c r="F23" s="1">
        <v>1600000000</v>
      </c>
      <c r="G23" s="6">
        <v>2030000000</v>
      </c>
      <c r="H23">
        <v>21</v>
      </c>
      <c r="I23" t="s">
        <v>2216</v>
      </c>
    </row>
    <row r="24" spans="2:9" x14ac:dyDescent="0.25">
      <c r="B24" s="11">
        <v>22</v>
      </c>
      <c r="C24" s="11" t="s">
        <v>1974</v>
      </c>
      <c r="D24" s="12" t="s">
        <v>389</v>
      </c>
      <c r="E24" s="13">
        <v>999999</v>
      </c>
      <c r="F24" s="1">
        <v>1800000000</v>
      </c>
      <c r="G24" s="6">
        <v>2800000000</v>
      </c>
      <c r="H24">
        <v>22</v>
      </c>
      <c r="I24" t="s">
        <v>2217</v>
      </c>
    </row>
    <row r="25" spans="2:9" x14ac:dyDescent="0.25">
      <c r="B25" s="11">
        <v>23</v>
      </c>
      <c r="C25" s="11" t="s">
        <v>1714</v>
      </c>
      <c r="D25" s="12" t="s">
        <v>1713</v>
      </c>
      <c r="E25" s="13">
        <v>999999</v>
      </c>
      <c r="F25" s="1">
        <v>1700000000</v>
      </c>
      <c r="G25" s="6"/>
      <c r="H25">
        <v>23</v>
      </c>
      <c r="I25" t="s">
        <v>2218</v>
      </c>
    </row>
    <row r="26" spans="2:9" x14ac:dyDescent="0.25">
      <c r="B26" s="11">
        <v>24</v>
      </c>
      <c r="C26" s="11" t="s">
        <v>1980</v>
      </c>
      <c r="D26" s="13" t="s">
        <v>1979</v>
      </c>
      <c r="E26" s="13">
        <v>999999</v>
      </c>
      <c r="F26" s="1">
        <v>1700000000</v>
      </c>
      <c r="G26" s="6">
        <v>2120000000</v>
      </c>
      <c r="H26">
        <v>24</v>
      </c>
      <c r="I26" t="s">
        <v>2219</v>
      </c>
    </row>
    <row r="27" spans="2:9" x14ac:dyDescent="0.25">
      <c r="B27" s="11">
        <v>25</v>
      </c>
      <c r="C27" s="11" t="s">
        <v>1720</v>
      </c>
      <c r="D27" s="13" t="s">
        <v>1719</v>
      </c>
      <c r="E27" s="13">
        <v>999999</v>
      </c>
      <c r="F27" s="1">
        <v>2600000000</v>
      </c>
      <c r="G27" s="6">
        <v>3619999999</v>
      </c>
      <c r="H27">
        <v>25</v>
      </c>
      <c r="I27" t="s">
        <v>2220</v>
      </c>
    </row>
    <row r="28" spans="2:9" x14ac:dyDescent="0.25">
      <c r="B28" s="11">
        <v>26</v>
      </c>
      <c r="C28" s="11" t="s">
        <v>1985</v>
      </c>
      <c r="D28" s="12" t="s">
        <v>741</v>
      </c>
      <c r="E28" s="13">
        <v>999999</v>
      </c>
      <c r="F28" s="1">
        <v>3500000000</v>
      </c>
      <c r="G28" s="6">
        <v>6166666667</v>
      </c>
      <c r="H28">
        <v>26</v>
      </c>
      <c r="I28" t="s">
        <v>2221</v>
      </c>
    </row>
    <row r="29" spans="2:9" x14ac:dyDescent="0.25">
      <c r="B29" s="11">
        <v>27</v>
      </c>
      <c r="C29" s="11" t="s">
        <v>1726</v>
      </c>
      <c r="D29" s="12" t="s">
        <v>1725</v>
      </c>
      <c r="E29" s="13">
        <v>999999</v>
      </c>
      <c r="F29" s="1">
        <v>4500000000</v>
      </c>
      <c r="G29" s="6">
        <v>5612345678</v>
      </c>
      <c r="H29">
        <v>27</v>
      </c>
      <c r="I29" t="s">
        <v>2222</v>
      </c>
    </row>
    <row r="30" spans="2:9" x14ac:dyDescent="0.25">
      <c r="B30" s="11">
        <v>28</v>
      </c>
      <c r="C30" s="11" t="s">
        <v>1991</v>
      </c>
      <c r="D30" s="12" t="s">
        <v>1990</v>
      </c>
      <c r="E30" s="13">
        <v>999999</v>
      </c>
      <c r="F30" s="1">
        <v>4800000000</v>
      </c>
      <c r="G30" s="6">
        <v>5726000009</v>
      </c>
      <c r="H30">
        <v>28</v>
      </c>
      <c r="I30" t="s">
        <v>2223</v>
      </c>
    </row>
    <row r="31" spans="2:9" x14ac:dyDescent="0.25">
      <c r="B31">
        <v>29</v>
      </c>
      <c r="C31" t="s">
        <v>1731</v>
      </c>
      <c r="D31" t="s">
        <v>2213</v>
      </c>
      <c r="E31">
        <v>999999</v>
      </c>
      <c r="F31" s="6">
        <v>1500000000</v>
      </c>
      <c r="G31" s="6"/>
      <c r="H31">
        <v>29</v>
      </c>
      <c r="I31" t="s">
        <v>2224</v>
      </c>
    </row>
    <row r="32" spans="2:9" x14ac:dyDescent="0.25">
      <c r="B32">
        <v>30</v>
      </c>
      <c r="C32" t="s">
        <v>1996</v>
      </c>
      <c r="D32" t="s">
        <v>382</v>
      </c>
      <c r="E32">
        <v>999999</v>
      </c>
      <c r="F32" s="6">
        <v>1700000000</v>
      </c>
      <c r="G32" s="6">
        <v>2844444444</v>
      </c>
      <c r="H32">
        <v>30</v>
      </c>
      <c r="I32" t="s">
        <v>2225</v>
      </c>
    </row>
    <row r="33" spans="2:9" x14ac:dyDescent="0.25">
      <c r="B33">
        <v>31</v>
      </c>
      <c r="C33" t="s">
        <v>1737</v>
      </c>
      <c r="D33" t="s">
        <v>2226</v>
      </c>
      <c r="E33">
        <v>999999</v>
      </c>
      <c r="F33" s="6">
        <v>1600000000</v>
      </c>
      <c r="G33" s="6">
        <v>1800999999</v>
      </c>
      <c r="H33">
        <v>31</v>
      </c>
      <c r="I33" t="s">
        <v>2227</v>
      </c>
    </row>
    <row r="34" spans="2:9" x14ac:dyDescent="0.25">
      <c r="B34">
        <v>32</v>
      </c>
      <c r="C34" t="s">
        <v>2002</v>
      </c>
      <c r="D34" t="s">
        <v>2001</v>
      </c>
      <c r="E34">
        <v>999999</v>
      </c>
      <c r="F34" s="6">
        <v>1800000000</v>
      </c>
      <c r="G34" s="6">
        <v>3258880000</v>
      </c>
      <c r="H34">
        <v>32</v>
      </c>
      <c r="I34" t="s">
        <v>2228</v>
      </c>
    </row>
    <row r="35" spans="2:9" x14ac:dyDescent="0.25">
      <c r="B35">
        <v>33</v>
      </c>
      <c r="C35" t="s">
        <v>1742</v>
      </c>
      <c r="D35" t="s">
        <v>382</v>
      </c>
      <c r="E35">
        <v>999999</v>
      </c>
      <c r="F35" s="6">
        <v>1700000000</v>
      </c>
      <c r="G35" s="6">
        <v>3570000000</v>
      </c>
      <c r="H35">
        <v>33</v>
      </c>
      <c r="I35" t="s">
        <v>2229</v>
      </c>
    </row>
    <row r="36" spans="2:9" x14ac:dyDescent="0.25">
      <c r="B36">
        <v>34</v>
      </c>
      <c r="C36" t="s">
        <v>2008</v>
      </c>
      <c r="D36" t="s">
        <v>2007</v>
      </c>
      <c r="E36">
        <v>999999</v>
      </c>
      <c r="F36" s="6">
        <v>1500000000</v>
      </c>
      <c r="G36" s="6">
        <v>1570000000</v>
      </c>
      <c r="H36">
        <v>34</v>
      </c>
      <c r="I36" t="s">
        <v>2230</v>
      </c>
    </row>
    <row r="37" spans="2:9" x14ac:dyDescent="0.25">
      <c r="B37">
        <v>35</v>
      </c>
      <c r="C37" t="s">
        <v>1747</v>
      </c>
      <c r="D37" t="s">
        <v>765</v>
      </c>
      <c r="E37">
        <v>999999</v>
      </c>
      <c r="F37" s="6">
        <v>3800000000</v>
      </c>
      <c r="G37" s="6"/>
      <c r="H37">
        <v>35</v>
      </c>
      <c r="I37" t="s">
        <v>2231</v>
      </c>
    </row>
    <row r="38" spans="2:9" x14ac:dyDescent="0.25">
      <c r="B38">
        <v>36</v>
      </c>
      <c r="C38" t="s">
        <v>2013</v>
      </c>
      <c r="D38" t="s">
        <v>469</v>
      </c>
      <c r="E38">
        <v>999999</v>
      </c>
      <c r="F38" s="6">
        <v>4500000000</v>
      </c>
      <c r="G38" s="6">
        <v>4567899999</v>
      </c>
      <c r="H38">
        <v>36</v>
      </c>
      <c r="I38" t="s">
        <v>2232</v>
      </c>
    </row>
    <row r="39" spans="2:9" x14ac:dyDescent="0.25">
      <c r="B39">
        <v>37</v>
      </c>
      <c r="C39" t="s">
        <v>1752</v>
      </c>
      <c r="D39" t="s">
        <v>469</v>
      </c>
      <c r="E39">
        <v>999999</v>
      </c>
      <c r="F39" s="6">
        <v>4200000000</v>
      </c>
      <c r="G39" s="6">
        <v>5250000009</v>
      </c>
      <c r="H39">
        <v>37</v>
      </c>
      <c r="I39" t="s">
        <v>2233</v>
      </c>
    </row>
    <row r="40" spans="2:9" x14ac:dyDescent="0.25">
      <c r="B40">
        <v>38</v>
      </c>
      <c r="C40" t="s">
        <v>2018</v>
      </c>
      <c r="D40" t="s">
        <v>967</v>
      </c>
      <c r="E40">
        <v>999999</v>
      </c>
      <c r="F40" s="6">
        <v>1800000000</v>
      </c>
      <c r="G40" s="6">
        <v>2709999990</v>
      </c>
      <c r="H40">
        <v>38</v>
      </c>
      <c r="I40" t="s">
        <v>2234</v>
      </c>
    </row>
    <row r="41" spans="2:9" x14ac:dyDescent="0.25">
      <c r="B41">
        <v>39</v>
      </c>
      <c r="C41" t="s">
        <v>1757</v>
      </c>
      <c r="D41" t="s">
        <v>463</v>
      </c>
      <c r="E41">
        <v>999999</v>
      </c>
      <c r="F41" s="6">
        <v>3900000000</v>
      </c>
      <c r="G41" s="6">
        <v>4910000000</v>
      </c>
      <c r="H41">
        <v>39</v>
      </c>
      <c r="I41" t="s">
        <v>2235</v>
      </c>
    </row>
    <row r="42" spans="2:9" x14ac:dyDescent="0.25">
      <c r="B42">
        <v>40</v>
      </c>
      <c r="C42" t="s">
        <v>2023</v>
      </c>
      <c r="D42" t="s">
        <v>669</v>
      </c>
      <c r="E42">
        <v>999999</v>
      </c>
      <c r="F42" s="6">
        <v>3400000000</v>
      </c>
      <c r="G42" s="6"/>
      <c r="H42">
        <v>40</v>
      </c>
      <c r="I42" t="s">
        <v>2236</v>
      </c>
    </row>
    <row r="43" spans="2:9" x14ac:dyDescent="0.25">
      <c r="B43">
        <v>41</v>
      </c>
      <c r="C43" t="s">
        <v>1763</v>
      </c>
      <c r="D43" t="s">
        <v>1762</v>
      </c>
      <c r="E43">
        <v>999999</v>
      </c>
      <c r="F43" s="6">
        <v>1600000000</v>
      </c>
      <c r="G43" s="6">
        <v>3619999999</v>
      </c>
      <c r="H43">
        <v>41</v>
      </c>
      <c r="I43" t="s">
        <v>2237</v>
      </c>
    </row>
    <row r="44" spans="2:9" x14ac:dyDescent="0.25">
      <c r="B44">
        <v>42</v>
      </c>
      <c r="C44" t="s">
        <v>2029</v>
      </c>
      <c r="D44" t="s">
        <v>2028</v>
      </c>
      <c r="E44">
        <v>999999</v>
      </c>
      <c r="F44" s="6">
        <v>3200000000</v>
      </c>
      <c r="G44" s="6">
        <v>3333000000</v>
      </c>
      <c r="H44">
        <v>42</v>
      </c>
      <c r="I44" t="s">
        <v>2238</v>
      </c>
    </row>
    <row r="45" spans="2:9" x14ac:dyDescent="0.25">
      <c r="B45">
        <v>43</v>
      </c>
      <c r="C45" t="s">
        <v>1769</v>
      </c>
      <c r="D45" t="s">
        <v>1768</v>
      </c>
      <c r="E45">
        <v>999999</v>
      </c>
      <c r="F45" s="6">
        <v>3700000000</v>
      </c>
      <c r="G45" s="6">
        <v>3950000000</v>
      </c>
      <c r="H45">
        <v>43</v>
      </c>
      <c r="I45" t="s">
        <v>2239</v>
      </c>
    </row>
    <row r="46" spans="2:9" x14ac:dyDescent="0.25">
      <c r="B46">
        <v>44</v>
      </c>
      <c r="C46" t="s">
        <v>2035</v>
      </c>
      <c r="D46" t="s">
        <v>2034</v>
      </c>
      <c r="E46">
        <v>999999</v>
      </c>
      <c r="F46" s="6">
        <v>3600000000</v>
      </c>
      <c r="G46" s="6"/>
      <c r="H46">
        <v>44</v>
      </c>
      <c r="I46" t="s">
        <v>2240</v>
      </c>
    </row>
    <row r="47" spans="2:9" x14ac:dyDescent="0.25">
      <c r="B47">
        <v>45</v>
      </c>
      <c r="C47" t="s">
        <v>1775</v>
      </c>
      <c r="D47" t="s">
        <v>1531</v>
      </c>
      <c r="E47">
        <v>999999</v>
      </c>
      <c r="F47" s="6">
        <v>1900000000</v>
      </c>
      <c r="G47" s="6">
        <v>2743000000</v>
      </c>
      <c r="H47">
        <v>45</v>
      </c>
      <c r="I47" t="s">
        <v>2241</v>
      </c>
    </row>
    <row r="48" spans="2:9" x14ac:dyDescent="0.25">
      <c r="B48">
        <v>46</v>
      </c>
      <c r="C48" t="s">
        <v>2040</v>
      </c>
      <c r="D48" t="s">
        <v>382</v>
      </c>
      <c r="E48">
        <v>999999</v>
      </c>
      <c r="F48" s="6">
        <v>1700000000</v>
      </c>
      <c r="G48" s="6">
        <v>3110000000</v>
      </c>
      <c r="H48">
        <v>46</v>
      </c>
      <c r="I48" t="s">
        <v>2242</v>
      </c>
    </row>
    <row r="49" spans="2:9" x14ac:dyDescent="0.25">
      <c r="B49">
        <v>47</v>
      </c>
      <c r="C49" t="s">
        <v>1780</v>
      </c>
      <c r="D49" t="s">
        <v>1768</v>
      </c>
      <c r="E49">
        <v>999999</v>
      </c>
      <c r="F49" s="6">
        <v>3800000000</v>
      </c>
      <c r="G49" s="6">
        <v>5000000000</v>
      </c>
      <c r="H49">
        <v>47</v>
      </c>
      <c r="I49" t="s">
        <v>2243</v>
      </c>
    </row>
    <row r="50" spans="2:9" x14ac:dyDescent="0.25">
      <c r="B50">
        <v>48</v>
      </c>
      <c r="C50" t="s">
        <v>2045</v>
      </c>
      <c r="D50" t="s">
        <v>2244</v>
      </c>
      <c r="E50">
        <v>999999</v>
      </c>
      <c r="F50" s="6">
        <v>1700000000</v>
      </c>
      <c r="G50" s="6">
        <v>3019999999</v>
      </c>
      <c r="H50">
        <v>48</v>
      </c>
      <c r="I50" t="s">
        <v>2245</v>
      </c>
    </row>
    <row r="51" spans="2:9" x14ac:dyDescent="0.25">
      <c r="B51">
        <v>49</v>
      </c>
      <c r="C51" t="s">
        <v>1786</v>
      </c>
      <c r="D51" t="s">
        <v>1785</v>
      </c>
      <c r="E51">
        <v>999999</v>
      </c>
      <c r="F51" s="6">
        <v>3900000000</v>
      </c>
      <c r="G51" s="6">
        <v>4919999999</v>
      </c>
      <c r="H51">
        <v>49</v>
      </c>
      <c r="I51" t="s">
        <v>2246</v>
      </c>
    </row>
    <row r="52" spans="2:9" x14ac:dyDescent="0.25">
      <c r="B52">
        <v>50</v>
      </c>
      <c r="C52" t="s">
        <v>2050</v>
      </c>
      <c r="D52" t="s">
        <v>735</v>
      </c>
      <c r="E52">
        <v>999999</v>
      </c>
      <c r="F52" s="6">
        <v>3700000000</v>
      </c>
      <c r="G52" s="6">
        <v>8889999999</v>
      </c>
      <c r="H52">
        <v>50</v>
      </c>
      <c r="I52" t="s">
        <v>2247</v>
      </c>
    </row>
    <row r="53" spans="2:9" x14ac:dyDescent="0.25">
      <c r="B53">
        <v>51</v>
      </c>
      <c r="C53" t="s">
        <v>1791</v>
      </c>
      <c r="D53" t="s">
        <v>469</v>
      </c>
      <c r="E53">
        <v>999999</v>
      </c>
      <c r="F53" s="6">
        <v>3800000000</v>
      </c>
      <c r="G53" s="6">
        <v>5510000018</v>
      </c>
      <c r="H53">
        <v>51</v>
      </c>
      <c r="I53" t="s">
        <v>2248</v>
      </c>
    </row>
    <row r="54" spans="2:9" x14ac:dyDescent="0.25">
      <c r="B54">
        <v>52</v>
      </c>
      <c r="C54" t="s">
        <v>2056</v>
      </c>
      <c r="D54" t="s">
        <v>2055</v>
      </c>
      <c r="E54">
        <v>999999</v>
      </c>
      <c r="F54" s="6">
        <v>1400000000</v>
      </c>
      <c r="G54" s="6">
        <v>1759999999</v>
      </c>
      <c r="H54">
        <v>52</v>
      </c>
      <c r="I54" t="s">
        <v>2249</v>
      </c>
    </row>
    <row r="55" spans="2:9" x14ac:dyDescent="0.25">
      <c r="B55">
        <v>53</v>
      </c>
      <c r="C55" t="s">
        <v>1796</v>
      </c>
      <c r="D55" t="s">
        <v>1626</v>
      </c>
      <c r="E55">
        <v>999999</v>
      </c>
      <c r="F55" s="6">
        <v>1300000000</v>
      </c>
      <c r="G55" s="6"/>
      <c r="H55">
        <v>53</v>
      </c>
      <c r="I55" t="s">
        <v>2250</v>
      </c>
    </row>
    <row r="56" spans="2:9" x14ac:dyDescent="0.25">
      <c r="B56">
        <v>54</v>
      </c>
      <c r="C56" t="s">
        <v>2063</v>
      </c>
      <c r="D56" t="s">
        <v>113</v>
      </c>
      <c r="E56">
        <v>999999</v>
      </c>
      <c r="F56" s="6">
        <v>1600000000</v>
      </c>
      <c r="G56" s="6">
        <v>2352000000</v>
      </c>
      <c r="H56">
        <v>54</v>
      </c>
      <c r="I56" t="s">
        <v>2251</v>
      </c>
    </row>
    <row r="57" spans="2:9" x14ac:dyDescent="0.25">
      <c r="B57">
        <v>55</v>
      </c>
      <c r="C57" t="s">
        <v>1802</v>
      </c>
      <c r="D57" t="s">
        <v>534</v>
      </c>
      <c r="E57">
        <v>999999</v>
      </c>
      <c r="F57" s="6">
        <v>3000000000</v>
      </c>
      <c r="G57" s="6">
        <v>3919999999</v>
      </c>
      <c r="H57">
        <v>55</v>
      </c>
      <c r="I57" t="s">
        <v>2252</v>
      </c>
    </row>
    <row r="58" spans="2:9" x14ac:dyDescent="0.25">
      <c r="B58">
        <v>56</v>
      </c>
      <c r="C58" t="s">
        <v>2068</v>
      </c>
      <c r="D58" t="s">
        <v>2244</v>
      </c>
      <c r="E58">
        <v>999999</v>
      </c>
      <c r="F58" s="6">
        <v>1600000000</v>
      </c>
      <c r="G58" s="6">
        <v>3205000000</v>
      </c>
      <c r="H58">
        <v>56</v>
      </c>
      <c r="I58" t="s">
        <v>2253</v>
      </c>
    </row>
    <row r="59" spans="2:9" x14ac:dyDescent="0.25">
      <c r="B59">
        <v>57</v>
      </c>
      <c r="C59" t="s">
        <v>1808</v>
      </c>
      <c r="D59" t="s">
        <v>1807</v>
      </c>
      <c r="E59">
        <v>999999</v>
      </c>
      <c r="F59" s="6">
        <v>2500000000</v>
      </c>
      <c r="G59" s="6"/>
      <c r="H59">
        <v>57</v>
      </c>
      <c r="I59" t="s">
        <v>2254</v>
      </c>
    </row>
    <row r="60" spans="2:9" x14ac:dyDescent="0.25">
      <c r="B60">
        <v>58</v>
      </c>
      <c r="C60" t="s">
        <v>2073</v>
      </c>
      <c r="D60" t="s">
        <v>1542</v>
      </c>
      <c r="E60">
        <v>999999</v>
      </c>
      <c r="F60" s="6">
        <v>1700000000</v>
      </c>
      <c r="G60" s="6">
        <v>2531234567</v>
      </c>
      <c r="H60">
        <v>58</v>
      </c>
      <c r="I60" t="s">
        <v>2255</v>
      </c>
    </row>
    <row r="61" spans="2:9" x14ac:dyDescent="0.25">
      <c r="B61">
        <v>59</v>
      </c>
      <c r="C61" t="s">
        <v>1813</v>
      </c>
      <c r="D61" t="s">
        <v>447</v>
      </c>
      <c r="E61">
        <v>999999</v>
      </c>
      <c r="F61" s="6">
        <v>2700000000</v>
      </c>
      <c r="G61" s="6">
        <v>3500000000</v>
      </c>
      <c r="H61">
        <v>59</v>
      </c>
      <c r="I61" t="s">
        <v>2256</v>
      </c>
    </row>
    <row r="62" spans="2:9" x14ac:dyDescent="0.25">
      <c r="B62">
        <v>60</v>
      </c>
      <c r="C62" t="s">
        <v>2078</v>
      </c>
      <c r="D62" t="s">
        <v>113</v>
      </c>
      <c r="E62">
        <v>999999</v>
      </c>
      <c r="F62" s="6">
        <v>3400000000</v>
      </c>
      <c r="G62" s="6">
        <v>4711234567</v>
      </c>
      <c r="H62">
        <v>60</v>
      </c>
      <c r="I62" t="s">
        <v>2257</v>
      </c>
    </row>
    <row r="63" spans="2:9" x14ac:dyDescent="0.25">
      <c r="B63">
        <v>61</v>
      </c>
      <c r="C63" t="s">
        <v>1818</v>
      </c>
      <c r="D63" t="s">
        <v>425</v>
      </c>
      <c r="E63">
        <v>999999</v>
      </c>
      <c r="F63" s="6">
        <v>1700000000</v>
      </c>
      <c r="G63" s="6"/>
      <c r="H63">
        <v>61</v>
      </c>
      <c r="I63" t="s">
        <v>2258</v>
      </c>
    </row>
    <row r="64" spans="2:9" x14ac:dyDescent="0.25">
      <c r="B64">
        <v>62</v>
      </c>
      <c r="C64" t="s">
        <v>2083</v>
      </c>
      <c r="D64" t="s">
        <v>1368</v>
      </c>
      <c r="E64">
        <v>999999</v>
      </c>
      <c r="F64" s="6">
        <v>2800000000</v>
      </c>
      <c r="G64" s="6">
        <v>4888888888</v>
      </c>
      <c r="H64">
        <v>62</v>
      </c>
      <c r="I64" t="s">
        <v>2259</v>
      </c>
    </row>
    <row r="65" spans="2:9" x14ac:dyDescent="0.25">
      <c r="B65">
        <v>63</v>
      </c>
      <c r="C65" t="s">
        <v>1823</v>
      </c>
      <c r="D65" t="s">
        <v>809</v>
      </c>
      <c r="E65">
        <v>999999</v>
      </c>
      <c r="F65" s="6">
        <v>3400000000</v>
      </c>
      <c r="G65" s="6">
        <v>4400000000</v>
      </c>
      <c r="H65">
        <v>63</v>
      </c>
      <c r="I65" t="s">
        <v>2260</v>
      </c>
    </row>
    <row r="66" spans="2:9" x14ac:dyDescent="0.25">
      <c r="B66">
        <v>64</v>
      </c>
      <c r="C66" t="s">
        <v>2088</v>
      </c>
      <c r="D66" t="s">
        <v>447</v>
      </c>
      <c r="E66">
        <v>999999</v>
      </c>
      <c r="F66" s="6">
        <v>2800000000</v>
      </c>
      <c r="G66" s="6">
        <v>3510000000</v>
      </c>
      <c r="H66">
        <v>64</v>
      </c>
      <c r="I66" t="s">
        <v>2261</v>
      </c>
    </row>
    <row r="67" spans="2:9" x14ac:dyDescent="0.25">
      <c r="B67">
        <v>65</v>
      </c>
      <c r="C67" t="s">
        <v>1828</v>
      </c>
      <c r="D67" t="s">
        <v>743</v>
      </c>
      <c r="E67">
        <v>999999</v>
      </c>
      <c r="F67" s="6">
        <v>3700000000</v>
      </c>
      <c r="G67" s="6">
        <v>7667899999</v>
      </c>
      <c r="H67">
        <v>65</v>
      </c>
      <c r="I67" t="s">
        <v>2262</v>
      </c>
    </row>
    <row r="68" spans="2:9" x14ac:dyDescent="0.25">
      <c r="B68">
        <v>66</v>
      </c>
      <c r="C68" t="s">
        <v>2094</v>
      </c>
      <c r="D68" t="s">
        <v>2093</v>
      </c>
      <c r="E68">
        <v>999999</v>
      </c>
      <c r="F68" s="6">
        <v>2800000000</v>
      </c>
      <c r="G68" s="6">
        <v>3300000000</v>
      </c>
      <c r="H68">
        <v>66</v>
      </c>
      <c r="I68" t="s">
        <v>2263</v>
      </c>
    </row>
    <row r="69" spans="2:9" x14ac:dyDescent="0.25">
      <c r="B69">
        <v>67</v>
      </c>
      <c r="C69" t="s">
        <v>1833</v>
      </c>
      <c r="D69" t="s">
        <v>373</v>
      </c>
      <c r="E69">
        <v>999999</v>
      </c>
      <c r="F69" s="6">
        <v>1700000000</v>
      </c>
      <c r="G69" s="6">
        <v>3210000000</v>
      </c>
      <c r="H69">
        <v>67</v>
      </c>
      <c r="I69" t="s">
        <v>2264</v>
      </c>
    </row>
    <row r="70" spans="2:9" x14ac:dyDescent="0.25">
      <c r="B70">
        <v>68</v>
      </c>
      <c r="C70" t="s">
        <v>2099</v>
      </c>
      <c r="D70" t="s">
        <v>447</v>
      </c>
      <c r="E70">
        <v>999999</v>
      </c>
      <c r="F70" s="6">
        <v>2800000000</v>
      </c>
      <c r="G70" s="6">
        <v>3550000000</v>
      </c>
      <c r="H70">
        <v>68</v>
      </c>
      <c r="I70" t="s">
        <v>2265</v>
      </c>
    </row>
    <row r="71" spans="2:9" x14ac:dyDescent="0.25">
      <c r="B71">
        <v>69</v>
      </c>
      <c r="C71" t="s">
        <v>1838</v>
      </c>
      <c r="D71" t="s">
        <v>1233</v>
      </c>
      <c r="E71">
        <v>999999</v>
      </c>
      <c r="F71" s="6">
        <v>4500000000</v>
      </c>
      <c r="G71" s="6">
        <v>6759999999</v>
      </c>
      <c r="H71">
        <v>69</v>
      </c>
      <c r="I71" t="s">
        <v>2266</v>
      </c>
    </row>
    <row r="72" spans="2:9" x14ac:dyDescent="0.25">
      <c r="B72">
        <v>70</v>
      </c>
      <c r="C72" t="s">
        <v>2104</v>
      </c>
      <c r="D72" t="s">
        <v>2267</v>
      </c>
      <c r="E72">
        <v>999999</v>
      </c>
      <c r="F72" s="6">
        <v>3200000000</v>
      </c>
      <c r="G72" s="6">
        <v>3600000000</v>
      </c>
      <c r="H72">
        <v>70</v>
      </c>
      <c r="I72" t="s">
        <v>2268</v>
      </c>
    </row>
    <row r="73" spans="2:9" x14ac:dyDescent="0.25">
      <c r="B73">
        <v>71</v>
      </c>
      <c r="C73" t="s">
        <v>1843</v>
      </c>
      <c r="D73" t="s">
        <v>635</v>
      </c>
      <c r="E73">
        <v>999999</v>
      </c>
      <c r="F73" s="6">
        <v>3800000000</v>
      </c>
      <c r="G73" s="6">
        <v>3870000000</v>
      </c>
      <c r="H73">
        <v>71</v>
      </c>
      <c r="I73" t="s">
        <v>2269</v>
      </c>
    </row>
    <row r="74" spans="2:9" x14ac:dyDescent="0.25">
      <c r="B74">
        <v>72</v>
      </c>
      <c r="C74" t="s">
        <v>2109</v>
      </c>
      <c r="D74" t="s">
        <v>772</v>
      </c>
      <c r="E74">
        <v>999999</v>
      </c>
      <c r="F74" s="6">
        <v>1700000000</v>
      </c>
      <c r="G74" s="6">
        <v>2620000999</v>
      </c>
      <c r="H74">
        <v>72</v>
      </c>
      <c r="I74" t="s">
        <v>2270</v>
      </c>
    </row>
    <row r="75" spans="2:9" x14ac:dyDescent="0.25">
      <c r="B75">
        <v>73</v>
      </c>
      <c r="C75" t="s">
        <v>1848</v>
      </c>
      <c r="D75" t="s">
        <v>958</v>
      </c>
      <c r="E75">
        <v>999999</v>
      </c>
      <c r="F75" s="6">
        <v>2900000000</v>
      </c>
      <c r="G75" s="6">
        <v>3999500000</v>
      </c>
      <c r="H75">
        <v>73</v>
      </c>
      <c r="I75" t="s">
        <v>2271</v>
      </c>
    </row>
    <row r="76" spans="2:9" x14ac:dyDescent="0.25">
      <c r="B76">
        <v>74</v>
      </c>
      <c r="C76" t="s">
        <v>2114</v>
      </c>
      <c r="D76" t="s">
        <v>155</v>
      </c>
      <c r="E76">
        <v>999999</v>
      </c>
      <c r="F76" s="6">
        <v>1800000000</v>
      </c>
      <c r="G76" s="6">
        <v>2153333333</v>
      </c>
      <c r="H76">
        <v>74</v>
      </c>
      <c r="I76" t="s">
        <v>2272</v>
      </c>
    </row>
    <row r="77" spans="2:9" x14ac:dyDescent="0.25">
      <c r="B77">
        <v>75</v>
      </c>
      <c r="C77" t="s">
        <v>1853</v>
      </c>
      <c r="D77" t="s">
        <v>459</v>
      </c>
      <c r="E77">
        <v>999999</v>
      </c>
      <c r="F77" s="6">
        <v>4800000000</v>
      </c>
      <c r="G77" s="6">
        <v>6326000009</v>
      </c>
      <c r="H77">
        <v>75</v>
      </c>
      <c r="I77" t="s">
        <v>2273</v>
      </c>
    </row>
    <row r="78" spans="2:9" x14ac:dyDescent="0.25">
      <c r="B78">
        <v>76</v>
      </c>
      <c r="C78" t="s">
        <v>2120</v>
      </c>
      <c r="D78" t="s">
        <v>2119</v>
      </c>
      <c r="E78">
        <v>999999</v>
      </c>
      <c r="F78" s="6">
        <v>3100000000</v>
      </c>
      <c r="G78" s="6">
        <v>4138999899</v>
      </c>
      <c r="H78">
        <v>76</v>
      </c>
      <c r="I78" t="s">
        <v>2274</v>
      </c>
    </row>
    <row r="79" spans="2:9" x14ac:dyDescent="0.25">
      <c r="B79">
        <v>77</v>
      </c>
      <c r="C79" t="s">
        <v>1860</v>
      </c>
      <c r="D79" t="s">
        <v>382</v>
      </c>
      <c r="E79">
        <v>999999</v>
      </c>
      <c r="F79" s="6">
        <v>1700000000</v>
      </c>
      <c r="G79" s="6">
        <v>3220000000</v>
      </c>
      <c r="H79">
        <v>77</v>
      </c>
      <c r="I79" t="s">
        <v>2275</v>
      </c>
    </row>
    <row r="80" spans="2:9" x14ac:dyDescent="0.25">
      <c r="B80">
        <v>78</v>
      </c>
      <c r="C80" t="s">
        <v>2126</v>
      </c>
      <c r="D80" t="s">
        <v>2125</v>
      </c>
      <c r="E80">
        <v>999999</v>
      </c>
      <c r="F80" s="6">
        <v>1600000000</v>
      </c>
      <c r="G80" s="6">
        <v>3055555555</v>
      </c>
      <c r="H80">
        <v>78</v>
      </c>
      <c r="I80" t="s">
        <v>2276</v>
      </c>
    </row>
    <row r="81" spans="2:9" x14ac:dyDescent="0.25">
      <c r="B81">
        <v>79</v>
      </c>
      <c r="C81" t="s">
        <v>1865</v>
      </c>
      <c r="D81" t="s">
        <v>773</v>
      </c>
      <c r="E81">
        <v>999999</v>
      </c>
      <c r="F81" s="6">
        <v>2000000000</v>
      </c>
      <c r="G81" s="6">
        <v>3021000000</v>
      </c>
      <c r="H81">
        <v>79</v>
      </c>
      <c r="I81" t="s">
        <v>2277</v>
      </c>
    </row>
    <row r="82" spans="2:9" x14ac:dyDescent="0.25">
      <c r="B82">
        <v>80</v>
      </c>
      <c r="C82" t="s">
        <v>2131</v>
      </c>
      <c r="D82" t="s">
        <v>1478</v>
      </c>
      <c r="E82">
        <v>999999</v>
      </c>
      <c r="F82" s="6">
        <v>1800000000</v>
      </c>
      <c r="G82" s="6">
        <v>2330000999</v>
      </c>
      <c r="H82">
        <v>80</v>
      </c>
      <c r="I82" t="s">
        <v>2278</v>
      </c>
    </row>
    <row r="83" spans="2:9" x14ac:dyDescent="0.25">
      <c r="B83">
        <v>81</v>
      </c>
      <c r="C83" t="s">
        <v>1870</v>
      </c>
      <c r="D83" t="s">
        <v>483</v>
      </c>
      <c r="E83">
        <v>999999</v>
      </c>
      <c r="F83" s="6">
        <v>3700000000</v>
      </c>
      <c r="G83" s="6">
        <v>4510000000</v>
      </c>
      <c r="H83">
        <v>81</v>
      </c>
      <c r="I83" t="s">
        <v>2279</v>
      </c>
    </row>
    <row r="84" spans="2:9" x14ac:dyDescent="0.25">
      <c r="B84">
        <v>82</v>
      </c>
      <c r="C84" t="s">
        <v>2136</v>
      </c>
      <c r="D84" t="s">
        <v>382</v>
      </c>
      <c r="E84">
        <v>999999</v>
      </c>
      <c r="F84" s="6">
        <v>1600000000</v>
      </c>
      <c r="G84" s="6">
        <v>1800000000</v>
      </c>
      <c r="H84">
        <v>82</v>
      </c>
      <c r="I84" t="s">
        <v>2280</v>
      </c>
    </row>
    <row r="85" spans="2:9" x14ac:dyDescent="0.25">
      <c r="B85">
        <v>83</v>
      </c>
      <c r="C85" t="s">
        <v>1876</v>
      </c>
      <c r="D85" t="s">
        <v>1875</v>
      </c>
      <c r="E85">
        <v>999999</v>
      </c>
      <c r="F85" s="6">
        <v>1600000000</v>
      </c>
      <c r="G85" s="6"/>
      <c r="H85">
        <v>83</v>
      </c>
      <c r="I85" t="s">
        <v>2281</v>
      </c>
    </row>
    <row r="86" spans="2:9" x14ac:dyDescent="0.25">
      <c r="B86">
        <v>84</v>
      </c>
      <c r="C86" t="s">
        <v>2142</v>
      </c>
      <c r="D86" t="s">
        <v>2282</v>
      </c>
      <c r="E86">
        <v>999999</v>
      </c>
      <c r="F86" s="6">
        <v>2900000000</v>
      </c>
      <c r="G86" s="6">
        <v>4688888000</v>
      </c>
      <c r="H86">
        <v>84</v>
      </c>
      <c r="I86" t="s">
        <v>2283</v>
      </c>
    </row>
    <row r="87" spans="2:9" x14ac:dyDescent="0.25">
      <c r="B87">
        <v>85</v>
      </c>
      <c r="C87" t="s">
        <v>1881</v>
      </c>
      <c r="D87" t="s">
        <v>147</v>
      </c>
      <c r="E87">
        <v>999999</v>
      </c>
      <c r="F87" s="6">
        <v>1500000000</v>
      </c>
      <c r="G87" s="6">
        <v>1710000000</v>
      </c>
      <c r="H87">
        <v>85</v>
      </c>
      <c r="I87" t="s">
        <v>2284</v>
      </c>
    </row>
    <row r="88" spans="2:9" x14ac:dyDescent="0.25">
      <c r="B88">
        <v>86</v>
      </c>
      <c r="C88" t="s">
        <v>2147</v>
      </c>
      <c r="D88" t="s">
        <v>414</v>
      </c>
      <c r="E88">
        <v>999999</v>
      </c>
      <c r="F88" s="6">
        <v>1900000000</v>
      </c>
      <c r="G88" s="6">
        <v>2900000000</v>
      </c>
      <c r="H88">
        <v>86</v>
      </c>
      <c r="I88" t="s">
        <v>2285</v>
      </c>
    </row>
    <row r="89" spans="2:9" x14ac:dyDescent="0.25">
      <c r="B89">
        <v>87</v>
      </c>
      <c r="C89" t="s">
        <v>1886</v>
      </c>
      <c r="D89" t="s">
        <v>113</v>
      </c>
      <c r="E89">
        <v>999999</v>
      </c>
      <c r="F89" s="6">
        <v>1700000000</v>
      </c>
      <c r="G89" s="6">
        <v>2279999999</v>
      </c>
      <c r="H89">
        <v>87</v>
      </c>
      <c r="I89" t="s">
        <v>2286</v>
      </c>
    </row>
    <row r="90" spans="2:9" x14ac:dyDescent="0.25">
      <c r="B90">
        <v>88</v>
      </c>
      <c r="C90" t="s">
        <v>2153</v>
      </c>
      <c r="D90" t="s">
        <v>2152</v>
      </c>
      <c r="E90">
        <v>999999</v>
      </c>
      <c r="F90" s="6">
        <v>2000000000</v>
      </c>
      <c r="G90" s="6">
        <v>2910009999</v>
      </c>
      <c r="H90">
        <v>88</v>
      </c>
      <c r="I90" t="s">
        <v>2287</v>
      </c>
    </row>
    <row r="91" spans="2:9" x14ac:dyDescent="0.25">
      <c r="B91">
        <v>89</v>
      </c>
      <c r="C91" t="s">
        <v>1891</v>
      </c>
      <c r="D91" t="s">
        <v>1299</v>
      </c>
      <c r="E91">
        <v>999999</v>
      </c>
      <c r="F91" s="6">
        <v>2300000000</v>
      </c>
      <c r="G91" s="6">
        <v>5222000000</v>
      </c>
      <c r="H91">
        <v>89</v>
      </c>
      <c r="I91" t="s">
        <v>2288</v>
      </c>
    </row>
    <row r="92" spans="2:9" x14ac:dyDescent="0.25">
      <c r="B92">
        <v>90</v>
      </c>
      <c r="C92" t="s">
        <v>2158</v>
      </c>
      <c r="D92" t="s">
        <v>770</v>
      </c>
      <c r="E92">
        <v>999999</v>
      </c>
      <c r="F92" s="6">
        <v>2600000000</v>
      </c>
      <c r="G92" s="6">
        <v>2815000000</v>
      </c>
      <c r="H92">
        <v>90</v>
      </c>
      <c r="I92" t="s">
        <v>2289</v>
      </c>
    </row>
    <row r="93" spans="2:9" x14ac:dyDescent="0.25">
      <c r="B93">
        <v>91</v>
      </c>
      <c r="C93" t="s">
        <v>1896</v>
      </c>
      <c r="D93" t="s">
        <v>958</v>
      </c>
      <c r="E93">
        <v>999999</v>
      </c>
      <c r="F93" s="6">
        <v>3000000000</v>
      </c>
      <c r="G93" s="6">
        <v>3170000000</v>
      </c>
      <c r="H93">
        <v>91</v>
      </c>
      <c r="I93" t="s">
        <v>2290</v>
      </c>
    </row>
    <row r="94" spans="2:9" x14ac:dyDescent="0.25">
      <c r="B94">
        <v>92</v>
      </c>
      <c r="C94" t="s">
        <v>2163</v>
      </c>
      <c r="D94" t="s">
        <v>447</v>
      </c>
      <c r="E94">
        <v>999999</v>
      </c>
      <c r="F94" s="6">
        <v>2900000000</v>
      </c>
      <c r="G94" s="6">
        <v>3350000000</v>
      </c>
      <c r="H94">
        <v>92</v>
      </c>
      <c r="I94" t="s">
        <v>2291</v>
      </c>
    </row>
    <row r="95" spans="2:9" x14ac:dyDescent="0.25">
      <c r="B95">
        <v>93</v>
      </c>
      <c r="C95" t="s">
        <v>1901</v>
      </c>
      <c r="D95" t="s">
        <v>1542</v>
      </c>
      <c r="E95">
        <v>999999</v>
      </c>
      <c r="F95" s="6">
        <v>1800000000</v>
      </c>
      <c r="G95" s="6">
        <v>2488888000</v>
      </c>
      <c r="H95">
        <v>93</v>
      </c>
      <c r="I95" t="s">
        <v>2292</v>
      </c>
    </row>
    <row r="96" spans="2:9" x14ac:dyDescent="0.25">
      <c r="B96">
        <v>94</v>
      </c>
      <c r="C96" t="s">
        <v>2169</v>
      </c>
      <c r="D96" t="s">
        <v>2293</v>
      </c>
      <c r="E96">
        <v>999999</v>
      </c>
      <c r="F96" s="6">
        <v>3500000000</v>
      </c>
      <c r="G96" s="6">
        <v>5080000000</v>
      </c>
      <c r="H96">
        <v>94</v>
      </c>
      <c r="I96" t="s">
        <v>2294</v>
      </c>
    </row>
    <row r="97" spans="2:9" x14ac:dyDescent="0.25">
      <c r="B97">
        <v>95</v>
      </c>
      <c r="C97" t="s">
        <v>1906</v>
      </c>
      <c r="D97" t="s">
        <v>82</v>
      </c>
      <c r="E97">
        <v>999999</v>
      </c>
      <c r="F97" s="6">
        <v>1900000000</v>
      </c>
      <c r="G97" s="6">
        <v>3599999999</v>
      </c>
      <c r="H97">
        <v>95</v>
      </c>
      <c r="I97" t="s">
        <v>2295</v>
      </c>
    </row>
    <row r="98" spans="2:9" x14ac:dyDescent="0.25">
      <c r="B98">
        <v>96</v>
      </c>
      <c r="C98" t="s">
        <v>2175</v>
      </c>
      <c r="D98" t="s">
        <v>2174</v>
      </c>
      <c r="E98">
        <v>999999</v>
      </c>
      <c r="F98" s="6">
        <v>1700000000</v>
      </c>
      <c r="G98" s="6">
        <v>2350000000</v>
      </c>
      <c r="H98">
        <v>96</v>
      </c>
      <c r="I98" t="s">
        <v>2296</v>
      </c>
    </row>
    <row r="99" spans="2:9" x14ac:dyDescent="0.25">
      <c r="B99">
        <v>97</v>
      </c>
      <c r="C99" t="s">
        <v>1911</v>
      </c>
      <c r="D99" t="s">
        <v>773</v>
      </c>
      <c r="E99">
        <v>999999</v>
      </c>
      <c r="F99" s="6">
        <v>1800000000</v>
      </c>
      <c r="G99" s="6">
        <v>2235800000</v>
      </c>
      <c r="H99">
        <v>97</v>
      </c>
      <c r="I99" t="s">
        <v>2297</v>
      </c>
    </row>
    <row r="100" spans="2:9" x14ac:dyDescent="0.25">
      <c r="B100">
        <v>98</v>
      </c>
      <c r="C100" t="s">
        <v>2180</v>
      </c>
      <c r="D100" t="s">
        <v>82</v>
      </c>
      <c r="E100">
        <v>999999</v>
      </c>
      <c r="F100" s="6">
        <v>2200000000</v>
      </c>
      <c r="G100" s="6">
        <v>3650000000</v>
      </c>
      <c r="H100">
        <v>98</v>
      </c>
      <c r="I100" t="s">
        <v>2298</v>
      </c>
    </row>
    <row r="101" spans="2:9" x14ac:dyDescent="0.25">
      <c r="B101">
        <v>99</v>
      </c>
      <c r="C101" t="s">
        <v>1916</v>
      </c>
      <c r="D101" t="s">
        <v>967</v>
      </c>
      <c r="E101">
        <v>999999</v>
      </c>
      <c r="F101" s="6">
        <v>1800000000</v>
      </c>
      <c r="G101" s="6">
        <v>2655850000</v>
      </c>
      <c r="H101">
        <v>99</v>
      </c>
      <c r="I101" t="s">
        <v>2299</v>
      </c>
    </row>
    <row r="102" spans="2:9" x14ac:dyDescent="0.25">
      <c r="B102">
        <v>100</v>
      </c>
      <c r="C102" t="s">
        <v>2185</v>
      </c>
      <c r="D102" t="s">
        <v>155</v>
      </c>
      <c r="E102">
        <v>999999</v>
      </c>
      <c r="F102" s="6">
        <v>1800000000</v>
      </c>
      <c r="G102" s="6">
        <v>2333000000</v>
      </c>
      <c r="H102">
        <v>100</v>
      </c>
      <c r="I102" t="s">
        <v>2300</v>
      </c>
    </row>
    <row r="103" spans="2:9" x14ac:dyDescent="0.25">
      <c r="B103" t="s">
        <v>800</v>
      </c>
      <c r="C103" t="s">
        <v>801</v>
      </c>
      <c r="D103" t="s">
        <v>802</v>
      </c>
      <c r="E103" t="s">
        <v>803</v>
      </c>
      <c r="F103" t="s">
        <v>804</v>
      </c>
      <c r="G103" t="s">
        <v>805</v>
      </c>
      <c r="H103" t="s">
        <v>806</v>
      </c>
    </row>
    <row r="104" spans="2:9" x14ac:dyDescent="0.25">
      <c r="B104">
        <v>101</v>
      </c>
      <c r="C104" t="s">
        <v>1099</v>
      </c>
      <c r="D104" t="s">
        <v>1098</v>
      </c>
      <c r="E104">
        <v>999999</v>
      </c>
      <c r="F104" s="6">
        <v>1600000000</v>
      </c>
      <c r="G104" s="6">
        <v>2822999999</v>
      </c>
      <c r="H104">
        <v>101</v>
      </c>
      <c r="I104" t="s">
        <v>2301</v>
      </c>
    </row>
    <row r="105" spans="2:9" x14ac:dyDescent="0.25">
      <c r="B105">
        <v>102</v>
      </c>
      <c r="C105" t="s">
        <v>1387</v>
      </c>
      <c r="D105" t="s">
        <v>1386</v>
      </c>
      <c r="E105">
        <v>999999</v>
      </c>
      <c r="F105" s="6">
        <v>4700000000</v>
      </c>
      <c r="G105" s="6">
        <v>4888888888</v>
      </c>
      <c r="H105">
        <v>102</v>
      </c>
      <c r="I105" t="s">
        <v>2302</v>
      </c>
    </row>
    <row r="106" spans="2:9" x14ac:dyDescent="0.25">
      <c r="B106">
        <v>103</v>
      </c>
      <c r="C106" t="s">
        <v>1106</v>
      </c>
      <c r="D106" t="s">
        <v>116</v>
      </c>
      <c r="E106">
        <v>999999</v>
      </c>
      <c r="F106" s="6">
        <v>1700000000</v>
      </c>
      <c r="G106" s="6">
        <v>1799999999</v>
      </c>
      <c r="H106">
        <v>103</v>
      </c>
      <c r="I106" t="s">
        <v>2303</v>
      </c>
    </row>
    <row r="107" spans="2:9" x14ac:dyDescent="0.25">
      <c r="B107">
        <v>104</v>
      </c>
      <c r="C107" t="s">
        <v>1393</v>
      </c>
      <c r="D107" t="s">
        <v>958</v>
      </c>
      <c r="E107">
        <v>999999</v>
      </c>
      <c r="F107" s="6">
        <v>2800000000</v>
      </c>
      <c r="G107" s="6">
        <v>4050000000</v>
      </c>
      <c r="H107">
        <v>104</v>
      </c>
      <c r="I107" t="s">
        <v>2304</v>
      </c>
    </row>
    <row r="108" spans="2:9" x14ac:dyDescent="0.25">
      <c r="B108">
        <v>105</v>
      </c>
      <c r="C108" t="s">
        <v>1111</v>
      </c>
      <c r="D108" t="s">
        <v>113</v>
      </c>
      <c r="E108">
        <v>999999</v>
      </c>
      <c r="F108" s="6">
        <v>1700000000</v>
      </c>
      <c r="G108" s="6"/>
      <c r="H108">
        <v>105</v>
      </c>
      <c r="I108" t="s">
        <v>2305</v>
      </c>
    </row>
    <row r="109" spans="2:9" x14ac:dyDescent="0.25">
      <c r="B109">
        <v>106</v>
      </c>
      <c r="C109" t="s">
        <v>1398</v>
      </c>
      <c r="D109" t="s">
        <v>764</v>
      </c>
      <c r="E109">
        <v>999999</v>
      </c>
      <c r="F109" s="6">
        <v>2700000000</v>
      </c>
      <c r="G109" s="6"/>
      <c r="H109">
        <v>106</v>
      </c>
      <c r="I109" t="s">
        <v>2306</v>
      </c>
    </row>
    <row r="110" spans="2:9" x14ac:dyDescent="0.25">
      <c r="B110">
        <v>107</v>
      </c>
      <c r="C110" t="s">
        <v>1116</v>
      </c>
      <c r="D110" t="s">
        <v>389</v>
      </c>
      <c r="E110">
        <v>999999</v>
      </c>
      <c r="F110" s="6">
        <v>1800000000</v>
      </c>
      <c r="G110" s="6">
        <v>2058000000</v>
      </c>
      <c r="H110">
        <v>107</v>
      </c>
      <c r="I110" t="s">
        <v>2307</v>
      </c>
    </row>
    <row r="111" spans="2:9" x14ac:dyDescent="0.25">
      <c r="B111">
        <v>108</v>
      </c>
      <c r="C111" t="s">
        <v>1403</v>
      </c>
      <c r="D111" t="s">
        <v>389</v>
      </c>
      <c r="E111">
        <v>999999</v>
      </c>
      <c r="F111" s="6">
        <v>1700000000</v>
      </c>
      <c r="G111" s="6">
        <v>1955555555</v>
      </c>
      <c r="H111">
        <v>108</v>
      </c>
      <c r="I111" t="s">
        <v>2308</v>
      </c>
    </row>
    <row r="112" spans="2:9" x14ac:dyDescent="0.25">
      <c r="B112">
        <v>109</v>
      </c>
      <c r="C112" t="s">
        <v>1121</v>
      </c>
      <c r="D112" t="s">
        <v>1098</v>
      </c>
      <c r="E112">
        <v>999999</v>
      </c>
      <c r="F112" s="6">
        <v>1700000000</v>
      </c>
      <c r="G112" s="6">
        <v>2719999999</v>
      </c>
      <c r="H112">
        <v>109</v>
      </c>
      <c r="I112" t="s">
        <v>2309</v>
      </c>
    </row>
    <row r="113" spans="2:9" x14ac:dyDescent="0.25">
      <c r="B113">
        <v>110</v>
      </c>
      <c r="C113" t="s">
        <v>1408</v>
      </c>
      <c r="D113" t="s">
        <v>382</v>
      </c>
      <c r="E113">
        <v>999999</v>
      </c>
      <c r="F113" s="6">
        <v>1700000000</v>
      </c>
      <c r="G113" s="6">
        <v>2100999999</v>
      </c>
      <c r="H113">
        <v>110</v>
      </c>
      <c r="I113" t="s">
        <v>2310</v>
      </c>
    </row>
    <row r="114" spans="2:9" x14ac:dyDescent="0.25">
      <c r="B114">
        <v>111</v>
      </c>
      <c r="C114" t="s">
        <v>1126</v>
      </c>
      <c r="D114" t="s">
        <v>116</v>
      </c>
      <c r="E114">
        <v>999999</v>
      </c>
      <c r="F114" s="6">
        <v>1700000000</v>
      </c>
      <c r="G114" s="6">
        <v>3012000000</v>
      </c>
      <c r="H114">
        <v>111</v>
      </c>
      <c r="I114" t="s">
        <v>2311</v>
      </c>
    </row>
    <row r="115" spans="2:9" x14ac:dyDescent="0.25">
      <c r="B115">
        <v>112</v>
      </c>
      <c r="C115" t="s">
        <v>1413</v>
      </c>
      <c r="D115" t="s">
        <v>447</v>
      </c>
      <c r="E115">
        <v>999999</v>
      </c>
      <c r="F115" s="6">
        <v>2700000000</v>
      </c>
      <c r="G115" s="6">
        <v>4570000009</v>
      </c>
      <c r="H115">
        <v>112</v>
      </c>
      <c r="I115" t="s">
        <v>2312</v>
      </c>
    </row>
    <row r="116" spans="2:9" x14ac:dyDescent="0.25">
      <c r="B116">
        <v>113</v>
      </c>
      <c r="C116" t="s">
        <v>1132</v>
      </c>
      <c r="D116" t="s">
        <v>1131</v>
      </c>
      <c r="E116">
        <v>999999</v>
      </c>
      <c r="F116" s="6">
        <v>2200000000</v>
      </c>
      <c r="G116" s="6">
        <v>2959999000</v>
      </c>
      <c r="H116">
        <v>113</v>
      </c>
      <c r="I116" t="s">
        <v>2313</v>
      </c>
    </row>
    <row r="117" spans="2:9" x14ac:dyDescent="0.25">
      <c r="B117">
        <v>114</v>
      </c>
      <c r="C117" t="s">
        <v>1418</v>
      </c>
      <c r="D117" t="s">
        <v>810</v>
      </c>
      <c r="E117">
        <v>999999</v>
      </c>
      <c r="F117" s="6">
        <v>3200000000</v>
      </c>
      <c r="G117" s="6">
        <v>4355000000</v>
      </c>
      <c r="H117">
        <v>114</v>
      </c>
      <c r="I117" t="s">
        <v>2314</v>
      </c>
    </row>
    <row r="118" spans="2:9" x14ac:dyDescent="0.25">
      <c r="B118">
        <v>115</v>
      </c>
      <c r="C118" t="s">
        <v>1137</v>
      </c>
      <c r="D118" t="s">
        <v>382</v>
      </c>
      <c r="E118">
        <v>999999</v>
      </c>
      <c r="F118" s="6">
        <v>1700000000</v>
      </c>
      <c r="G118" s="6">
        <v>3300009999</v>
      </c>
      <c r="H118">
        <v>115</v>
      </c>
      <c r="I118" t="s">
        <v>2315</v>
      </c>
    </row>
    <row r="119" spans="2:9" x14ac:dyDescent="0.25">
      <c r="B119">
        <v>116</v>
      </c>
      <c r="C119" t="s">
        <v>1425</v>
      </c>
      <c r="D119" t="s">
        <v>1424</v>
      </c>
      <c r="E119">
        <v>999999</v>
      </c>
      <c r="F119" s="6">
        <v>2700000000</v>
      </c>
      <c r="G119" s="6">
        <v>3310000000</v>
      </c>
      <c r="H119">
        <v>116</v>
      </c>
      <c r="I119" t="s">
        <v>2316</v>
      </c>
    </row>
    <row r="120" spans="2:9" x14ac:dyDescent="0.25">
      <c r="B120">
        <v>117</v>
      </c>
      <c r="C120" t="s">
        <v>1143</v>
      </c>
      <c r="D120" t="s">
        <v>1142</v>
      </c>
      <c r="E120">
        <v>999999</v>
      </c>
      <c r="F120" s="6">
        <v>1800000000</v>
      </c>
      <c r="G120" s="6">
        <v>2631234567</v>
      </c>
      <c r="H120">
        <v>117</v>
      </c>
      <c r="I120" t="s">
        <v>2317</v>
      </c>
    </row>
    <row r="121" spans="2:9" x14ac:dyDescent="0.25">
      <c r="B121">
        <v>118</v>
      </c>
      <c r="C121" t="s">
        <v>1430</v>
      </c>
      <c r="D121" t="s">
        <v>1178</v>
      </c>
      <c r="E121">
        <v>999999</v>
      </c>
      <c r="F121" s="6">
        <v>1800000000</v>
      </c>
      <c r="G121" s="6">
        <v>3679999900</v>
      </c>
      <c r="H121">
        <v>118</v>
      </c>
      <c r="I121" t="s">
        <v>2318</v>
      </c>
    </row>
    <row r="122" spans="2:9" x14ac:dyDescent="0.25">
      <c r="B122">
        <v>119</v>
      </c>
      <c r="C122" t="s">
        <v>1150</v>
      </c>
      <c r="D122" t="s">
        <v>1044</v>
      </c>
      <c r="E122">
        <v>999999</v>
      </c>
      <c r="F122" s="6">
        <v>2800000000</v>
      </c>
      <c r="G122" s="6">
        <v>3333333333</v>
      </c>
      <c r="H122">
        <v>119</v>
      </c>
      <c r="I122" t="s">
        <v>2319</v>
      </c>
    </row>
    <row r="123" spans="2:9" x14ac:dyDescent="0.25">
      <c r="B123">
        <v>120</v>
      </c>
      <c r="C123" t="s">
        <v>1436</v>
      </c>
      <c r="D123" t="s">
        <v>1098</v>
      </c>
      <c r="E123">
        <v>999999</v>
      </c>
      <c r="F123" s="6">
        <v>1800000000</v>
      </c>
      <c r="G123" s="6">
        <v>2611555000</v>
      </c>
      <c r="H123">
        <v>120</v>
      </c>
      <c r="I123" t="s">
        <v>2320</v>
      </c>
    </row>
    <row r="124" spans="2:9" x14ac:dyDescent="0.25">
      <c r="B124">
        <v>121</v>
      </c>
      <c r="C124" t="s">
        <v>1156</v>
      </c>
      <c r="D124" t="s">
        <v>447</v>
      </c>
      <c r="E124">
        <v>999999</v>
      </c>
      <c r="F124" s="6">
        <v>2700000000</v>
      </c>
      <c r="G124" s="6">
        <v>3200000000</v>
      </c>
      <c r="H124">
        <v>121</v>
      </c>
      <c r="I124" t="s">
        <v>2321</v>
      </c>
    </row>
    <row r="125" spans="2:9" x14ac:dyDescent="0.25">
      <c r="B125">
        <v>122</v>
      </c>
      <c r="C125" t="s">
        <v>1442</v>
      </c>
      <c r="D125" t="s">
        <v>1441</v>
      </c>
      <c r="E125">
        <v>999999</v>
      </c>
      <c r="F125" s="6">
        <v>4200000000</v>
      </c>
      <c r="G125" s="6">
        <v>5600000000</v>
      </c>
      <c r="H125">
        <v>122</v>
      </c>
      <c r="I125" t="s">
        <v>2322</v>
      </c>
    </row>
    <row r="126" spans="2:9" x14ac:dyDescent="0.25">
      <c r="B126">
        <v>123</v>
      </c>
      <c r="C126" t="s">
        <v>1161</v>
      </c>
      <c r="D126" t="s">
        <v>1020</v>
      </c>
      <c r="E126">
        <v>999999</v>
      </c>
      <c r="F126" s="6">
        <v>2900000000</v>
      </c>
      <c r="G126" s="6"/>
      <c r="H126">
        <v>123</v>
      </c>
      <c r="I126" t="s">
        <v>2323</v>
      </c>
    </row>
    <row r="127" spans="2:9" x14ac:dyDescent="0.25">
      <c r="B127">
        <v>124</v>
      </c>
      <c r="C127" t="s">
        <v>1447</v>
      </c>
      <c r="D127" t="s">
        <v>1299</v>
      </c>
      <c r="E127">
        <v>999999</v>
      </c>
      <c r="F127" s="6">
        <v>2200000000</v>
      </c>
      <c r="G127" s="6">
        <v>3579000000</v>
      </c>
      <c r="H127">
        <v>124</v>
      </c>
      <c r="I127" t="s">
        <v>2324</v>
      </c>
    </row>
    <row r="128" spans="2:9" x14ac:dyDescent="0.25">
      <c r="B128">
        <v>125</v>
      </c>
      <c r="C128" t="s">
        <v>1167</v>
      </c>
      <c r="D128" t="s">
        <v>1166</v>
      </c>
      <c r="E128">
        <v>999999</v>
      </c>
      <c r="F128" s="6">
        <v>3600000000</v>
      </c>
      <c r="G128" s="6">
        <v>3824000000</v>
      </c>
      <c r="H128">
        <v>125</v>
      </c>
      <c r="I128" t="s">
        <v>2325</v>
      </c>
    </row>
    <row r="129" spans="2:9" x14ac:dyDescent="0.25">
      <c r="B129">
        <v>126</v>
      </c>
      <c r="C129" t="s">
        <v>1452</v>
      </c>
      <c r="D129" t="s">
        <v>447</v>
      </c>
      <c r="E129">
        <v>999999</v>
      </c>
      <c r="F129" s="6">
        <v>2600000000</v>
      </c>
      <c r="G129" s="6">
        <v>3670000000</v>
      </c>
      <c r="H129">
        <v>126</v>
      </c>
      <c r="I129" t="s">
        <v>2326</v>
      </c>
    </row>
    <row r="130" spans="2:9" x14ac:dyDescent="0.25">
      <c r="B130">
        <v>127</v>
      </c>
      <c r="C130" t="s">
        <v>1173</v>
      </c>
      <c r="D130" t="s">
        <v>82</v>
      </c>
      <c r="E130">
        <v>999999</v>
      </c>
      <c r="F130" s="6">
        <v>2000000000</v>
      </c>
      <c r="G130" s="6">
        <v>4320000000</v>
      </c>
      <c r="H130">
        <v>127</v>
      </c>
      <c r="I130" t="s">
        <v>2327</v>
      </c>
    </row>
    <row r="131" spans="2:9" x14ac:dyDescent="0.25">
      <c r="B131">
        <v>128</v>
      </c>
      <c r="C131" t="s">
        <v>1457</v>
      </c>
      <c r="D131" t="s">
        <v>1131</v>
      </c>
      <c r="E131">
        <v>999999</v>
      </c>
      <c r="F131" s="6">
        <v>1900000000</v>
      </c>
      <c r="G131" s="6">
        <v>2133333300</v>
      </c>
      <c r="H131">
        <v>128</v>
      </c>
      <c r="I131" t="s">
        <v>2328</v>
      </c>
    </row>
    <row r="132" spans="2:9" x14ac:dyDescent="0.25">
      <c r="B132">
        <v>129</v>
      </c>
      <c r="C132" t="s">
        <v>1179</v>
      </c>
      <c r="D132" t="s">
        <v>1178</v>
      </c>
      <c r="E132">
        <v>999999</v>
      </c>
      <c r="F132" s="6">
        <v>1400000000</v>
      </c>
      <c r="G132" s="6"/>
      <c r="H132">
        <v>129</v>
      </c>
      <c r="I132" t="s">
        <v>2329</v>
      </c>
    </row>
    <row r="133" spans="2:9" x14ac:dyDescent="0.25">
      <c r="B133">
        <v>130</v>
      </c>
      <c r="C133" t="s">
        <v>1463</v>
      </c>
      <c r="D133" t="s">
        <v>2244</v>
      </c>
      <c r="E133">
        <v>999999</v>
      </c>
      <c r="F133" s="6">
        <v>3500000000</v>
      </c>
      <c r="G133" s="6">
        <v>4855000000</v>
      </c>
      <c r="H133">
        <v>130</v>
      </c>
      <c r="I133" t="s">
        <v>2330</v>
      </c>
    </row>
    <row r="134" spans="2:9" x14ac:dyDescent="0.25">
      <c r="B134">
        <v>131</v>
      </c>
      <c r="C134" t="s">
        <v>1185</v>
      </c>
      <c r="D134" t="s">
        <v>1098</v>
      </c>
      <c r="E134">
        <v>999999</v>
      </c>
      <c r="F134" s="6">
        <v>1600000000</v>
      </c>
      <c r="G134" s="6">
        <v>2340000000</v>
      </c>
      <c r="H134">
        <v>131</v>
      </c>
      <c r="I134" t="s">
        <v>2331</v>
      </c>
    </row>
    <row r="135" spans="2:9" x14ac:dyDescent="0.25">
      <c r="B135">
        <v>132</v>
      </c>
      <c r="C135" t="s">
        <v>1468</v>
      </c>
      <c r="D135" t="s">
        <v>447</v>
      </c>
      <c r="E135">
        <v>999999</v>
      </c>
      <c r="F135" s="6">
        <v>2800000000</v>
      </c>
      <c r="G135" s="6">
        <v>3620000000</v>
      </c>
      <c r="H135">
        <v>132</v>
      </c>
      <c r="I135" t="s">
        <v>2332</v>
      </c>
    </row>
    <row r="136" spans="2:9" x14ac:dyDescent="0.25">
      <c r="B136">
        <v>133</v>
      </c>
      <c r="C136" t="s">
        <v>1190</v>
      </c>
      <c r="D136" t="s">
        <v>382</v>
      </c>
      <c r="E136">
        <v>999999</v>
      </c>
      <c r="F136" s="6">
        <v>1700000000</v>
      </c>
      <c r="G136" s="6">
        <v>2900000000</v>
      </c>
      <c r="H136">
        <v>133</v>
      </c>
      <c r="I136" t="s">
        <v>2333</v>
      </c>
    </row>
    <row r="137" spans="2:9" x14ac:dyDescent="0.25">
      <c r="B137">
        <v>134</v>
      </c>
      <c r="C137" t="s">
        <v>1473</v>
      </c>
      <c r="D137" t="s">
        <v>466</v>
      </c>
      <c r="E137">
        <v>999999</v>
      </c>
      <c r="F137" s="6">
        <v>4200000000</v>
      </c>
      <c r="G137" s="6">
        <v>4451255000</v>
      </c>
      <c r="H137">
        <v>134</v>
      </c>
      <c r="I137" t="s">
        <v>2334</v>
      </c>
    </row>
    <row r="138" spans="2:9" x14ac:dyDescent="0.25">
      <c r="B138">
        <v>135</v>
      </c>
      <c r="C138" t="s">
        <v>1196</v>
      </c>
      <c r="D138" t="s">
        <v>1195</v>
      </c>
      <c r="E138">
        <v>999999</v>
      </c>
      <c r="F138" s="6">
        <v>1700000000</v>
      </c>
      <c r="G138" s="6">
        <v>2378999899</v>
      </c>
      <c r="H138">
        <v>135</v>
      </c>
      <c r="I138" t="s">
        <v>2335</v>
      </c>
    </row>
    <row r="139" spans="2:9" x14ac:dyDescent="0.25">
      <c r="B139">
        <v>136</v>
      </c>
      <c r="C139" t="s">
        <v>1479</v>
      </c>
      <c r="D139" t="s">
        <v>1478</v>
      </c>
      <c r="E139">
        <v>999999</v>
      </c>
      <c r="F139" s="6">
        <v>1600000000</v>
      </c>
      <c r="G139" s="6">
        <v>2355850000</v>
      </c>
      <c r="H139">
        <v>136</v>
      </c>
      <c r="I139" t="s">
        <v>2336</v>
      </c>
    </row>
    <row r="140" spans="2:9" x14ac:dyDescent="0.25">
      <c r="B140">
        <v>137</v>
      </c>
      <c r="C140" t="s">
        <v>1201</v>
      </c>
      <c r="D140" t="s">
        <v>917</v>
      </c>
      <c r="E140">
        <v>999999</v>
      </c>
      <c r="F140" s="6">
        <v>1900000000</v>
      </c>
      <c r="G140" s="6">
        <v>3020000000</v>
      </c>
      <c r="H140">
        <v>137</v>
      </c>
      <c r="I140" t="s">
        <v>2337</v>
      </c>
    </row>
    <row r="141" spans="2:9" x14ac:dyDescent="0.25">
      <c r="B141">
        <v>138</v>
      </c>
      <c r="C141" t="s">
        <v>1485</v>
      </c>
      <c r="D141" t="s">
        <v>1484</v>
      </c>
      <c r="E141">
        <v>999999</v>
      </c>
      <c r="F141" s="6">
        <v>1500000000</v>
      </c>
      <c r="G141" s="6">
        <v>2219999999</v>
      </c>
      <c r="H141">
        <v>138</v>
      </c>
      <c r="I141" t="s">
        <v>2338</v>
      </c>
    </row>
    <row r="142" spans="2:9" x14ac:dyDescent="0.25">
      <c r="B142">
        <v>139</v>
      </c>
      <c r="C142" t="s">
        <v>1206</v>
      </c>
      <c r="D142" t="s">
        <v>447</v>
      </c>
      <c r="E142">
        <v>999999</v>
      </c>
      <c r="F142" s="6">
        <v>2700000000</v>
      </c>
      <c r="G142" s="6">
        <v>4588888888</v>
      </c>
      <c r="H142">
        <v>139</v>
      </c>
      <c r="I142" t="s">
        <v>2339</v>
      </c>
    </row>
    <row r="143" spans="2:9" x14ac:dyDescent="0.25">
      <c r="B143">
        <v>140</v>
      </c>
      <c r="C143" t="s">
        <v>1491</v>
      </c>
      <c r="D143" t="s">
        <v>1490</v>
      </c>
      <c r="E143">
        <v>999999</v>
      </c>
      <c r="F143" s="6">
        <v>1500000000</v>
      </c>
      <c r="G143" s="6">
        <v>2277777777</v>
      </c>
      <c r="H143">
        <v>140</v>
      </c>
      <c r="I143" t="s">
        <v>2340</v>
      </c>
    </row>
    <row r="144" spans="2:9" x14ac:dyDescent="0.25">
      <c r="B144">
        <v>141</v>
      </c>
      <c r="C144" t="s">
        <v>1212</v>
      </c>
      <c r="D144" t="s">
        <v>1211</v>
      </c>
      <c r="E144">
        <v>999999</v>
      </c>
      <c r="F144" s="6">
        <v>3900000000</v>
      </c>
      <c r="G144" s="6"/>
      <c r="H144">
        <v>141</v>
      </c>
      <c r="I144" t="s">
        <v>2341</v>
      </c>
    </row>
    <row r="145" spans="2:9" x14ac:dyDescent="0.25">
      <c r="B145">
        <v>142</v>
      </c>
      <c r="C145" t="s">
        <v>1496</v>
      </c>
      <c r="D145" t="s">
        <v>467</v>
      </c>
      <c r="E145">
        <v>999999</v>
      </c>
      <c r="F145" s="6">
        <v>2700000000</v>
      </c>
      <c r="G145" s="6">
        <v>3717777777</v>
      </c>
      <c r="H145">
        <v>142</v>
      </c>
      <c r="I145" t="s">
        <v>2342</v>
      </c>
    </row>
    <row r="146" spans="2:9" x14ac:dyDescent="0.25">
      <c r="B146">
        <v>143</v>
      </c>
      <c r="C146" t="s">
        <v>1218</v>
      </c>
      <c r="D146" t="s">
        <v>1217</v>
      </c>
      <c r="E146">
        <v>999999</v>
      </c>
      <c r="F146" s="6">
        <v>2700000000</v>
      </c>
      <c r="G146" s="6">
        <v>3160000000</v>
      </c>
      <c r="H146">
        <v>143</v>
      </c>
      <c r="I146" t="s">
        <v>2343</v>
      </c>
    </row>
    <row r="147" spans="2:9" x14ac:dyDescent="0.25">
      <c r="B147">
        <v>144</v>
      </c>
      <c r="C147" t="s">
        <v>1501</v>
      </c>
      <c r="D147" t="s">
        <v>958</v>
      </c>
      <c r="E147">
        <v>999999</v>
      </c>
      <c r="F147" s="6">
        <v>2400000000</v>
      </c>
      <c r="G147" s="6">
        <v>3569999999</v>
      </c>
      <c r="H147">
        <v>144</v>
      </c>
      <c r="I147" t="s">
        <v>2344</v>
      </c>
    </row>
    <row r="148" spans="2:9" x14ac:dyDescent="0.25">
      <c r="B148">
        <v>145</v>
      </c>
      <c r="C148" t="s">
        <v>1223</v>
      </c>
      <c r="D148" t="s">
        <v>82</v>
      </c>
      <c r="E148">
        <v>999999</v>
      </c>
      <c r="F148" s="6">
        <v>1900000000</v>
      </c>
      <c r="G148" s="6">
        <v>3721234567</v>
      </c>
      <c r="H148">
        <v>145</v>
      </c>
      <c r="I148" t="s">
        <v>2345</v>
      </c>
    </row>
    <row r="149" spans="2:9" x14ac:dyDescent="0.25">
      <c r="B149">
        <v>146</v>
      </c>
      <c r="C149" t="s">
        <v>1506</v>
      </c>
      <c r="D149" t="s">
        <v>82</v>
      </c>
      <c r="E149">
        <v>999999</v>
      </c>
      <c r="F149" s="6">
        <v>2000000000</v>
      </c>
      <c r="G149" s="6">
        <v>3114500000</v>
      </c>
      <c r="H149">
        <v>146</v>
      </c>
      <c r="I149" t="s">
        <v>2346</v>
      </c>
    </row>
    <row r="150" spans="2:9" x14ac:dyDescent="0.25">
      <c r="B150">
        <v>147</v>
      </c>
      <c r="C150" t="s">
        <v>1228</v>
      </c>
      <c r="D150" t="s">
        <v>82</v>
      </c>
      <c r="E150">
        <v>999999</v>
      </c>
      <c r="F150" s="6">
        <v>1900000000</v>
      </c>
      <c r="G150" s="6">
        <v>2700999999</v>
      </c>
      <c r="H150">
        <v>147</v>
      </c>
      <c r="I150" t="s">
        <v>2347</v>
      </c>
    </row>
    <row r="151" spans="2:9" x14ac:dyDescent="0.25">
      <c r="B151">
        <v>148</v>
      </c>
      <c r="C151" t="s">
        <v>1511</v>
      </c>
      <c r="D151" t="s">
        <v>382</v>
      </c>
      <c r="E151">
        <v>999999</v>
      </c>
      <c r="F151" s="6">
        <v>1700000000</v>
      </c>
      <c r="G151" s="6">
        <v>1933333300</v>
      </c>
      <c r="H151">
        <v>148</v>
      </c>
      <c r="I151" t="s">
        <v>2348</v>
      </c>
    </row>
    <row r="152" spans="2:9" x14ac:dyDescent="0.25">
      <c r="B152">
        <v>149</v>
      </c>
      <c r="C152" t="s">
        <v>1234</v>
      </c>
      <c r="D152" t="s">
        <v>1233</v>
      </c>
      <c r="E152">
        <v>999999</v>
      </c>
      <c r="F152" s="6">
        <v>4200000000</v>
      </c>
      <c r="G152" s="6">
        <v>4451255000</v>
      </c>
      <c r="H152">
        <v>149</v>
      </c>
      <c r="I152" t="s">
        <v>2349</v>
      </c>
    </row>
    <row r="153" spans="2:9" x14ac:dyDescent="0.25">
      <c r="B153">
        <v>150</v>
      </c>
      <c r="C153" t="s">
        <v>1516</v>
      </c>
      <c r="D153" t="s">
        <v>772</v>
      </c>
      <c r="E153">
        <v>999999</v>
      </c>
      <c r="F153" s="6">
        <v>1700000000</v>
      </c>
      <c r="G153" s="6"/>
      <c r="H153">
        <v>150</v>
      </c>
      <c r="I153" t="s">
        <v>2350</v>
      </c>
    </row>
    <row r="154" spans="2:9" x14ac:dyDescent="0.25">
      <c r="B154">
        <v>151</v>
      </c>
      <c r="C154" t="s">
        <v>1241</v>
      </c>
      <c r="D154" t="s">
        <v>1240</v>
      </c>
      <c r="E154">
        <v>999999</v>
      </c>
      <c r="F154" s="6">
        <v>2000000000</v>
      </c>
      <c r="G154" s="6">
        <v>2921000000</v>
      </c>
      <c r="H154">
        <v>151</v>
      </c>
      <c r="I154" t="s">
        <v>2351</v>
      </c>
    </row>
    <row r="155" spans="2:9" x14ac:dyDescent="0.25">
      <c r="B155">
        <v>152</v>
      </c>
      <c r="C155" t="s">
        <v>1521</v>
      </c>
      <c r="D155" t="s">
        <v>917</v>
      </c>
      <c r="E155">
        <v>999999</v>
      </c>
      <c r="F155" s="6">
        <v>1800000000</v>
      </c>
      <c r="G155" s="6">
        <v>2333000000</v>
      </c>
      <c r="H155">
        <v>152</v>
      </c>
      <c r="I155" t="s">
        <v>2352</v>
      </c>
    </row>
    <row r="156" spans="2:9" x14ac:dyDescent="0.25">
      <c r="B156">
        <v>153</v>
      </c>
      <c r="C156" t="s">
        <v>1246</v>
      </c>
      <c r="D156" t="s">
        <v>810</v>
      </c>
      <c r="E156">
        <v>999999</v>
      </c>
      <c r="F156" s="6">
        <v>2700000000</v>
      </c>
      <c r="G156" s="6">
        <v>4313630430</v>
      </c>
      <c r="H156">
        <v>153</v>
      </c>
      <c r="I156" t="s">
        <v>2353</v>
      </c>
    </row>
    <row r="157" spans="2:9" x14ac:dyDescent="0.25">
      <c r="B157">
        <v>154</v>
      </c>
      <c r="C157" t="s">
        <v>1526</v>
      </c>
      <c r="D157" t="s">
        <v>1240</v>
      </c>
      <c r="E157">
        <v>999999</v>
      </c>
      <c r="F157" s="6">
        <v>1700000000</v>
      </c>
      <c r="G157" s="6">
        <v>3566666660</v>
      </c>
      <c r="H157">
        <v>154</v>
      </c>
      <c r="I157" t="s">
        <v>2354</v>
      </c>
    </row>
    <row r="158" spans="2:9" x14ac:dyDescent="0.25">
      <c r="B158">
        <v>155</v>
      </c>
      <c r="C158" t="s">
        <v>1251</v>
      </c>
      <c r="D158" t="s">
        <v>389</v>
      </c>
      <c r="E158">
        <v>999999</v>
      </c>
      <c r="F158" s="6">
        <v>1900000000</v>
      </c>
      <c r="G158" s="6">
        <v>2433000000</v>
      </c>
      <c r="H158">
        <v>155</v>
      </c>
      <c r="I158" t="s">
        <v>2355</v>
      </c>
    </row>
    <row r="159" spans="2:9" x14ac:dyDescent="0.25">
      <c r="B159">
        <v>156</v>
      </c>
      <c r="C159" t="s">
        <v>1532</v>
      </c>
      <c r="D159" t="s">
        <v>1531</v>
      </c>
      <c r="E159">
        <v>999999</v>
      </c>
      <c r="F159" s="6">
        <v>1900000000</v>
      </c>
      <c r="G159" s="6">
        <v>2133333339</v>
      </c>
      <c r="H159">
        <v>156</v>
      </c>
      <c r="I159" t="s">
        <v>2356</v>
      </c>
    </row>
    <row r="160" spans="2:9" x14ac:dyDescent="0.25">
      <c r="B160">
        <v>157</v>
      </c>
      <c r="C160" t="s">
        <v>1256</v>
      </c>
      <c r="D160" t="s">
        <v>1098</v>
      </c>
      <c r="E160">
        <v>999999</v>
      </c>
      <c r="F160" s="6">
        <v>1400000000</v>
      </c>
      <c r="G160" s="6">
        <v>2110990000</v>
      </c>
      <c r="H160">
        <v>157</v>
      </c>
      <c r="I160" t="s">
        <v>2357</v>
      </c>
    </row>
    <row r="161" spans="2:9" x14ac:dyDescent="0.25">
      <c r="B161">
        <v>158</v>
      </c>
      <c r="C161" t="s">
        <v>1537</v>
      </c>
      <c r="D161" t="s">
        <v>127</v>
      </c>
      <c r="E161">
        <v>999999</v>
      </c>
      <c r="F161" s="6">
        <v>1900000000</v>
      </c>
      <c r="G161" s="6">
        <v>2633000000</v>
      </c>
      <c r="H161">
        <v>158</v>
      </c>
      <c r="I161" t="s">
        <v>2358</v>
      </c>
    </row>
    <row r="162" spans="2:9" x14ac:dyDescent="0.25">
      <c r="B162">
        <v>159</v>
      </c>
      <c r="C162" t="s">
        <v>1262</v>
      </c>
      <c r="D162" t="s">
        <v>1261</v>
      </c>
      <c r="E162">
        <v>999999</v>
      </c>
      <c r="F162" s="6">
        <v>1900000000</v>
      </c>
      <c r="G162" s="6">
        <v>2080000000</v>
      </c>
      <c r="H162">
        <v>159</v>
      </c>
      <c r="I162" t="s">
        <v>2359</v>
      </c>
    </row>
    <row r="163" spans="2:9" x14ac:dyDescent="0.25">
      <c r="B163">
        <v>160</v>
      </c>
      <c r="C163" t="s">
        <v>1543</v>
      </c>
      <c r="D163" t="s">
        <v>1542</v>
      </c>
      <c r="E163">
        <v>999999</v>
      </c>
      <c r="F163" s="6">
        <v>1700000000</v>
      </c>
      <c r="G163" s="6"/>
      <c r="H163">
        <v>160</v>
      </c>
      <c r="I163" t="s">
        <v>2360</v>
      </c>
    </row>
    <row r="164" spans="2:9" x14ac:dyDescent="0.25">
      <c r="B164">
        <v>161</v>
      </c>
      <c r="C164" t="s">
        <v>1268</v>
      </c>
      <c r="D164" t="s">
        <v>1267</v>
      </c>
      <c r="E164">
        <v>999999</v>
      </c>
      <c r="F164" s="6">
        <v>1800000000</v>
      </c>
      <c r="G164" s="6">
        <v>3800000000</v>
      </c>
      <c r="H164">
        <v>161</v>
      </c>
      <c r="I164" t="s">
        <v>2361</v>
      </c>
    </row>
    <row r="165" spans="2:9" x14ac:dyDescent="0.25">
      <c r="B165">
        <v>162</v>
      </c>
      <c r="C165" t="s">
        <v>1548</v>
      </c>
      <c r="D165" t="s">
        <v>1531</v>
      </c>
      <c r="E165">
        <v>999999</v>
      </c>
      <c r="F165" s="6">
        <v>1700000000</v>
      </c>
      <c r="G165" s="6">
        <v>3059999999</v>
      </c>
      <c r="H165">
        <v>162</v>
      </c>
      <c r="I165" t="s">
        <v>2362</v>
      </c>
    </row>
    <row r="166" spans="2:9" x14ac:dyDescent="0.25">
      <c r="B166">
        <v>163</v>
      </c>
      <c r="C166" t="s">
        <v>1273</v>
      </c>
      <c r="D166" t="s">
        <v>155</v>
      </c>
      <c r="E166">
        <v>999999</v>
      </c>
      <c r="F166" s="6">
        <v>1700000000</v>
      </c>
      <c r="G166" s="6">
        <v>2284500000</v>
      </c>
      <c r="H166">
        <v>163</v>
      </c>
      <c r="I166" t="s">
        <v>2363</v>
      </c>
    </row>
    <row r="167" spans="2:9" x14ac:dyDescent="0.25">
      <c r="B167">
        <v>164</v>
      </c>
      <c r="C167" t="s">
        <v>1553</v>
      </c>
      <c r="D167" t="s">
        <v>967</v>
      </c>
      <c r="E167">
        <v>999999</v>
      </c>
      <c r="F167" s="6">
        <v>1600000000</v>
      </c>
      <c r="G167" s="6"/>
      <c r="H167">
        <v>164</v>
      </c>
      <c r="I167" t="s">
        <v>2364</v>
      </c>
    </row>
    <row r="168" spans="2:9" x14ac:dyDescent="0.25">
      <c r="B168">
        <v>165</v>
      </c>
      <c r="C168" t="s">
        <v>1278</v>
      </c>
      <c r="D168" t="s">
        <v>917</v>
      </c>
      <c r="E168">
        <v>999999</v>
      </c>
      <c r="F168" s="6">
        <v>1900000000</v>
      </c>
      <c r="G168" s="6">
        <v>2485000000</v>
      </c>
      <c r="H168">
        <v>165</v>
      </c>
      <c r="I168" t="s">
        <v>2365</v>
      </c>
    </row>
    <row r="169" spans="2:9" x14ac:dyDescent="0.25">
      <c r="B169">
        <v>166</v>
      </c>
      <c r="C169" t="s">
        <v>1558</v>
      </c>
      <c r="D169" t="s">
        <v>155</v>
      </c>
      <c r="E169">
        <v>999999</v>
      </c>
      <c r="F169" s="6">
        <v>1800000000</v>
      </c>
      <c r="G169" s="6">
        <v>1810000000</v>
      </c>
      <c r="H169">
        <v>166</v>
      </c>
      <c r="I169" t="s">
        <v>2366</v>
      </c>
    </row>
    <row r="170" spans="2:9" x14ac:dyDescent="0.25">
      <c r="B170">
        <v>167</v>
      </c>
      <c r="C170" t="s">
        <v>1284</v>
      </c>
      <c r="D170" t="s">
        <v>1283</v>
      </c>
      <c r="E170">
        <v>999999</v>
      </c>
      <c r="F170" s="6">
        <v>1900000000</v>
      </c>
      <c r="G170" s="6">
        <v>3155555555</v>
      </c>
      <c r="H170">
        <v>167</v>
      </c>
      <c r="I170" t="s">
        <v>2367</v>
      </c>
    </row>
    <row r="171" spans="2:9" x14ac:dyDescent="0.25">
      <c r="B171">
        <v>168</v>
      </c>
      <c r="C171" t="s">
        <v>1563</v>
      </c>
      <c r="D171" t="s">
        <v>1240</v>
      </c>
      <c r="E171">
        <v>999999</v>
      </c>
      <c r="F171" s="6">
        <v>1800000000</v>
      </c>
      <c r="G171" s="6">
        <v>2921000000</v>
      </c>
      <c r="H171">
        <v>168</v>
      </c>
      <c r="I171" t="s">
        <v>2368</v>
      </c>
    </row>
    <row r="172" spans="2:9" x14ac:dyDescent="0.25">
      <c r="B172">
        <v>169</v>
      </c>
      <c r="C172" t="s">
        <v>1289</v>
      </c>
      <c r="D172" t="s">
        <v>82</v>
      </c>
      <c r="E172">
        <v>999999</v>
      </c>
      <c r="F172" s="6">
        <v>2000000000</v>
      </c>
      <c r="G172" s="6">
        <v>2700000000</v>
      </c>
      <c r="H172">
        <v>169</v>
      </c>
      <c r="I172" t="s">
        <v>2369</v>
      </c>
    </row>
    <row r="173" spans="2:9" x14ac:dyDescent="0.25">
      <c r="B173">
        <v>170</v>
      </c>
      <c r="C173" t="s">
        <v>1568</v>
      </c>
      <c r="D173" t="s">
        <v>389</v>
      </c>
      <c r="E173">
        <v>999999</v>
      </c>
      <c r="F173" s="6">
        <v>1900000000</v>
      </c>
      <c r="G173" s="6">
        <v>2346800000</v>
      </c>
      <c r="H173">
        <v>170</v>
      </c>
      <c r="I173" t="s">
        <v>2370</v>
      </c>
    </row>
    <row r="174" spans="2:9" x14ac:dyDescent="0.25">
      <c r="B174">
        <v>171</v>
      </c>
      <c r="C174" t="s">
        <v>1294</v>
      </c>
      <c r="D174" t="s">
        <v>967</v>
      </c>
      <c r="E174">
        <v>999999</v>
      </c>
      <c r="F174" s="6">
        <v>1800000000</v>
      </c>
      <c r="G174" s="6">
        <v>2239000000</v>
      </c>
      <c r="H174">
        <v>171</v>
      </c>
      <c r="I174" t="s">
        <v>2371</v>
      </c>
    </row>
    <row r="175" spans="2:9" x14ac:dyDescent="0.25">
      <c r="B175">
        <v>172</v>
      </c>
      <c r="C175" t="s">
        <v>1573</v>
      </c>
      <c r="D175" t="s">
        <v>82</v>
      </c>
      <c r="E175">
        <v>999999</v>
      </c>
      <c r="F175" s="6">
        <v>2000000000</v>
      </c>
      <c r="G175" s="6">
        <v>3729999999</v>
      </c>
      <c r="H175">
        <v>172</v>
      </c>
      <c r="I175" t="s">
        <v>2372</v>
      </c>
    </row>
    <row r="176" spans="2:9" x14ac:dyDescent="0.25">
      <c r="B176">
        <v>173</v>
      </c>
      <c r="C176" t="s">
        <v>1300</v>
      </c>
      <c r="D176" t="s">
        <v>1299</v>
      </c>
      <c r="E176">
        <v>999999</v>
      </c>
      <c r="F176" s="6">
        <v>2100000000</v>
      </c>
      <c r="G176" s="6">
        <v>4019999999</v>
      </c>
      <c r="H176">
        <v>173</v>
      </c>
      <c r="I176" t="s">
        <v>2373</v>
      </c>
    </row>
    <row r="177" spans="2:9" x14ac:dyDescent="0.25">
      <c r="B177">
        <v>174</v>
      </c>
      <c r="C177" t="s">
        <v>1579</v>
      </c>
      <c r="D177" t="s">
        <v>1578</v>
      </c>
      <c r="E177">
        <v>999999</v>
      </c>
      <c r="F177" s="6">
        <v>1800000000</v>
      </c>
      <c r="G177" s="6">
        <v>2468500000</v>
      </c>
      <c r="H177">
        <v>174</v>
      </c>
      <c r="I177" t="s">
        <v>2374</v>
      </c>
    </row>
    <row r="178" spans="2:9" x14ac:dyDescent="0.25">
      <c r="B178">
        <v>175</v>
      </c>
      <c r="C178" t="s">
        <v>1306</v>
      </c>
      <c r="D178" t="s">
        <v>1305</v>
      </c>
      <c r="E178">
        <v>999999</v>
      </c>
      <c r="F178" s="6">
        <v>1900000000</v>
      </c>
      <c r="G178" s="6">
        <v>2810000000</v>
      </c>
      <c r="H178">
        <v>175</v>
      </c>
      <c r="I178" t="s">
        <v>2375</v>
      </c>
    </row>
    <row r="179" spans="2:9" x14ac:dyDescent="0.25">
      <c r="B179">
        <v>176</v>
      </c>
      <c r="C179" t="s">
        <v>1584</v>
      </c>
      <c r="D179" t="s">
        <v>762</v>
      </c>
      <c r="E179">
        <v>999999</v>
      </c>
      <c r="F179" s="6">
        <v>1700000000</v>
      </c>
      <c r="G179" s="6">
        <v>2710000000</v>
      </c>
      <c r="H179">
        <v>176</v>
      </c>
      <c r="I179" t="s">
        <v>2376</v>
      </c>
    </row>
    <row r="180" spans="2:9" x14ac:dyDescent="0.25">
      <c r="B180">
        <v>177</v>
      </c>
      <c r="C180" t="s">
        <v>1311</v>
      </c>
      <c r="D180" t="s">
        <v>456</v>
      </c>
      <c r="E180">
        <v>999999</v>
      </c>
      <c r="F180" s="6">
        <v>4500000000</v>
      </c>
      <c r="G180" s="6">
        <v>6666666999</v>
      </c>
      <c r="H180">
        <v>177</v>
      </c>
      <c r="I180" t="s">
        <v>2377</v>
      </c>
    </row>
    <row r="181" spans="2:9" x14ac:dyDescent="0.25">
      <c r="B181">
        <v>178</v>
      </c>
      <c r="C181" t="s">
        <v>1590</v>
      </c>
      <c r="D181" t="s">
        <v>2378</v>
      </c>
      <c r="E181">
        <v>999999</v>
      </c>
      <c r="F181" s="6">
        <v>1500000000</v>
      </c>
      <c r="G181" s="6">
        <v>1916600000</v>
      </c>
      <c r="H181">
        <v>178</v>
      </c>
      <c r="I181" t="s">
        <v>2379</v>
      </c>
    </row>
    <row r="182" spans="2:9" x14ac:dyDescent="0.25">
      <c r="B182">
        <v>179</v>
      </c>
      <c r="C182" t="s">
        <v>1319</v>
      </c>
      <c r="D182" t="s">
        <v>1318</v>
      </c>
      <c r="E182">
        <v>999999</v>
      </c>
      <c r="F182" s="6">
        <v>1500000000</v>
      </c>
      <c r="G182" s="6">
        <v>2277500000</v>
      </c>
      <c r="H182">
        <v>179</v>
      </c>
      <c r="I182" t="s">
        <v>2380</v>
      </c>
    </row>
    <row r="183" spans="2:9" x14ac:dyDescent="0.25">
      <c r="B183">
        <v>180</v>
      </c>
      <c r="C183" t="s">
        <v>1594</v>
      </c>
      <c r="D183" t="s">
        <v>82</v>
      </c>
      <c r="E183">
        <v>999999</v>
      </c>
      <c r="F183" s="6">
        <v>3500000000</v>
      </c>
      <c r="G183" s="6">
        <v>5166666999</v>
      </c>
      <c r="H183">
        <v>180</v>
      </c>
      <c r="I183" t="s">
        <v>2381</v>
      </c>
    </row>
    <row r="184" spans="2:9" x14ac:dyDescent="0.25">
      <c r="B184">
        <v>181</v>
      </c>
      <c r="C184" t="s">
        <v>1326</v>
      </c>
      <c r="D184" t="s">
        <v>2382</v>
      </c>
      <c r="E184">
        <v>999999</v>
      </c>
      <c r="F184" s="6">
        <v>2500000000</v>
      </c>
      <c r="G184" s="6">
        <v>3633000000</v>
      </c>
      <c r="H184">
        <v>181</v>
      </c>
      <c r="I184" t="s">
        <v>2383</v>
      </c>
    </row>
    <row r="185" spans="2:9" x14ac:dyDescent="0.25">
      <c r="B185">
        <v>182</v>
      </c>
      <c r="C185" t="s">
        <v>1599</v>
      </c>
      <c r="D185" t="s">
        <v>132</v>
      </c>
      <c r="E185">
        <v>999999</v>
      </c>
      <c r="F185" s="6">
        <v>1500000000</v>
      </c>
      <c r="G185" s="6">
        <v>3888888888</v>
      </c>
      <c r="H185">
        <v>182</v>
      </c>
      <c r="I185" t="s">
        <v>2384</v>
      </c>
    </row>
    <row r="186" spans="2:9" x14ac:dyDescent="0.25">
      <c r="B186">
        <v>183</v>
      </c>
      <c r="C186" t="s">
        <v>1333</v>
      </c>
      <c r="D186" t="s">
        <v>852</v>
      </c>
      <c r="E186">
        <v>999999</v>
      </c>
      <c r="F186" s="6">
        <v>3000000000</v>
      </c>
      <c r="G186" s="6">
        <v>3871000000</v>
      </c>
      <c r="H186">
        <v>183</v>
      </c>
      <c r="I186" t="s">
        <v>2385</v>
      </c>
    </row>
    <row r="187" spans="2:9" x14ac:dyDescent="0.25">
      <c r="B187">
        <v>184</v>
      </c>
      <c r="C187" t="s">
        <v>1604</v>
      </c>
      <c r="D187" t="s">
        <v>82</v>
      </c>
      <c r="E187">
        <v>999999</v>
      </c>
      <c r="F187" s="6">
        <v>4500000000</v>
      </c>
      <c r="G187" s="6">
        <v>6470000000</v>
      </c>
      <c r="H187">
        <v>184</v>
      </c>
      <c r="I187" t="s">
        <v>2386</v>
      </c>
    </row>
    <row r="188" spans="2:9" x14ac:dyDescent="0.25">
      <c r="B188">
        <v>185</v>
      </c>
      <c r="C188" s="54" t="s">
        <v>1340</v>
      </c>
      <c r="D188" t="s">
        <v>2387</v>
      </c>
      <c r="E188">
        <v>999999</v>
      </c>
      <c r="F188" s="6">
        <v>3400000000</v>
      </c>
      <c r="G188" s="6"/>
      <c r="H188">
        <v>185</v>
      </c>
      <c r="I188" t="s">
        <v>2388</v>
      </c>
    </row>
    <row r="189" spans="2:9" x14ac:dyDescent="0.25">
      <c r="B189">
        <v>186</v>
      </c>
      <c r="C189" t="s">
        <v>1609</v>
      </c>
      <c r="D189" t="s">
        <v>967</v>
      </c>
      <c r="E189">
        <v>999999</v>
      </c>
      <c r="F189" s="6">
        <v>4200000000</v>
      </c>
      <c r="G189" s="6">
        <v>4700000000</v>
      </c>
      <c r="H189">
        <v>186</v>
      </c>
      <c r="I189" t="s">
        <v>2389</v>
      </c>
    </row>
    <row r="190" spans="2:9" x14ac:dyDescent="0.25">
      <c r="B190">
        <v>187</v>
      </c>
      <c r="C190" t="s">
        <v>1345</v>
      </c>
      <c r="D190" t="s">
        <v>1344</v>
      </c>
      <c r="E190">
        <v>999999</v>
      </c>
      <c r="F190" s="6">
        <v>3800000000</v>
      </c>
      <c r="G190" s="6">
        <v>4126789999</v>
      </c>
      <c r="H190">
        <v>187</v>
      </c>
      <c r="I190" t="s">
        <v>2390</v>
      </c>
    </row>
    <row r="191" spans="2:9" x14ac:dyDescent="0.25">
      <c r="B191">
        <v>188</v>
      </c>
      <c r="C191" t="s">
        <v>1615</v>
      </c>
      <c r="D191" t="s">
        <v>2391</v>
      </c>
      <c r="E191">
        <v>999999</v>
      </c>
      <c r="F191" s="6">
        <v>3500000000</v>
      </c>
      <c r="G191" s="6">
        <v>5026000009</v>
      </c>
      <c r="H191">
        <v>188</v>
      </c>
      <c r="I191" t="s">
        <v>2392</v>
      </c>
    </row>
    <row r="192" spans="2:9" x14ac:dyDescent="0.25">
      <c r="B192">
        <v>189</v>
      </c>
      <c r="C192" t="s">
        <v>1352</v>
      </c>
      <c r="D192" t="s">
        <v>389</v>
      </c>
      <c r="E192">
        <v>999999</v>
      </c>
      <c r="F192" s="6">
        <v>3400000000</v>
      </c>
      <c r="G192" s="6">
        <v>4028888888</v>
      </c>
      <c r="H192">
        <v>189</v>
      </c>
      <c r="I192" t="s">
        <v>2393</v>
      </c>
    </row>
    <row r="193" spans="2:9" x14ac:dyDescent="0.25">
      <c r="B193">
        <v>190</v>
      </c>
      <c r="C193" t="s">
        <v>1621</v>
      </c>
      <c r="D193" t="s">
        <v>1620</v>
      </c>
      <c r="E193">
        <v>999999</v>
      </c>
      <c r="F193" s="6">
        <v>3000000000</v>
      </c>
      <c r="G193" s="6">
        <v>4110110110</v>
      </c>
      <c r="H193">
        <v>190</v>
      </c>
      <c r="I193" t="s">
        <v>2394</v>
      </c>
    </row>
    <row r="194" spans="2:9" x14ac:dyDescent="0.25">
      <c r="B194">
        <v>191</v>
      </c>
      <c r="C194" t="s">
        <v>1358</v>
      </c>
      <c r="D194" t="s">
        <v>1357</v>
      </c>
      <c r="E194">
        <v>999999</v>
      </c>
      <c r="F194" s="6">
        <v>3000000000</v>
      </c>
      <c r="G194" s="6">
        <v>3012222222</v>
      </c>
      <c r="H194">
        <v>191</v>
      </c>
      <c r="I194" t="s">
        <v>2395</v>
      </c>
    </row>
    <row r="195" spans="2:9" x14ac:dyDescent="0.25">
      <c r="B195">
        <v>192</v>
      </c>
      <c r="C195" t="s">
        <v>1627</v>
      </c>
      <c r="D195" t="s">
        <v>1626</v>
      </c>
      <c r="E195">
        <v>999999</v>
      </c>
      <c r="F195" s="6">
        <v>2500000000</v>
      </c>
      <c r="G195" s="6">
        <v>3110000000</v>
      </c>
      <c r="H195">
        <v>192</v>
      </c>
      <c r="I195" t="s">
        <v>2396</v>
      </c>
    </row>
    <row r="196" spans="2:9" x14ac:dyDescent="0.25">
      <c r="B196">
        <v>193</v>
      </c>
      <c r="C196" t="s">
        <v>1363</v>
      </c>
      <c r="D196" t="s">
        <v>155</v>
      </c>
      <c r="E196">
        <v>999999</v>
      </c>
      <c r="F196" s="6">
        <v>3900000000</v>
      </c>
      <c r="G196" s="6">
        <v>4660009999</v>
      </c>
      <c r="H196">
        <v>193</v>
      </c>
      <c r="I196" t="s">
        <v>2397</v>
      </c>
    </row>
    <row r="197" spans="2:9" x14ac:dyDescent="0.25">
      <c r="B197">
        <v>194</v>
      </c>
      <c r="C197" t="s">
        <v>1632</v>
      </c>
      <c r="D197" t="s">
        <v>447</v>
      </c>
      <c r="E197">
        <v>999999</v>
      </c>
      <c r="F197" s="6">
        <v>4500000000</v>
      </c>
      <c r="G197" s="6">
        <v>5501100000</v>
      </c>
      <c r="H197">
        <v>194</v>
      </c>
      <c r="I197" t="s">
        <v>2398</v>
      </c>
    </row>
    <row r="198" spans="2:9" x14ac:dyDescent="0.25">
      <c r="B198">
        <v>195</v>
      </c>
      <c r="C198" t="s">
        <v>1369</v>
      </c>
      <c r="D198" t="s">
        <v>1368</v>
      </c>
      <c r="E198">
        <v>999999</v>
      </c>
      <c r="F198" s="6">
        <v>4500000000</v>
      </c>
      <c r="G198" s="6">
        <v>5079999999</v>
      </c>
      <c r="H198">
        <v>195</v>
      </c>
      <c r="I198" t="s">
        <v>2399</v>
      </c>
    </row>
    <row r="199" spans="2:9" x14ac:dyDescent="0.25">
      <c r="B199">
        <v>196</v>
      </c>
      <c r="C199" t="s">
        <v>1637</v>
      </c>
      <c r="D199" t="s">
        <v>82</v>
      </c>
      <c r="E199">
        <v>999999</v>
      </c>
      <c r="F199" s="6">
        <v>4200000000</v>
      </c>
      <c r="G199" s="6">
        <v>5566666999</v>
      </c>
      <c r="H199">
        <v>196</v>
      </c>
      <c r="I199" t="s">
        <v>2400</v>
      </c>
    </row>
    <row r="200" spans="2:9" x14ac:dyDescent="0.25">
      <c r="B200">
        <v>197</v>
      </c>
      <c r="C200" t="s">
        <v>1374</v>
      </c>
      <c r="D200" t="s">
        <v>147</v>
      </c>
      <c r="E200">
        <v>999999</v>
      </c>
      <c r="F200" s="6">
        <v>1500000000</v>
      </c>
      <c r="G200" s="6">
        <v>3138000000</v>
      </c>
      <c r="H200">
        <v>197</v>
      </c>
      <c r="I200" t="s">
        <v>2401</v>
      </c>
    </row>
    <row r="201" spans="2:9" x14ac:dyDescent="0.25">
      <c r="B201">
        <v>198</v>
      </c>
      <c r="C201" t="s">
        <v>1642</v>
      </c>
      <c r="D201" t="s">
        <v>1478</v>
      </c>
      <c r="E201">
        <v>999999</v>
      </c>
      <c r="F201" s="6">
        <v>1900000000</v>
      </c>
      <c r="G201" s="6">
        <v>3251316344</v>
      </c>
      <c r="H201">
        <v>198</v>
      </c>
      <c r="I201" t="s">
        <v>2402</v>
      </c>
    </row>
    <row r="202" spans="2:9" x14ac:dyDescent="0.25">
      <c r="B202">
        <v>199</v>
      </c>
      <c r="C202" t="s">
        <v>1380</v>
      </c>
      <c r="D202" t="s">
        <v>1379</v>
      </c>
      <c r="E202">
        <v>999999</v>
      </c>
      <c r="F202" s="6">
        <v>1600000000</v>
      </c>
      <c r="G202" s="6">
        <v>2888888888</v>
      </c>
      <c r="H202">
        <v>199</v>
      </c>
      <c r="I202" t="s">
        <v>2403</v>
      </c>
    </row>
    <row r="203" spans="2:9" x14ac:dyDescent="0.25">
      <c r="B203">
        <v>200</v>
      </c>
      <c r="C203" t="s">
        <v>1647</v>
      </c>
      <c r="D203" t="s">
        <v>461</v>
      </c>
      <c r="E203">
        <v>999999</v>
      </c>
      <c r="F203" s="6">
        <v>2000000000</v>
      </c>
      <c r="G203" s="6">
        <v>3890000000</v>
      </c>
      <c r="H203">
        <v>200</v>
      </c>
      <c r="I203" t="s">
        <v>2404</v>
      </c>
    </row>
    <row r="204" spans="2:9" x14ac:dyDescent="0.25">
      <c r="B204" t="s">
        <v>800</v>
      </c>
      <c r="C204" t="s">
        <v>801</v>
      </c>
      <c r="D204" t="s">
        <v>802</v>
      </c>
      <c r="E204" t="s">
        <v>803</v>
      </c>
      <c r="F204" s="6" t="s">
        <v>804</v>
      </c>
      <c r="G204" s="6" t="s">
        <v>805</v>
      </c>
      <c r="H204" t="s">
        <v>806</v>
      </c>
    </row>
    <row r="205" spans="2:9" x14ac:dyDescent="0.25">
      <c r="B205">
        <v>201</v>
      </c>
      <c r="C205" t="s">
        <v>903</v>
      </c>
      <c r="D205" t="s">
        <v>902</v>
      </c>
      <c r="E205">
        <v>999999</v>
      </c>
      <c r="F205" s="6">
        <v>1800000000</v>
      </c>
      <c r="G205" s="6">
        <v>2995000000</v>
      </c>
      <c r="H205">
        <v>201</v>
      </c>
      <c r="I205" t="s">
        <v>2405</v>
      </c>
    </row>
    <row r="206" spans="2:9" x14ac:dyDescent="0.25">
      <c r="B206">
        <v>202</v>
      </c>
      <c r="C206" t="s">
        <v>1008</v>
      </c>
      <c r="D206" t="s">
        <v>389</v>
      </c>
      <c r="E206">
        <v>999999</v>
      </c>
      <c r="F206" s="6">
        <v>1900000000</v>
      </c>
      <c r="G206" s="6">
        <v>2786993999</v>
      </c>
      <c r="H206">
        <v>202</v>
      </c>
      <c r="I206" t="s">
        <v>2406</v>
      </c>
    </row>
    <row r="207" spans="2:9" x14ac:dyDescent="0.25">
      <c r="B207">
        <v>203</v>
      </c>
      <c r="C207" t="s">
        <v>912</v>
      </c>
      <c r="D207" t="s">
        <v>453</v>
      </c>
      <c r="E207">
        <v>999999</v>
      </c>
      <c r="F207" s="6">
        <v>1800000000</v>
      </c>
      <c r="G207" s="6">
        <v>2309999999</v>
      </c>
      <c r="H207">
        <v>203</v>
      </c>
      <c r="I207" t="s">
        <v>2407</v>
      </c>
    </row>
    <row r="208" spans="2:9" x14ac:dyDescent="0.25">
      <c r="B208">
        <v>204</v>
      </c>
      <c r="C208" t="s">
        <v>1014</v>
      </c>
      <c r="D208" t="s">
        <v>917</v>
      </c>
      <c r="E208">
        <v>999999</v>
      </c>
      <c r="F208" s="6">
        <v>1700000000</v>
      </c>
      <c r="G208" s="6">
        <v>4200999999</v>
      </c>
      <c r="H208">
        <v>204</v>
      </c>
      <c r="I208" t="s">
        <v>2408</v>
      </c>
    </row>
    <row r="209" spans="2:9" x14ac:dyDescent="0.25">
      <c r="B209">
        <v>205</v>
      </c>
      <c r="C209" t="s">
        <v>918</v>
      </c>
      <c r="D209" t="s">
        <v>917</v>
      </c>
      <c r="E209">
        <v>999999</v>
      </c>
      <c r="F209" s="6">
        <v>1800000000</v>
      </c>
      <c r="G209" s="6">
        <v>2933000000</v>
      </c>
      <c r="H209">
        <v>205</v>
      </c>
      <c r="I209" t="s">
        <v>2409</v>
      </c>
    </row>
    <row r="210" spans="2:9" x14ac:dyDescent="0.25">
      <c r="B210">
        <v>206</v>
      </c>
      <c r="C210" t="s">
        <v>1021</v>
      </c>
      <c r="D210" t="s">
        <v>1020</v>
      </c>
      <c r="E210">
        <v>999999</v>
      </c>
      <c r="F210" s="6">
        <v>2600000000</v>
      </c>
      <c r="G210" s="6">
        <v>4309999999</v>
      </c>
      <c r="H210">
        <v>206</v>
      </c>
      <c r="I210" t="s">
        <v>2410</v>
      </c>
    </row>
    <row r="211" spans="2:9" x14ac:dyDescent="0.25">
      <c r="B211">
        <v>207</v>
      </c>
      <c r="C211" t="s">
        <v>924</v>
      </c>
      <c r="D211" t="s">
        <v>923</v>
      </c>
      <c r="E211">
        <v>999999</v>
      </c>
      <c r="F211" s="6">
        <v>2200000000</v>
      </c>
      <c r="G211" s="6"/>
      <c r="H211">
        <v>207</v>
      </c>
      <c r="I211" t="s">
        <v>2411</v>
      </c>
    </row>
    <row r="212" spans="2:9" x14ac:dyDescent="0.25">
      <c r="B212">
        <v>208</v>
      </c>
      <c r="C212" t="s">
        <v>1027</v>
      </c>
      <c r="D212" t="s">
        <v>1026</v>
      </c>
      <c r="E212">
        <v>999999</v>
      </c>
      <c r="F212" s="6">
        <v>1800000000</v>
      </c>
      <c r="G212" s="6">
        <v>2133330099</v>
      </c>
      <c r="H212">
        <v>208</v>
      </c>
      <c r="I212" t="s">
        <v>2412</v>
      </c>
    </row>
    <row r="213" spans="2:9" x14ac:dyDescent="0.25">
      <c r="B213">
        <v>209</v>
      </c>
      <c r="C213" t="s">
        <v>931</v>
      </c>
      <c r="D213" t="s">
        <v>82</v>
      </c>
      <c r="E213">
        <v>999999</v>
      </c>
      <c r="F213" s="6">
        <v>2000000000</v>
      </c>
      <c r="G213" s="6">
        <v>3333000000</v>
      </c>
      <c r="H213">
        <v>209</v>
      </c>
      <c r="I213" t="s">
        <v>2413</v>
      </c>
    </row>
    <row r="214" spans="2:9" x14ac:dyDescent="0.25">
      <c r="B214">
        <v>210</v>
      </c>
      <c r="C214" t="s">
        <v>1033</v>
      </c>
      <c r="D214" t="s">
        <v>453</v>
      </c>
      <c r="E214">
        <v>999999</v>
      </c>
      <c r="F214" s="6">
        <v>1700000000</v>
      </c>
      <c r="G214" s="6">
        <v>3777777777</v>
      </c>
      <c r="H214">
        <v>210</v>
      </c>
      <c r="I214" t="s">
        <v>2414</v>
      </c>
    </row>
    <row r="215" spans="2:9" x14ac:dyDescent="0.25">
      <c r="B215">
        <v>211</v>
      </c>
      <c r="C215" t="s">
        <v>937</v>
      </c>
      <c r="D215" t="s">
        <v>155</v>
      </c>
      <c r="E215">
        <v>999999</v>
      </c>
      <c r="F215" s="6">
        <v>1800000000</v>
      </c>
      <c r="G215" s="6">
        <v>3008888888</v>
      </c>
      <c r="H215">
        <v>211</v>
      </c>
      <c r="I215" t="s">
        <v>2415</v>
      </c>
    </row>
    <row r="216" spans="2:9" x14ac:dyDescent="0.25">
      <c r="B216">
        <v>212</v>
      </c>
      <c r="C216" t="s">
        <v>1039</v>
      </c>
      <c r="D216" t="s">
        <v>1038</v>
      </c>
      <c r="E216">
        <v>999999</v>
      </c>
      <c r="F216" s="6">
        <v>2300000000</v>
      </c>
      <c r="G216" s="6">
        <v>2851434571</v>
      </c>
      <c r="H216">
        <v>212</v>
      </c>
      <c r="I216" t="s">
        <v>2416</v>
      </c>
    </row>
    <row r="217" spans="2:9" x14ac:dyDescent="0.25">
      <c r="B217">
        <v>213</v>
      </c>
      <c r="C217" t="s">
        <v>943</v>
      </c>
      <c r="D217" t="s">
        <v>2267</v>
      </c>
      <c r="E217">
        <v>999999</v>
      </c>
      <c r="F217" s="6">
        <v>2700000000</v>
      </c>
      <c r="G217" s="6">
        <v>4378999899</v>
      </c>
      <c r="H217">
        <v>213</v>
      </c>
      <c r="I217" t="s">
        <v>2417</v>
      </c>
    </row>
    <row r="218" spans="2:9" x14ac:dyDescent="0.25">
      <c r="B218">
        <v>214</v>
      </c>
      <c r="C218" t="s">
        <v>1045</v>
      </c>
      <c r="D218" t="s">
        <v>1044</v>
      </c>
      <c r="E218">
        <v>999999</v>
      </c>
      <c r="F218" s="6">
        <v>2400000000</v>
      </c>
      <c r="G218" s="6">
        <v>2850000000</v>
      </c>
      <c r="H218">
        <v>214</v>
      </c>
      <c r="I218" t="s">
        <v>2418</v>
      </c>
    </row>
    <row r="219" spans="2:9" x14ac:dyDescent="0.25">
      <c r="B219">
        <v>215</v>
      </c>
      <c r="C219" t="s">
        <v>951</v>
      </c>
      <c r="D219" t="s">
        <v>811</v>
      </c>
      <c r="E219">
        <v>999999</v>
      </c>
      <c r="F219" s="6">
        <v>3800000000</v>
      </c>
      <c r="G219" s="6">
        <v>5556789999</v>
      </c>
      <c r="H219">
        <v>215</v>
      </c>
      <c r="I219" t="s">
        <v>2419</v>
      </c>
    </row>
    <row r="220" spans="2:9" x14ac:dyDescent="0.25">
      <c r="B220">
        <v>216</v>
      </c>
      <c r="C220" t="s">
        <v>1051</v>
      </c>
      <c r="D220" t="s">
        <v>767</v>
      </c>
      <c r="E220">
        <v>999999</v>
      </c>
      <c r="F220" s="6">
        <v>3500000000</v>
      </c>
      <c r="G220" s="6">
        <v>5719999999</v>
      </c>
      <c r="H220">
        <v>216</v>
      </c>
      <c r="I220" t="s">
        <v>2420</v>
      </c>
    </row>
    <row r="221" spans="2:9" x14ac:dyDescent="0.25">
      <c r="B221">
        <v>217</v>
      </c>
      <c r="C221" t="s">
        <v>959</v>
      </c>
      <c r="D221" t="s">
        <v>958</v>
      </c>
      <c r="E221">
        <v>999999</v>
      </c>
      <c r="F221" s="6">
        <v>2600000000</v>
      </c>
      <c r="G221" s="6">
        <v>4110110110</v>
      </c>
      <c r="H221">
        <v>217</v>
      </c>
      <c r="I221" t="s">
        <v>2421</v>
      </c>
    </row>
    <row r="222" spans="2:9" x14ac:dyDescent="0.25">
      <c r="B222">
        <v>218</v>
      </c>
      <c r="C222" t="s">
        <v>1057</v>
      </c>
      <c r="D222" t="s">
        <v>967</v>
      </c>
      <c r="E222">
        <v>999999</v>
      </c>
      <c r="F222" s="6">
        <v>1700000000</v>
      </c>
      <c r="G222" s="6">
        <v>2819999999</v>
      </c>
      <c r="H222">
        <v>218</v>
      </c>
      <c r="I222" t="s">
        <v>2422</v>
      </c>
    </row>
    <row r="223" spans="2:9" x14ac:dyDescent="0.25">
      <c r="B223">
        <v>219</v>
      </c>
      <c r="C223" t="s">
        <v>968</v>
      </c>
      <c r="D223" t="s">
        <v>967</v>
      </c>
      <c r="E223">
        <v>999999</v>
      </c>
      <c r="F223" s="6">
        <v>3900000000</v>
      </c>
      <c r="G223" s="6">
        <v>4921234567</v>
      </c>
      <c r="H223">
        <v>219</v>
      </c>
      <c r="I223" t="s">
        <v>2423</v>
      </c>
    </row>
    <row r="224" spans="2:9" x14ac:dyDescent="0.25">
      <c r="B224">
        <v>220</v>
      </c>
      <c r="C224" t="s">
        <v>1063</v>
      </c>
      <c r="D224" t="s">
        <v>1062</v>
      </c>
      <c r="E224">
        <v>999999</v>
      </c>
      <c r="F224" s="6">
        <v>2900000000</v>
      </c>
      <c r="G224" s="6">
        <v>4577590000</v>
      </c>
      <c r="H224">
        <v>220</v>
      </c>
      <c r="I224" t="s">
        <v>2424</v>
      </c>
    </row>
    <row r="225" spans="2:9" x14ac:dyDescent="0.25">
      <c r="B225">
        <v>221</v>
      </c>
      <c r="C225" t="s">
        <v>974</v>
      </c>
      <c r="D225" t="s">
        <v>447</v>
      </c>
      <c r="E225">
        <v>999999</v>
      </c>
      <c r="F225" s="6">
        <v>2700000000</v>
      </c>
      <c r="G225" s="6">
        <v>3850000000</v>
      </c>
      <c r="H225">
        <v>221</v>
      </c>
      <c r="I225" t="s">
        <v>2425</v>
      </c>
    </row>
    <row r="226" spans="2:9" x14ac:dyDescent="0.25">
      <c r="B226">
        <v>222</v>
      </c>
      <c r="C226" t="s">
        <v>1071</v>
      </c>
      <c r="D226" t="s">
        <v>2426</v>
      </c>
      <c r="E226">
        <v>999999</v>
      </c>
      <c r="F226" s="6">
        <v>5600000000</v>
      </c>
      <c r="G226" s="6">
        <v>10067896789</v>
      </c>
      <c r="H226">
        <v>222</v>
      </c>
      <c r="I226" t="s">
        <v>2427</v>
      </c>
    </row>
    <row r="227" spans="2:9" x14ac:dyDescent="0.25">
      <c r="B227">
        <v>223</v>
      </c>
      <c r="C227" t="s">
        <v>980</v>
      </c>
      <c r="D227" t="s">
        <v>979</v>
      </c>
      <c r="E227">
        <v>999999</v>
      </c>
      <c r="F227" s="6">
        <v>3100000000</v>
      </c>
      <c r="G227" s="6">
        <v>3611234567</v>
      </c>
      <c r="H227">
        <v>223</v>
      </c>
      <c r="I227" t="s">
        <v>2428</v>
      </c>
    </row>
    <row r="228" spans="2:9" x14ac:dyDescent="0.25">
      <c r="B228">
        <v>224</v>
      </c>
      <c r="C228" t="s">
        <v>1078</v>
      </c>
      <c r="D228" t="s">
        <v>1077</v>
      </c>
      <c r="E228">
        <v>999999</v>
      </c>
      <c r="F228" s="6">
        <v>3400000000</v>
      </c>
      <c r="G228" s="6">
        <v>4250008888</v>
      </c>
      <c r="H228">
        <v>224</v>
      </c>
      <c r="I228" t="s">
        <v>2429</v>
      </c>
    </row>
    <row r="229" spans="2:9" x14ac:dyDescent="0.25">
      <c r="B229">
        <v>225</v>
      </c>
      <c r="C229" t="s">
        <v>987</v>
      </c>
      <c r="D229" t="s">
        <v>762</v>
      </c>
      <c r="E229">
        <v>999999</v>
      </c>
      <c r="F229" s="6">
        <v>4500000000</v>
      </c>
      <c r="G229" s="6">
        <v>5631234560</v>
      </c>
      <c r="H229">
        <v>225</v>
      </c>
      <c r="I229" t="s">
        <v>2430</v>
      </c>
    </row>
    <row r="230" spans="2:9" x14ac:dyDescent="0.25">
      <c r="B230">
        <v>226</v>
      </c>
      <c r="C230" t="s">
        <v>1086</v>
      </c>
      <c r="D230" t="s">
        <v>1085</v>
      </c>
      <c r="E230">
        <v>999999</v>
      </c>
      <c r="F230" s="6">
        <v>4900000000</v>
      </c>
      <c r="G230" s="6">
        <v>5464000000</v>
      </c>
      <c r="H230">
        <v>226</v>
      </c>
      <c r="I230" t="s">
        <v>2431</v>
      </c>
    </row>
    <row r="231" spans="2:9" x14ac:dyDescent="0.25">
      <c r="B231">
        <v>227</v>
      </c>
      <c r="C231" t="s">
        <v>993</v>
      </c>
      <c r="D231" t="s">
        <v>147</v>
      </c>
      <c r="E231">
        <v>999999</v>
      </c>
      <c r="F231" s="6">
        <v>2100000000</v>
      </c>
      <c r="G231" s="6">
        <v>2356558000</v>
      </c>
      <c r="H231">
        <v>227</v>
      </c>
      <c r="I231" t="s">
        <v>2432</v>
      </c>
    </row>
    <row r="232" spans="2:9" x14ac:dyDescent="0.25">
      <c r="B232">
        <v>228</v>
      </c>
      <c r="C232" t="s">
        <v>1093</v>
      </c>
      <c r="D232" t="s">
        <v>1092</v>
      </c>
      <c r="E232">
        <v>999999</v>
      </c>
      <c r="F232" s="6">
        <v>3400000000</v>
      </c>
      <c r="G232" s="6">
        <v>4400001111</v>
      </c>
      <c r="H232">
        <v>228</v>
      </c>
      <c r="I232" t="s">
        <v>2433</v>
      </c>
    </row>
    <row r="233" spans="2:9" x14ac:dyDescent="0.25">
      <c r="B233">
        <v>229</v>
      </c>
      <c r="C233" t="s">
        <v>1002</v>
      </c>
      <c r="D233" t="s">
        <v>1001</v>
      </c>
      <c r="E233">
        <v>999999</v>
      </c>
      <c r="F233" s="6">
        <v>2300000000</v>
      </c>
      <c r="G233" s="6">
        <v>2628888888</v>
      </c>
      <c r="H233">
        <v>230</v>
      </c>
      <c r="I233" t="s">
        <v>2434</v>
      </c>
    </row>
    <row r="234" spans="2:9" x14ac:dyDescent="0.25">
      <c r="B234" t="s">
        <v>800</v>
      </c>
      <c r="C234" t="s">
        <v>801</v>
      </c>
      <c r="D234" t="s">
        <v>802</v>
      </c>
      <c r="E234" t="s">
        <v>803</v>
      </c>
      <c r="F234" s="6" t="s">
        <v>804</v>
      </c>
      <c r="G234" s="6" t="s">
        <v>805</v>
      </c>
      <c r="H234" t="s">
        <v>806</v>
      </c>
    </row>
    <row r="235" spans="2:9" x14ac:dyDescent="0.25">
      <c r="B235">
        <v>1</v>
      </c>
      <c r="C235" t="s">
        <v>2643</v>
      </c>
      <c r="D235" t="s">
        <v>2642</v>
      </c>
      <c r="E235">
        <v>999999</v>
      </c>
      <c r="F235" s="6">
        <v>1500000000</v>
      </c>
      <c r="G235" s="6">
        <v>1622222222</v>
      </c>
      <c r="H235">
        <v>1</v>
      </c>
      <c r="I235" t="s">
        <v>2950</v>
      </c>
    </row>
    <row r="236" spans="2:9" x14ac:dyDescent="0.25">
      <c r="B236">
        <v>2</v>
      </c>
      <c r="C236" t="s">
        <v>2826</v>
      </c>
      <c r="D236" t="s">
        <v>2825</v>
      </c>
      <c r="E236">
        <v>999999</v>
      </c>
      <c r="F236" s="6">
        <v>3000000000</v>
      </c>
      <c r="G236" s="6">
        <v>3900000999</v>
      </c>
      <c r="H236">
        <v>2</v>
      </c>
      <c r="I236" t="s">
        <v>2951</v>
      </c>
    </row>
    <row r="237" spans="2:9" x14ac:dyDescent="0.25">
      <c r="B237">
        <v>3</v>
      </c>
      <c r="C237" t="s">
        <v>2648</v>
      </c>
      <c r="D237" t="s">
        <v>447</v>
      </c>
      <c r="E237">
        <v>999999</v>
      </c>
      <c r="F237" s="6">
        <v>3200000000</v>
      </c>
      <c r="G237" s="6">
        <v>3622222222</v>
      </c>
      <c r="H237">
        <v>3</v>
      </c>
      <c r="I237" t="s">
        <v>2952</v>
      </c>
    </row>
    <row r="238" spans="2:9" x14ac:dyDescent="0.25">
      <c r="B238">
        <v>4</v>
      </c>
      <c r="C238" t="s">
        <v>2832</v>
      </c>
      <c r="D238" t="s">
        <v>1038</v>
      </c>
      <c r="E238">
        <v>999999</v>
      </c>
      <c r="F238" s="6">
        <v>1100000000</v>
      </c>
      <c r="G238" s="6">
        <v>1511111111</v>
      </c>
      <c r="H238">
        <v>4</v>
      </c>
      <c r="I238" t="s">
        <v>2953</v>
      </c>
    </row>
    <row r="239" spans="2:9" x14ac:dyDescent="0.25">
      <c r="B239">
        <v>5</v>
      </c>
      <c r="C239" t="s">
        <v>2652</v>
      </c>
      <c r="D239" t="s">
        <v>463</v>
      </c>
      <c r="E239">
        <v>999999</v>
      </c>
      <c r="F239" s="6">
        <v>5000000000</v>
      </c>
      <c r="G239" s="6">
        <v>6765432000</v>
      </c>
      <c r="H239">
        <v>5</v>
      </c>
      <c r="I239" t="s">
        <v>2954</v>
      </c>
    </row>
    <row r="240" spans="2:9" x14ac:dyDescent="0.25">
      <c r="B240">
        <v>6</v>
      </c>
      <c r="C240" t="s">
        <v>2838</v>
      </c>
      <c r="D240" t="s">
        <v>2837</v>
      </c>
      <c r="E240">
        <v>999999</v>
      </c>
      <c r="F240" s="6">
        <v>1400000000</v>
      </c>
      <c r="G240" s="6">
        <v>2412000000</v>
      </c>
      <c r="H240">
        <v>6</v>
      </c>
      <c r="I240" t="s">
        <v>2955</v>
      </c>
    </row>
    <row r="241" spans="2:9" x14ac:dyDescent="0.25">
      <c r="B241">
        <v>7</v>
      </c>
      <c r="C241" t="s">
        <v>2659</v>
      </c>
      <c r="D241" t="s">
        <v>2956</v>
      </c>
      <c r="E241">
        <v>999999</v>
      </c>
      <c r="F241" s="6">
        <v>1150000000</v>
      </c>
      <c r="G241" s="6">
        <v>1865000000</v>
      </c>
      <c r="H241">
        <v>7</v>
      </c>
      <c r="I241" t="s">
        <v>2957</v>
      </c>
    </row>
    <row r="242" spans="2:9" x14ac:dyDescent="0.25">
      <c r="B242">
        <v>8</v>
      </c>
      <c r="C242" t="s">
        <v>1937</v>
      </c>
      <c r="D242" t="s">
        <v>762</v>
      </c>
      <c r="E242">
        <v>999999</v>
      </c>
      <c r="F242" s="6">
        <v>2600000000</v>
      </c>
      <c r="G242" s="6">
        <v>3050000000</v>
      </c>
      <c r="H242">
        <v>8</v>
      </c>
      <c r="I242" t="s">
        <v>2958</v>
      </c>
    </row>
    <row r="243" spans="2:9" x14ac:dyDescent="0.25">
      <c r="B243">
        <v>9</v>
      </c>
      <c r="C243" t="s">
        <v>2666</v>
      </c>
      <c r="D243" t="s">
        <v>467</v>
      </c>
      <c r="E243">
        <v>999999</v>
      </c>
      <c r="F243" s="6">
        <v>3200000000</v>
      </c>
      <c r="G243" s="6">
        <v>4020000009</v>
      </c>
      <c r="H243">
        <v>9</v>
      </c>
      <c r="I243" t="s">
        <v>2959</v>
      </c>
    </row>
    <row r="244" spans="2:9" x14ac:dyDescent="0.25">
      <c r="B244">
        <v>10</v>
      </c>
      <c r="C244" t="s">
        <v>2843</v>
      </c>
      <c r="D244" t="s">
        <v>466</v>
      </c>
      <c r="E244">
        <v>999999</v>
      </c>
      <c r="F244" s="6">
        <v>4200000000</v>
      </c>
      <c r="G244" s="6">
        <v>4869999999</v>
      </c>
      <c r="H244">
        <v>10</v>
      </c>
      <c r="I244" t="s">
        <v>2960</v>
      </c>
    </row>
    <row r="245" spans="2:9" x14ac:dyDescent="0.25">
      <c r="B245">
        <v>11</v>
      </c>
      <c r="C245" t="s">
        <v>2670</v>
      </c>
      <c r="D245" t="s">
        <v>743</v>
      </c>
      <c r="E245">
        <v>999999</v>
      </c>
      <c r="F245" s="6">
        <v>7300000000</v>
      </c>
      <c r="G245" s="6">
        <v>9355555555</v>
      </c>
      <c r="H245">
        <v>11</v>
      </c>
      <c r="I245" t="s">
        <v>2961</v>
      </c>
    </row>
    <row r="246" spans="2:9" x14ac:dyDescent="0.25">
      <c r="B246">
        <v>12</v>
      </c>
      <c r="C246" t="s">
        <v>2848</v>
      </c>
      <c r="D246" t="s">
        <v>2847</v>
      </c>
      <c r="E246">
        <v>999999</v>
      </c>
      <c r="F246" s="6">
        <v>3800000000</v>
      </c>
      <c r="G246" s="6">
        <v>3820000999</v>
      </c>
      <c r="H246">
        <v>12</v>
      </c>
      <c r="I246" t="s">
        <v>2962</v>
      </c>
    </row>
    <row r="247" spans="2:9" x14ac:dyDescent="0.25">
      <c r="B247">
        <v>13</v>
      </c>
      <c r="C247" t="s">
        <v>2676</v>
      </c>
      <c r="D247" t="s">
        <v>389</v>
      </c>
      <c r="E247">
        <v>999999</v>
      </c>
      <c r="F247" s="6">
        <v>2900000000</v>
      </c>
      <c r="G247" s="6">
        <v>3229999999</v>
      </c>
      <c r="H247">
        <v>13</v>
      </c>
      <c r="I247" t="s">
        <v>2963</v>
      </c>
    </row>
    <row r="248" spans="2:9" x14ac:dyDescent="0.25">
      <c r="B248">
        <v>14</v>
      </c>
      <c r="C248" t="s">
        <v>2853</v>
      </c>
      <c r="D248" t="s">
        <v>113</v>
      </c>
      <c r="E248">
        <v>999999</v>
      </c>
      <c r="F248" s="6">
        <v>2900000000</v>
      </c>
      <c r="G248" s="6">
        <v>3366666666</v>
      </c>
      <c r="H248">
        <v>14</v>
      </c>
      <c r="I248" t="s">
        <v>2964</v>
      </c>
    </row>
    <row r="249" spans="2:9" x14ac:dyDescent="0.25">
      <c r="B249">
        <v>15</v>
      </c>
      <c r="C249" t="s">
        <v>2681</v>
      </c>
      <c r="D249" t="s">
        <v>2680</v>
      </c>
      <c r="E249">
        <v>999999</v>
      </c>
      <c r="F249" s="6">
        <v>1800000000</v>
      </c>
      <c r="G249" s="6">
        <v>2220000100</v>
      </c>
      <c r="H249">
        <v>15</v>
      </c>
      <c r="I249" t="s">
        <v>2965</v>
      </c>
    </row>
    <row r="250" spans="2:9" x14ac:dyDescent="0.25">
      <c r="B250">
        <v>16</v>
      </c>
      <c r="C250" t="s">
        <v>1959</v>
      </c>
      <c r="D250" t="s">
        <v>811</v>
      </c>
      <c r="E250">
        <v>999999</v>
      </c>
      <c r="F250" s="6">
        <v>5700000000</v>
      </c>
      <c r="G250" s="6"/>
      <c r="H250">
        <v>16</v>
      </c>
      <c r="I250" t="s">
        <v>2966</v>
      </c>
    </row>
    <row r="251" spans="2:9" x14ac:dyDescent="0.25">
      <c r="B251">
        <v>17</v>
      </c>
      <c r="C251" t="s">
        <v>1695</v>
      </c>
      <c r="D251" t="s">
        <v>763</v>
      </c>
      <c r="E251">
        <v>999999</v>
      </c>
      <c r="F251" s="6">
        <v>2400000000</v>
      </c>
      <c r="G251" s="6"/>
      <c r="H251">
        <v>17</v>
      </c>
      <c r="I251" t="s">
        <v>2967</v>
      </c>
    </row>
    <row r="252" spans="2:9" x14ac:dyDescent="0.25">
      <c r="B252">
        <v>18</v>
      </c>
      <c r="C252" t="s">
        <v>2859</v>
      </c>
      <c r="D252" t="s">
        <v>2858</v>
      </c>
      <c r="E252">
        <v>999999</v>
      </c>
      <c r="F252" s="6">
        <v>2900000000</v>
      </c>
      <c r="G252" s="6">
        <v>3415555555</v>
      </c>
      <c r="H252">
        <v>18</v>
      </c>
      <c r="I252" t="s">
        <v>2968</v>
      </c>
    </row>
    <row r="253" spans="2:9" x14ac:dyDescent="0.25">
      <c r="B253">
        <v>19</v>
      </c>
      <c r="C253" t="s">
        <v>2686</v>
      </c>
      <c r="D253" t="s">
        <v>735</v>
      </c>
      <c r="E253">
        <v>999999</v>
      </c>
      <c r="F253" s="6">
        <v>5000000000</v>
      </c>
      <c r="G253" s="6">
        <v>8128888000</v>
      </c>
      <c r="H253">
        <v>19</v>
      </c>
      <c r="I253" t="s">
        <v>2969</v>
      </c>
    </row>
    <row r="254" spans="2:9" x14ac:dyDescent="0.25">
      <c r="B254">
        <v>20</v>
      </c>
      <c r="C254" t="s">
        <v>2864</v>
      </c>
      <c r="D254" t="s">
        <v>811</v>
      </c>
      <c r="E254">
        <v>999999</v>
      </c>
      <c r="F254" s="6">
        <v>4000000000</v>
      </c>
      <c r="G254" s="6">
        <v>4124000000</v>
      </c>
      <c r="H254">
        <v>20</v>
      </c>
      <c r="I254" t="s">
        <v>2970</v>
      </c>
    </row>
    <row r="255" spans="2:9" x14ac:dyDescent="0.25">
      <c r="B255">
        <v>21</v>
      </c>
      <c r="C255" t="s">
        <v>2692</v>
      </c>
      <c r="D255" t="s">
        <v>2971</v>
      </c>
      <c r="E255">
        <v>999999</v>
      </c>
      <c r="F255" s="6">
        <v>3600000000</v>
      </c>
      <c r="G255" s="6">
        <v>3710999999</v>
      </c>
      <c r="H255">
        <v>21</v>
      </c>
      <c r="I255" t="s">
        <v>2972</v>
      </c>
    </row>
    <row r="256" spans="2:9" x14ac:dyDescent="0.25">
      <c r="B256">
        <v>22</v>
      </c>
      <c r="C256" t="s">
        <v>1974</v>
      </c>
      <c r="D256" t="s">
        <v>389</v>
      </c>
      <c r="E256">
        <v>999999</v>
      </c>
      <c r="F256" s="6">
        <v>3500000000</v>
      </c>
      <c r="G256" s="6"/>
      <c r="H256">
        <v>22</v>
      </c>
      <c r="I256" t="s">
        <v>2973</v>
      </c>
    </row>
    <row r="257" spans="2:9" x14ac:dyDescent="0.25">
      <c r="B257">
        <v>23</v>
      </c>
      <c r="C257" t="s">
        <v>2698</v>
      </c>
      <c r="D257" t="s">
        <v>472</v>
      </c>
      <c r="E257">
        <v>999999</v>
      </c>
      <c r="F257" s="6">
        <v>3100000000</v>
      </c>
      <c r="G257" s="6">
        <v>4660000000</v>
      </c>
      <c r="H257">
        <v>23</v>
      </c>
      <c r="I257" t="s">
        <v>2974</v>
      </c>
    </row>
    <row r="258" spans="2:9" x14ac:dyDescent="0.25">
      <c r="B258">
        <v>24</v>
      </c>
      <c r="C258" t="s">
        <v>2868</v>
      </c>
      <c r="D258" t="s">
        <v>979</v>
      </c>
      <c r="E258">
        <v>999999</v>
      </c>
      <c r="F258" s="6">
        <v>2300000000</v>
      </c>
      <c r="G258" s="6">
        <v>2659999999</v>
      </c>
      <c r="H258">
        <v>24</v>
      </c>
      <c r="I258" t="s">
        <v>2975</v>
      </c>
    </row>
    <row r="259" spans="2:9" x14ac:dyDescent="0.25">
      <c r="B259">
        <v>25</v>
      </c>
      <c r="C259" t="s">
        <v>1720</v>
      </c>
      <c r="D259" t="s">
        <v>1719</v>
      </c>
      <c r="E259">
        <v>999999</v>
      </c>
      <c r="F259" s="6">
        <v>4000000000</v>
      </c>
      <c r="G259" s="6"/>
      <c r="H259">
        <v>25</v>
      </c>
      <c r="I259" t="s">
        <v>2976</v>
      </c>
    </row>
    <row r="260" spans="2:9" x14ac:dyDescent="0.25">
      <c r="B260">
        <v>26</v>
      </c>
      <c r="C260" t="s">
        <v>1985</v>
      </c>
      <c r="D260" t="s">
        <v>741</v>
      </c>
      <c r="E260">
        <v>999999</v>
      </c>
      <c r="F260" s="6">
        <v>6000000000</v>
      </c>
      <c r="G260" s="6">
        <v>10000000000</v>
      </c>
      <c r="H260">
        <v>26</v>
      </c>
      <c r="I260" t="s">
        <v>2977</v>
      </c>
    </row>
    <row r="261" spans="2:9" x14ac:dyDescent="0.25">
      <c r="B261">
        <v>27</v>
      </c>
      <c r="C261" t="s">
        <v>2704</v>
      </c>
      <c r="D261" t="s">
        <v>1098</v>
      </c>
      <c r="E261">
        <v>999999</v>
      </c>
      <c r="F261" s="6">
        <v>2500000000</v>
      </c>
      <c r="G261" s="6">
        <v>2520000999</v>
      </c>
      <c r="H261">
        <v>27</v>
      </c>
      <c r="I261" t="s">
        <v>2978</v>
      </c>
    </row>
    <row r="262" spans="2:9" x14ac:dyDescent="0.25">
      <c r="B262">
        <v>28</v>
      </c>
      <c r="C262" t="s">
        <v>2875</v>
      </c>
      <c r="D262" t="s">
        <v>2874</v>
      </c>
      <c r="E262">
        <v>999999</v>
      </c>
      <c r="F262" s="6">
        <v>4200000000</v>
      </c>
      <c r="G262" s="6">
        <v>6480000000</v>
      </c>
      <c r="H262">
        <v>28</v>
      </c>
      <c r="I262" t="s">
        <v>2979</v>
      </c>
    </row>
    <row r="263" spans="2:9" x14ac:dyDescent="0.25">
      <c r="B263">
        <v>29</v>
      </c>
      <c r="C263" t="s">
        <v>2709</v>
      </c>
      <c r="D263" t="s">
        <v>2708</v>
      </c>
      <c r="E263">
        <v>999999</v>
      </c>
      <c r="F263" s="6">
        <v>2100000000</v>
      </c>
      <c r="G263" s="6">
        <v>2329999999</v>
      </c>
      <c r="H263">
        <v>29</v>
      </c>
      <c r="I263" t="s">
        <v>2980</v>
      </c>
    </row>
    <row r="264" spans="2:9" x14ac:dyDescent="0.25">
      <c r="B264">
        <v>30</v>
      </c>
      <c r="C264" t="s">
        <v>2880</v>
      </c>
      <c r="D264" t="s">
        <v>979</v>
      </c>
      <c r="E264">
        <v>999999</v>
      </c>
      <c r="F264" s="6">
        <v>1200000000</v>
      </c>
      <c r="G264" s="6">
        <v>2015999999</v>
      </c>
      <c r="H264">
        <v>30</v>
      </c>
      <c r="I264" t="s">
        <v>2981</v>
      </c>
    </row>
    <row r="265" spans="2:9" x14ac:dyDescent="0.25">
      <c r="B265">
        <v>31</v>
      </c>
      <c r="C265" t="s">
        <v>2714</v>
      </c>
      <c r="D265" t="s">
        <v>1267</v>
      </c>
      <c r="E265">
        <v>999999</v>
      </c>
      <c r="F265" s="6">
        <v>3800000000</v>
      </c>
      <c r="G265" s="6">
        <v>4855150000</v>
      </c>
      <c r="H265">
        <v>31</v>
      </c>
      <c r="I265" t="s">
        <v>2982</v>
      </c>
    </row>
    <row r="266" spans="2:9" x14ac:dyDescent="0.25">
      <c r="B266">
        <v>32</v>
      </c>
      <c r="C266" t="s">
        <v>2885</v>
      </c>
      <c r="D266" t="s">
        <v>2884</v>
      </c>
      <c r="E266">
        <v>999999</v>
      </c>
      <c r="F266" s="6">
        <v>4300000000</v>
      </c>
      <c r="G266" s="6">
        <v>5266660000</v>
      </c>
      <c r="H266">
        <v>32</v>
      </c>
      <c r="I266" t="s">
        <v>2983</v>
      </c>
    </row>
    <row r="267" spans="2:9" x14ac:dyDescent="0.25">
      <c r="B267">
        <v>33</v>
      </c>
      <c r="C267" t="s">
        <v>2719</v>
      </c>
      <c r="D267" t="s">
        <v>447</v>
      </c>
      <c r="E267">
        <v>999999</v>
      </c>
      <c r="F267" s="6">
        <v>3500000000</v>
      </c>
      <c r="G267" s="6">
        <v>4778888888</v>
      </c>
      <c r="H267">
        <v>33</v>
      </c>
      <c r="I267" t="s">
        <v>2984</v>
      </c>
    </row>
    <row r="268" spans="2:9" x14ac:dyDescent="0.25">
      <c r="B268">
        <v>34</v>
      </c>
      <c r="C268" t="s">
        <v>2891</v>
      </c>
      <c r="D268" t="s">
        <v>2547</v>
      </c>
      <c r="E268">
        <v>999999</v>
      </c>
      <c r="F268" s="6">
        <v>2000000000</v>
      </c>
      <c r="G268" s="6">
        <v>3769999999</v>
      </c>
      <c r="H268">
        <v>34</v>
      </c>
      <c r="I268" t="s">
        <v>2985</v>
      </c>
    </row>
    <row r="269" spans="2:9" x14ac:dyDescent="0.25">
      <c r="B269">
        <v>35</v>
      </c>
      <c r="C269" t="s">
        <v>1747</v>
      </c>
      <c r="D269" t="s">
        <v>765</v>
      </c>
      <c r="E269">
        <v>999999</v>
      </c>
      <c r="F269" s="6">
        <v>3100000000</v>
      </c>
      <c r="G269" s="6">
        <v>3660000000</v>
      </c>
      <c r="H269">
        <v>35</v>
      </c>
      <c r="I269" t="s">
        <v>2986</v>
      </c>
    </row>
    <row r="270" spans="2:9" x14ac:dyDescent="0.25">
      <c r="B270">
        <v>36</v>
      </c>
      <c r="C270" t="s">
        <v>2895</v>
      </c>
      <c r="D270" t="s">
        <v>768</v>
      </c>
      <c r="E270">
        <v>999999</v>
      </c>
      <c r="F270" s="6">
        <v>2900000000</v>
      </c>
      <c r="G270" s="6">
        <v>5009999999</v>
      </c>
      <c r="H270">
        <v>36</v>
      </c>
      <c r="I270" t="s">
        <v>2987</v>
      </c>
    </row>
    <row r="271" spans="2:9" x14ac:dyDescent="0.25">
      <c r="B271">
        <v>37</v>
      </c>
      <c r="C271" t="s">
        <v>2724</v>
      </c>
      <c r="D271" t="s">
        <v>2723</v>
      </c>
      <c r="E271">
        <v>999999</v>
      </c>
      <c r="F271" s="6">
        <v>1900000000</v>
      </c>
      <c r="G271" s="6">
        <v>3356789999</v>
      </c>
      <c r="H271">
        <v>37</v>
      </c>
      <c r="I271" t="s">
        <v>2988</v>
      </c>
    </row>
    <row r="272" spans="2:9" x14ac:dyDescent="0.25">
      <c r="B272">
        <v>38</v>
      </c>
      <c r="C272" t="s">
        <v>2018</v>
      </c>
      <c r="D272" t="s">
        <v>967</v>
      </c>
      <c r="E272">
        <v>999999</v>
      </c>
      <c r="F272" s="6">
        <v>2700000000</v>
      </c>
      <c r="G272" s="6">
        <v>3100999999</v>
      </c>
      <c r="H272">
        <v>38</v>
      </c>
      <c r="I272" t="s">
        <v>2989</v>
      </c>
    </row>
    <row r="273" spans="2:9" x14ac:dyDescent="0.25">
      <c r="B273">
        <v>39</v>
      </c>
      <c r="C273" t="s">
        <v>2729</v>
      </c>
      <c r="D273" t="s">
        <v>456</v>
      </c>
      <c r="E273">
        <v>999999</v>
      </c>
      <c r="F273" s="6">
        <v>3800000000</v>
      </c>
      <c r="G273" s="6">
        <v>4520000000</v>
      </c>
      <c r="H273">
        <v>39</v>
      </c>
      <c r="I273" t="s">
        <v>2990</v>
      </c>
    </row>
    <row r="274" spans="2:9" x14ac:dyDescent="0.25">
      <c r="B274">
        <v>40</v>
      </c>
      <c r="C274" t="s">
        <v>2900</v>
      </c>
      <c r="D274" t="s">
        <v>1142</v>
      </c>
      <c r="E274">
        <v>999999</v>
      </c>
      <c r="F274" s="6">
        <v>1700000000</v>
      </c>
      <c r="G274" s="6">
        <v>2560000000</v>
      </c>
      <c r="H274">
        <v>40</v>
      </c>
      <c r="I274" t="s">
        <v>2991</v>
      </c>
    </row>
    <row r="275" spans="2:9" x14ac:dyDescent="0.25">
      <c r="B275">
        <v>41</v>
      </c>
      <c r="C275" t="s">
        <v>1763</v>
      </c>
      <c r="D275" t="s">
        <v>1762</v>
      </c>
      <c r="E275">
        <v>999999</v>
      </c>
      <c r="F275" s="6">
        <v>2500000000</v>
      </c>
      <c r="G275" s="6">
        <v>4556600000</v>
      </c>
      <c r="H275">
        <v>41</v>
      </c>
      <c r="I275" t="s">
        <v>2992</v>
      </c>
    </row>
    <row r="276" spans="2:9" x14ac:dyDescent="0.25">
      <c r="B276">
        <v>42</v>
      </c>
      <c r="C276" t="s">
        <v>2029</v>
      </c>
      <c r="D276" t="s">
        <v>2028</v>
      </c>
      <c r="E276">
        <v>999999</v>
      </c>
      <c r="F276" s="6">
        <v>3200000000</v>
      </c>
      <c r="G276" s="6"/>
      <c r="H276">
        <v>42</v>
      </c>
      <c r="I276" t="s">
        <v>2993</v>
      </c>
    </row>
    <row r="277" spans="2:9" x14ac:dyDescent="0.25">
      <c r="B277">
        <v>43</v>
      </c>
      <c r="C277" t="s">
        <v>2734</v>
      </c>
      <c r="D277" t="s">
        <v>2723</v>
      </c>
      <c r="E277">
        <v>999999</v>
      </c>
      <c r="F277" s="6">
        <v>1800000000</v>
      </c>
      <c r="G277" s="6">
        <v>2155555000</v>
      </c>
      <c r="H277">
        <v>43</v>
      </c>
      <c r="I277" t="s">
        <v>2994</v>
      </c>
    </row>
    <row r="278" spans="2:9" x14ac:dyDescent="0.25">
      <c r="B278">
        <v>44</v>
      </c>
      <c r="C278" t="s">
        <v>2906</v>
      </c>
      <c r="D278" t="s">
        <v>373</v>
      </c>
      <c r="E278">
        <v>999999</v>
      </c>
      <c r="F278" s="6">
        <v>2600000000</v>
      </c>
      <c r="G278" s="6">
        <v>3170000000</v>
      </c>
      <c r="H278">
        <v>44</v>
      </c>
      <c r="I278" t="s">
        <v>2995</v>
      </c>
    </row>
    <row r="279" spans="2:9" x14ac:dyDescent="0.25">
      <c r="B279">
        <v>45</v>
      </c>
      <c r="C279" t="s">
        <v>1775</v>
      </c>
      <c r="D279" t="s">
        <v>1531</v>
      </c>
      <c r="E279">
        <v>999999</v>
      </c>
      <c r="F279" s="6">
        <v>3600000000</v>
      </c>
      <c r="G279" s="6"/>
      <c r="H279">
        <v>45</v>
      </c>
      <c r="I279" t="s">
        <v>2996</v>
      </c>
    </row>
    <row r="280" spans="2:9" x14ac:dyDescent="0.25">
      <c r="B280">
        <v>46</v>
      </c>
      <c r="C280" t="s">
        <v>2040</v>
      </c>
      <c r="D280" t="s">
        <v>382</v>
      </c>
      <c r="E280">
        <v>999999</v>
      </c>
      <c r="F280" s="6">
        <v>2900000000</v>
      </c>
      <c r="G280" s="6">
        <v>3546666666</v>
      </c>
      <c r="H280">
        <v>46</v>
      </c>
      <c r="I280" t="s">
        <v>2997</v>
      </c>
    </row>
    <row r="281" spans="2:9" x14ac:dyDescent="0.25">
      <c r="B281">
        <v>47</v>
      </c>
      <c r="C281" t="s">
        <v>1780</v>
      </c>
      <c r="D281" t="s">
        <v>1768</v>
      </c>
      <c r="E281">
        <v>999999</v>
      </c>
      <c r="F281" s="6">
        <v>5000000000</v>
      </c>
      <c r="G281" s="6"/>
      <c r="H281">
        <v>47</v>
      </c>
      <c r="I281" t="s">
        <v>2998</v>
      </c>
    </row>
    <row r="282" spans="2:9" x14ac:dyDescent="0.25">
      <c r="B282">
        <v>48</v>
      </c>
      <c r="C282" t="s">
        <v>2910</v>
      </c>
      <c r="D282" t="s">
        <v>155</v>
      </c>
      <c r="E282">
        <v>999999</v>
      </c>
      <c r="F282" s="6">
        <v>3000000000</v>
      </c>
      <c r="G282" s="6">
        <v>3526666666</v>
      </c>
      <c r="H282">
        <v>48</v>
      </c>
      <c r="I282" t="s">
        <v>2999</v>
      </c>
    </row>
    <row r="283" spans="2:9" x14ac:dyDescent="0.25">
      <c r="B283">
        <v>49</v>
      </c>
      <c r="C283" t="s">
        <v>2738</v>
      </c>
      <c r="D283" t="s">
        <v>127</v>
      </c>
      <c r="E283">
        <v>999999</v>
      </c>
      <c r="F283" s="6">
        <v>2500000000</v>
      </c>
      <c r="G283" s="6">
        <v>2722222222</v>
      </c>
      <c r="H283">
        <v>49</v>
      </c>
      <c r="I283" t="s">
        <v>3000</v>
      </c>
    </row>
    <row r="284" spans="2:9" x14ac:dyDescent="0.25">
      <c r="B284">
        <v>50</v>
      </c>
      <c r="C284" t="s">
        <v>2915</v>
      </c>
      <c r="D284" t="s">
        <v>2914</v>
      </c>
      <c r="E284">
        <v>999999</v>
      </c>
      <c r="F284" s="6">
        <v>4100000000</v>
      </c>
      <c r="G284" s="6">
        <v>4793000000</v>
      </c>
      <c r="H284">
        <v>50</v>
      </c>
      <c r="I284" t="s">
        <v>3001</v>
      </c>
    </row>
    <row r="285" spans="2:9" x14ac:dyDescent="0.25">
      <c r="B285">
        <v>51</v>
      </c>
      <c r="C285" t="s">
        <v>2742</v>
      </c>
      <c r="D285" t="s">
        <v>155</v>
      </c>
      <c r="E285">
        <v>999999</v>
      </c>
      <c r="F285" s="6">
        <v>2400000000</v>
      </c>
      <c r="G285" s="6">
        <v>2785555555</v>
      </c>
      <c r="H285">
        <v>51</v>
      </c>
      <c r="I285" t="s">
        <v>3002</v>
      </c>
    </row>
    <row r="286" spans="2:9" x14ac:dyDescent="0.25">
      <c r="B286">
        <v>52</v>
      </c>
      <c r="C286" t="s">
        <v>2921</v>
      </c>
      <c r="D286" t="s">
        <v>382</v>
      </c>
      <c r="E286">
        <v>999999</v>
      </c>
      <c r="F286" s="6">
        <v>2500000000</v>
      </c>
      <c r="G286" s="6">
        <v>2870000000</v>
      </c>
      <c r="H286">
        <v>52</v>
      </c>
      <c r="I286" t="s">
        <v>3003</v>
      </c>
    </row>
    <row r="287" spans="2:9" x14ac:dyDescent="0.25">
      <c r="B287">
        <v>53</v>
      </c>
      <c r="C287" t="s">
        <v>2746</v>
      </c>
      <c r="D287" t="s">
        <v>447</v>
      </c>
      <c r="E287">
        <v>999999</v>
      </c>
      <c r="F287" s="6">
        <v>3100000000</v>
      </c>
      <c r="G287" s="6">
        <v>4020000009</v>
      </c>
      <c r="H287">
        <v>53</v>
      </c>
      <c r="I287" t="s">
        <v>3004</v>
      </c>
    </row>
    <row r="288" spans="2:9" x14ac:dyDescent="0.25">
      <c r="B288">
        <v>54</v>
      </c>
      <c r="C288" t="s">
        <v>2925</v>
      </c>
      <c r="D288" t="s">
        <v>447</v>
      </c>
      <c r="E288">
        <v>999999</v>
      </c>
      <c r="F288" s="6">
        <v>3500000000</v>
      </c>
      <c r="G288" s="6">
        <v>4230000009</v>
      </c>
      <c r="H288">
        <v>54</v>
      </c>
      <c r="I288" t="s">
        <v>3005</v>
      </c>
    </row>
    <row r="289" spans="2:9" x14ac:dyDescent="0.25">
      <c r="B289">
        <v>55</v>
      </c>
      <c r="C289" t="s">
        <v>2750</v>
      </c>
      <c r="D289" t="s">
        <v>116</v>
      </c>
      <c r="E289">
        <v>999999</v>
      </c>
      <c r="F289" s="6">
        <v>2300000000</v>
      </c>
      <c r="G289" s="6">
        <v>2810000000</v>
      </c>
      <c r="H289">
        <v>55</v>
      </c>
      <c r="I289" t="s">
        <v>3006</v>
      </c>
    </row>
    <row r="290" spans="2:9" x14ac:dyDescent="0.25">
      <c r="B290">
        <v>56</v>
      </c>
      <c r="C290" t="s">
        <v>2929</v>
      </c>
      <c r="D290" t="s">
        <v>82</v>
      </c>
      <c r="E290">
        <v>999999</v>
      </c>
      <c r="F290" s="6">
        <v>1800000000</v>
      </c>
      <c r="G290" s="6">
        <v>3430000000</v>
      </c>
      <c r="H290">
        <v>56</v>
      </c>
      <c r="I290" t="s">
        <v>3007</v>
      </c>
    </row>
    <row r="291" spans="2:9" x14ac:dyDescent="0.25">
      <c r="B291">
        <v>57</v>
      </c>
      <c r="C291" t="s">
        <v>2754</v>
      </c>
      <c r="D291" t="s">
        <v>82</v>
      </c>
      <c r="E291">
        <v>999999</v>
      </c>
      <c r="F291" s="6">
        <v>2100000000</v>
      </c>
      <c r="G291" s="6">
        <v>3520000000</v>
      </c>
      <c r="H291">
        <v>57</v>
      </c>
      <c r="I291" t="s">
        <v>3008</v>
      </c>
    </row>
    <row r="292" spans="2:9" x14ac:dyDescent="0.25">
      <c r="B292">
        <v>58</v>
      </c>
      <c r="C292" t="s">
        <v>2933</v>
      </c>
      <c r="D292" t="s">
        <v>2007</v>
      </c>
      <c r="E292">
        <v>999999</v>
      </c>
      <c r="F292" s="6">
        <v>1200000000</v>
      </c>
      <c r="G292" s="6">
        <v>3078888888</v>
      </c>
      <c r="H292">
        <v>58</v>
      </c>
      <c r="I292" t="s">
        <v>3009</v>
      </c>
    </row>
    <row r="293" spans="2:9" x14ac:dyDescent="0.25">
      <c r="B293">
        <v>59</v>
      </c>
      <c r="C293" t="s">
        <v>2759</v>
      </c>
      <c r="D293" t="s">
        <v>2758</v>
      </c>
      <c r="E293">
        <v>999999</v>
      </c>
      <c r="F293" s="6">
        <v>2700000000</v>
      </c>
      <c r="G293" s="6">
        <v>3730000000</v>
      </c>
      <c r="H293">
        <v>59</v>
      </c>
      <c r="I293" t="s">
        <v>3010</v>
      </c>
    </row>
    <row r="294" spans="2:9" x14ac:dyDescent="0.25">
      <c r="B294">
        <v>60</v>
      </c>
      <c r="C294" t="s">
        <v>2938</v>
      </c>
      <c r="D294" t="s">
        <v>449</v>
      </c>
      <c r="E294">
        <v>999999</v>
      </c>
      <c r="F294" s="6">
        <v>1900000000</v>
      </c>
      <c r="G294" s="6">
        <v>3019999999</v>
      </c>
      <c r="H294">
        <v>60</v>
      </c>
      <c r="I294" t="s">
        <v>3011</v>
      </c>
    </row>
    <row r="295" spans="2:9" x14ac:dyDescent="0.25">
      <c r="B295">
        <v>61</v>
      </c>
      <c r="C295" t="s">
        <v>2764</v>
      </c>
      <c r="D295" t="s">
        <v>116</v>
      </c>
      <c r="E295">
        <v>999999</v>
      </c>
      <c r="F295" s="6">
        <v>1800000000</v>
      </c>
      <c r="G295" s="6">
        <v>2835555555</v>
      </c>
      <c r="H295">
        <v>61</v>
      </c>
      <c r="I295" t="s">
        <v>3012</v>
      </c>
    </row>
    <row r="296" spans="2:9" x14ac:dyDescent="0.25">
      <c r="B296">
        <v>62</v>
      </c>
      <c r="C296" t="s">
        <v>2942</v>
      </c>
      <c r="D296" t="s">
        <v>82</v>
      </c>
      <c r="E296">
        <v>999999</v>
      </c>
      <c r="F296" s="6">
        <v>2900000000</v>
      </c>
      <c r="G296" s="6">
        <v>4333333333</v>
      </c>
      <c r="H296">
        <v>62</v>
      </c>
      <c r="I296" t="s">
        <v>3013</v>
      </c>
    </row>
    <row r="297" spans="2:9" x14ac:dyDescent="0.25">
      <c r="B297">
        <v>63</v>
      </c>
      <c r="C297" t="s">
        <v>2768</v>
      </c>
      <c r="D297" t="s">
        <v>772</v>
      </c>
      <c r="E297">
        <v>999999</v>
      </c>
      <c r="F297" s="6">
        <v>2700000000</v>
      </c>
      <c r="G297" s="6">
        <v>4055898569</v>
      </c>
      <c r="H297">
        <v>63</v>
      </c>
      <c r="I297" t="s">
        <v>3014</v>
      </c>
    </row>
    <row r="298" spans="2:9" x14ac:dyDescent="0.25">
      <c r="B298">
        <v>64</v>
      </c>
      <c r="C298" t="s">
        <v>2946</v>
      </c>
      <c r="D298" t="s">
        <v>466</v>
      </c>
      <c r="E298">
        <v>999999</v>
      </c>
      <c r="F298" s="6">
        <v>2800000000</v>
      </c>
      <c r="G298" s="6">
        <v>3955000000</v>
      </c>
      <c r="H298">
        <v>64</v>
      </c>
      <c r="I298" t="s">
        <v>3015</v>
      </c>
    </row>
    <row r="299" spans="2:9" x14ac:dyDescent="0.25">
      <c r="B299">
        <v>65</v>
      </c>
      <c r="C299" t="s">
        <v>2773</v>
      </c>
      <c r="D299" t="s">
        <v>113</v>
      </c>
      <c r="E299">
        <v>999999</v>
      </c>
      <c r="F299" s="6">
        <v>1500000000</v>
      </c>
      <c r="G299" s="6">
        <v>2344598749</v>
      </c>
      <c r="H299">
        <v>65</v>
      </c>
      <c r="I299" t="s">
        <v>3016</v>
      </c>
    </row>
    <row r="300" spans="2:9" x14ac:dyDescent="0.25">
      <c r="B300">
        <v>66</v>
      </c>
      <c r="C300" t="s">
        <v>2094</v>
      </c>
      <c r="D300" t="s">
        <v>2093</v>
      </c>
      <c r="E300">
        <v>999999</v>
      </c>
      <c r="F300" s="6">
        <v>3700000000</v>
      </c>
      <c r="G300" s="6"/>
      <c r="H300">
        <v>66</v>
      </c>
      <c r="I300" t="s">
        <v>3017</v>
      </c>
    </row>
    <row r="301" spans="2:9" x14ac:dyDescent="0.25">
      <c r="B301">
        <v>67</v>
      </c>
      <c r="C301" t="s">
        <v>1833</v>
      </c>
      <c r="D301" t="s">
        <v>373</v>
      </c>
      <c r="E301">
        <v>999999</v>
      </c>
      <c r="F301" s="6">
        <v>2800000000</v>
      </c>
      <c r="G301" s="6"/>
      <c r="H301">
        <v>67</v>
      </c>
      <c r="I301" t="s">
        <v>3018</v>
      </c>
    </row>
    <row r="302" spans="2:9" x14ac:dyDescent="0.25">
      <c r="B302">
        <v>68</v>
      </c>
      <c r="C302" t="s">
        <v>3019</v>
      </c>
      <c r="D302" t="s">
        <v>2473</v>
      </c>
      <c r="E302">
        <v>999999</v>
      </c>
      <c r="F302" s="6">
        <v>1200000000</v>
      </c>
      <c r="G302" s="6">
        <v>1520000999</v>
      </c>
      <c r="H302">
        <v>68</v>
      </c>
      <c r="I302" t="s">
        <v>3020</v>
      </c>
    </row>
    <row r="303" spans="2:9" x14ac:dyDescent="0.25">
      <c r="B303">
        <v>69</v>
      </c>
      <c r="C303" t="s">
        <v>1838</v>
      </c>
      <c r="D303" t="s">
        <v>1233</v>
      </c>
      <c r="E303">
        <v>999999</v>
      </c>
      <c r="F303" s="6">
        <v>5800000000</v>
      </c>
      <c r="G303" s="6">
        <v>8319999999</v>
      </c>
      <c r="H303">
        <v>69</v>
      </c>
      <c r="I303" t="s">
        <v>3021</v>
      </c>
    </row>
    <row r="304" spans="2:9" x14ac:dyDescent="0.25">
      <c r="B304">
        <v>70</v>
      </c>
      <c r="C304" t="s">
        <v>3022</v>
      </c>
      <c r="D304" t="s">
        <v>3023</v>
      </c>
      <c r="E304">
        <v>999999</v>
      </c>
      <c r="F304" s="6">
        <v>1000000000</v>
      </c>
      <c r="G304" s="6">
        <v>1500111111</v>
      </c>
      <c r="H304">
        <v>70</v>
      </c>
      <c r="I304" t="s">
        <v>3024</v>
      </c>
    </row>
    <row r="305" spans="2:9" x14ac:dyDescent="0.25">
      <c r="B305">
        <v>71</v>
      </c>
      <c r="C305" t="s">
        <v>1843</v>
      </c>
      <c r="D305" t="s">
        <v>635</v>
      </c>
      <c r="E305">
        <v>999999</v>
      </c>
      <c r="F305" s="6">
        <v>4100000000</v>
      </c>
      <c r="G305" s="6"/>
      <c r="H305">
        <v>71</v>
      </c>
      <c r="I305" t="s">
        <v>3025</v>
      </c>
    </row>
    <row r="306" spans="2:9" x14ac:dyDescent="0.25">
      <c r="B306">
        <v>72</v>
      </c>
      <c r="C306" t="s">
        <v>3026</v>
      </c>
      <c r="D306" t="s">
        <v>3027</v>
      </c>
      <c r="E306">
        <v>999999</v>
      </c>
      <c r="F306" s="6">
        <v>2800000000</v>
      </c>
      <c r="G306" s="6">
        <v>3288888888</v>
      </c>
      <c r="H306">
        <v>72</v>
      </c>
      <c r="I306" t="s">
        <v>3028</v>
      </c>
    </row>
    <row r="307" spans="2:9" x14ac:dyDescent="0.25">
      <c r="B307">
        <v>73</v>
      </c>
      <c r="C307" t="s">
        <v>2779</v>
      </c>
      <c r="D307" t="s">
        <v>2473</v>
      </c>
      <c r="E307">
        <v>999999</v>
      </c>
      <c r="F307" s="6">
        <v>1200000000</v>
      </c>
      <c r="G307" s="6">
        <v>2738000000</v>
      </c>
      <c r="H307">
        <v>73</v>
      </c>
      <c r="I307" t="s">
        <v>3029</v>
      </c>
    </row>
    <row r="308" spans="2:9" x14ac:dyDescent="0.25">
      <c r="B308">
        <v>74</v>
      </c>
      <c r="C308" t="s">
        <v>3030</v>
      </c>
      <c r="D308" t="s">
        <v>3031</v>
      </c>
      <c r="E308">
        <v>999999</v>
      </c>
      <c r="F308" s="6">
        <v>1800000000</v>
      </c>
      <c r="G308" s="6">
        <v>2868999999</v>
      </c>
      <c r="H308">
        <v>74</v>
      </c>
      <c r="I308" t="s">
        <v>3032</v>
      </c>
    </row>
    <row r="309" spans="2:9" x14ac:dyDescent="0.25">
      <c r="B309">
        <v>75</v>
      </c>
      <c r="C309" t="s">
        <v>2784</v>
      </c>
      <c r="D309" t="s">
        <v>147</v>
      </c>
      <c r="E309">
        <v>999999</v>
      </c>
      <c r="F309" s="6">
        <v>1100000000</v>
      </c>
      <c r="G309" s="6">
        <v>1949100000</v>
      </c>
      <c r="H309">
        <v>75</v>
      </c>
      <c r="I309" t="s">
        <v>3033</v>
      </c>
    </row>
    <row r="310" spans="2:9" x14ac:dyDescent="0.25">
      <c r="B310">
        <v>76</v>
      </c>
      <c r="C310" t="s">
        <v>3034</v>
      </c>
      <c r="D310" t="s">
        <v>456</v>
      </c>
      <c r="E310">
        <v>999999</v>
      </c>
      <c r="F310" s="6">
        <v>2300000000</v>
      </c>
      <c r="G310" s="6">
        <v>3982000000</v>
      </c>
      <c r="H310">
        <v>76</v>
      </c>
      <c r="I310" t="s">
        <v>3035</v>
      </c>
    </row>
    <row r="311" spans="2:9" x14ac:dyDescent="0.25">
      <c r="B311">
        <v>77</v>
      </c>
      <c r="C311" t="s">
        <v>2789</v>
      </c>
      <c r="D311" t="s">
        <v>743</v>
      </c>
      <c r="E311">
        <v>999999</v>
      </c>
      <c r="F311" s="6">
        <v>8700000000</v>
      </c>
      <c r="G311" s="6">
        <v>11621234567</v>
      </c>
      <c r="H311">
        <v>77</v>
      </c>
      <c r="I311" t="s">
        <v>3036</v>
      </c>
    </row>
    <row r="312" spans="2:9" x14ac:dyDescent="0.25">
      <c r="B312">
        <v>78</v>
      </c>
      <c r="C312" t="s">
        <v>3037</v>
      </c>
      <c r="D312" t="s">
        <v>475</v>
      </c>
      <c r="E312">
        <v>999999</v>
      </c>
      <c r="F312" s="6">
        <v>2600000000</v>
      </c>
      <c r="G312" s="6">
        <v>3260000000</v>
      </c>
      <c r="H312">
        <v>78</v>
      </c>
      <c r="I312" t="s">
        <v>3038</v>
      </c>
    </row>
    <row r="313" spans="2:9" x14ac:dyDescent="0.25">
      <c r="B313">
        <v>79</v>
      </c>
      <c r="C313" t="s">
        <v>2794</v>
      </c>
      <c r="D313" t="s">
        <v>82</v>
      </c>
      <c r="E313">
        <v>999999</v>
      </c>
      <c r="F313" s="6">
        <v>2700000000</v>
      </c>
      <c r="G313" s="6">
        <v>3820000000</v>
      </c>
      <c r="H313">
        <v>79</v>
      </c>
      <c r="I313" t="s">
        <v>3039</v>
      </c>
    </row>
    <row r="314" spans="2:9" x14ac:dyDescent="0.25">
      <c r="B314">
        <v>80</v>
      </c>
      <c r="C314" t="s">
        <v>2131</v>
      </c>
      <c r="D314" t="s">
        <v>1478</v>
      </c>
      <c r="E314">
        <v>999999</v>
      </c>
      <c r="F314" s="6">
        <v>2200000000</v>
      </c>
      <c r="G314" s="6"/>
      <c r="H314">
        <v>80</v>
      </c>
      <c r="I314" t="s">
        <v>3040</v>
      </c>
    </row>
    <row r="315" spans="2:9" x14ac:dyDescent="0.25">
      <c r="B315">
        <v>81</v>
      </c>
      <c r="C315" t="s">
        <v>2798</v>
      </c>
      <c r="D315" t="s">
        <v>447</v>
      </c>
      <c r="E315">
        <v>999999</v>
      </c>
      <c r="F315" s="6">
        <v>3400000000</v>
      </c>
      <c r="G315" s="6">
        <v>4432000111</v>
      </c>
      <c r="H315">
        <v>81</v>
      </c>
      <c r="I315" t="s">
        <v>3041</v>
      </c>
    </row>
    <row r="316" spans="2:9" x14ac:dyDescent="0.25">
      <c r="B316">
        <v>82</v>
      </c>
      <c r="C316" t="s">
        <v>2136</v>
      </c>
      <c r="D316" t="s">
        <v>382</v>
      </c>
      <c r="E316">
        <v>999999</v>
      </c>
      <c r="F316" s="6">
        <v>2400000000</v>
      </c>
      <c r="G316" s="6"/>
      <c r="H316">
        <v>82</v>
      </c>
      <c r="I316" t="s">
        <v>3042</v>
      </c>
    </row>
    <row r="317" spans="2:9" x14ac:dyDescent="0.25">
      <c r="B317">
        <v>83</v>
      </c>
      <c r="C317" t="s">
        <v>2802</v>
      </c>
      <c r="D317" t="s">
        <v>1386</v>
      </c>
      <c r="E317">
        <v>999999</v>
      </c>
      <c r="F317" s="6">
        <v>4600000000</v>
      </c>
      <c r="G317" s="6">
        <v>5108888888</v>
      </c>
      <c r="H317">
        <v>83</v>
      </c>
      <c r="I317" t="s">
        <v>3043</v>
      </c>
    </row>
    <row r="318" spans="2:9" x14ac:dyDescent="0.25">
      <c r="B318">
        <v>84</v>
      </c>
      <c r="C318" t="s">
        <v>2142</v>
      </c>
      <c r="D318" t="s">
        <v>2282</v>
      </c>
      <c r="E318">
        <v>999999</v>
      </c>
      <c r="F318" s="6">
        <v>5100000000</v>
      </c>
      <c r="G318" s="6">
        <v>5810000000</v>
      </c>
      <c r="H318">
        <v>84</v>
      </c>
      <c r="I318" t="s">
        <v>3044</v>
      </c>
    </row>
    <row r="319" spans="2:9" x14ac:dyDescent="0.25">
      <c r="B319">
        <v>85</v>
      </c>
      <c r="C319" t="s">
        <v>1881</v>
      </c>
      <c r="D319" t="s">
        <v>147</v>
      </c>
      <c r="E319">
        <v>999999</v>
      </c>
      <c r="F319" s="6">
        <v>950000000</v>
      </c>
      <c r="G319" s="6">
        <v>2230000000</v>
      </c>
      <c r="H319">
        <v>85</v>
      </c>
      <c r="I319" t="s">
        <v>3045</v>
      </c>
    </row>
    <row r="320" spans="2:9" x14ac:dyDescent="0.25">
      <c r="B320">
        <v>86</v>
      </c>
      <c r="C320" t="s">
        <v>3046</v>
      </c>
      <c r="D320" t="s">
        <v>3047</v>
      </c>
      <c r="E320">
        <v>999999</v>
      </c>
      <c r="F320" s="6">
        <v>3800000000</v>
      </c>
      <c r="G320" s="6">
        <v>3820000009</v>
      </c>
      <c r="H320">
        <v>86</v>
      </c>
      <c r="I320" t="s">
        <v>3048</v>
      </c>
    </row>
    <row r="321" spans="2:9" x14ac:dyDescent="0.25">
      <c r="B321">
        <v>87</v>
      </c>
      <c r="C321" t="s">
        <v>2808</v>
      </c>
      <c r="D321" t="s">
        <v>155</v>
      </c>
      <c r="E321">
        <v>999999</v>
      </c>
      <c r="F321" s="6">
        <v>1700000000</v>
      </c>
      <c r="G321" s="6">
        <v>2306666666</v>
      </c>
      <c r="H321">
        <v>87</v>
      </c>
      <c r="I321" t="s">
        <v>3049</v>
      </c>
    </row>
    <row r="322" spans="2:9" x14ac:dyDescent="0.25">
      <c r="B322">
        <v>88</v>
      </c>
      <c r="C322" t="s">
        <v>2153</v>
      </c>
      <c r="D322" t="s">
        <v>2152</v>
      </c>
      <c r="E322">
        <v>999999</v>
      </c>
      <c r="F322" s="6">
        <v>2700000000</v>
      </c>
      <c r="G322" s="6"/>
      <c r="H322">
        <v>88</v>
      </c>
      <c r="I322" t="s">
        <v>3050</v>
      </c>
    </row>
    <row r="323" spans="2:9" x14ac:dyDescent="0.25">
      <c r="B323">
        <v>89</v>
      </c>
      <c r="C323" t="s">
        <v>2812</v>
      </c>
      <c r="D323" t="s">
        <v>762</v>
      </c>
      <c r="E323">
        <v>999999</v>
      </c>
      <c r="F323" s="6">
        <v>2900000000</v>
      </c>
      <c r="G323" s="6">
        <v>3510000000</v>
      </c>
      <c r="H323">
        <v>89</v>
      </c>
      <c r="I323" t="s">
        <v>3051</v>
      </c>
    </row>
    <row r="324" spans="2:9" x14ac:dyDescent="0.25">
      <c r="B324">
        <v>90</v>
      </c>
      <c r="C324" t="s">
        <v>2158</v>
      </c>
      <c r="D324" t="s">
        <v>770</v>
      </c>
      <c r="E324">
        <v>999999</v>
      </c>
      <c r="F324" s="6">
        <v>2500000000</v>
      </c>
      <c r="G324" s="6">
        <v>3781800008</v>
      </c>
      <c r="H324">
        <v>90</v>
      </c>
      <c r="I324" t="s">
        <v>3052</v>
      </c>
    </row>
    <row r="325" spans="2:9" x14ac:dyDescent="0.25">
      <c r="B325">
        <v>91</v>
      </c>
      <c r="C325" t="s">
        <v>1896</v>
      </c>
      <c r="D325" t="s">
        <v>958</v>
      </c>
      <c r="E325">
        <v>999999</v>
      </c>
      <c r="F325" s="6">
        <v>3900000000</v>
      </c>
      <c r="G325" s="6">
        <v>3949999999</v>
      </c>
      <c r="H325">
        <v>91</v>
      </c>
      <c r="I325" t="s">
        <v>3053</v>
      </c>
    </row>
    <row r="326" spans="2:9" x14ac:dyDescent="0.25">
      <c r="B326">
        <v>92</v>
      </c>
      <c r="C326" t="s">
        <v>3054</v>
      </c>
      <c r="D326" t="s">
        <v>3055</v>
      </c>
      <c r="E326">
        <v>999999</v>
      </c>
      <c r="F326" s="6">
        <v>1700000000</v>
      </c>
      <c r="G326" s="6">
        <v>2380000099</v>
      </c>
      <c r="H326">
        <v>92</v>
      </c>
      <c r="I326" t="s">
        <v>3056</v>
      </c>
    </row>
    <row r="327" spans="2:9" x14ac:dyDescent="0.25">
      <c r="B327">
        <v>93</v>
      </c>
      <c r="C327" t="s">
        <v>2817</v>
      </c>
      <c r="D327" t="s">
        <v>2453</v>
      </c>
      <c r="E327">
        <v>999999</v>
      </c>
      <c r="F327" s="6">
        <v>2100000000</v>
      </c>
      <c r="G327" s="6">
        <v>2870000000</v>
      </c>
      <c r="H327">
        <v>93</v>
      </c>
      <c r="I327" t="s">
        <v>3057</v>
      </c>
    </row>
    <row r="328" spans="2:9" x14ac:dyDescent="0.25">
      <c r="B328">
        <v>94</v>
      </c>
      <c r="C328" t="s">
        <v>3058</v>
      </c>
      <c r="D328" t="s">
        <v>3059</v>
      </c>
      <c r="E328">
        <v>999999</v>
      </c>
      <c r="F328" s="6">
        <v>900000000</v>
      </c>
      <c r="G328" s="6">
        <v>2305000000</v>
      </c>
      <c r="H328">
        <v>94</v>
      </c>
      <c r="I328" t="s">
        <v>3060</v>
      </c>
    </row>
    <row r="329" spans="2:9" x14ac:dyDescent="0.25">
      <c r="B329">
        <v>95</v>
      </c>
      <c r="C329" t="s">
        <v>2821</v>
      </c>
      <c r="D329" t="s">
        <v>82</v>
      </c>
      <c r="E329">
        <v>999999</v>
      </c>
      <c r="F329" s="6">
        <v>3000000000</v>
      </c>
      <c r="G329" s="6">
        <v>4120000000</v>
      </c>
      <c r="H329">
        <v>95</v>
      </c>
      <c r="I329" t="s">
        <v>3061</v>
      </c>
    </row>
    <row r="330" spans="2:9" x14ac:dyDescent="0.25">
      <c r="B330">
        <v>96</v>
      </c>
      <c r="C330" t="s">
        <v>2175</v>
      </c>
      <c r="D330" t="s">
        <v>2174</v>
      </c>
      <c r="E330">
        <v>999999</v>
      </c>
      <c r="F330" s="6">
        <v>2700000000</v>
      </c>
      <c r="G330" s="6"/>
      <c r="H330">
        <v>96</v>
      </c>
      <c r="I330" t="s">
        <v>3062</v>
      </c>
    </row>
    <row r="331" spans="2:9" x14ac:dyDescent="0.25">
      <c r="B331">
        <v>97</v>
      </c>
      <c r="C331" t="s">
        <v>1911</v>
      </c>
      <c r="D331" t="s">
        <v>773</v>
      </c>
      <c r="E331">
        <v>999999</v>
      </c>
      <c r="F331" s="6">
        <v>2500000000</v>
      </c>
      <c r="G331" s="6">
        <v>3000000000</v>
      </c>
      <c r="H331">
        <v>97</v>
      </c>
      <c r="I331" t="s">
        <v>3063</v>
      </c>
    </row>
    <row r="332" spans="2:9" x14ac:dyDescent="0.25">
      <c r="B332">
        <v>98</v>
      </c>
      <c r="C332" t="s">
        <v>3064</v>
      </c>
      <c r="D332" t="s">
        <v>3055</v>
      </c>
      <c r="E332">
        <v>999999</v>
      </c>
      <c r="F332" s="6">
        <v>1650000000</v>
      </c>
      <c r="G332" s="6">
        <v>2450009999</v>
      </c>
      <c r="H332">
        <v>98</v>
      </c>
      <c r="I332" t="s">
        <v>3065</v>
      </c>
    </row>
    <row r="333" spans="2:9" x14ac:dyDescent="0.25">
      <c r="B333">
        <v>99</v>
      </c>
      <c r="C333" t="s">
        <v>1916</v>
      </c>
      <c r="D333" t="s">
        <v>967</v>
      </c>
      <c r="E333">
        <v>999999</v>
      </c>
      <c r="F333" s="6">
        <v>2900000000</v>
      </c>
      <c r="G333" s="6"/>
      <c r="H333">
        <v>99</v>
      </c>
      <c r="I333" t="s">
        <v>3066</v>
      </c>
    </row>
    <row r="334" spans="2:9" x14ac:dyDescent="0.25">
      <c r="B334">
        <v>100</v>
      </c>
      <c r="C334" t="s">
        <v>3067</v>
      </c>
      <c r="D334" t="s">
        <v>3068</v>
      </c>
      <c r="E334">
        <v>999999</v>
      </c>
      <c r="F334" s="6">
        <v>1500000000</v>
      </c>
      <c r="G334" s="6">
        <v>2613000000</v>
      </c>
      <c r="H334">
        <v>100</v>
      </c>
      <c r="I334" t="s">
        <v>3069</v>
      </c>
    </row>
    <row r="335" spans="2:9" x14ac:dyDescent="0.25">
      <c r="B335" t="s">
        <v>800</v>
      </c>
      <c r="C335" t="s">
        <v>801</v>
      </c>
      <c r="D335" t="s">
        <v>802</v>
      </c>
      <c r="E335" t="s">
        <v>803</v>
      </c>
      <c r="F335" s="6" t="s">
        <v>804</v>
      </c>
      <c r="G335" s="6" t="s">
        <v>805</v>
      </c>
      <c r="H335" t="s">
        <v>806</v>
      </c>
    </row>
    <row r="336" spans="2:9" x14ac:dyDescent="0.25">
      <c r="B336">
        <v>101</v>
      </c>
      <c r="C336" t="s">
        <v>1099</v>
      </c>
      <c r="D336" t="s">
        <v>1098</v>
      </c>
      <c r="E336">
        <v>999999</v>
      </c>
      <c r="F336" s="6">
        <v>1900000000</v>
      </c>
      <c r="G336" s="6">
        <v>3651699999</v>
      </c>
      <c r="H336">
        <v>101</v>
      </c>
      <c r="I336" t="s">
        <v>3070</v>
      </c>
    </row>
    <row r="337" spans="2:9" x14ac:dyDescent="0.25">
      <c r="B337">
        <v>102</v>
      </c>
      <c r="C337" t="s">
        <v>2543</v>
      </c>
      <c r="D337" t="s">
        <v>453</v>
      </c>
      <c r="E337">
        <v>999999</v>
      </c>
      <c r="F337" s="6">
        <v>3000000000</v>
      </c>
      <c r="G337" s="6">
        <v>3333333333</v>
      </c>
      <c r="H337">
        <v>102</v>
      </c>
      <c r="I337" t="s">
        <v>3071</v>
      </c>
    </row>
    <row r="338" spans="2:9" x14ac:dyDescent="0.25">
      <c r="B338">
        <v>103</v>
      </c>
      <c r="C338" t="s">
        <v>2437</v>
      </c>
      <c r="D338" t="s">
        <v>456</v>
      </c>
      <c r="E338">
        <v>999999</v>
      </c>
      <c r="F338" s="6">
        <v>3100000000</v>
      </c>
      <c r="G338" s="6">
        <v>3164500000</v>
      </c>
      <c r="H338">
        <v>103</v>
      </c>
      <c r="I338" t="s">
        <v>3072</v>
      </c>
    </row>
    <row r="339" spans="2:9" x14ac:dyDescent="0.25">
      <c r="B339">
        <v>104</v>
      </c>
      <c r="C339" t="s">
        <v>2548</v>
      </c>
      <c r="D339" t="s">
        <v>2547</v>
      </c>
      <c r="E339">
        <v>999999</v>
      </c>
      <c r="F339" s="6">
        <v>2900000000</v>
      </c>
      <c r="G339" s="6">
        <v>2942222222</v>
      </c>
      <c r="H339">
        <v>104</v>
      </c>
      <c r="I339" t="s">
        <v>3073</v>
      </c>
    </row>
    <row r="340" spans="2:9" x14ac:dyDescent="0.25">
      <c r="B340">
        <v>105</v>
      </c>
      <c r="C340" t="s">
        <v>2443</v>
      </c>
      <c r="D340" t="s">
        <v>2442</v>
      </c>
      <c r="E340">
        <v>999999</v>
      </c>
      <c r="F340" s="6">
        <v>2700000000</v>
      </c>
      <c r="G340" s="6">
        <v>4555000000</v>
      </c>
      <c r="H340">
        <v>105</v>
      </c>
      <c r="I340" t="s">
        <v>3074</v>
      </c>
    </row>
    <row r="341" spans="2:9" x14ac:dyDescent="0.25">
      <c r="B341">
        <v>106</v>
      </c>
      <c r="C341" t="s">
        <v>1398</v>
      </c>
      <c r="D341" t="s">
        <v>764</v>
      </c>
      <c r="E341">
        <v>999999</v>
      </c>
      <c r="F341" s="6">
        <v>5100000000</v>
      </c>
      <c r="G341" s="6"/>
      <c r="H341">
        <v>106</v>
      </c>
      <c r="I341" t="s">
        <v>3075</v>
      </c>
    </row>
    <row r="342" spans="2:9" x14ac:dyDescent="0.25">
      <c r="B342">
        <v>107</v>
      </c>
      <c r="C342" t="s">
        <v>2448</v>
      </c>
      <c r="D342" t="s">
        <v>116</v>
      </c>
      <c r="E342">
        <v>999999</v>
      </c>
      <c r="F342" s="6">
        <v>1900000000</v>
      </c>
      <c r="G342" s="6">
        <v>3059999999</v>
      </c>
      <c r="H342">
        <v>107</v>
      </c>
      <c r="I342" t="s">
        <v>3076</v>
      </c>
    </row>
    <row r="343" spans="2:9" x14ac:dyDescent="0.25">
      <c r="B343">
        <v>108</v>
      </c>
      <c r="C343" t="s">
        <v>1403</v>
      </c>
      <c r="D343" t="s">
        <v>389</v>
      </c>
      <c r="E343">
        <v>999999</v>
      </c>
      <c r="F343" s="6">
        <v>2600000000</v>
      </c>
      <c r="G343" s="6"/>
      <c r="H343">
        <v>108</v>
      </c>
      <c r="I343" t="s">
        <v>3077</v>
      </c>
    </row>
    <row r="344" spans="2:9" x14ac:dyDescent="0.25">
      <c r="B344">
        <v>109</v>
      </c>
      <c r="C344" t="s">
        <v>1121</v>
      </c>
      <c r="D344" t="s">
        <v>1098</v>
      </c>
      <c r="E344">
        <v>999999</v>
      </c>
      <c r="F344" s="6">
        <v>3000000000</v>
      </c>
      <c r="G344" s="6"/>
      <c r="H344">
        <v>109</v>
      </c>
      <c r="I344" t="s">
        <v>3078</v>
      </c>
    </row>
    <row r="345" spans="2:9" x14ac:dyDescent="0.25">
      <c r="B345">
        <v>110</v>
      </c>
      <c r="C345" t="s">
        <v>1408</v>
      </c>
      <c r="D345" t="s">
        <v>382</v>
      </c>
      <c r="E345">
        <v>999999</v>
      </c>
      <c r="F345" s="6">
        <v>2600000000</v>
      </c>
      <c r="G345" s="6"/>
      <c r="H345">
        <v>110</v>
      </c>
      <c r="I345" t="s">
        <v>3079</v>
      </c>
    </row>
    <row r="346" spans="2:9" x14ac:dyDescent="0.25">
      <c r="B346">
        <v>111</v>
      </c>
      <c r="C346" t="s">
        <v>2454</v>
      </c>
      <c r="D346" t="s">
        <v>2453</v>
      </c>
      <c r="E346">
        <v>999999</v>
      </c>
      <c r="F346" s="6">
        <v>2100000000</v>
      </c>
      <c r="G346" s="6">
        <v>2515000000</v>
      </c>
      <c r="H346">
        <v>111</v>
      </c>
      <c r="I346" t="s">
        <v>3080</v>
      </c>
    </row>
    <row r="347" spans="2:9" x14ac:dyDescent="0.25">
      <c r="B347">
        <v>112</v>
      </c>
      <c r="C347" t="s">
        <v>2556</v>
      </c>
      <c r="D347" t="s">
        <v>82</v>
      </c>
      <c r="E347">
        <v>999999</v>
      </c>
      <c r="F347" s="6">
        <v>3400000000</v>
      </c>
      <c r="G347" s="6">
        <v>4500000050</v>
      </c>
      <c r="H347">
        <v>112</v>
      </c>
      <c r="I347" t="s">
        <v>3081</v>
      </c>
    </row>
    <row r="348" spans="2:9" x14ac:dyDescent="0.25">
      <c r="B348">
        <v>113</v>
      </c>
      <c r="C348" t="s">
        <v>2459</v>
      </c>
      <c r="D348" t="s">
        <v>397</v>
      </c>
      <c r="E348">
        <v>999999</v>
      </c>
      <c r="F348" s="6">
        <v>2800000000</v>
      </c>
      <c r="G348" s="6">
        <v>3119999999</v>
      </c>
      <c r="H348">
        <v>113</v>
      </c>
      <c r="I348" t="s">
        <v>3082</v>
      </c>
    </row>
    <row r="349" spans="2:9" x14ac:dyDescent="0.25">
      <c r="B349">
        <v>114</v>
      </c>
      <c r="C349" t="s">
        <v>1418</v>
      </c>
      <c r="D349" t="s">
        <v>810</v>
      </c>
      <c r="E349">
        <v>999999</v>
      </c>
      <c r="F349" s="6">
        <v>3500000000</v>
      </c>
      <c r="G349" s="6">
        <v>5258000999</v>
      </c>
      <c r="H349">
        <v>114</v>
      </c>
      <c r="I349" t="s">
        <v>3083</v>
      </c>
    </row>
    <row r="350" spans="2:9" x14ac:dyDescent="0.25">
      <c r="B350">
        <v>115</v>
      </c>
      <c r="C350" t="s">
        <v>2464</v>
      </c>
      <c r="D350" t="s">
        <v>127</v>
      </c>
      <c r="E350">
        <v>999999</v>
      </c>
      <c r="F350" s="6">
        <v>3100000000</v>
      </c>
      <c r="G350" s="6">
        <v>3102999999</v>
      </c>
      <c r="H350">
        <v>115</v>
      </c>
      <c r="I350" t="s">
        <v>3084</v>
      </c>
    </row>
    <row r="351" spans="2:9" x14ac:dyDescent="0.25">
      <c r="B351">
        <v>116</v>
      </c>
      <c r="C351" t="s">
        <v>2560</v>
      </c>
      <c r="D351" t="s">
        <v>917</v>
      </c>
      <c r="E351">
        <v>999999</v>
      </c>
      <c r="F351" s="6">
        <v>2900000000</v>
      </c>
      <c r="G351" s="6">
        <v>2900000001</v>
      </c>
      <c r="H351">
        <v>116</v>
      </c>
      <c r="I351" t="s">
        <v>3085</v>
      </c>
    </row>
    <row r="352" spans="2:9" x14ac:dyDescent="0.25">
      <c r="B352">
        <v>117</v>
      </c>
      <c r="C352" t="s">
        <v>2468</v>
      </c>
      <c r="D352" t="s">
        <v>413</v>
      </c>
      <c r="E352">
        <v>999999</v>
      </c>
      <c r="F352" s="6">
        <v>1900000000</v>
      </c>
      <c r="G352" s="6">
        <v>3323254500</v>
      </c>
      <c r="H352">
        <v>117</v>
      </c>
      <c r="I352" t="s">
        <v>3086</v>
      </c>
    </row>
    <row r="353" spans="2:9" x14ac:dyDescent="0.25">
      <c r="B353">
        <v>118</v>
      </c>
      <c r="C353" t="s">
        <v>2565</v>
      </c>
      <c r="D353" t="s">
        <v>155</v>
      </c>
      <c r="E353">
        <v>999999</v>
      </c>
      <c r="F353" s="6">
        <v>2500000000</v>
      </c>
      <c r="G353" s="6">
        <v>3400099000</v>
      </c>
      <c r="H353">
        <v>118</v>
      </c>
      <c r="I353" t="s">
        <v>3087</v>
      </c>
    </row>
    <row r="354" spans="2:9" x14ac:dyDescent="0.25">
      <c r="B354">
        <v>119</v>
      </c>
      <c r="C354" t="s">
        <v>2474</v>
      </c>
      <c r="D354" t="s">
        <v>2473</v>
      </c>
      <c r="E354">
        <v>999999</v>
      </c>
      <c r="F354" s="6">
        <v>1100000000</v>
      </c>
      <c r="G354" s="6">
        <v>2100000000</v>
      </c>
      <c r="H354">
        <v>119</v>
      </c>
      <c r="I354" t="s">
        <v>3088</v>
      </c>
    </row>
    <row r="355" spans="2:9" x14ac:dyDescent="0.25">
      <c r="B355">
        <v>120</v>
      </c>
      <c r="C355" t="s">
        <v>1436</v>
      </c>
      <c r="D355" t="s">
        <v>1098</v>
      </c>
      <c r="E355">
        <v>999999</v>
      </c>
      <c r="F355" s="6">
        <v>2200000000</v>
      </c>
      <c r="G355" s="6"/>
      <c r="H355">
        <v>120</v>
      </c>
      <c r="I355" t="s">
        <v>3089</v>
      </c>
    </row>
    <row r="356" spans="2:9" x14ac:dyDescent="0.25">
      <c r="B356">
        <v>121</v>
      </c>
      <c r="C356" t="s">
        <v>2480</v>
      </c>
      <c r="D356" t="s">
        <v>967</v>
      </c>
      <c r="E356">
        <v>999999</v>
      </c>
      <c r="F356" s="6">
        <v>1800000000</v>
      </c>
      <c r="G356" s="6">
        <v>2456666666</v>
      </c>
      <c r="H356">
        <v>121</v>
      </c>
      <c r="I356" t="s">
        <v>3090</v>
      </c>
    </row>
    <row r="357" spans="2:9" x14ac:dyDescent="0.25">
      <c r="B357">
        <v>122</v>
      </c>
      <c r="C357" t="s">
        <v>2569</v>
      </c>
      <c r="D357" t="s">
        <v>155</v>
      </c>
      <c r="E357">
        <v>999999</v>
      </c>
      <c r="F357" s="6">
        <v>2400000000</v>
      </c>
      <c r="G357" s="6">
        <v>3355600000</v>
      </c>
      <c r="H357">
        <v>122</v>
      </c>
      <c r="I357" t="s">
        <v>3091</v>
      </c>
    </row>
    <row r="358" spans="2:9" x14ac:dyDescent="0.25">
      <c r="B358">
        <v>123</v>
      </c>
      <c r="C358" t="s">
        <v>2485</v>
      </c>
      <c r="D358" t="s">
        <v>467</v>
      </c>
      <c r="E358">
        <v>999999</v>
      </c>
      <c r="F358" s="6">
        <v>3800000000</v>
      </c>
      <c r="G358" s="6">
        <v>5610099999</v>
      </c>
      <c r="H358">
        <v>123</v>
      </c>
      <c r="I358" t="s">
        <v>3092</v>
      </c>
    </row>
    <row r="359" spans="2:9" x14ac:dyDescent="0.25">
      <c r="B359">
        <v>124</v>
      </c>
      <c r="C359" t="s">
        <v>2573</v>
      </c>
      <c r="D359" t="s">
        <v>1386</v>
      </c>
      <c r="E359">
        <v>999999</v>
      </c>
      <c r="F359" s="6">
        <v>3500000000</v>
      </c>
      <c r="G359" s="6">
        <v>4960000000</v>
      </c>
      <c r="H359">
        <v>124</v>
      </c>
      <c r="I359" t="s">
        <v>3093</v>
      </c>
    </row>
    <row r="360" spans="2:9" x14ac:dyDescent="0.25">
      <c r="B360">
        <v>125</v>
      </c>
      <c r="C360" t="s">
        <v>2490</v>
      </c>
      <c r="D360" t="s">
        <v>958</v>
      </c>
      <c r="E360">
        <v>999999</v>
      </c>
      <c r="F360" s="6">
        <v>3000000000</v>
      </c>
      <c r="G360" s="6">
        <v>4866999999</v>
      </c>
      <c r="H360">
        <v>125</v>
      </c>
      <c r="I360" t="s">
        <v>3094</v>
      </c>
    </row>
    <row r="361" spans="2:9" x14ac:dyDescent="0.25">
      <c r="B361">
        <v>126</v>
      </c>
      <c r="C361" t="s">
        <v>2578</v>
      </c>
      <c r="D361" t="s">
        <v>82</v>
      </c>
      <c r="E361">
        <v>999999</v>
      </c>
      <c r="F361" s="6">
        <v>3000000000</v>
      </c>
      <c r="G361" s="6">
        <v>3680000000</v>
      </c>
      <c r="H361">
        <v>126</v>
      </c>
      <c r="I361" t="s">
        <v>3095</v>
      </c>
    </row>
    <row r="362" spans="2:9" x14ac:dyDescent="0.25">
      <c r="B362">
        <v>127</v>
      </c>
      <c r="C362" t="s">
        <v>2495</v>
      </c>
      <c r="D362" t="s">
        <v>82</v>
      </c>
      <c r="E362">
        <v>999999</v>
      </c>
      <c r="F362" s="6">
        <v>3000000000</v>
      </c>
      <c r="G362" s="6">
        <v>3480088888</v>
      </c>
      <c r="H362">
        <v>127</v>
      </c>
      <c r="I362" t="s">
        <v>3096</v>
      </c>
    </row>
    <row r="363" spans="2:9" x14ac:dyDescent="0.25">
      <c r="B363">
        <v>128</v>
      </c>
      <c r="C363" t="s">
        <v>2583</v>
      </c>
      <c r="D363" t="s">
        <v>2582</v>
      </c>
      <c r="E363">
        <v>999999</v>
      </c>
      <c r="F363" s="6">
        <v>2800000000</v>
      </c>
      <c r="G363" s="6">
        <v>3881800008</v>
      </c>
      <c r="H363">
        <v>128</v>
      </c>
      <c r="I363" t="s">
        <v>3097</v>
      </c>
    </row>
    <row r="364" spans="2:9" x14ac:dyDescent="0.25">
      <c r="B364">
        <v>129</v>
      </c>
      <c r="C364" t="s">
        <v>2499</v>
      </c>
      <c r="D364" t="s">
        <v>467</v>
      </c>
      <c r="E364">
        <v>999999</v>
      </c>
      <c r="F364" s="6">
        <v>2500000000</v>
      </c>
      <c r="G364" s="6">
        <v>3620000000</v>
      </c>
      <c r="H364">
        <v>129</v>
      </c>
      <c r="I364" t="s">
        <v>3098</v>
      </c>
    </row>
    <row r="365" spans="2:9" x14ac:dyDescent="0.25">
      <c r="B365">
        <v>130</v>
      </c>
      <c r="C365" t="s">
        <v>2588</v>
      </c>
      <c r="D365" t="s">
        <v>459</v>
      </c>
      <c r="E365">
        <v>999999</v>
      </c>
      <c r="F365" s="6">
        <v>3200000000</v>
      </c>
      <c r="G365" s="6">
        <v>4120000000</v>
      </c>
      <c r="H365">
        <v>130</v>
      </c>
      <c r="I365" t="s">
        <v>3099</v>
      </c>
    </row>
    <row r="366" spans="2:9" x14ac:dyDescent="0.25">
      <c r="B366">
        <v>131</v>
      </c>
      <c r="C366" t="s">
        <v>2504</v>
      </c>
      <c r="D366" t="s">
        <v>2503</v>
      </c>
      <c r="E366">
        <v>999999</v>
      </c>
      <c r="F366" s="6">
        <v>1400000000</v>
      </c>
      <c r="G366" s="6">
        <v>3499999990</v>
      </c>
      <c r="H366">
        <v>131</v>
      </c>
      <c r="I366" t="s">
        <v>3100</v>
      </c>
    </row>
    <row r="367" spans="2:9" x14ac:dyDescent="0.25">
      <c r="B367">
        <v>132</v>
      </c>
      <c r="C367" t="s">
        <v>2594</v>
      </c>
      <c r="D367" t="s">
        <v>2593</v>
      </c>
      <c r="E367">
        <v>999999</v>
      </c>
      <c r="F367" s="6">
        <v>2700000000</v>
      </c>
      <c r="G367" s="6">
        <v>3722222222</v>
      </c>
      <c r="H367">
        <v>132</v>
      </c>
      <c r="I367" t="s">
        <v>3101</v>
      </c>
    </row>
    <row r="368" spans="2:9" x14ac:dyDescent="0.25">
      <c r="B368">
        <v>133</v>
      </c>
      <c r="C368" t="s">
        <v>2509</v>
      </c>
      <c r="D368" t="s">
        <v>1062</v>
      </c>
      <c r="E368">
        <v>999999</v>
      </c>
      <c r="F368" s="6">
        <v>2300000000</v>
      </c>
      <c r="G368" s="6">
        <v>3055555555</v>
      </c>
      <c r="H368">
        <v>133</v>
      </c>
      <c r="I368" t="s">
        <v>3102</v>
      </c>
    </row>
    <row r="369" spans="2:9" x14ac:dyDescent="0.25">
      <c r="B369">
        <v>134</v>
      </c>
      <c r="C369" t="s">
        <v>2600</v>
      </c>
      <c r="D369" t="s">
        <v>3055</v>
      </c>
      <c r="E369">
        <v>999999</v>
      </c>
      <c r="F369" s="6">
        <v>2100000000</v>
      </c>
      <c r="G369" s="6">
        <v>3080009999</v>
      </c>
      <c r="H369">
        <v>136</v>
      </c>
      <c r="I369" t="s">
        <v>3103</v>
      </c>
    </row>
    <row r="370" spans="2:9" x14ac:dyDescent="0.25">
      <c r="B370">
        <v>135</v>
      </c>
      <c r="C370" t="s">
        <v>2515</v>
      </c>
      <c r="D370" t="s">
        <v>2514</v>
      </c>
      <c r="E370">
        <v>999999</v>
      </c>
      <c r="F370" s="6">
        <v>3000000000</v>
      </c>
      <c r="G370" s="6">
        <v>5022150000</v>
      </c>
      <c r="H370">
        <v>137</v>
      </c>
      <c r="I370" t="s">
        <v>3104</v>
      </c>
    </row>
    <row r="371" spans="2:9" x14ac:dyDescent="0.25">
      <c r="B371">
        <v>136</v>
      </c>
      <c r="C371" t="s">
        <v>2605</v>
      </c>
      <c r="D371" t="s">
        <v>1131</v>
      </c>
      <c r="E371">
        <v>999999</v>
      </c>
      <c r="F371" s="6">
        <v>2400000000</v>
      </c>
      <c r="G371" s="6">
        <v>3269999999</v>
      </c>
      <c r="H371">
        <v>138</v>
      </c>
      <c r="I371" t="s">
        <v>3105</v>
      </c>
    </row>
    <row r="372" spans="2:9" x14ac:dyDescent="0.25">
      <c r="B372">
        <v>137</v>
      </c>
      <c r="C372" t="s">
        <v>2520</v>
      </c>
      <c r="D372" t="s">
        <v>413</v>
      </c>
      <c r="E372">
        <v>999999</v>
      </c>
      <c r="F372" s="6">
        <v>1700000000</v>
      </c>
      <c r="G372" s="6">
        <v>2386666666</v>
      </c>
      <c r="H372">
        <v>139</v>
      </c>
      <c r="I372" t="s">
        <v>3106</v>
      </c>
    </row>
    <row r="373" spans="2:9" x14ac:dyDescent="0.25">
      <c r="B373">
        <v>138</v>
      </c>
      <c r="C373" t="s">
        <v>2611</v>
      </c>
      <c r="D373" t="s">
        <v>3107</v>
      </c>
      <c r="E373">
        <v>999999</v>
      </c>
      <c r="F373" s="6">
        <v>4500000000</v>
      </c>
      <c r="G373" s="6">
        <v>4670000009</v>
      </c>
      <c r="H373">
        <v>140</v>
      </c>
      <c r="I373" t="s">
        <v>3108</v>
      </c>
    </row>
    <row r="374" spans="2:9" x14ac:dyDescent="0.25">
      <c r="B374">
        <v>139</v>
      </c>
      <c r="C374" t="s">
        <v>1212</v>
      </c>
      <c r="D374" t="s">
        <v>1211</v>
      </c>
      <c r="E374">
        <v>999999</v>
      </c>
      <c r="F374" s="6">
        <v>3600000000</v>
      </c>
      <c r="G374" s="6"/>
      <c r="H374">
        <v>141</v>
      </c>
      <c r="I374" t="s">
        <v>3109</v>
      </c>
    </row>
    <row r="375" spans="2:9" x14ac:dyDescent="0.25">
      <c r="B375">
        <v>140</v>
      </c>
      <c r="C375" t="s">
        <v>2616</v>
      </c>
      <c r="D375" t="s">
        <v>2473</v>
      </c>
      <c r="E375">
        <v>999999</v>
      </c>
      <c r="F375" s="6">
        <v>1100000000</v>
      </c>
      <c r="G375" s="6">
        <v>1250000001</v>
      </c>
      <c r="H375">
        <v>142</v>
      </c>
      <c r="I375" t="s">
        <v>3110</v>
      </c>
    </row>
    <row r="376" spans="2:9" x14ac:dyDescent="0.25">
      <c r="B376">
        <v>141</v>
      </c>
      <c r="C376" t="s">
        <v>2525</v>
      </c>
      <c r="D376" t="s">
        <v>1283</v>
      </c>
      <c r="E376">
        <v>999999</v>
      </c>
      <c r="F376" s="6">
        <v>1400000000</v>
      </c>
      <c r="G376" s="6">
        <v>3409528600</v>
      </c>
      <c r="H376">
        <v>143</v>
      </c>
      <c r="I376" t="s">
        <v>3111</v>
      </c>
    </row>
    <row r="377" spans="2:9" x14ac:dyDescent="0.25">
      <c r="B377">
        <v>142</v>
      </c>
      <c r="C377" t="s">
        <v>2620</v>
      </c>
      <c r="D377" t="s">
        <v>763</v>
      </c>
      <c r="E377">
        <v>999999</v>
      </c>
      <c r="F377" s="6">
        <v>1400000000</v>
      </c>
      <c r="G377" s="6">
        <v>2460000009</v>
      </c>
      <c r="H377">
        <v>144</v>
      </c>
      <c r="I377" t="s">
        <v>3112</v>
      </c>
    </row>
    <row r="378" spans="2:9" x14ac:dyDescent="0.25">
      <c r="B378">
        <v>143</v>
      </c>
      <c r="C378" t="s">
        <v>1223</v>
      </c>
      <c r="D378" t="s">
        <v>82</v>
      </c>
      <c r="E378">
        <v>999999</v>
      </c>
      <c r="F378" s="6">
        <v>2700000000</v>
      </c>
      <c r="G378" s="6">
        <v>4012000000</v>
      </c>
      <c r="H378">
        <v>145</v>
      </c>
      <c r="I378" t="s">
        <v>3113</v>
      </c>
    </row>
    <row r="379" spans="2:9" x14ac:dyDescent="0.25">
      <c r="B379">
        <v>144</v>
      </c>
      <c r="C379" t="s">
        <v>2624</v>
      </c>
      <c r="D379" t="s">
        <v>737</v>
      </c>
      <c r="E379">
        <v>999999</v>
      </c>
      <c r="F379" s="6">
        <v>2600000000</v>
      </c>
      <c r="G379" s="6">
        <v>4125000000</v>
      </c>
      <c r="H379">
        <v>146</v>
      </c>
      <c r="I379" t="s">
        <v>3114</v>
      </c>
    </row>
    <row r="380" spans="2:9" x14ac:dyDescent="0.25">
      <c r="B380">
        <v>145</v>
      </c>
      <c r="C380" t="s">
        <v>2530</v>
      </c>
      <c r="D380" t="s">
        <v>3115</v>
      </c>
      <c r="E380">
        <v>999999</v>
      </c>
      <c r="F380" s="6">
        <v>3500000000</v>
      </c>
      <c r="G380" s="6">
        <v>4348888800</v>
      </c>
      <c r="H380">
        <v>147</v>
      </c>
      <c r="I380" t="s">
        <v>3116</v>
      </c>
    </row>
    <row r="381" spans="2:9" x14ac:dyDescent="0.25">
      <c r="B381">
        <v>146</v>
      </c>
      <c r="C381" t="s">
        <v>1511</v>
      </c>
      <c r="D381" t="s">
        <v>382</v>
      </c>
      <c r="E381">
        <v>999999</v>
      </c>
      <c r="F381" s="6">
        <v>2500000000</v>
      </c>
      <c r="G381" s="6"/>
      <c r="H381">
        <v>148</v>
      </c>
      <c r="I381" t="s">
        <v>3117</v>
      </c>
    </row>
    <row r="382" spans="2:9" x14ac:dyDescent="0.25">
      <c r="B382">
        <v>147</v>
      </c>
      <c r="C382" t="s">
        <v>2535</v>
      </c>
      <c r="D382" t="s">
        <v>379</v>
      </c>
      <c r="E382">
        <v>999999</v>
      </c>
      <c r="F382" s="6">
        <v>2300000000</v>
      </c>
      <c r="G382" s="6">
        <v>3055000000</v>
      </c>
      <c r="H382">
        <v>149</v>
      </c>
      <c r="I382" t="s">
        <v>3118</v>
      </c>
    </row>
    <row r="383" spans="2:9" x14ac:dyDescent="0.25">
      <c r="B383">
        <v>148</v>
      </c>
      <c r="C383" t="s">
        <v>2629</v>
      </c>
      <c r="D383" t="s">
        <v>447</v>
      </c>
      <c r="E383">
        <v>999999</v>
      </c>
      <c r="F383" s="6">
        <v>3200000000</v>
      </c>
      <c r="G383" s="6">
        <v>4030000009</v>
      </c>
      <c r="H383">
        <v>150</v>
      </c>
      <c r="I383" t="s">
        <v>3119</v>
      </c>
    </row>
    <row r="384" spans="2:9" x14ac:dyDescent="0.25">
      <c r="B384">
        <v>149</v>
      </c>
      <c r="C384" t="s">
        <v>1241</v>
      </c>
      <c r="D384" t="s">
        <v>1240</v>
      </c>
      <c r="E384">
        <v>999999</v>
      </c>
      <c r="F384" s="6">
        <v>3100000000</v>
      </c>
      <c r="G384" s="6"/>
      <c r="H384">
        <v>151</v>
      </c>
      <c r="I384" t="s">
        <v>3120</v>
      </c>
    </row>
    <row r="385" spans="2:9" x14ac:dyDescent="0.25">
      <c r="B385">
        <v>150</v>
      </c>
      <c r="C385" t="s">
        <v>1521</v>
      </c>
      <c r="D385" t="s">
        <v>917</v>
      </c>
      <c r="E385">
        <v>999999</v>
      </c>
      <c r="F385" s="6">
        <v>2600000000</v>
      </c>
      <c r="G385" s="6"/>
      <c r="H385">
        <v>152</v>
      </c>
      <c r="I385" t="s">
        <v>3121</v>
      </c>
    </row>
    <row r="386" spans="2:9" x14ac:dyDescent="0.25">
      <c r="B386">
        <v>151</v>
      </c>
      <c r="C386" t="s">
        <v>1246</v>
      </c>
      <c r="D386" t="s">
        <v>810</v>
      </c>
      <c r="E386">
        <v>999999</v>
      </c>
      <c r="F386" s="6">
        <v>2800000000</v>
      </c>
      <c r="G386" s="6">
        <v>5388888000</v>
      </c>
      <c r="H386">
        <v>153</v>
      </c>
      <c r="I386" t="s">
        <v>3122</v>
      </c>
    </row>
    <row r="387" spans="2:9" x14ac:dyDescent="0.25">
      <c r="B387">
        <v>152</v>
      </c>
      <c r="C387" t="s">
        <v>1526</v>
      </c>
      <c r="D387" t="s">
        <v>1240</v>
      </c>
      <c r="E387">
        <v>999999</v>
      </c>
      <c r="F387" s="6">
        <v>2700000000</v>
      </c>
      <c r="G387" s="6"/>
      <c r="H387">
        <v>154</v>
      </c>
      <c r="I387" t="s">
        <v>3123</v>
      </c>
    </row>
    <row r="388" spans="2:9" x14ac:dyDescent="0.25">
      <c r="B388">
        <v>153</v>
      </c>
      <c r="C388" t="s">
        <v>1251</v>
      </c>
      <c r="D388" t="s">
        <v>389</v>
      </c>
      <c r="E388">
        <v>999999</v>
      </c>
      <c r="F388" s="6">
        <v>2500000000</v>
      </c>
      <c r="G388" s="6"/>
      <c r="H388">
        <v>155</v>
      </c>
      <c r="I388" t="s">
        <v>3124</v>
      </c>
    </row>
    <row r="389" spans="2:9" x14ac:dyDescent="0.25">
      <c r="B389">
        <v>154</v>
      </c>
      <c r="C389" t="s">
        <v>2633</v>
      </c>
      <c r="D389" t="s">
        <v>669</v>
      </c>
      <c r="E389">
        <v>999999</v>
      </c>
      <c r="F389" s="6">
        <v>2700000000</v>
      </c>
      <c r="G389" s="6">
        <v>3300000000</v>
      </c>
      <c r="H389">
        <v>156</v>
      </c>
      <c r="I389" t="s">
        <v>3125</v>
      </c>
    </row>
    <row r="390" spans="2:9" x14ac:dyDescent="0.25">
      <c r="B390">
        <v>155</v>
      </c>
      <c r="C390" t="s">
        <v>1256</v>
      </c>
      <c r="D390" t="s">
        <v>1098</v>
      </c>
      <c r="E390">
        <v>999999</v>
      </c>
      <c r="F390" s="6">
        <v>2500000000</v>
      </c>
      <c r="G390" s="6"/>
      <c r="H390">
        <v>157</v>
      </c>
      <c r="I390" t="s">
        <v>3126</v>
      </c>
    </row>
    <row r="391" spans="2:9" x14ac:dyDescent="0.25">
      <c r="B391">
        <v>156</v>
      </c>
      <c r="C391" t="s">
        <v>2638</v>
      </c>
      <c r="D391" t="s">
        <v>3055</v>
      </c>
      <c r="E391">
        <v>999999</v>
      </c>
      <c r="F391" s="6">
        <v>1300000000</v>
      </c>
      <c r="G391" s="6">
        <v>2240800999</v>
      </c>
      <c r="H391">
        <v>158</v>
      </c>
      <c r="I391" t="s">
        <v>3127</v>
      </c>
    </row>
    <row r="392" spans="2:9" x14ac:dyDescent="0.25">
      <c r="F392" s="6"/>
      <c r="G392" s="6"/>
    </row>
    <row r="393" spans="2:9" x14ac:dyDescent="0.25">
      <c r="F393" s="6"/>
      <c r="G393" s="6"/>
    </row>
    <row r="394" spans="2:9" x14ac:dyDescent="0.25">
      <c r="F394" s="6"/>
      <c r="G394" s="6"/>
    </row>
    <row r="395" spans="2:9" x14ac:dyDescent="0.25">
      <c r="F395" s="6"/>
      <c r="G395" s="6"/>
    </row>
    <row r="396" spans="2:9" x14ac:dyDescent="0.25">
      <c r="F396" s="6"/>
      <c r="G396" s="6"/>
    </row>
    <row r="397" spans="2:9" x14ac:dyDescent="0.25">
      <c r="F397" s="6"/>
      <c r="G397" s="6"/>
    </row>
    <row r="398" spans="2:9" x14ac:dyDescent="0.25">
      <c r="F398" s="6"/>
      <c r="G398" s="6"/>
    </row>
    <row r="399" spans="2:9" x14ac:dyDescent="0.25">
      <c r="F399" s="6"/>
      <c r="G399" s="6"/>
    </row>
    <row r="400" spans="2:9" x14ac:dyDescent="0.25">
      <c r="F400" s="6"/>
      <c r="G400" s="6"/>
    </row>
    <row r="401" spans="6:7" x14ac:dyDescent="0.25">
      <c r="F401" s="6"/>
      <c r="G401" s="6"/>
    </row>
    <row r="402" spans="6:7" x14ac:dyDescent="0.25">
      <c r="F402" s="6"/>
      <c r="G402" s="6"/>
    </row>
    <row r="403" spans="6:7" x14ac:dyDescent="0.25">
      <c r="F403" s="6"/>
      <c r="G403" s="6"/>
    </row>
    <row r="404" spans="6:7" x14ac:dyDescent="0.25">
      <c r="F404" s="6"/>
      <c r="G404" s="6"/>
    </row>
    <row r="405" spans="6:7" x14ac:dyDescent="0.25">
      <c r="F405" s="6"/>
    </row>
    <row r="406" spans="6:7" x14ac:dyDescent="0.25">
      <c r="F406" s="6"/>
      <c r="G406" s="6"/>
    </row>
    <row r="407" spans="6:7" x14ac:dyDescent="0.25">
      <c r="F407" s="6"/>
      <c r="G407" s="6"/>
    </row>
    <row r="408" spans="6:7" x14ac:dyDescent="0.25">
      <c r="F408" s="6"/>
      <c r="G408" s="6"/>
    </row>
    <row r="409" spans="6:7" x14ac:dyDescent="0.25">
      <c r="F409" s="6"/>
      <c r="G409" s="6"/>
    </row>
    <row r="410" spans="6:7" x14ac:dyDescent="0.25">
      <c r="F410" s="6"/>
      <c r="G410" s="6"/>
    </row>
    <row r="411" spans="6:7" x14ac:dyDescent="0.25">
      <c r="F411" s="6"/>
      <c r="G411" s="6"/>
    </row>
    <row r="412" spans="6:7" x14ac:dyDescent="0.25">
      <c r="F412" s="6"/>
      <c r="G412" s="6"/>
    </row>
    <row r="413" spans="6:7" x14ac:dyDescent="0.25">
      <c r="F413" s="6"/>
      <c r="G413" s="6"/>
    </row>
    <row r="414" spans="6:7" x14ac:dyDescent="0.25">
      <c r="F414" s="6"/>
      <c r="G414" s="6"/>
    </row>
    <row r="415" spans="6:7" x14ac:dyDescent="0.25">
      <c r="F415" s="6"/>
      <c r="G415" s="6"/>
    </row>
    <row r="416" spans="6:7" x14ac:dyDescent="0.25">
      <c r="F416" s="6"/>
      <c r="G416" s="6"/>
    </row>
    <row r="417" spans="6:7" x14ac:dyDescent="0.25">
      <c r="F417" s="6"/>
      <c r="G417" s="6"/>
    </row>
    <row r="418" spans="6:7" x14ac:dyDescent="0.25">
      <c r="F418" s="6"/>
      <c r="G418" s="6"/>
    </row>
    <row r="419" spans="6:7" x14ac:dyDescent="0.25">
      <c r="F419" s="6"/>
      <c r="G419" s="6"/>
    </row>
    <row r="420" spans="6:7" x14ac:dyDescent="0.25">
      <c r="F420" s="6"/>
      <c r="G420" s="6"/>
    </row>
    <row r="421" spans="6:7" x14ac:dyDescent="0.25">
      <c r="F421" s="6"/>
      <c r="G421" s="6"/>
    </row>
    <row r="422" spans="6:7" x14ac:dyDescent="0.25">
      <c r="F422" s="6"/>
      <c r="G422" s="6"/>
    </row>
    <row r="423" spans="6:7" x14ac:dyDescent="0.25">
      <c r="F423" s="6"/>
      <c r="G423" s="6"/>
    </row>
    <row r="424" spans="6:7" x14ac:dyDescent="0.25">
      <c r="F424" s="6"/>
      <c r="G424" s="6"/>
    </row>
    <row r="425" spans="6:7" x14ac:dyDescent="0.25">
      <c r="F425" s="6"/>
      <c r="G425" s="6"/>
    </row>
    <row r="426" spans="6:7" x14ac:dyDescent="0.25">
      <c r="F426" s="6"/>
      <c r="G426" s="6"/>
    </row>
    <row r="427" spans="6:7" x14ac:dyDescent="0.25">
      <c r="F427" s="6"/>
      <c r="G427" s="6"/>
    </row>
    <row r="428" spans="6:7" x14ac:dyDescent="0.25">
      <c r="F428" s="6"/>
      <c r="G428" s="6"/>
    </row>
    <row r="429" spans="6:7" x14ac:dyDescent="0.25">
      <c r="F429" s="6"/>
      <c r="G429" s="6"/>
    </row>
    <row r="430" spans="6:7" x14ac:dyDescent="0.25">
      <c r="F430" s="6"/>
      <c r="G430" s="6"/>
    </row>
    <row r="431" spans="6:7" x14ac:dyDescent="0.25">
      <c r="F431" s="6"/>
      <c r="G431" s="6"/>
    </row>
    <row r="432" spans="6:7" x14ac:dyDescent="0.25">
      <c r="F432" s="6"/>
      <c r="G432" s="6"/>
    </row>
    <row r="433" spans="6:7" x14ac:dyDescent="0.25">
      <c r="F433" s="6"/>
      <c r="G433" s="6"/>
    </row>
    <row r="434" spans="6:7" x14ac:dyDescent="0.25">
      <c r="F434" s="6"/>
      <c r="G434" s="6"/>
    </row>
    <row r="435" spans="6:7" x14ac:dyDescent="0.25">
      <c r="F435" s="6"/>
      <c r="G435" s="6"/>
    </row>
    <row r="436" spans="6:7" x14ac:dyDescent="0.25">
      <c r="F436" s="6"/>
      <c r="G436" s="6"/>
    </row>
    <row r="437" spans="6:7" x14ac:dyDescent="0.25">
      <c r="F437" s="6"/>
      <c r="G437" s="6"/>
    </row>
    <row r="438" spans="6:7" x14ac:dyDescent="0.25">
      <c r="F438" s="6"/>
      <c r="G438" s="6"/>
    </row>
    <row r="439" spans="6:7" x14ac:dyDescent="0.25">
      <c r="F439" s="6"/>
      <c r="G439" s="6"/>
    </row>
    <row r="440" spans="6:7" x14ac:dyDescent="0.25">
      <c r="F440" s="6"/>
      <c r="G440" s="6"/>
    </row>
    <row r="441" spans="6:7" x14ac:dyDescent="0.25">
      <c r="F441" s="6"/>
      <c r="G441" s="6"/>
    </row>
    <row r="442" spans="6:7" x14ac:dyDescent="0.25">
      <c r="F442" s="6"/>
      <c r="G442" s="6"/>
    </row>
    <row r="443" spans="6:7" x14ac:dyDescent="0.25">
      <c r="F443" s="6"/>
      <c r="G443" s="6"/>
    </row>
    <row r="444" spans="6:7" x14ac:dyDescent="0.25">
      <c r="F444" s="6"/>
      <c r="G444" s="6"/>
    </row>
    <row r="445" spans="6:7" x14ac:dyDescent="0.25">
      <c r="F445" s="6"/>
      <c r="G445" s="6"/>
    </row>
    <row r="446" spans="6:7" x14ac:dyDescent="0.25">
      <c r="F446" s="6"/>
      <c r="G446" s="6"/>
    </row>
    <row r="447" spans="6:7" x14ac:dyDescent="0.25">
      <c r="F447" s="6"/>
      <c r="G447" s="6"/>
    </row>
    <row r="448" spans="6:7" x14ac:dyDescent="0.25">
      <c r="F448" s="6"/>
      <c r="G448" s="6"/>
    </row>
    <row r="449" spans="6:7" x14ac:dyDescent="0.25">
      <c r="F449" s="6"/>
      <c r="G449" s="6"/>
    </row>
    <row r="450" spans="6:7" x14ac:dyDescent="0.25">
      <c r="F450" s="6"/>
      <c r="G450" s="6"/>
    </row>
    <row r="451" spans="6:7" x14ac:dyDescent="0.25">
      <c r="F451" s="6"/>
      <c r="G451" s="6"/>
    </row>
    <row r="452" spans="6:7" x14ac:dyDescent="0.25">
      <c r="F452" s="6"/>
      <c r="G452" s="6"/>
    </row>
    <row r="453" spans="6:7" x14ac:dyDescent="0.25">
      <c r="F453" s="6"/>
      <c r="G453" s="6"/>
    </row>
    <row r="454" spans="6:7" x14ac:dyDescent="0.25">
      <c r="F454" s="6"/>
      <c r="G454" s="6"/>
    </row>
    <row r="455" spans="6:7" x14ac:dyDescent="0.25">
      <c r="F455" s="6"/>
      <c r="G455" s="6"/>
    </row>
    <row r="456" spans="6:7" x14ac:dyDescent="0.25">
      <c r="F456" s="6"/>
      <c r="G456" s="6"/>
    </row>
    <row r="457" spans="6:7" x14ac:dyDescent="0.25">
      <c r="F457" s="6"/>
      <c r="G457" s="6"/>
    </row>
    <row r="458" spans="6:7" x14ac:dyDescent="0.25">
      <c r="F458" s="6"/>
      <c r="G458" s="6"/>
    </row>
    <row r="459" spans="6:7" x14ac:dyDescent="0.25">
      <c r="F459" s="6"/>
      <c r="G459" s="6"/>
    </row>
    <row r="460" spans="6:7" x14ac:dyDescent="0.25">
      <c r="F460" s="6"/>
      <c r="G460" s="6"/>
    </row>
    <row r="461" spans="6:7" x14ac:dyDescent="0.25">
      <c r="F461" s="6"/>
      <c r="G461" s="6"/>
    </row>
    <row r="462" spans="6:7" x14ac:dyDescent="0.25">
      <c r="F462" s="6"/>
      <c r="G462" s="6"/>
    </row>
    <row r="463" spans="6:7" x14ac:dyDescent="0.25">
      <c r="F463" s="6"/>
      <c r="G463" s="6"/>
    </row>
    <row r="464" spans="6:7" x14ac:dyDescent="0.25">
      <c r="F464" s="6"/>
      <c r="G464" s="6"/>
    </row>
    <row r="465" spans="6:7" x14ac:dyDescent="0.25">
      <c r="F465" s="6"/>
      <c r="G465" s="6"/>
    </row>
    <row r="466" spans="6:7" x14ac:dyDescent="0.25">
      <c r="F466" s="6"/>
      <c r="G466" s="6"/>
    </row>
    <row r="467" spans="6:7" x14ac:dyDescent="0.25">
      <c r="F467" s="6"/>
      <c r="G467" s="6"/>
    </row>
    <row r="468" spans="6:7" x14ac:dyDescent="0.25">
      <c r="F468" s="6"/>
      <c r="G468" s="6"/>
    </row>
    <row r="469" spans="6:7" x14ac:dyDescent="0.25">
      <c r="F469" s="6"/>
      <c r="G469" s="6"/>
    </row>
    <row r="470" spans="6:7" x14ac:dyDescent="0.25">
      <c r="F470" s="6"/>
      <c r="G470" s="6"/>
    </row>
    <row r="471" spans="6:7" x14ac:dyDescent="0.25">
      <c r="F471" s="6"/>
      <c r="G471" s="6"/>
    </row>
    <row r="472" spans="6:7" x14ac:dyDescent="0.25">
      <c r="F472" s="6"/>
      <c r="G472" s="6"/>
    </row>
    <row r="473" spans="6:7" x14ac:dyDescent="0.25">
      <c r="F473" s="6"/>
      <c r="G473" s="6"/>
    </row>
    <row r="474" spans="6:7" x14ac:dyDescent="0.25">
      <c r="F474" s="6"/>
      <c r="G474" s="6"/>
    </row>
    <row r="475" spans="6:7" x14ac:dyDescent="0.25">
      <c r="F475" s="6"/>
      <c r="G475" s="6"/>
    </row>
    <row r="476" spans="6:7" x14ac:dyDescent="0.25">
      <c r="F476" s="6"/>
      <c r="G476" s="6"/>
    </row>
    <row r="477" spans="6:7" x14ac:dyDescent="0.25">
      <c r="F477" s="6"/>
      <c r="G477" s="6"/>
    </row>
    <row r="478" spans="6:7" x14ac:dyDescent="0.25">
      <c r="F478" s="6"/>
      <c r="G478" s="6"/>
    </row>
    <row r="479" spans="6:7" x14ac:dyDescent="0.25">
      <c r="F479" s="6"/>
      <c r="G479" s="6"/>
    </row>
    <row r="480" spans="6:7" x14ac:dyDescent="0.25">
      <c r="F480" s="6"/>
      <c r="G480" s="6"/>
    </row>
    <row r="481" spans="6:7" x14ac:dyDescent="0.25">
      <c r="F481" s="6"/>
      <c r="G481" s="6"/>
    </row>
    <row r="482" spans="6:7" x14ac:dyDescent="0.25">
      <c r="F482" s="6"/>
      <c r="G482" s="6"/>
    </row>
    <row r="483" spans="6:7" x14ac:dyDescent="0.25">
      <c r="F483" s="6"/>
      <c r="G483" s="6"/>
    </row>
    <row r="484" spans="6:7" x14ac:dyDescent="0.25">
      <c r="F484" s="6"/>
      <c r="G484" s="6"/>
    </row>
    <row r="485" spans="6:7" x14ac:dyDescent="0.25">
      <c r="F485" s="6"/>
      <c r="G485" s="6"/>
    </row>
    <row r="486" spans="6:7" x14ac:dyDescent="0.25">
      <c r="F486" s="6"/>
      <c r="G486" s="6"/>
    </row>
    <row r="487" spans="6:7" x14ac:dyDescent="0.25">
      <c r="F487" s="6"/>
      <c r="G487" s="6"/>
    </row>
    <row r="488" spans="6:7" x14ac:dyDescent="0.25">
      <c r="F488" s="6"/>
      <c r="G488" s="6"/>
    </row>
    <row r="489" spans="6:7" x14ac:dyDescent="0.25">
      <c r="F489" s="6"/>
      <c r="G489" s="6"/>
    </row>
    <row r="490" spans="6:7" x14ac:dyDescent="0.25">
      <c r="F490" s="6"/>
      <c r="G490" s="6"/>
    </row>
    <row r="491" spans="6:7" x14ac:dyDescent="0.25">
      <c r="F491" s="6"/>
      <c r="G491" s="6"/>
    </row>
    <row r="492" spans="6:7" x14ac:dyDescent="0.25">
      <c r="F492" s="6"/>
      <c r="G492" s="6"/>
    </row>
    <row r="493" spans="6:7" x14ac:dyDescent="0.25">
      <c r="F493" s="6"/>
      <c r="G493" s="6"/>
    </row>
    <row r="494" spans="6:7" x14ac:dyDescent="0.25">
      <c r="F494" s="6"/>
      <c r="G494" s="6"/>
    </row>
    <row r="495" spans="6:7" x14ac:dyDescent="0.25">
      <c r="F495" s="6"/>
      <c r="G495" s="6"/>
    </row>
    <row r="496" spans="6:7" x14ac:dyDescent="0.25">
      <c r="F496" s="6"/>
      <c r="G496" s="6"/>
    </row>
    <row r="497" spans="6:7" x14ac:dyDescent="0.25">
      <c r="F497" s="6"/>
      <c r="G497" s="6"/>
    </row>
    <row r="498" spans="6:7" x14ac:dyDescent="0.25">
      <c r="F498" s="6"/>
      <c r="G498" s="6"/>
    </row>
    <row r="499" spans="6:7" x14ac:dyDescent="0.25">
      <c r="F499" s="6"/>
      <c r="G499" s="6"/>
    </row>
    <row r="500" spans="6:7" x14ac:dyDescent="0.25">
      <c r="F500" s="6"/>
      <c r="G500" s="6"/>
    </row>
    <row r="501" spans="6:7" x14ac:dyDescent="0.25">
      <c r="F501" s="6"/>
      <c r="G501" s="6"/>
    </row>
    <row r="502" spans="6:7" x14ac:dyDescent="0.25">
      <c r="F502" s="6"/>
      <c r="G502" s="6"/>
    </row>
    <row r="503" spans="6:7" x14ac:dyDescent="0.25">
      <c r="F503" s="6"/>
      <c r="G503" s="6"/>
    </row>
    <row r="504" spans="6:7" x14ac:dyDescent="0.25">
      <c r="F504" s="6"/>
      <c r="G504" s="6"/>
    </row>
    <row r="505" spans="6:7" x14ac:dyDescent="0.25">
      <c r="F505" s="6"/>
      <c r="G505" s="6"/>
    </row>
    <row r="506" spans="6:7" x14ac:dyDescent="0.25">
      <c r="F506" s="6"/>
      <c r="G506" s="6"/>
    </row>
    <row r="507" spans="6:7" x14ac:dyDescent="0.25">
      <c r="F507" s="6"/>
      <c r="G507" s="6"/>
    </row>
    <row r="508" spans="6:7" x14ac:dyDescent="0.25">
      <c r="F508" s="6"/>
      <c r="G508" s="6"/>
    </row>
    <row r="509" spans="6:7" x14ac:dyDescent="0.25">
      <c r="F509" s="6"/>
      <c r="G509" s="6"/>
    </row>
    <row r="510" spans="6:7" x14ac:dyDescent="0.25">
      <c r="F510" s="6"/>
      <c r="G510" s="6"/>
    </row>
    <row r="511" spans="6:7" x14ac:dyDescent="0.25">
      <c r="F511" s="6"/>
      <c r="G511" s="6"/>
    </row>
    <row r="512" spans="6:7" x14ac:dyDescent="0.25">
      <c r="F512" s="6"/>
      <c r="G512" s="6"/>
    </row>
    <row r="513" spans="6:7" x14ac:dyDescent="0.25">
      <c r="F513" s="6"/>
      <c r="G513" s="6"/>
    </row>
    <row r="514" spans="6:7" x14ac:dyDescent="0.25">
      <c r="F514" s="6"/>
      <c r="G514" s="6"/>
    </row>
    <row r="515" spans="6:7" x14ac:dyDescent="0.25">
      <c r="F515" s="6"/>
      <c r="G515" s="6"/>
    </row>
    <row r="516" spans="6:7" x14ac:dyDescent="0.25">
      <c r="F516" s="6"/>
      <c r="G516" s="6"/>
    </row>
    <row r="517" spans="6:7" x14ac:dyDescent="0.25">
      <c r="F517" s="6"/>
      <c r="G517" s="6"/>
    </row>
    <row r="518" spans="6:7" x14ac:dyDescent="0.25">
      <c r="F518" s="6"/>
      <c r="G518" s="6"/>
    </row>
    <row r="519" spans="6:7" x14ac:dyDescent="0.25">
      <c r="F519" s="6"/>
      <c r="G519" s="6"/>
    </row>
    <row r="520" spans="6:7" x14ac:dyDescent="0.25">
      <c r="F520" s="6"/>
      <c r="G520" s="6"/>
    </row>
    <row r="521" spans="6:7" x14ac:dyDescent="0.25">
      <c r="F521" s="6"/>
      <c r="G521" s="6"/>
    </row>
    <row r="522" spans="6:7" x14ac:dyDescent="0.25">
      <c r="F522" s="6"/>
      <c r="G522" s="6"/>
    </row>
    <row r="523" spans="6:7" x14ac:dyDescent="0.25">
      <c r="F523" s="6"/>
      <c r="G523" s="6"/>
    </row>
    <row r="524" spans="6:7" x14ac:dyDescent="0.25">
      <c r="F524" s="6"/>
      <c r="G524" s="6"/>
    </row>
    <row r="525" spans="6:7" x14ac:dyDescent="0.25">
      <c r="F525" s="6"/>
      <c r="G525" s="6"/>
    </row>
    <row r="526" spans="6:7" x14ac:dyDescent="0.25">
      <c r="F526" s="6"/>
      <c r="G526" s="6"/>
    </row>
    <row r="527" spans="6:7" x14ac:dyDescent="0.25">
      <c r="F527" s="6"/>
      <c r="G527" s="6"/>
    </row>
    <row r="528" spans="6:7" x14ac:dyDescent="0.25">
      <c r="F528" s="6"/>
      <c r="G528" s="6"/>
    </row>
    <row r="529" spans="6:7" x14ac:dyDescent="0.25">
      <c r="F529" s="6"/>
      <c r="G529" s="6"/>
    </row>
    <row r="530" spans="6:7" x14ac:dyDescent="0.25">
      <c r="F530" s="6"/>
      <c r="G530" s="6"/>
    </row>
    <row r="531" spans="6:7" x14ac:dyDescent="0.25">
      <c r="F531" s="6"/>
      <c r="G531" s="6"/>
    </row>
    <row r="532" spans="6:7" x14ac:dyDescent="0.25">
      <c r="F532" s="6"/>
      <c r="G532" s="6"/>
    </row>
    <row r="533" spans="6:7" x14ac:dyDescent="0.25">
      <c r="F533" s="6"/>
      <c r="G533" s="6"/>
    </row>
    <row r="534" spans="6:7" x14ac:dyDescent="0.25">
      <c r="F534" s="6"/>
      <c r="G534" s="6"/>
    </row>
    <row r="535" spans="6:7" x14ac:dyDescent="0.25">
      <c r="F535" s="6"/>
      <c r="G535" s="6"/>
    </row>
    <row r="536" spans="6:7" x14ac:dyDescent="0.25">
      <c r="F536" s="6"/>
      <c r="G536" s="6"/>
    </row>
    <row r="537" spans="6:7" x14ac:dyDescent="0.25">
      <c r="F537" s="6"/>
      <c r="G537" s="6"/>
    </row>
    <row r="538" spans="6:7" x14ac:dyDescent="0.25">
      <c r="F538" s="6"/>
      <c r="G538" s="6"/>
    </row>
    <row r="539" spans="6:7" x14ac:dyDescent="0.25">
      <c r="F539" s="6"/>
      <c r="G539" s="6"/>
    </row>
    <row r="540" spans="6:7" x14ac:dyDescent="0.25">
      <c r="F540" s="6"/>
      <c r="G540" s="6"/>
    </row>
    <row r="541" spans="6:7" x14ac:dyDescent="0.25">
      <c r="F541" s="6"/>
      <c r="G541" s="6"/>
    </row>
    <row r="542" spans="6:7" x14ac:dyDescent="0.25">
      <c r="F542" s="6"/>
      <c r="G542" s="6"/>
    </row>
    <row r="543" spans="6:7" x14ac:dyDescent="0.25">
      <c r="F543" s="6"/>
      <c r="G543" s="6"/>
    </row>
    <row r="544" spans="6:7" x14ac:dyDescent="0.25">
      <c r="F544" s="6"/>
      <c r="G544" s="6"/>
    </row>
    <row r="545" spans="6:7" x14ac:dyDescent="0.25">
      <c r="F545" s="6"/>
      <c r="G545" s="6"/>
    </row>
    <row r="546" spans="6:7" x14ac:dyDescent="0.25">
      <c r="F546" s="6"/>
      <c r="G546" s="6"/>
    </row>
    <row r="547" spans="6:7" x14ac:dyDescent="0.25">
      <c r="F547" s="6"/>
      <c r="G547" s="6"/>
    </row>
    <row r="548" spans="6:7" x14ac:dyDescent="0.25">
      <c r="F548" s="6"/>
      <c r="G548" s="6"/>
    </row>
    <row r="549" spans="6:7" x14ac:dyDescent="0.25">
      <c r="F549" s="6"/>
      <c r="G549" s="6"/>
    </row>
    <row r="550" spans="6:7" x14ac:dyDescent="0.25">
      <c r="F550" s="6"/>
      <c r="G550" s="6"/>
    </row>
    <row r="551" spans="6:7" x14ac:dyDescent="0.25">
      <c r="F551" s="6"/>
      <c r="G551" s="6"/>
    </row>
    <row r="552" spans="6:7" x14ac:dyDescent="0.25">
      <c r="F552" s="6"/>
      <c r="G552" s="6"/>
    </row>
    <row r="553" spans="6:7" x14ac:dyDescent="0.25">
      <c r="F553" s="6"/>
      <c r="G553" s="6"/>
    </row>
    <row r="554" spans="6:7" x14ac:dyDescent="0.25">
      <c r="F554" s="6"/>
      <c r="G554" s="6"/>
    </row>
    <row r="555" spans="6:7" x14ac:dyDescent="0.25">
      <c r="F555" s="6"/>
      <c r="G555" s="6"/>
    </row>
    <row r="556" spans="6:7" x14ac:dyDescent="0.25">
      <c r="F556" s="6"/>
      <c r="G556" s="6"/>
    </row>
    <row r="557" spans="6:7" x14ac:dyDescent="0.25">
      <c r="F557" s="6"/>
      <c r="G557" s="6"/>
    </row>
    <row r="558" spans="6:7" x14ac:dyDescent="0.25">
      <c r="F558" s="6"/>
      <c r="G558" s="6"/>
    </row>
    <row r="559" spans="6:7" x14ac:dyDescent="0.25">
      <c r="F559" s="6"/>
      <c r="G559" s="6"/>
    </row>
    <row r="560" spans="6:7" x14ac:dyDescent="0.25">
      <c r="F560" s="6"/>
      <c r="G560" s="6"/>
    </row>
    <row r="561" spans="6:7" x14ac:dyDescent="0.25">
      <c r="F561" s="6"/>
      <c r="G561" s="6"/>
    </row>
    <row r="562" spans="6:7" x14ac:dyDescent="0.25">
      <c r="F562" s="6"/>
      <c r="G562" s="6"/>
    </row>
    <row r="563" spans="6:7" x14ac:dyDescent="0.25">
      <c r="F563" s="6"/>
      <c r="G563" s="6"/>
    </row>
    <row r="564" spans="6:7" x14ac:dyDescent="0.25">
      <c r="F564" s="6"/>
      <c r="G564" s="6"/>
    </row>
    <row r="565" spans="6:7" x14ac:dyDescent="0.25">
      <c r="F565" s="6"/>
      <c r="G565" s="6"/>
    </row>
    <row r="566" spans="6:7" x14ac:dyDescent="0.25">
      <c r="F566" s="6"/>
      <c r="G566" s="6"/>
    </row>
    <row r="567" spans="6:7" x14ac:dyDescent="0.25">
      <c r="F567" s="6"/>
      <c r="G567" s="6"/>
    </row>
    <row r="568" spans="6:7" x14ac:dyDescent="0.25">
      <c r="F568" s="6"/>
      <c r="G568" s="6"/>
    </row>
    <row r="569" spans="6:7" x14ac:dyDescent="0.25">
      <c r="F569" s="6"/>
      <c r="G569" s="6"/>
    </row>
    <row r="570" spans="6:7" x14ac:dyDescent="0.25">
      <c r="F570" s="6"/>
      <c r="G570" s="6"/>
    </row>
    <row r="571" spans="6:7" x14ac:dyDescent="0.25">
      <c r="F571" s="6"/>
      <c r="G571" s="6"/>
    </row>
    <row r="572" spans="6:7" x14ac:dyDescent="0.25">
      <c r="F572" s="6"/>
      <c r="G572" s="6"/>
    </row>
    <row r="573" spans="6:7" x14ac:dyDescent="0.25">
      <c r="F573" s="6"/>
      <c r="G573" s="6"/>
    </row>
    <row r="574" spans="6:7" x14ac:dyDescent="0.25">
      <c r="F574" s="6"/>
      <c r="G574" s="6"/>
    </row>
    <row r="575" spans="6:7" x14ac:dyDescent="0.25">
      <c r="F575" s="6"/>
      <c r="G575" s="6"/>
    </row>
    <row r="576" spans="6:7" x14ac:dyDescent="0.25">
      <c r="F576" s="6"/>
      <c r="G576" s="6"/>
    </row>
    <row r="577" spans="6:7" x14ac:dyDescent="0.25">
      <c r="F577" s="6"/>
      <c r="G577" s="6"/>
    </row>
    <row r="578" spans="6:7" x14ac:dyDescent="0.25">
      <c r="F578" s="6"/>
      <c r="G578" s="6"/>
    </row>
    <row r="579" spans="6:7" x14ac:dyDescent="0.25">
      <c r="F579" s="6"/>
      <c r="G579" s="6"/>
    </row>
    <row r="580" spans="6:7" x14ac:dyDescent="0.25">
      <c r="F580" s="6"/>
      <c r="G580" s="6"/>
    </row>
    <row r="581" spans="6:7" x14ac:dyDescent="0.25">
      <c r="F581" s="6"/>
      <c r="G581" s="6"/>
    </row>
    <row r="582" spans="6:7" x14ac:dyDescent="0.25">
      <c r="F582" s="6"/>
      <c r="G582" s="6"/>
    </row>
    <row r="583" spans="6:7" x14ac:dyDescent="0.25">
      <c r="F583" s="6"/>
      <c r="G583" s="6"/>
    </row>
    <row r="584" spans="6:7" x14ac:dyDescent="0.25">
      <c r="F584" s="6"/>
      <c r="G584" s="6"/>
    </row>
    <row r="585" spans="6:7" x14ac:dyDescent="0.25">
      <c r="F585" s="6"/>
      <c r="G585" s="6"/>
    </row>
    <row r="586" spans="6:7" x14ac:dyDescent="0.25">
      <c r="F586" s="6"/>
      <c r="G586" s="6"/>
    </row>
    <row r="587" spans="6:7" x14ac:dyDescent="0.25">
      <c r="F587" s="6"/>
      <c r="G587" s="6"/>
    </row>
    <row r="588" spans="6:7" x14ac:dyDescent="0.25">
      <c r="F588" s="6"/>
      <c r="G588" s="6"/>
    </row>
    <row r="589" spans="6:7" x14ac:dyDescent="0.25">
      <c r="F589" s="6"/>
      <c r="G589" s="6"/>
    </row>
    <row r="590" spans="6:7" x14ac:dyDescent="0.25">
      <c r="F590" s="6"/>
      <c r="G590" s="6"/>
    </row>
    <row r="591" spans="6:7" x14ac:dyDescent="0.25">
      <c r="F591" s="6"/>
      <c r="G591" s="6"/>
    </row>
    <row r="592" spans="6:7" x14ac:dyDescent="0.25">
      <c r="F592" s="6"/>
      <c r="G592" s="6"/>
    </row>
    <row r="593" spans="6:7" x14ac:dyDescent="0.25">
      <c r="F593" s="6"/>
      <c r="G593" s="6"/>
    </row>
    <row r="594" spans="6:7" x14ac:dyDescent="0.25">
      <c r="F594" s="6"/>
      <c r="G594" s="6"/>
    </row>
    <row r="595" spans="6:7" x14ac:dyDescent="0.25">
      <c r="F595" s="6"/>
      <c r="G595" s="6"/>
    </row>
    <row r="596" spans="6:7" x14ac:dyDescent="0.25">
      <c r="F596" s="6"/>
      <c r="G596" s="6"/>
    </row>
    <row r="597" spans="6:7" x14ac:dyDescent="0.25">
      <c r="F597" s="6"/>
      <c r="G597" s="6"/>
    </row>
    <row r="598" spans="6:7" x14ac:dyDescent="0.25">
      <c r="F598" s="6"/>
      <c r="G598" s="6"/>
    </row>
    <row r="599" spans="6:7" x14ac:dyDescent="0.25">
      <c r="F599" s="6"/>
      <c r="G599" s="6"/>
    </row>
    <row r="600" spans="6:7" x14ac:dyDescent="0.25">
      <c r="F600" s="6"/>
      <c r="G600" s="6"/>
    </row>
    <row r="601" spans="6:7" x14ac:dyDescent="0.25">
      <c r="F601" s="6"/>
      <c r="G601" s="6"/>
    </row>
    <row r="602" spans="6:7" x14ac:dyDescent="0.25">
      <c r="F602" s="6"/>
      <c r="G602" s="6"/>
    </row>
    <row r="603" spans="6:7" x14ac:dyDescent="0.25">
      <c r="F603" s="6"/>
      <c r="G603" s="6"/>
    </row>
    <row r="604" spans="6:7" x14ac:dyDescent="0.25">
      <c r="F604" s="6"/>
      <c r="G604" s="6"/>
    </row>
    <row r="605" spans="6:7" x14ac:dyDescent="0.25">
      <c r="F605" s="6"/>
      <c r="G605" s="6"/>
    </row>
    <row r="606" spans="6:7" x14ac:dyDescent="0.25">
      <c r="F606" s="6"/>
      <c r="G606" s="6"/>
    </row>
    <row r="607" spans="6:7" x14ac:dyDescent="0.25">
      <c r="F607" s="6"/>
      <c r="G607" s="6"/>
    </row>
    <row r="608" spans="6:7" x14ac:dyDescent="0.25">
      <c r="F608" s="6"/>
      <c r="G608" s="6"/>
    </row>
    <row r="609" spans="6:7" x14ac:dyDescent="0.25">
      <c r="F609" s="6"/>
      <c r="G609" s="6"/>
    </row>
    <row r="610" spans="6:7" x14ac:dyDescent="0.25">
      <c r="F610" s="6"/>
      <c r="G610" s="6"/>
    </row>
    <row r="611" spans="6:7" x14ac:dyDescent="0.25">
      <c r="F611" s="6"/>
      <c r="G611" s="6"/>
    </row>
    <row r="612" spans="6:7" x14ac:dyDescent="0.25">
      <c r="F612" s="6"/>
      <c r="G612" s="6"/>
    </row>
    <row r="613" spans="6:7" x14ac:dyDescent="0.25">
      <c r="F613" s="6"/>
      <c r="G613" s="6"/>
    </row>
    <row r="614" spans="6:7" x14ac:dyDescent="0.25">
      <c r="F614" s="6"/>
      <c r="G614" s="6"/>
    </row>
    <row r="615" spans="6:7" x14ac:dyDescent="0.25">
      <c r="F615" s="6"/>
      <c r="G615" s="6"/>
    </row>
    <row r="616" spans="6:7" x14ac:dyDescent="0.25">
      <c r="F616" s="6"/>
      <c r="G616" s="6"/>
    </row>
    <row r="617" spans="6:7" x14ac:dyDescent="0.25">
      <c r="F617" s="6"/>
      <c r="G617" s="6"/>
    </row>
    <row r="618" spans="6:7" x14ac:dyDescent="0.25">
      <c r="F618" s="6"/>
      <c r="G618" s="6"/>
    </row>
    <row r="619" spans="6:7" x14ac:dyDescent="0.25">
      <c r="F619" s="6"/>
      <c r="G619" s="6"/>
    </row>
    <row r="620" spans="6:7" x14ac:dyDescent="0.25">
      <c r="F620" s="6"/>
      <c r="G620" s="6"/>
    </row>
    <row r="621" spans="6:7" x14ac:dyDescent="0.25">
      <c r="F621" s="6"/>
      <c r="G621" s="6"/>
    </row>
    <row r="622" spans="6:7" x14ac:dyDescent="0.25">
      <c r="F622" s="6"/>
      <c r="G622" s="6"/>
    </row>
    <row r="623" spans="6:7" x14ac:dyDescent="0.25">
      <c r="F623" s="6"/>
      <c r="G623" s="6"/>
    </row>
    <row r="624" spans="6:7" x14ac:dyDescent="0.25">
      <c r="F624" s="6"/>
      <c r="G624" s="6"/>
    </row>
    <row r="625" spans="6:7" x14ac:dyDescent="0.25">
      <c r="F625" s="6"/>
      <c r="G625" s="6"/>
    </row>
    <row r="626" spans="6:7" x14ac:dyDescent="0.25">
      <c r="F626" s="6"/>
      <c r="G626" s="6"/>
    </row>
    <row r="627" spans="6:7" x14ac:dyDescent="0.25">
      <c r="F627" s="6"/>
      <c r="G627" s="6"/>
    </row>
    <row r="628" spans="6:7" x14ac:dyDescent="0.25">
      <c r="F628" s="6"/>
      <c r="G628" s="6"/>
    </row>
    <row r="629" spans="6:7" x14ac:dyDescent="0.25">
      <c r="F629" s="6"/>
      <c r="G629" s="6"/>
    </row>
    <row r="630" spans="6:7" x14ac:dyDescent="0.25">
      <c r="F630" s="6"/>
      <c r="G630" s="6"/>
    </row>
    <row r="631" spans="6:7" x14ac:dyDescent="0.25">
      <c r="F631" s="6"/>
      <c r="G631" s="6"/>
    </row>
    <row r="632" spans="6:7" x14ac:dyDescent="0.25">
      <c r="F632" s="6"/>
      <c r="G632" s="6"/>
    </row>
    <row r="633" spans="6:7" x14ac:dyDescent="0.25">
      <c r="F633" s="6"/>
      <c r="G633" s="6"/>
    </row>
    <row r="634" spans="6:7" x14ac:dyDescent="0.25">
      <c r="F634" s="6"/>
      <c r="G634" s="6"/>
    </row>
    <row r="635" spans="6:7" x14ac:dyDescent="0.25">
      <c r="F635" s="6"/>
      <c r="G635" s="6"/>
    </row>
    <row r="636" spans="6:7" x14ac:dyDescent="0.25">
      <c r="F636" s="6"/>
      <c r="G636" s="6"/>
    </row>
    <row r="637" spans="6:7" x14ac:dyDescent="0.25">
      <c r="F637" s="6"/>
      <c r="G637" s="6"/>
    </row>
    <row r="638" spans="6:7" x14ac:dyDescent="0.25">
      <c r="F638" s="6"/>
      <c r="G638" s="6"/>
    </row>
    <row r="639" spans="6:7" x14ac:dyDescent="0.25">
      <c r="F639" s="6"/>
      <c r="G639" s="6"/>
    </row>
    <row r="640" spans="6:7" x14ac:dyDescent="0.25">
      <c r="F640" s="6"/>
      <c r="G640" s="6"/>
    </row>
    <row r="641" spans="6:7" x14ac:dyDescent="0.25">
      <c r="F641" s="6"/>
      <c r="G641" s="6"/>
    </row>
    <row r="642" spans="6:7" x14ac:dyDescent="0.25">
      <c r="F642" s="6"/>
      <c r="G642" s="6"/>
    </row>
    <row r="643" spans="6:7" x14ac:dyDescent="0.25">
      <c r="F643" s="6"/>
      <c r="G643" s="6"/>
    </row>
    <row r="644" spans="6:7" x14ac:dyDescent="0.25">
      <c r="F644" s="6"/>
      <c r="G644" s="6"/>
    </row>
    <row r="645" spans="6:7" x14ac:dyDescent="0.25">
      <c r="F645" s="6"/>
      <c r="G645" s="6"/>
    </row>
    <row r="646" spans="6:7" x14ac:dyDescent="0.25">
      <c r="F646" s="6"/>
      <c r="G646" s="6"/>
    </row>
    <row r="647" spans="6:7" x14ac:dyDescent="0.25">
      <c r="F647" s="6"/>
      <c r="G647" s="6"/>
    </row>
    <row r="648" spans="6:7" x14ac:dyDescent="0.25">
      <c r="F648" s="6"/>
      <c r="G648" s="6"/>
    </row>
    <row r="649" spans="6:7" x14ac:dyDescent="0.25">
      <c r="F649" s="6"/>
      <c r="G649" s="6"/>
    </row>
    <row r="650" spans="6:7" x14ac:dyDescent="0.25">
      <c r="F650" s="6"/>
      <c r="G650" s="6"/>
    </row>
    <row r="651" spans="6:7" x14ac:dyDescent="0.25">
      <c r="F651" s="6"/>
      <c r="G651" s="6"/>
    </row>
    <row r="652" spans="6:7" x14ac:dyDescent="0.25">
      <c r="F652" s="6"/>
      <c r="G652" s="6"/>
    </row>
    <row r="653" spans="6:7" x14ac:dyDescent="0.25">
      <c r="F653" s="6"/>
      <c r="G653" s="6"/>
    </row>
    <row r="654" spans="6:7" x14ac:dyDescent="0.25">
      <c r="F654" s="6"/>
      <c r="G654" s="6"/>
    </row>
    <row r="655" spans="6:7" x14ac:dyDescent="0.25">
      <c r="F655" s="6"/>
      <c r="G655" s="6"/>
    </row>
    <row r="656" spans="6:7" x14ac:dyDescent="0.25">
      <c r="F656" s="6"/>
      <c r="G656" s="6"/>
    </row>
    <row r="657" spans="6:7" x14ac:dyDescent="0.25">
      <c r="F657" s="6"/>
      <c r="G657" s="6"/>
    </row>
    <row r="658" spans="6:7" x14ac:dyDescent="0.25">
      <c r="F658" s="6"/>
      <c r="G658" s="6"/>
    </row>
    <row r="659" spans="6:7" x14ac:dyDescent="0.25">
      <c r="F659" s="6"/>
      <c r="G659" s="6"/>
    </row>
    <row r="660" spans="6:7" x14ac:dyDescent="0.25">
      <c r="F660" s="6"/>
      <c r="G660" s="6"/>
    </row>
    <row r="661" spans="6:7" x14ac:dyDescent="0.25">
      <c r="F661" s="6"/>
      <c r="G661" s="6"/>
    </row>
    <row r="662" spans="6:7" x14ac:dyDescent="0.25">
      <c r="F662" s="6"/>
      <c r="G662" s="6"/>
    </row>
    <row r="663" spans="6:7" x14ac:dyDescent="0.25">
      <c r="F663" s="6"/>
      <c r="G663" s="6"/>
    </row>
    <row r="664" spans="6:7" x14ac:dyDescent="0.25">
      <c r="F664" s="6"/>
      <c r="G664" s="6"/>
    </row>
    <row r="665" spans="6:7" x14ac:dyDescent="0.25">
      <c r="F665" s="6"/>
      <c r="G665" s="6"/>
    </row>
    <row r="666" spans="6:7" x14ac:dyDescent="0.25">
      <c r="F666" s="6"/>
      <c r="G666" s="6"/>
    </row>
    <row r="667" spans="6:7" x14ac:dyDescent="0.25">
      <c r="F667" s="6"/>
      <c r="G667" s="6"/>
    </row>
    <row r="668" spans="6:7" x14ac:dyDescent="0.25">
      <c r="F668" s="6"/>
      <c r="G668" s="6"/>
    </row>
    <row r="669" spans="6:7" x14ac:dyDescent="0.25">
      <c r="F669" s="6"/>
      <c r="G669" s="6"/>
    </row>
    <row r="670" spans="6:7" x14ac:dyDescent="0.25">
      <c r="F670" s="6"/>
      <c r="G670" s="6"/>
    </row>
    <row r="671" spans="6:7" x14ac:dyDescent="0.25">
      <c r="F671" s="6"/>
      <c r="G671" s="6"/>
    </row>
    <row r="672" spans="6:7" x14ac:dyDescent="0.25">
      <c r="F672" s="6"/>
      <c r="G672" s="6"/>
    </row>
    <row r="673" spans="6:7" x14ac:dyDescent="0.25">
      <c r="F673" s="6"/>
      <c r="G673" s="6"/>
    </row>
    <row r="674" spans="6:7" x14ac:dyDescent="0.25">
      <c r="F674" s="6"/>
      <c r="G674" s="6"/>
    </row>
    <row r="675" spans="6:7" x14ac:dyDescent="0.25">
      <c r="F675" s="6"/>
      <c r="G675" s="6"/>
    </row>
    <row r="676" spans="6:7" x14ac:dyDescent="0.25">
      <c r="F676" s="6"/>
      <c r="G676" s="6"/>
    </row>
    <row r="677" spans="6:7" x14ac:dyDescent="0.25">
      <c r="F677" s="6"/>
      <c r="G677" s="6"/>
    </row>
    <row r="678" spans="6:7" x14ac:dyDescent="0.25">
      <c r="F678" s="6"/>
      <c r="G678" s="6"/>
    </row>
    <row r="679" spans="6:7" x14ac:dyDescent="0.25">
      <c r="F679" s="6"/>
      <c r="G679" s="6"/>
    </row>
    <row r="680" spans="6:7" x14ac:dyDescent="0.25">
      <c r="F680" s="6"/>
      <c r="G680" s="6"/>
    </row>
    <row r="681" spans="6:7" x14ac:dyDescent="0.25">
      <c r="F681" s="6"/>
      <c r="G681" s="6"/>
    </row>
    <row r="682" spans="6:7" x14ac:dyDescent="0.25">
      <c r="F682" s="6"/>
      <c r="G682" s="6"/>
    </row>
    <row r="683" spans="6:7" x14ac:dyDescent="0.25">
      <c r="F683" s="6"/>
    </row>
    <row r="684" spans="6:7" x14ac:dyDescent="0.25">
      <c r="F684" s="6"/>
      <c r="G684" s="6"/>
    </row>
    <row r="685" spans="6:7" x14ac:dyDescent="0.25">
      <c r="F685" s="6"/>
      <c r="G685" s="6"/>
    </row>
    <row r="686" spans="6:7" x14ac:dyDescent="0.25">
      <c r="F686" s="6"/>
      <c r="G686" s="6"/>
    </row>
    <row r="687" spans="6:7" x14ac:dyDescent="0.25">
      <c r="F687" s="6"/>
      <c r="G687" s="6"/>
    </row>
    <row r="688" spans="6:7" x14ac:dyDescent="0.25">
      <c r="F688" s="6"/>
      <c r="G688" s="6"/>
    </row>
    <row r="689" spans="6:7" x14ac:dyDescent="0.25">
      <c r="F689" s="6"/>
      <c r="G689" s="6"/>
    </row>
    <row r="690" spans="6:7" x14ac:dyDescent="0.25">
      <c r="F690" s="6"/>
      <c r="G690" s="6"/>
    </row>
    <row r="691" spans="6:7" x14ac:dyDescent="0.25">
      <c r="F691" s="6"/>
      <c r="G691" s="6"/>
    </row>
    <row r="692" spans="6:7" x14ac:dyDescent="0.25">
      <c r="F692" s="6"/>
      <c r="G692" s="6"/>
    </row>
    <row r="693" spans="6:7" x14ac:dyDescent="0.25">
      <c r="F693" s="6"/>
      <c r="G693" s="6"/>
    </row>
    <row r="694" spans="6:7" x14ac:dyDescent="0.25">
      <c r="F694" s="6"/>
      <c r="G694" s="6"/>
    </row>
    <row r="695" spans="6:7" x14ac:dyDescent="0.25">
      <c r="F695" s="6"/>
      <c r="G695" s="6"/>
    </row>
    <row r="696" spans="6:7" x14ac:dyDescent="0.25">
      <c r="F696" s="6"/>
      <c r="G696" s="6"/>
    </row>
    <row r="697" spans="6:7" x14ac:dyDescent="0.25">
      <c r="F697" s="6"/>
      <c r="G697" s="6"/>
    </row>
    <row r="698" spans="6:7" x14ac:dyDescent="0.25">
      <c r="F698" s="6"/>
      <c r="G698" s="6"/>
    </row>
    <row r="699" spans="6:7" x14ac:dyDescent="0.25">
      <c r="F699" s="6"/>
      <c r="G699" s="6"/>
    </row>
    <row r="700" spans="6:7" x14ac:dyDescent="0.25">
      <c r="F700" s="6"/>
      <c r="G700" s="6"/>
    </row>
    <row r="701" spans="6:7" x14ac:dyDescent="0.25">
      <c r="F701" s="6"/>
      <c r="G701" s="6"/>
    </row>
    <row r="702" spans="6:7" x14ac:dyDescent="0.25">
      <c r="F702" s="6"/>
      <c r="G702" s="6"/>
    </row>
    <row r="703" spans="6:7" x14ac:dyDescent="0.25">
      <c r="F703" s="6"/>
      <c r="G703" s="6"/>
    </row>
    <row r="704" spans="6:7" x14ac:dyDescent="0.25">
      <c r="F704" s="6"/>
      <c r="G704" s="6"/>
    </row>
    <row r="705" spans="6:7" x14ac:dyDescent="0.25">
      <c r="F705" s="6"/>
      <c r="G705" s="6"/>
    </row>
    <row r="706" spans="6:7" x14ac:dyDescent="0.25">
      <c r="F706" s="6"/>
      <c r="G706" s="6"/>
    </row>
    <row r="707" spans="6:7" x14ac:dyDescent="0.25">
      <c r="F707" s="6"/>
      <c r="G707" s="6"/>
    </row>
    <row r="708" spans="6:7" x14ac:dyDescent="0.25">
      <c r="F708" s="6"/>
      <c r="G708" s="6"/>
    </row>
    <row r="709" spans="6:7" x14ac:dyDescent="0.25">
      <c r="F709" s="6"/>
      <c r="G709" s="6"/>
    </row>
    <row r="710" spans="6:7" x14ac:dyDescent="0.25">
      <c r="F710" s="6"/>
      <c r="G710" s="6"/>
    </row>
    <row r="711" spans="6:7" x14ac:dyDescent="0.25">
      <c r="F711" s="6"/>
      <c r="G711" s="6"/>
    </row>
    <row r="712" spans="6:7" x14ac:dyDescent="0.25">
      <c r="F712" s="6"/>
      <c r="G712" s="6"/>
    </row>
    <row r="713" spans="6:7" x14ac:dyDescent="0.25">
      <c r="F713" s="6"/>
      <c r="G713" s="6"/>
    </row>
    <row r="714" spans="6:7" x14ac:dyDescent="0.25">
      <c r="F714" s="6"/>
      <c r="G714" s="6"/>
    </row>
    <row r="715" spans="6:7" x14ac:dyDescent="0.25">
      <c r="F715" s="6"/>
      <c r="G715" s="6"/>
    </row>
    <row r="716" spans="6:7" x14ac:dyDescent="0.25">
      <c r="F716" s="6"/>
      <c r="G716" s="6"/>
    </row>
    <row r="717" spans="6:7" x14ac:dyDescent="0.25">
      <c r="F717" s="6"/>
      <c r="G717" s="6"/>
    </row>
    <row r="718" spans="6:7" x14ac:dyDescent="0.25">
      <c r="F718" s="6"/>
      <c r="G718" s="6"/>
    </row>
    <row r="719" spans="6:7" x14ac:dyDescent="0.25">
      <c r="F719" s="6"/>
      <c r="G719" s="6"/>
    </row>
    <row r="720" spans="6:7" x14ac:dyDescent="0.25">
      <c r="F720" s="6"/>
      <c r="G720" s="6"/>
    </row>
    <row r="721" spans="6:7" x14ac:dyDescent="0.25">
      <c r="F721" s="6"/>
      <c r="G721" s="6"/>
    </row>
    <row r="722" spans="6:7" x14ac:dyDescent="0.25">
      <c r="F722" s="6"/>
      <c r="G722" s="6"/>
    </row>
    <row r="723" spans="6:7" x14ac:dyDescent="0.25">
      <c r="F723" s="6"/>
      <c r="G723" s="6"/>
    </row>
    <row r="724" spans="6:7" x14ac:dyDescent="0.25">
      <c r="F724" s="6"/>
      <c r="G724" s="6"/>
    </row>
    <row r="725" spans="6:7" x14ac:dyDescent="0.25">
      <c r="F725" s="6"/>
      <c r="G725" s="6"/>
    </row>
    <row r="726" spans="6:7" x14ac:dyDescent="0.25">
      <c r="F726" s="6"/>
      <c r="G726" s="6"/>
    </row>
    <row r="727" spans="6:7" x14ac:dyDescent="0.25">
      <c r="F727" s="6"/>
      <c r="G727" s="6"/>
    </row>
    <row r="728" spans="6:7" x14ac:dyDescent="0.25">
      <c r="F728" s="6"/>
      <c r="G728" s="6"/>
    </row>
    <row r="729" spans="6:7" x14ac:dyDescent="0.25">
      <c r="F729" s="6"/>
      <c r="G729" s="6"/>
    </row>
    <row r="730" spans="6:7" x14ac:dyDescent="0.25">
      <c r="F730" s="6"/>
      <c r="G730" s="6"/>
    </row>
    <row r="731" spans="6:7" x14ac:dyDescent="0.25">
      <c r="F731" s="6"/>
      <c r="G731" s="6"/>
    </row>
    <row r="732" spans="6:7" x14ac:dyDescent="0.25">
      <c r="F732" s="6"/>
      <c r="G732" s="6"/>
    </row>
    <row r="733" spans="6:7" x14ac:dyDescent="0.25">
      <c r="F733" s="6"/>
      <c r="G733" s="6"/>
    </row>
    <row r="734" spans="6:7" x14ac:dyDescent="0.25">
      <c r="F734" s="6"/>
      <c r="G734" s="6"/>
    </row>
    <row r="735" spans="6:7" x14ac:dyDescent="0.25">
      <c r="F735" s="6"/>
      <c r="G735" s="6"/>
    </row>
    <row r="736" spans="6:7" x14ac:dyDescent="0.25">
      <c r="F736" s="6"/>
      <c r="G736" s="6"/>
    </row>
    <row r="737" spans="6:7" x14ac:dyDescent="0.25">
      <c r="F737" s="6"/>
      <c r="G737" s="6"/>
    </row>
    <row r="738" spans="6:7" x14ac:dyDescent="0.25">
      <c r="F738" s="6"/>
      <c r="G738" s="6"/>
    </row>
    <row r="739" spans="6:7" x14ac:dyDescent="0.25">
      <c r="F739" s="6"/>
      <c r="G739" s="6"/>
    </row>
    <row r="740" spans="6:7" x14ac:dyDescent="0.25">
      <c r="F740" s="6"/>
      <c r="G740" s="6"/>
    </row>
    <row r="741" spans="6:7" x14ac:dyDescent="0.25">
      <c r="F741" s="6"/>
      <c r="G741" s="6"/>
    </row>
    <row r="742" spans="6:7" x14ac:dyDescent="0.25">
      <c r="F742" s="6"/>
      <c r="G742" s="6"/>
    </row>
    <row r="743" spans="6:7" x14ac:dyDescent="0.25">
      <c r="F743" s="6"/>
      <c r="G743" s="6"/>
    </row>
    <row r="744" spans="6:7" x14ac:dyDescent="0.25">
      <c r="F744" s="6"/>
      <c r="G744" s="6"/>
    </row>
    <row r="745" spans="6:7" x14ac:dyDescent="0.25">
      <c r="F745" s="6"/>
      <c r="G745" s="6"/>
    </row>
    <row r="746" spans="6:7" x14ac:dyDescent="0.25">
      <c r="F746" s="6"/>
      <c r="G746" s="6"/>
    </row>
    <row r="747" spans="6:7" x14ac:dyDescent="0.25">
      <c r="F747" s="6"/>
      <c r="G747" s="6"/>
    </row>
    <row r="748" spans="6:7" x14ac:dyDescent="0.25">
      <c r="F748" s="6"/>
      <c r="G748" s="6"/>
    </row>
    <row r="749" spans="6:7" x14ac:dyDescent="0.25">
      <c r="F749" s="6"/>
      <c r="G749" s="6"/>
    </row>
    <row r="750" spans="6:7" x14ac:dyDescent="0.25">
      <c r="F750" s="6"/>
      <c r="G750" s="6"/>
    </row>
    <row r="751" spans="6:7" x14ac:dyDescent="0.25">
      <c r="F751" s="6"/>
      <c r="G751" s="6"/>
    </row>
    <row r="752" spans="6:7" x14ac:dyDescent="0.25">
      <c r="F752" s="6"/>
      <c r="G752" s="6"/>
    </row>
    <row r="753" spans="6:7" x14ac:dyDescent="0.25">
      <c r="F753" s="6"/>
      <c r="G753" s="6"/>
    </row>
    <row r="754" spans="6:7" x14ac:dyDescent="0.25">
      <c r="F754" s="6"/>
      <c r="G754" s="6"/>
    </row>
    <row r="755" spans="6:7" x14ac:dyDescent="0.25">
      <c r="F755" s="6"/>
      <c r="G755" s="6"/>
    </row>
    <row r="756" spans="6:7" x14ac:dyDescent="0.25">
      <c r="F756" s="6"/>
      <c r="G756" s="6"/>
    </row>
    <row r="757" spans="6:7" x14ac:dyDescent="0.25">
      <c r="F757" s="6"/>
      <c r="G757" s="6"/>
    </row>
    <row r="758" spans="6:7" x14ac:dyDescent="0.25">
      <c r="F758" s="6"/>
      <c r="G758" s="6"/>
    </row>
    <row r="759" spans="6:7" x14ac:dyDescent="0.25">
      <c r="F759" s="6"/>
      <c r="G759" s="6"/>
    </row>
    <row r="760" spans="6:7" x14ac:dyDescent="0.25">
      <c r="F760" s="6"/>
      <c r="G760" s="6"/>
    </row>
    <row r="761" spans="6:7" x14ac:dyDescent="0.25">
      <c r="F761" s="6"/>
      <c r="G761" s="6"/>
    </row>
    <row r="762" spans="6:7" x14ac:dyDescent="0.25">
      <c r="F762" s="6"/>
      <c r="G762" s="6"/>
    </row>
    <row r="763" spans="6:7" x14ac:dyDescent="0.25">
      <c r="F763" s="6"/>
      <c r="G763" s="6"/>
    </row>
    <row r="764" spans="6:7" x14ac:dyDescent="0.25">
      <c r="F764" s="6"/>
      <c r="G764" s="6"/>
    </row>
    <row r="765" spans="6:7" x14ac:dyDescent="0.25">
      <c r="F765" s="6"/>
      <c r="G765" s="6"/>
    </row>
    <row r="766" spans="6:7" x14ac:dyDescent="0.25">
      <c r="F766" s="6"/>
      <c r="G766" s="6"/>
    </row>
    <row r="767" spans="6:7" x14ac:dyDescent="0.25">
      <c r="F767" s="6"/>
      <c r="G767" s="6"/>
    </row>
    <row r="768" spans="6:7" x14ac:dyDescent="0.25">
      <c r="F768" s="6"/>
      <c r="G768" s="6"/>
    </row>
    <row r="769" spans="6:7" x14ac:dyDescent="0.25">
      <c r="F769" s="6"/>
      <c r="G769" s="6"/>
    </row>
    <row r="770" spans="6:7" x14ac:dyDescent="0.25">
      <c r="F770" s="6"/>
      <c r="G770" s="6"/>
    </row>
    <row r="771" spans="6:7" x14ac:dyDescent="0.25">
      <c r="F771" s="6"/>
      <c r="G771" s="6"/>
    </row>
    <row r="772" spans="6:7" x14ac:dyDescent="0.25">
      <c r="F772" s="6"/>
      <c r="G772" s="6"/>
    </row>
    <row r="773" spans="6:7" x14ac:dyDescent="0.25">
      <c r="F773" s="6"/>
      <c r="G773" s="6"/>
    </row>
    <row r="774" spans="6:7" x14ac:dyDescent="0.25">
      <c r="F774" s="6"/>
      <c r="G774" s="6"/>
    </row>
    <row r="775" spans="6:7" x14ac:dyDescent="0.25">
      <c r="F775" s="6"/>
      <c r="G775" s="6"/>
    </row>
    <row r="776" spans="6:7" x14ac:dyDescent="0.25">
      <c r="F776" s="6"/>
      <c r="G776" s="6"/>
    </row>
    <row r="777" spans="6:7" x14ac:dyDescent="0.25">
      <c r="F777" s="6"/>
      <c r="G777" s="6"/>
    </row>
    <row r="778" spans="6:7" x14ac:dyDescent="0.25">
      <c r="F778" s="6"/>
      <c r="G778" s="6"/>
    </row>
    <row r="779" spans="6:7" x14ac:dyDescent="0.25">
      <c r="F779" s="6"/>
      <c r="G779" s="6"/>
    </row>
    <row r="780" spans="6:7" x14ac:dyDescent="0.25">
      <c r="F780" s="6"/>
      <c r="G780" s="6"/>
    </row>
    <row r="781" spans="6:7" x14ac:dyDescent="0.25">
      <c r="F781" s="6"/>
      <c r="G781" s="6"/>
    </row>
    <row r="782" spans="6:7" x14ac:dyDescent="0.25">
      <c r="F782" s="6"/>
      <c r="G782" s="6"/>
    </row>
    <row r="783" spans="6:7" x14ac:dyDescent="0.25">
      <c r="F783" s="6"/>
      <c r="G783" s="6"/>
    </row>
    <row r="784" spans="6:7" x14ac:dyDescent="0.25">
      <c r="F784" s="6"/>
      <c r="G784" s="6"/>
    </row>
    <row r="785" spans="6:7" x14ac:dyDescent="0.25">
      <c r="F785" s="6"/>
      <c r="G785" s="6"/>
    </row>
    <row r="786" spans="6:7" x14ac:dyDescent="0.25">
      <c r="F786" s="6"/>
      <c r="G786" s="6"/>
    </row>
    <row r="787" spans="6:7" x14ac:dyDescent="0.25">
      <c r="F787" s="6"/>
      <c r="G787" s="6"/>
    </row>
    <row r="788" spans="6:7" x14ac:dyDescent="0.25">
      <c r="F788" s="6"/>
      <c r="G788" s="6"/>
    </row>
    <row r="789" spans="6:7" x14ac:dyDescent="0.25">
      <c r="F789" s="6"/>
      <c r="G789" s="6"/>
    </row>
    <row r="790" spans="6:7" x14ac:dyDescent="0.25">
      <c r="F790" s="6"/>
      <c r="G790" s="6"/>
    </row>
    <row r="791" spans="6:7" x14ac:dyDescent="0.25">
      <c r="F791" s="6"/>
      <c r="G791" s="6"/>
    </row>
    <row r="792" spans="6:7" x14ac:dyDescent="0.25">
      <c r="F792" s="6"/>
      <c r="G792" s="6"/>
    </row>
    <row r="793" spans="6:7" x14ac:dyDescent="0.25">
      <c r="F793" s="6"/>
      <c r="G793" s="6"/>
    </row>
    <row r="794" spans="6:7" x14ac:dyDescent="0.25">
      <c r="F794" s="6"/>
      <c r="G794" s="6"/>
    </row>
    <row r="795" spans="6:7" x14ac:dyDescent="0.25">
      <c r="F795" s="6"/>
      <c r="G795" s="6"/>
    </row>
    <row r="796" spans="6:7" x14ac:dyDescent="0.25">
      <c r="F796" s="6"/>
      <c r="G796" s="6"/>
    </row>
    <row r="797" spans="6:7" x14ac:dyDescent="0.25">
      <c r="F797" s="6"/>
      <c r="G797" s="6"/>
    </row>
    <row r="798" spans="6:7" x14ac:dyDescent="0.25">
      <c r="F798" s="6"/>
      <c r="G798" s="6"/>
    </row>
    <row r="799" spans="6:7" x14ac:dyDescent="0.25">
      <c r="F799" s="6"/>
      <c r="G799" s="6"/>
    </row>
    <row r="800" spans="6:7" x14ac:dyDescent="0.25">
      <c r="F800" s="6"/>
      <c r="G800" s="6"/>
    </row>
    <row r="801" spans="6:7" x14ac:dyDescent="0.25">
      <c r="F801" s="6"/>
      <c r="G801" s="6"/>
    </row>
    <row r="802" spans="6:7" x14ac:dyDescent="0.25">
      <c r="F802" s="6"/>
      <c r="G802" s="6"/>
    </row>
    <row r="803" spans="6:7" x14ac:dyDescent="0.25">
      <c r="F803" s="6"/>
      <c r="G803" s="6"/>
    </row>
    <row r="804" spans="6:7" x14ac:dyDescent="0.25">
      <c r="F804" s="6"/>
      <c r="G804" s="6"/>
    </row>
    <row r="805" spans="6:7" x14ac:dyDescent="0.25">
      <c r="F805" s="6"/>
      <c r="G805" s="6"/>
    </row>
    <row r="806" spans="6:7" x14ac:dyDescent="0.25">
      <c r="F806" s="6"/>
      <c r="G806" s="6"/>
    </row>
    <row r="807" spans="6:7" x14ac:dyDescent="0.25">
      <c r="F807" s="6"/>
      <c r="G807" s="6"/>
    </row>
    <row r="808" spans="6:7" x14ac:dyDescent="0.25">
      <c r="F808" s="6"/>
      <c r="G808" s="6"/>
    </row>
    <row r="809" spans="6:7" x14ac:dyDescent="0.25">
      <c r="F809" s="6"/>
      <c r="G809" s="6"/>
    </row>
    <row r="810" spans="6:7" x14ac:dyDescent="0.25">
      <c r="F810" s="6"/>
      <c r="G810" s="6"/>
    </row>
    <row r="811" spans="6:7" x14ac:dyDescent="0.25">
      <c r="F811" s="6"/>
      <c r="G811" s="6"/>
    </row>
    <row r="812" spans="6:7" x14ac:dyDescent="0.25">
      <c r="F812" s="6"/>
      <c r="G812" s="6"/>
    </row>
    <row r="813" spans="6:7" x14ac:dyDescent="0.25">
      <c r="F813" s="6"/>
      <c r="G813" s="6"/>
    </row>
    <row r="814" spans="6:7" x14ac:dyDescent="0.25">
      <c r="F814" s="6"/>
      <c r="G814" s="6"/>
    </row>
    <row r="815" spans="6:7" x14ac:dyDescent="0.25">
      <c r="F815" s="6"/>
      <c r="G815" s="6"/>
    </row>
    <row r="816" spans="6:7" x14ac:dyDescent="0.25">
      <c r="F816" s="6"/>
      <c r="G816" s="6"/>
    </row>
    <row r="817" spans="6:7" x14ac:dyDescent="0.25">
      <c r="F817" s="6"/>
      <c r="G817" s="6"/>
    </row>
    <row r="818" spans="6:7" x14ac:dyDescent="0.25">
      <c r="F818" s="6"/>
      <c r="G818" s="6"/>
    </row>
    <row r="819" spans="6:7" x14ac:dyDescent="0.25">
      <c r="F819" s="6"/>
      <c r="G819" s="6"/>
    </row>
    <row r="820" spans="6:7" x14ac:dyDescent="0.25">
      <c r="F820" s="6"/>
      <c r="G820" s="6"/>
    </row>
    <row r="821" spans="6:7" x14ac:dyDescent="0.25">
      <c r="F821" s="6"/>
      <c r="G821" s="6"/>
    </row>
    <row r="822" spans="6:7" x14ac:dyDescent="0.25">
      <c r="F822" s="6"/>
      <c r="G822" s="6"/>
    </row>
    <row r="823" spans="6:7" x14ac:dyDescent="0.25">
      <c r="F823" s="6"/>
      <c r="G823" s="6"/>
    </row>
    <row r="824" spans="6:7" x14ac:dyDescent="0.25">
      <c r="F824" s="6"/>
      <c r="G824" s="6"/>
    </row>
    <row r="825" spans="6:7" x14ac:dyDescent="0.25">
      <c r="F825" s="6"/>
      <c r="G825" s="6"/>
    </row>
    <row r="826" spans="6:7" x14ac:dyDescent="0.25">
      <c r="F826" s="6"/>
      <c r="G826" s="6"/>
    </row>
    <row r="827" spans="6:7" x14ac:dyDescent="0.25">
      <c r="F827" s="6"/>
      <c r="G827" s="6"/>
    </row>
    <row r="828" spans="6:7" x14ac:dyDescent="0.25">
      <c r="F828" s="6"/>
      <c r="G828" s="6"/>
    </row>
    <row r="829" spans="6:7" x14ac:dyDescent="0.25">
      <c r="F829" s="6"/>
      <c r="G829" s="6"/>
    </row>
    <row r="830" spans="6:7" x14ac:dyDescent="0.25">
      <c r="F830" s="6"/>
      <c r="G830" s="6"/>
    </row>
    <row r="831" spans="6:7" x14ac:dyDescent="0.25">
      <c r="F831" s="6"/>
      <c r="G831" s="6"/>
    </row>
    <row r="832" spans="6:7" x14ac:dyDescent="0.25">
      <c r="F832" s="6"/>
      <c r="G832" s="6"/>
    </row>
    <row r="833" spans="6:7" x14ac:dyDescent="0.25">
      <c r="F833" s="6"/>
      <c r="G833" s="6"/>
    </row>
    <row r="834" spans="6:7" x14ac:dyDescent="0.25">
      <c r="F834" s="6"/>
      <c r="G834" s="6"/>
    </row>
    <row r="835" spans="6:7" x14ac:dyDescent="0.25">
      <c r="F835" s="6"/>
      <c r="G835" s="6"/>
    </row>
    <row r="836" spans="6:7" x14ac:dyDescent="0.25">
      <c r="F836" s="6"/>
      <c r="G836" s="6"/>
    </row>
    <row r="837" spans="6:7" x14ac:dyDescent="0.25">
      <c r="F837" s="6"/>
      <c r="G837" s="6"/>
    </row>
    <row r="838" spans="6:7" x14ac:dyDescent="0.25">
      <c r="F838" s="6"/>
      <c r="G838" s="6"/>
    </row>
    <row r="839" spans="6:7" x14ac:dyDescent="0.25">
      <c r="F839" s="6"/>
      <c r="G839" s="6"/>
    </row>
    <row r="840" spans="6:7" x14ac:dyDescent="0.25">
      <c r="F840" s="6"/>
      <c r="G840" s="6"/>
    </row>
    <row r="841" spans="6:7" x14ac:dyDescent="0.25">
      <c r="F841" s="6"/>
      <c r="G841" s="6"/>
    </row>
    <row r="842" spans="6:7" x14ac:dyDescent="0.25">
      <c r="F842" s="6"/>
      <c r="G842" s="6"/>
    </row>
    <row r="843" spans="6:7" x14ac:dyDescent="0.25">
      <c r="F843" s="6"/>
      <c r="G843" s="6"/>
    </row>
    <row r="844" spans="6:7" x14ac:dyDescent="0.25">
      <c r="F844" s="6"/>
      <c r="G844" s="6"/>
    </row>
    <row r="845" spans="6:7" x14ac:dyDescent="0.25">
      <c r="F845" s="6"/>
      <c r="G845" s="6"/>
    </row>
    <row r="846" spans="6:7" x14ac:dyDescent="0.25">
      <c r="F846" s="6"/>
      <c r="G846" s="6"/>
    </row>
    <row r="847" spans="6:7" x14ac:dyDescent="0.25">
      <c r="F847" s="6"/>
      <c r="G847" s="6"/>
    </row>
    <row r="848" spans="6:7" x14ac:dyDescent="0.25">
      <c r="F848" s="6"/>
      <c r="G848" s="6"/>
    </row>
    <row r="849" spans="6:7" x14ac:dyDescent="0.25">
      <c r="F849" s="6"/>
      <c r="G849" s="6"/>
    </row>
    <row r="850" spans="6:7" x14ac:dyDescent="0.25">
      <c r="F850" s="6"/>
      <c r="G850" s="6"/>
    </row>
    <row r="851" spans="6:7" x14ac:dyDescent="0.25">
      <c r="F851" s="6"/>
      <c r="G851" s="6"/>
    </row>
    <row r="852" spans="6:7" x14ac:dyDescent="0.25">
      <c r="F852" s="6"/>
      <c r="G852" s="6"/>
    </row>
    <row r="853" spans="6:7" x14ac:dyDescent="0.25">
      <c r="F853" s="6"/>
      <c r="G853" s="6"/>
    </row>
    <row r="854" spans="6:7" x14ac:dyDescent="0.25">
      <c r="F854" s="6"/>
      <c r="G854" s="6"/>
    </row>
    <row r="855" spans="6:7" x14ac:dyDescent="0.25">
      <c r="F855" s="6"/>
      <c r="G855" s="6"/>
    </row>
    <row r="856" spans="6:7" x14ac:dyDescent="0.25">
      <c r="F856" s="6"/>
      <c r="G856" s="6"/>
    </row>
    <row r="857" spans="6:7" x14ac:dyDescent="0.25">
      <c r="F857" s="6"/>
      <c r="G857" s="6"/>
    </row>
    <row r="858" spans="6:7" x14ac:dyDescent="0.25">
      <c r="F858" s="6"/>
      <c r="G858" s="6"/>
    </row>
    <row r="859" spans="6:7" x14ac:dyDescent="0.25">
      <c r="F859" s="6"/>
      <c r="G859" s="6"/>
    </row>
    <row r="860" spans="6:7" x14ac:dyDescent="0.25">
      <c r="F860" s="6"/>
      <c r="G860" s="6"/>
    </row>
    <row r="861" spans="6:7" x14ac:dyDescent="0.25">
      <c r="F861" s="6"/>
      <c r="G861" s="6"/>
    </row>
    <row r="862" spans="6:7" x14ac:dyDescent="0.25">
      <c r="F862" s="6"/>
      <c r="G862" s="6"/>
    </row>
    <row r="863" spans="6:7" x14ac:dyDescent="0.25">
      <c r="F863" s="6"/>
      <c r="G863" s="6"/>
    </row>
    <row r="864" spans="6:7" x14ac:dyDescent="0.25">
      <c r="F864" s="6"/>
      <c r="G864" s="6"/>
    </row>
    <row r="865" spans="6:7" x14ac:dyDescent="0.25">
      <c r="F865" s="6"/>
      <c r="G865" s="6"/>
    </row>
    <row r="866" spans="6:7" x14ac:dyDescent="0.25">
      <c r="F866" s="6"/>
      <c r="G866" s="6"/>
    </row>
    <row r="867" spans="6:7" x14ac:dyDescent="0.25">
      <c r="F867" s="6"/>
      <c r="G867" s="6"/>
    </row>
    <row r="868" spans="6:7" x14ac:dyDescent="0.25">
      <c r="F868" s="6"/>
      <c r="G868" s="6"/>
    </row>
    <row r="869" spans="6:7" x14ac:dyDescent="0.25">
      <c r="F869" s="6"/>
      <c r="G869" s="6"/>
    </row>
    <row r="870" spans="6:7" x14ac:dyDescent="0.25">
      <c r="F870" s="6"/>
      <c r="G870" s="6"/>
    </row>
    <row r="871" spans="6:7" x14ac:dyDescent="0.25">
      <c r="F871" s="6"/>
      <c r="G871" s="6"/>
    </row>
    <row r="872" spans="6:7" x14ac:dyDescent="0.25">
      <c r="F872" s="6"/>
      <c r="G872" s="6"/>
    </row>
    <row r="873" spans="6:7" x14ac:dyDescent="0.25">
      <c r="F873" s="6"/>
      <c r="G873" s="6"/>
    </row>
    <row r="874" spans="6:7" x14ac:dyDescent="0.25">
      <c r="F874" s="6"/>
      <c r="G874" s="6"/>
    </row>
    <row r="875" spans="6:7" x14ac:dyDescent="0.25">
      <c r="F875" s="6"/>
      <c r="G875" s="6"/>
    </row>
    <row r="876" spans="6:7" x14ac:dyDescent="0.25">
      <c r="F876" s="6"/>
      <c r="G876" s="6"/>
    </row>
    <row r="877" spans="6:7" x14ac:dyDescent="0.25">
      <c r="F877" s="6"/>
      <c r="G877" s="6"/>
    </row>
    <row r="878" spans="6:7" x14ac:dyDescent="0.25">
      <c r="F878" s="6"/>
      <c r="G878" s="6"/>
    </row>
    <row r="879" spans="6:7" x14ac:dyDescent="0.25">
      <c r="F879" s="6"/>
      <c r="G879" s="6"/>
    </row>
    <row r="880" spans="6:7" x14ac:dyDescent="0.25">
      <c r="F880" s="6"/>
      <c r="G880" s="6"/>
    </row>
    <row r="881" spans="6:7" x14ac:dyDescent="0.25">
      <c r="F881" s="6"/>
      <c r="G881" s="6"/>
    </row>
    <row r="882" spans="6:7" x14ac:dyDescent="0.25">
      <c r="F882" s="6"/>
      <c r="G882" s="6"/>
    </row>
    <row r="883" spans="6:7" x14ac:dyDescent="0.25">
      <c r="F883" s="6"/>
      <c r="G883" s="6"/>
    </row>
    <row r="884" spans="6:7" x14ac:dyDescent="0.25">
      <c r="F884" s="6"/>
      <c r="G884" s="6"/>
    </row>
    <row r="885" spans="6:7" x14ac:dyDescent="0.25">
      <c r="F885" s="6"/>
      <c r="G885" s="6"/>
    </row>
    <row r="886" spans="6:7" x14ac:dyDescent="0.25">
      <c r="F886" s="6"/>
      <c r="G886" s="6"/>
    </row>
    <row r="887" spans="6:7" x14ac:dyDescent="0.25">
      <c r="F887" s="6"/>
      <c r="G887" s="6"/>
    </row>
    <row r="888" spans="6:7" x14ac:dyDescent="0.25">
      <c r="F888" s="6"/>
      <c r="G888" s="6"/>
    </row>
    <row r="889" spans="6:7" x14ac:dyDescent="0.25">
      <c r="F889" s="6"/>
      <c r="G889" s="6"/>
    </row>
    <row r="890" spans="6:7" x14ac:dyDescent="0.25">
      <c r="F890" s="6"/>
      <c r="G890" s="6"/>
    </row>
    <row r="891" spans="6:7" x14ac:dyDescent="0.25">
      <c r="F891" s="6"/>
      <c r="G891" s="6"/>
    </row>
    <row r="892" spans="6:7" x14ac:dyDescent="0.25">
      <c r="F892" s="6"/>
      <c r="G892" s="6"/>
    </row>
    <row r="893" spans="6:7" x14ac:dyDescent="0.25">
      <c r="F893" s="6"/>
      <c r="G893" s="6"/>
    </row>
    <row r="894" spans="6:7" x14ac:dyDescent="0.25">
      <c r="F894" s="6"/>
      <c r="G894" s="6"/>
    </row>
    <row r="895" spans="6:7" x14ac:dyDescent="0.25">
      <c r="F895" s="6"/>
      <c r="G895" s="6"/>
    </row>
    <row r="896" spans="6:7" x14ac:dyDescent="0.25">
      <c r="F896" s="6"/>
      <c r="G896" s="6"/>
    </row>
    <row r="897" spans="6:7" x14ac:dyDescent="0.25">
      <c r="F897" s="6"/>
      <c r="G897" s="6"/>
    </row>
    <row r="898" spans="6:7" x14ac:dyDescent="0.25">
      <c r="F898" s="6"/>
      <c r="G898" s="6"/>
    </row>
    <row r="899" spans="6:7" x14ac:dyDescent="0.25">
      <c r="F899" s="6"/>
      <c r="G899" s="6"/>
    </row>
    <row r="900" spans="6:7" x14ac:dyDescent="0.25">
      <c r="F900" s="6"/>
      <c r="G900" s="6"/>
    </row>
    <row r="901" spans="6:7" x14ac:dyDescent="0.25">
      <c r="F901" s="6"/>
      <c r="G901" s="6"/>
    </row>
    <row r="902" spans="6:7" x14ac:dyDescent="0.25">
      <c r="F902" s="6"/>
      <c r="G902" s="6"/>
    </row>
    <row r="903" spans="6:7" x14ac:dyDescent="0.25">
      <c r="F903" s="6"/>
      <c r="G903" s="6"/>
    </row>
    <row r="904" spans="6:7" x14ac:dyDescent="0.25">
      <c r="F904" s="6"/>
      <c r="G904" s="6"/>
    </row>
    <row r="905" spans="6:7" x14ac:dyDescent="0.25">
      <c r="F905" s="6"/>
      <c r="G905" s="6"/>
    </row>
    <row r="906" spans="6:7" x14ac:dyDescent="0.25">
      <c r="F906" s="6"/>
      <c r="G906" s="6"/>
    </row>
    <row r="907" spans="6:7" x14ac:dyDescent="0.25">
      <c r="F907" s="6"/>
      <c r="G907" s="6"/>
    </row>
    <row r="908" spans="6:7" x14ac:dyDescent="0.25">
      <c r="F908" s="6"/>
      <c r="G908" s="6"/>
    </row>
    <row r="909" spans="6:7" x14ac:dyDescent="0.25">
      <c r="F909" s="6"/>
      <c r="G909" s="6"/>
    </row>
    <row r="910" spans="6:7" x14ac:dyDescent="0.25">
      <c r="F910" s="6"/>
      <c r="G910" s="6"/>
    </row>
    <row r="911" spans="6:7" x14ac:dyDescent="0.25">
      <c r="F911" s="6"/>
      <c r="G911" s="6"/>
    </row>
    <row r="912" spans="6:7" x14ac:dyDescent="0.25">
      <c r="F912" s="6"/>
      <c r="G912" s="6"/>
    </row>
    <row r="913" spans="6:7" x14ac:dyDescent="0.25">
      <c r="F913" s="6"/>
      <c r="G913" s="6"/>
    </row>
    <row r="914" spans="6:7" x14ac:dyDescent="0.25">
      <c r="F914" s="6"/>
      <c r="G914" s="6"/>
    </row>
    <row r="915" spans="6:7" x14ac:dyDescent="0.25">
      <c r="F915" s="6"/>
      <c r="G915" s="6"/>
    </row>
    <row r="916" spans="6:7" x14ac:dyDescent="0.25">
      <c r="F916" s="6"/>
      <c r="G916" s="6"/>
    </row>
    <row r="917" spans="6:7" x14ac:dyDescent="0.25">
      <c r="F917" s="6"/>
      <c r="G917" s="6"/>
    </row>
    <row r="918" spans="6:7" x14ac:dyDescent="0.25">
      <c r="F918" s="6"/>
      <c r="G918" s="6"/>
    </row>
    <row r="919" spans="6:7" x14ac:dyDescent="0.25">
      <c r="F919" s="6"/>
      <c r="G919" s="6"/>
    </row>
    <row r="920" spans="6:7" x14ac:dyDescent="0.25">
      <c r="F920" s="6"/>
      <c r="G920" s="6"/>
    </row>
    <row r="921" spans="6:7" x14ac:dyDescent="0.25">
      <c r="F921" s="6"/>
      <c r="G921" s="6"/>
    </row>
    <row r="922" spans="6:7" x14ac:dyDescent="0.25">
      <c r="F922" s="6"/>
      <c r="G922" s="6"/>
    </row>
    <row r="923" spans="6:7" x14ac:dyDescent="0.25">
      <c r="F923" s="6"/>
      <c r="G923" s="6"/>
    </row>
    <row r="924" spans="6:7" x14ac:dyDescent="0.25">
      <c r="F924" s="6"/>
      <c r="G924" s="6"/>
    </row>
    <row r="925" spans="6:7" x14ac:dyDescent="0.25">
      <c r="F925" s="6"/>
      <c r="G925" s="6"/>
    </row>
    <row r="926" spans="6:7" x14ac:dyDescent="0.25">
      <c r="F926" s="6"/>
      <c r="G926" s="6"/>
    </row>
    <row r="927" spans="6:7" x14ac:dyDescent="0.25">
      <c r="F927" s="6"/>
      <c r="G927" s="6"/>
    </row>
    <row r="928" spans="6:7" x14ac:dyDescent="0.25">
      <c r="F928" s="6"/>
      <c r="G928" s="6"/>
    </row>
    <row r="929" spans="6:7" x14ac:dyDescent="0.25">
      <c r="F929" s="6"/>
      <c r="G929" s="6"/>
    </row>
    <row r="930" spans="6:7" x14ac:dyDescent="0.25">
      <c r="F930" s="6"/>
      <c r="G930" s="6"/>
    </row>
    <row r="931" spans="6:7" x14ac:dyDescent="0.25">
      <c r="F931" s="6"/>
      <c r="G931" s="6"/>
    </row>
    <row r="932" spans="6:7" x14ac:dyDescent="0.25">
      <c r="F932" s="6"/>
      <c r="G932" s="6"/>
    </row>
    <row r="933" spans="6:7" x14ac:dyDescent="0.25">
      <c r="F933" s="6"/>
      <c r="G933" s="6"/>
    </row>
    <row r="934" spans="6:7" x14ac:dyDescent="0.25">
      <c r="F934" s="6"/>
      <c r="G934" s="6"/>
    </row>
    <row r="935" spans="6:7" x14ac:dyDescent="0.25">
      <c r="F935" s="6"/>
      <c r="G935" s="6"/>
    </row>
    <row r="936" spans="6:7" x14ac:dyDescent="0.25">
      <c r="F936" s="6"/>
      <c r="G936" s="6"/>
    </row>
    <row r="937" spans="6:7" x14ac:dyDescent="0.25">
      <c r="F937" s="6"/>
      <c r="G937" s="6"/>
    </row>
    <row r="938" spans="6:7" x14ac:dyDescent="0.25">
      <c r="F938" s="6"/>
      <c r="G938" s="6"/>
    </row>
    <row r="939" spans="6:7" x14ac:dyDescent="0.25">
      <c r="F939" s="6"/>
      <c r="G939" s="6"/>
    </row>
    <row r="940" spans="6:7" x14ac:dyDescent="0.25">
      <c r="F940" s="6"/>
      <c r="G940" s="6"/>
    </row>
    <row r="941" spans="6:7" x14ac:dyDescent="0.25">
      <c r="F941" s="6"/>
      <c r="G941" s="6"/>
    </row>
    <row r="942" spans="6:7" x14ac:dyDescent="0.25">
      <c r="F942" s="6"/>
      <c r="G942" s="6"/>
    </row>
    <row r="943" spans="6:7" x14ac:dyDescent="0.25">
      <c r="F943" s="6"/>
      <c r="G943" s="6"/>
    </row>
    <row r="944" spans="6:7" x14ac:dyDescent="0.25">
      <c r="F944" s="6"/>
      <c r="G944" s="6"/>
    </row>
    <row r="945" spans="6:7" x14ac:dyDescent="0.25">
      <c r="F945" s="6"/>
      <c r="G945" s="6"/>
    </row>
    <row r="946" spans="6:7" x14ac:dyDescent="0.25">
      <c r="F946" s="6"/>
      <c r="G946" s="6"/>
    </row>
    <row r="947" spans="6:7" x14ac:dyDescent="0.25">
      <c r="F947" s="6"/>
      <c r="G947" s="6"/>
    </row>
    <row r="948" spans="6:7" x14ac:dyDescent="0.25">
      <c r="F948" s="6"/>
      <c r="G948" s="6"/>
    </row>
    <row r="949" spans="6:7" x14ac:dyDescent="0.25">
      <c r="F949" s="6"/>
      <c r="G949" s="6"/>
    </row>
    <row r="950" spans="6:7" x14ac:dyDescent="0.25">
      <c r="F950" s="6"/>
      <c r="G950" s="6"/>
    </row>
    <row r="951" spans="6:7" x14ac:dyDescent="0.25">
      <c r="F951" s="6"/>
      <c r="G951" s="6"/>
    </row>
    <row r="952" spans="6:7" x14ac:dyDescent="0.25">
      <c r="F952" s="6"/>
      <c r="G952" s="6"/>
    </row>
    <row r="953" spans="6:7" x14ac:dyDescent="0.25">
      <c r="F953" s="6"/>
      <c r="G953" s="6"/>
    </row>
    <row r="954" spans="6:7" x14ac:dyDescent="0.25">
      <c r="F954" s="6"/>
      <c r="G954" s="6"/>
    </row>
    <row r="955" spans="6:7" x14ac:dyDescent="0.25">
      <c r="F955" s="6"/>
      <c r="G955" s="6"/>
    </row>
    <row r="956" spans="6:7" x14ac:dyDescent="0.25">
      <c r="F956" s="6"/>
      <c r="G956" s="6"/>
    </row>
    <row r="957" spans="6:7" x14ac:dyDescent="0.25">
      <c r="F957" s="6"/>
      <c r="G957" s="6"/>
    </row>
    <row r="958" spans="6:7" x14ac:dyDescent="0.25">
      <c r="F958" s="6"/>
      <c r="G958" s="6"/>
    </row>
    <row r="959" spans="6:7" x14ac:dyDescent="0.25">
      <c r="F959" s="6"/>
      <c r="G959" s="6"/>
    </row>
    <row r="960" spans="6:7" x14ac:dyDescent="0.25">
      <c r="F960" s="6"/>
      <c r="G960" s="6"/>
    </row>
    <row r="961" spans="6:7" x14ac:dyDescent="0.25">
      <c r="F961" s="6"/>
      <c r="G961" s="6"/>
    </row>
    <row r="962" spans="6:7" x14ac:dyDescent="0.25">
      <c r="F962" s="6"/>
      <c r="G962" s="6"/>
    </row>
    <row r="963" spans="6:7" x14ac:dyDescent="0.25">
      <c r="F963" s="6"/>
      <c r="G963" s="6"/>
    </row>
    <row r="964" spans="6:7" x14ac:dyDescent="0.25">
      <c r="F964" s="6"/>
      <c r="G964" s="6"/>
    </row>
    <row r="965" spans="6:7" x14ac:dyDescent="0.25">
      <c r="F965" s="6"/>
      <c r="G965" s="6"/>
    </row>
    <row r="966" spans="6:7" x14ac:dyDescent="0.25">
      <c r="F966" s="6"/>
      <c r="G966" s="6"/>
    </row>
    <row r="967" spans="6:7" x14ac:dyDescent="0.25">
      <c r="F967" s="6"/>
      <c r="G967" s="6"/>
    </row>
    <row r="968" spans="6:7" x14ac:dyDescent="0.25">
      <c r="F968" s="6"/>
      <c r="G968" s="6"/>
    </row>
    <row r="969" spans="6:7" x14ac:dyDescent="0.25">
      <c r="F969" s="6"/>
      <c r="G969" s="6"/>
    </row>
    <row r="970" spans="6:7" x14ac:dyDescent="0.25">
      <c r="F970" s="6"/>
      <c r="G970" s="6"/>
    </row>
    <row r="971" spans="6:7" x14ac:dyDescent="0.25">
      <c r="F971" s="6"/>
      <c r="G971" s="6"/>
    </row>
    <row r="972" spans="6:7" x14ac:dyDescent="0.25">
      <c r="F972" s="6"/>
      <c r="G972" s="6"/>
    </row>
    <row r="973" spans="6:7" x14ac:dyDescent="0.25">
      <c r="F973" s="6"/>
      <c r="G973" s="6"/>
    </row>
    <row r="974" spans="6:7" x14ac:dyDescent="0.25">
      <c r="F974" s="6"/>
      <c r="G974" s="6"/>
    </row>
    <row r="975" spans="6:7" x14ac:dyDescent="0.25">
      <c r="F975" s="6"/>
      <c r="G975" s="6"/>
    </row>
    <row r="976" spans="6:7" x14ac:dyDescent="0.25">
      <c r="F976" s="6"/>
      <c r="G976" s="6"/>
    </row>
    <row r="977" spans="6:7" x14ac:dyDescent="0.25">
      <c r="F977" s="6"/>
      <c r="G977" s="6"/>
    </row>
    <row r="978" spans="6:7" x14ac:dyDescent="0.25">
      <c r="F978" s="6"/>
      <c r="G978" s="6"/>
    </row>
    <row r="979" spans="6:7" x14ac:dyDescent="0.25">
      <c r="F979" s="6"/>
      <c r="G979" s="6"/>
    </row>
    <row r="980" spans="6:7" x14ac:dyDescent="0.25">
      <c r="F980" s="6"/>
      <c r="G980" s="6"/>
    </row>
    <row r="981" spans="6:7" x14ac:dyDescent="0.25">
      <c r="F981" s="6"/>
      <c r="G981" s="6"/>
    </row>
    <row r="982" spans="6:7" x14ac:dyDescent="0.25">
      <c r="F982" s="6"/>
      <c r="G982" s="6"/>
    </row>
    <row r="983" spans="6:7" x14ac:dyDescent="0.25">
      <c r="F983" s="6"/>
      <c r="G983" s="6"/>
    </row>
    <row r="984" spans="6:7" x14ac:dyDescent="0.25">
      <c r="F984" s="6"/>
      <c r="G984" s="6"/>
    </row>
    <row r="985" spans="6:7" x14ac:dyDescent="0.25">
      <c r="F985" s="6"/>
      <c r="G985" s="6"/>
    </row>
    <row r="986" spans="6:7" x14ac:dyDescent="0.25">
      <c r="F986" s="6"/>
      <c r="G986" s="6"/>
    </row>
    <row r="987" spans="6:7" x14ac:dyDescent="0.25">
      <c r="F987" s="6"/>
      <c r="G987" s="6"/>
    </row>
    <row r="988" spans="6:7" x14ac:dyDescent="0.25">
      <c r="F988" s="6"/>
      <c r="G988" s="6"/>
    </row>
    <row r="989" spans="6:7" x14ac:dyDescent="0.25">
      <c r="F989" s="6"/>
      <c r="G989" s="6"/>
    </row>
    <row r="990" spans="6:7" x14ac:dyDescent="0.25">
      <c r="F990" s="6"/>
      <c r="G990" s="6"/>
    </row>
    <row r="991" spans="6:7" x14ac:dyDescent="0.25">
      <c r="F991" s="6"/>
      <c r="G991" s="6"/>
    </row>
    <row r="992" spans="6:7" x14ac:dyDescent="0.25">
      <c r="F992" s="6"/>
      <c r="G992" s="6"/>
    </row>
    <row r="993" spans="6:7" x14ac:dyDescent="0.25">
      <c r="F993" s="6"/>
      <c r="G993" s="6"/>
    </row>
    <row r="994" spans="6:7" x14ac:dyDescent="0.25">
      <c r="F994" s="6"/>
    </row>
    <row r="995" spans="6:7" x14ac:dyDescent="0.25">
      <c r="F995" s="6"/>
      <c r="G995" s="6"/>
    </row>
    <row r="996" spans="6:7" x14ac:dyDescent="0.25">
      <c r="F996" s="6"/>
      <c r="G996" s="6"/>
    </row>
    <row r="997" spans="6:7" x14ac:dyDescent="0.25">
      <c r="F997" s="6"/>
      <c r="G997" s="6"/>
    </row>
    <row r="998" spans="6:7" x14ac:dyDescent="0.25">
      <c r="F998" s="6"/>
      <c r="G998" s="6"/>
    </row>
    <row r="999" spans="6:7" x14ac:dyDescent="0.25">
      <c r="F999" s="6"/>
      <c r="G999" s="6"/>
    </row>
    <row r="1000" spans="6:7" x14ac:dyDescent="0.25">
      <c r="F1000" s="6"/>
      <c r="G1000" s="6"/>
    </row>
    <row r="1001" spans="6:7" x14ac:dyDescent="0.25">
      <c r="F1001" s="6"/>
      <c r="G1001" s="6"/>
    </row>
    <row r="1002" spans="6:7" x14ac:dyDescent="0.25">
      <c r="F1002" s="6"/>
      <c r="G1002" s="6"/>
    </row>
    <row r="1003" spans="6:7" x14ac:dyDescent="0.25">
      <c r="F1003" s="6"/>
      <c r="G1003" s="6"/>
    </row>
    <row r="1004" spans="6:7" x14ac:dyDescent="0.25">
      <c r="F1004" s="6"/>
      <c r="G1004" s="6"/>
    </row>
    <row r="1005" spans="6:7" x14ac:dyDescent="0.25">
      <c r="F1005" s="6"/>
      <c r="G1005" s="6"/>
    </row>
    <row r="1006" spans="6:7" x14ac:dyDescent="0.25">
      <c r="F1006" s="6"/>
      <c r="G1006" s="6"/>
    </row>
    <row r="1007" spans="6:7" x14ac:dyDescent="0.25">
      <c r="F1007" s="6"/>
      <c r="G1007" s="6"/>
    </row>
    <row r="1008" spans="6:7" x14ac:dyDescent="0.25">
      <c r="F1008" s="6"/>
      <c r="G1008" s="6"/>
    </row>
    <row r="1009" spans="6:7" x14ac:dyDescent="0.25">
      <c r="F1009" s="6"/>
      <c r="G1009" s="6"/>
    </row>
    <row r="1010" spans="6:7" x14ac:dyDescent="0.25">
      <c r="F1010" s="6"/>
      <c r="G1010" s="6"/>
    </row>
    <row r="1011" spans="6:7" x14ac:dyDescent="0.25">
      <c r="F1011" s="6"/>
      <c r="G1011" s="6"/>
    </row>
    <row r="1012" spans="6:7" x14ac:dyDescent="0.25">
      <c r="F1012" s="6"/>
      <c r="G1012" s="6"/>
    </row>
    <row r="1013" spans="6:7" x14ac:dyDescent="0.25">
      <c r="F1013" s="6"/>
      <c r="G1013" s="6"/>
    </row>
    <row r="1014" spans="6:7" x14ac:dyDescent="0.25">
      <c r="F1014" s="6"/>
      <c r="G1014" s="6"/>
    </row>
    <row r="1015" spans="6:7" x14ac:dyDescent="0.25">
      <c r="F1015" s="6"/>
      <c r="G1015" s="6"/>
    </row>
    <row r="1016" spans="6:7" x14ac:dyDescent="0.25">
      <c r="F1016" s="6"/>
      <c r="G1016" s="6"/>
    </row>
    <row r="1017" spans="6:7" x14ac:dyDescent="0.25">
      <c r="F1017" s="6"/>
      <c r="G1017" s="6"/>
    </row>
    <row r="1018" spans="6:7" x14ac:dyDescent="0.25">
      <c r="F1018" s="6"/>
      <c r="G1018" s="6"/>
    </row>
    <row r="1019" spans="6:7" x14ac:dyDescent="0.25">
      <c r="F1019" s="6"/>
      <c r="G1019" s="6"/>
    </row>
    <row r="1020" spans="6:7" x14ac:dyDescent="0.25">
      <c r="F1020" s="6"/>
      <c r="G1020" s="6"/>
    </row>
    <row r="1021" spans="6:7" x14ac:dyDescent="0.25">
      <c r="F1021" s="6"/>
      <c r="G1021" s="6"/>
    </row>
    <row r="1022" spans="6:7" x14ac:dyDescent="0.25">
      <c r="F1022" s="6"/>
      <c r="G1022" s="6"/>
    </row>
    <row r="1023" spans="6:7" x14ac:dyDescent="0.25">
      <c r="F1023" s="6"/>
      <c r="G1023" s="6"/>
    </row>
    <row r="1024" spans="6:7" x14ac:dyDescent="0.25">
      <c r="F1024" s="6"/>
      <c r="G1024" s="6"/>
    </row>
    <row r="1025" spans="6:7" x14ac:dyDescent="0.25">
      <c r="F1025" s="6"/>
      <c r="G1025" s="6"/>
    </row>
    <row r="1026" spans="6:7" x14ac:dyDescent="0.25">
      <c r="F1026" s="6"/>
      <c r="G1026" s="6"/>
    </row>
    <row r="1027" spans="6:7" x14ac:dyDescent="0.25">
      <c r="F1027" s="6"/>
      <c r="G1027" s="6"/>
    </row>
    <row r="1028" spans="6:7" x14ac:dyDescent="0.25">
      <c r="F1028" s="6"/>
      <c r="G1028" s="6"/>
    </row>
    <row r="1029" spans="6:7" x14ac:dyDescent="0.25">
      <c r="F1029" s="6"/>
      <c r="G1029" s="6"/>
    </row>
    <row r="1030" spans="6:7" x14ac:dyDescent="0.25">
      <c r="F1030" s="6"/>
      <c r="G1030" s="6"/>
    </row>
    <row r="1031" spans="6:7" x14ac:dyDescent="0.25">
      <c r="F1031" s="6"/>
      <c r="G1031" s="6"/>
    </row>
    <row r="1032" spans="6:7" x14ac:dyDescent="0.25">
      <c r="F1032" s="6"/>
      <c r="G1032" s="6"/>
    </row>
    <row r="1033" spans="6:7" x14ac:dyDescent="0.25">
      <c r="F1033" s="6"/>
      <c r="G1033" s="6"/>
    </row>
    <row r="1034" spans="6:7" x14ac:dyDescent="0.25">
      <c r="F1034" s="6"/>
      <c r="G1034" s="6"/>
    </row>
    <row r="1035" spans="6:7" x14ac:dyDescent="0.25">
      <c r="F1035" s="6"/>
      <c r="G1035" s="6"/>
    </row>
    <row r="1036" spans="6:7" x14ac:dyDescent="0.25">
      <c r="F1036" s="6"/>
      <c r="G1036" s="6"/>
    </row>
    <row r="1037" spans="6:7" x14ac:dyDescent="0.25">
      <c r="F1037" s="6"/>
      <c r="G1037" s="6"/>
    </row>
    <row r="1038" spans="6:7" x14ac:dyDescent="0.25">
      <c r="F1038" s="6"/>
      <c r="G1038" s="6"/>
    </row>
    <row r="1039" spans="6:7" x14ac:dyDescent="0.25">
      <c r="F1039" s="6"/>
      <c r="G1039" s="6"/>
    </row>
    <row r="1040" spans="6:7" x14ac:dyDescent="0.25">
      <c r="F1040" s="6"/>
      <c r="G1040" s="6"/>
    </row>
    <row r="1041" spans="6:7" x14ac:dyDescent="0.25">
      <c r="F1041" s="6"/>
      <c r="G1041" s="6"/>
    </row>
    <row r="1042" spans="6:7" x14ac:dyDescent="0.25">
      <c r="F1042" s="6"/>
      <c r="G1042" s="6"/>
    </row>
    <row r="1043" spans="6:7" x14ac:dyDescent="0.25">
      <c r="F1043" s="6"/>
      <c r="G1043" s="6"/>
    </row>
    <row r="1044" spans="6:7" x14ac:dyDescent="0.25">
      <c r="F1044" s="6"/>
      <c r="G1044" s="6"/>
    </row>
    <row r="1045" spans="6:7" x14ac:dyDescent="0.25">
      <c r="F1045" s="6"/>
      <c r="G1045" s="6"/>
    </row>
    <row r="1046" spans="6:7" x14ac:dyDescent="0.25">
      <c r="F1046" s="6"/>
      <c r="G1046" s="6"/>
    </row>
    <row r="1047" spans="6:7" x14ac:dyDescent="0.25">
      <c r="F1047" s="6"/>
      <c r="G1047" s="6"/>
    </row>
    <row r="1048" spans="6:7" x14ac:dyDescent="0.25">
      <c r="F1048" s="6"/>
      <c r="G1048" s="6"/>
    </row>
    <row r="1049" spans="6:7" x14ac:dyDescent="0.25">
      <c r="F1049" s="6"/>
      <c r="G1049" s="6"/>
    </row>
    <row r="1050" spans="6:7" x14ac:dyDescent="0.25">
      <c r="F1050" s="6"/>
      <c r="G1050" s="6"/>
    </row>
    <row r="1051" spans="6:7" x14ac:dyDescent="0.25">
      <c r="F1051" s="6"/>
      <c r="G1051" s="6"/>
    </row>
    <row r="1052" spans="6:7" x14ac:dyDescent="0.25">
      <c r="F1052" s="6"/>
      <c r="G1052" s="6"/>
    </row>
    <row r="1053" spans="6:7" x14ac:dyDescent="0.25">
      <c r="F1053" s="6"/>
      <c r="G1053" s="6"/>
    </row>
    <row r="1054" spans="6:7" x14ac:dyDescent="0.25">
      <c r="F1054" s="6"/>
      <c r="G1054" s="6"/>
    </row>
    <row r="1055" spans="6:7" x14ac:dyDescent="0.25">
      <c r="F1055" s="6"/>
      <c r="G1055" s="6"/>
    </row>
    <row r="1056" spans="6:7" x14ac:dyDescent="0.25">
      <c r="F1056" s="6"/>
      <c r="G1056" s="6"/>
    </row>
    <row r="1057" spans="6:7" x14ac:dyDescent="0.25">
      <c r="F1057" s="6"/>
      <c r="G1057" s="6"/>
    </row>
    <row r="1058" spans="6:7" x14ac:dyDescent="0.25">
      <c r="F1058" s="6"/>
      <c r="G1058" s="6"/>
    </row>
    <row r="1059" spans="6:7" x14ac:dyDescent="0.25">
      <c r="F1059" s="6"/>
      <c r="G1059" s="6"/>
    </row>
    <row r="1060" spans="6:7" x14ac:dyDescent="0.25">
      <c r="F1060" s="6"/>
      <c r="G1060" s="6"/>
    </row>
    <row r="1061" spans="6:7" x14ac:dyDescent="0.25">
      <c r="F1061" s="6"/>
      <c r="G1061" s="6"/>
    </row>
    <row r="1062" spans="6:7" x14ac:dyDescent="0.25">
      <c r="F1062" s="6"/>
      <c r="G1062" s="6"/>
    </row>
    <row r="1063" spans="6:7" x14ac:dyDescent="0.25">
      <c r="F1063" s="6"/>
      <c r="G1063" s="6"/>
    </row>
    <row r="1064" spans="6:7" x14ac:dyDescent="0.25">
      <c r="F1064" s="6"/>
      <c r="G1064" s="6"/>
    </row>
    <row r="1065" spans="6:7" x14ac:dyDescent="0.25">
      <c r="F1065" s="6"/>
      <c r="G1065" s="6"/>
    </row>
    <row r="1066" spans="6:7" x14ac:dyDescent="0.25">
      <c r="F1066" s="6"/>
      <c r="G1066" s="6"/>
    </row>
    <row r="1067" spans="6:7" x14ac:dyDescent="0.25">
      <c r="F1067" s="6"/>
      <c r="G1067" s="6"/>
    </row>
    <row r="1068" spans="6:7" x14ac:dyDescent="0.25">
      <c r="F1068" s="6"/>
      <c r="G1068" s="6"/>
    </row>
    <row r="1069" spans="6:7" x14ac:dyDescent="0.25">
      <c r="F1069" s="6"/>
      <c r="G1069" s="6"/>
    </row>
    <row r="1070" spans="6:7" x14ac:dyDescent="0.25">
      <c r="F1070" s="6"/>
      <c r="G1070" s="6"/>
    </row>
    <row r="1071" spans="6:7" x14ac:dyDescent="0.25">
      <c r="F1071" s="6"/>
      <c r="G1071" s="6"/>
    </row>
    <row r="1072" spans="6:7" x14ac:dyDescent="0.25">
      <c r="F1072" s="6"/>
      <c r="G1072" s="6"/>
    </row>
    <row r="1073" spans="6:7" x14ac:dyDescent="0.25">
      <c r="F1073" s="6"/>
      <c r="G1073" s="6"/>
    </row>
    <row r="1074" spans="6:7" x14ac:dyDescent="0.25">
      <c r="F1074" s="6"/>
      <c r="G1074" s="6"/>
    </row>
    <row r="1075" spans="6:7" x14ac:dyDescent="0.25">
      <c r="F1075" s="6"/>
      <c r="G1075" s="6"/>
    </row>
    <row r="1076" spans="6:7" x14ac:dyDescent="0.25">
      <c r="F1076" s="6"/>
      <c r="G1076" s="6"/>
    </row>
    <row r="1077" spans="6:7" x14ac:dyDescent="0.25">
      <c r="F1077" s="6"/>
      <c r="G1077" s="6"/>
    </row>
    <row r="1078" spans="6:7" x14ac:dyDescent="0.25">
      <c r="F1078" s="6"/>
      <c r="G1078" s="6"/>
    </row>
    <row r="1079" spans="6:7" x14ac:dyDescent="0.25">
      <c r="F1079" s="6"/>
      <c r="G1079" s="6"/>
    </row>
    <row r="1080" spans="6:7" x14ac:dyDescent="0.25">
      <c r="F1080" s="6"/>
      <c r="G1080" s="6"/>
    </row>
    <row r="1081" spans="6:7" x14ac:dyDescent="0.25">
      <c r="F1081" s="6"/>
      <c r="G1081" s="6"/>
    </row>
    <row r="1082" spans="6:7" x14ac:dyDescent="0.25">
      <c r="F1082" s="6"/>
      <c r="G1082" s="6"/>
    </row>
    <row r="1083" spans="6:7" x14ac:dyDescent="0.25">
      <c r="F1083" s="6"/>
      <c r="G1083" s="6"/>
    </row>
    <row r="1084" spans="6:7" x14ac:dyDescent="0.25">
      <c r="F1084" s="6"/>
      <c r="G1084" s="6"/>
    </row>
    <row r="1085" spans="6:7" x14ac:dyDescent="0.25">
      <c r="F1085" s="6"/>
      <c r="G1085" s="6"/>
    </row>
    <row r="1086" spans="6:7" x14ac:dyDescent="0.25">
      <c r="F1086" s="6"/>
      <c r="G1086" s="6"/>
    </row>
    <row r="1087" spans="6:7" x14ac:dyDescent="0.25">
      <c r="F1087" s="6"/>
      <c r="G1087" s="6"/>
    </row>
    <row r="1088" spans="6:7" x14ac:dyDescent="0.25">
      <c r="F1088" s="6"/>
      <c r="G1088" s="6"/>
    </row>
    <row r="1089" spans="6:7" x14ac:dyDescent="0.25">
      <c r="F1089" s="6"/>
      <c r="G1089" s="6"/>
    </row>
    <row r="1090" spans="6:7" x14ac:dyDescent="0.25">
      <c r="F1090" s="6"/>
      <c r="G1090" s="6"/>
    </row>
    <row r="1091" spans="6:7" x14ac:dyDescent="0.25">
      <c r="F1091" s="6"/>
      <c r="G1091" s="6"/>
    </row>
    <row r="1092" spans="6:7" x14ac:dyDescent="0.25">
      <c r="F1092" s="6"/>
      <c r="G1092" s="6"/>
    </row>
    <row r="1093" spans="6:7" x14ac:dyDescent="0.25">
      <c r="F1093" s="6"/>
      <c r="G1093" s="6"/>
    </row>
    <row r="1094" spans="6:7" x14ac:dyDescent="0.25">
      <c r="F1094" s="6"/>
      <c r="G1094" s="6"/>
    </row>
    <row r="1095" spans="6:7" x14ac:dyDescent="0.25">
      <c r="F1095" s="6"/>
      <c r="G1095" s="6"/>
    </row>
    <row r="1096" spans="6:7" x14ac:dyDescent="0.25">
      <c r="F1096" s="6"/>
      <c r="G1096" s="6"/>
    </row>
    <row r="1097" spans="6:7" x14ac:dyDescent="0.25">
      <c r="F1097" s="6"/>
      <c r="G1097" s="6"/>
    </row>
    <row r="1098" spans="6:7" x14ac:dyDescent="0.25">
      <c r="F1098" s="6"/>
      <c r="G1098" s="6"/>
    </row>
    <row r="1099" spans="6:7" x14ac:dyDescent="0.25">
      <c r="F1099" s="6"/>
      <c r="G1099" s="6"/>
    </row>
    <row r="1100" spans="6:7" x14ac:dyDescent="0.25">
      <c r="F1100" s="6"/>
      <c r="G1100" s="6"/>
    </row>
    <row r="1101" spans="6:7" x14ac:dyDescent="0.25">
      <c r="F1101" s="6"/>
      <c r="G1101" s="6"/>
    </row>
    <row r="1102" spans="6:7" x14ac:dyDescent="0.25">
      <c r="F1102" s="6"/>
      <c r="G1102" s="6"/>
    </row>
    <row r="1103" spans="6:7" x14ac:dyDescent="0.25">
      <c r="F1103" s="6"/>
      <c r="G1103" s="6"/>
    </row>
    <row r="1104" spans="6:7" x14ac:dyDescent="0.25">
      <c r="F1104" s="6"/>
      <c r="G1104" s="6"/>
    </row>
    <row r="1105" spans="6:7" x14ac:dyDescent="0.25">
      <c r="F1105" s="6"/>
      <c r="G1105" s="6"/>
    </row>
    <row r="1106" spans="6:7" x14ac:dyDescent="0.25">
      <c r="F1106" s="6"/>
      <c r="G1106" s="6"/>
    </row>
    <row r="1107" spans="6:7" x14ac:dyDescent="0.25">
      <c r="F1107" s="6"/>
      <c r="G1107" s="6"/>
    </row>
    <row r="1108" spans="6:7" x14ac:dyDescent="0.25">
      <c r="F1108" s="6"/>
      <c r="G1108" s="6"/>
    </row>
    <row r="1109" spans="6:7" x14ac:dyDescent="0.25">
      <c r="F1109" s="6"/>
      <c r="G1109" s="6"/>
    </row>
    <row r="1110" spans="6:7" x14ac:dyDescent="0.25">
      <c r="F1110" s="6"/>
      <c r="G1110" s="6"/>
    </row>
    <row r="1111" spans="6:7" x14ac:dyDescent="0.25">
      <c r="F1111" s="6"/>
      <c r="G1111" s="6"/>
    </row>
    <row r="1112" spans="6:7" x14ac:dyDescent="0.25">
      <c r="F1112" s="6"/>
      <c r="G1112" s="6"/>
    </row>
    <row r="1113" spans="6:7" x14ac:dyDescent="0.25">
      <c r="F1113" s="6"/>
      <c r="G1113" s="6"/>
    </row>
    <row r="1114" spans="6:7" x14ac:dyDescent="0.25">
      <c r="F1114" s="6"/>
      <c r="G1114" s="6"/>
    </row>
    <row r="1115" spans="6:7" x14ac:dyDescent="0.25">
      <c r="F1115" s="6"/>
      <c r="G1115" s="6"/>
    </row>
    <row r="1116" spans="6:7" x14ac:dyDescent="0.25">
      <c r="F1116" s="6"/>
      <c r="G1116" s="6"/>
    </row>
    <row r="1117" spans="6:7" x14ac:dyDescent="0.25">
      <c r="F1117" s="6"/>
      <c r="G1117" s="6"/>
    </row>
    <row r="1118" spans="6:7" x14ac:dyDescent="0.25">
      <c r="F1118" s="6"/>
      <c r="G1118" s="6"/>
    </row>
    <row r="1119" spans="6:7" x14ac:dyDescent="0.25">
      <c r="F1119" s="6"/>
      <c r="G1119" s="6"/>
    </row>
    <row r="1120" spans="6:7" x14ac:dyDescent="0.25">
      <c r="F1120" s="6"/>
      <c r="G1120" s="6"/>
    </row>
    <row r="1121" spans="6:7" x14ac:dyDescent="0.25">
      <c r="F1121" s="6"/>
      <c r="G1121" s="6"/>
    </row>
    <row r="1122" spans="6:7" x14ac:dyDescent="0.25">
      <c r="F1122" s="6"/>
      <c r="G1122" s="6"/>
    </row>
    <row r="1123" spans="6:7" x14ac:dyDescent="0.25">
      <c r="F1123" s="6"/>
      <c r="G1123" s="6"/>
    </row>
    <row r="1124" spans="6:7" x14ac:dyDescent="0.25">
      <c r="F1124" s="6"/>
      <c r="G1124" s="6"/>
    </row>
    <row r="1125" spans="6:7" x14ac:dyDescent="0.25">
      <c r="F1125" s="6"/>
      <c r="G1125" s="6"/>
    </row>
    <row r="1126" spans="6:7" x14ac:dyDescent="0.25">
      <c r="F1126" s="6"/>
      <c r="G1126" s="6"/>
    </row>
    <row r="1127" spans="6:7" x14ac:dyDescent="0.25">
      <c r="F1127" s="6"/>
      <c r="G1127" s="6"/>
    </row>
    <row r="1128" spans="6:7" x14ac:dyDescent="0.25">
      <c r="F1128" s="6"/>
      <c r="G1128" s="6"/>
    </row>
    <row r="1129" spans="6:7" x14ac:dyDescent="0.25">
      <c r="F1129" s="6"/>
      <c r="G1129" s="6"/>
    </row>
    <row r="1130" spans="6:7" x14ac:dyDescent="0.25">
      <c r="F1130" s="6"/>
      <c r="G1130" s="6"/>
    </row>
    <row r="1131" spans="6:7" x14ac:dyDescent="0.25">
      <c r="F1131" s="6"/>
      <c r="G1131" s="6"/>
    </row>
    <row r="1132" spans="6:7" x14ac:dyDescent="0.25">
      <c r="F1132" s="6"/>
      <c r="G1132" s="6"/>
    </row>
    <row r="1133" spans="6:7" x14ac:dyDescent="0.25">
      <c r="F1133" s="6"/>
      <c r="G1133" s="6"/>
    </row>
    <row r="1134" spans="6:7" x14ac:dyDescent="0.25">
      <c r="F1134" s="6"/>
      <c r="G1134" s="6"/>
    </row>
    <row r="1135" spans="6:7" x14ac:dyDescent="0.25">
      <c r="F1135" s="6"/>
      <c r="G1135" s="6"/>
    </row>
    <row r="1136" spans="6:7" x14ac:dyDescent="0.25">
      <c r="F1136" s="6"/>
      <c r="G1136" s="6"/>
    </row>
    <row r="1137" spans="6:7" x14ac:dyDescent="0.25">
      <c r="F1137" s="6"/>
      <c r="G1137" s="6"/>
    </row>
    <row r="1138" spans="6:7" x14ac:dyDescent="0.25">
      <c r="F1138" s="6"/>
      <c r="G1138" s="6"/>
    </row>
    <row r="1139" spans="6:7" x14ac:dyDescent="0.25">
      <c r="F1139" s="6"/>
      <c r="G1139" s="6"/>
    </row>
    <row r="1140" spans="6:7" x14ac:dyDescent="0.25">
      <c r="F1140" s="6"/>
      <c r="G1140" s="6"/>
    </row>
    <row r="1141" spans="6:7" x14ac:dyDescent="0.25">
      <c r="F1141" s="6"/>
      <c r="G1141" s="6"/>
    </row>
    <row r="1142" spans="6:7" x14ac:dyDescent="0.25">
      <c r="F1142" s="6"/>
      <c r="G1142" s="6"/>
    </row>
    <row r="1143" spans="6:7" x14ac:dyDescent="0.25">
      <c r="F1143" s="6"/>
      <c r="G1143" s="6"/>
    </row>
    <row r="1144" spans="6:7" x14ac:dyDescent="0.25">
      <c r="F1144" s="6"/>
      <c r="G1144" s="6"/>
    </row>
    <row r="1145" spans="6:7" x14ac:dyDescent="0.25">
      <c r="F1145" s="6"/>
      <c r="G1145" s="6"/>
    </row>
    <row r="1146" spans="6:7" x14ac:dyDescent="0.25">
      <c r="F1146" s="6"/>
    </row>
    <row r="1147" spans="6:7" x14ac:dyDescent="0.25">
      <c r="F1147" s="6"/>
      <c r="G1147" s="6"/>
    </row>
    <row r="1148" spans="6:7" x14ac:dyDescent="0.25">
      <c r="F1148" s="6"/>
      <c r="G1148" s="6"/>
    </row>
    <row r="1149" spans="6:7" x14ac:dyDescent="0.25">
      <c r="F1149" s="6"/>
      <c r="G1149" s="6"/>
    </row>
    <row r="1150" spans="6:7" x14ac:dyDescent="0.25">
      <c r="F1150" s="6"/>
      <c r="G1150" s="6"/>
    </row>
    <row r="1151" spans="6:7" x14ac:dyDescent="0.25">
      <c r="F1151" s="6"/>
      <c r="G1151" s="6"/>
    </row>
    <row r="1152" spans="6:7" x14ac:dyDescent="0.25">
      <c r="F1152" s="6"/>
    </row>
    <row r="1153" spans="6:7" x14ac:dyDescent="0.25">
      <c r="F1153" s="6"/>
      <c r="G1153" s="6"/>
    </row>
    <row r="1154" spans="6:7" x14ac:dyDescent="0.25">
      <c r="F1154" s="6"/>
      <c r="G1154" s="6"/>
    </row>
    <row r="1155" spans="6:7" x14ac:dyDescent="0.25">
      <c r="F1155" s="6"/>
      <c r="G1155" s="6"/>
    </row>
    <row r="1156" spans="6:7" x14ac:dyDescent="0.25">
      <c r="F1156" s="6"/>
      <c r="G1156" s="6"/>
    </row>
    <row r="1157" spans="6:7" x14ac:dyDescent="0.25">
      <c r="F1157" s="6"/>
      <c r="G1157" s="6"/>
    </row>
    <row r="1158" spans="6:7" x14ac:dyDescent="0.25">
      <c r="F1158" s="6"/>
      <c r="G1158" s="6"/>
    </row>
    <row r="1159" spans="6:7" x14ac:dyDescent="0.25">
      <c r="F1159" s="6"/>
      <c r="G1159" s="6"/>
    </row>
    <row r="1160" spans="6:7" x14ac:dyDescent="0.25">
      <c r="F1160" s="6"/>
      <c r="G1160" s="6"/>
    </row>
    <row r="1161" spans="6:7" x14ac:dyDescent="0.25">
      <c r="F1161" s="6"/>
      <c r="G1161" s="6"/>
    </row>
    <row r="1162" spans="6:7" x14ac:dyDescent="0.25">
      <c r="F1162" s="6"/>
      <c r="G1162" s="6"/>
    </row>
    <row r="1163" spans="6:7" x14ac:dyDescent="0.25">
      <c r="F1163" s="6"/>
      <c r="G1163" s="6"/>
    </row>
    <row r="1164" spans="6:7" x14ac:dyDescent="0.25">
      <c r="F1164" s="6"/>
      <c r="G1164" s="6"/>
    </row>
    <row r="1165" spans="6:7" x14ac:dyDescent="0.25">
      <c r="F1165" s="6"/>
      <c r="G1165" s="6"/>
    </row>
    <row r="1166" spans="6:7" x14ac:dyDescent="0.25">
      <c r="F1166" s="6"/>
      <c r="G1166" s="6"/>
    </row>
    <row r="1167" spans="6:7" x14ac:dyDescent="0.25">
      <c r="F1167" s="6"/>
      <c r="G1167" s="6"/>
    </row>
    <row r="1168" spans="6:7" x14ac:dyDescent="0.25">
      <c r="F1168" s="6"/>
      <c r="G1168" s="6"/>
    </row>
    <row r="1169" spans="6:7" x14ac:dyDescent="0.25">
      <c r="F1169" s="6"/>
      <c r="G1169" s="6"/>
    </row>
    <row r="1171" spans="6:7" x14ac:dyDescent="0.25">
      <c r="F1171" s="6"/>
    </row>
    <row r="1172" spans="6:7" x14ac:dyDescent="0.25">
      <c r="F1172" s="6"/>
    </row>
    <row r="1173" spans="6:7" x14ac:dyDescent="0.25">
      <c r="F1173" s="6"/>
    </row>
    <row r="1174" spans="6:7" x14ac:dyDescent="0.25">
      <c r="F1174" s="6"/>
    </row>
    <row r="1175" spans="6:7" x14ac:dyDescent="0.25">
      <c r="F1175" s="6"/>
    </row>
    <row r="1176" spans="6:7" x14ac:dyDescent="0.25">
      <c r="F1176" s="6"/>
    </row>
    <row r="1177" spans="6:7" x14ac:dyDescent="0.25">
      <c r="F1177" s="6"/>
    </row>
    <row r="1178" spans="6:7" x14ac:dyDescent="0.25">
      <c r="F1178" s="6"/>
    </row>
    <row r="1179" spans="6:7" x14ac:dyDescent="0.25">
      <c r="F1179" s="6"/>
    </row>
    <row r="1180" spans="6:7" x14ac:dyDescent="0.25">
      <c r="F1180" s="6"/>
    </row>
    <row r="1181" spans="6:7" x14ac:dyDescent="0.25">
      <c r="F1181" s="6"/>
    </row>
    <row r="1182" spans="6:7" x14ac:dyDescent="0.25">
      <c r="F1182" s="6"/>
    </row>
    <row r="1183" spans="6:7" x14ac:dyDescent="0.25">
      <c r="F1183" s="6"/>
    </row>
    <row r="1184" spans="6:7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  <row r="1209" spans="6:6" x14ac:dyDescent="0.25">
      <c r="F1209" s="6"/>
    </row>
    <row r="1210" spans="6:6" x14ac:dyDescent="0.25">
      <c r="F1210" s="6"/>
    </row>
    <row r="1211" spans="6:6" x14ac:dyDescent="0.25">
      <c r="F1211" s="6"/>
    </row>
    <row r="1212" spans="6:6" x14ac:dyDescent="0.25">
      <c r="F1212" s="6"/>
    </row>
    <row r="1213" spans="6:6" x14ac:dyDescent="0.25">
      <c r="F1213" s="6"/>
    </row>
    <row r="1214" spans="6:6" x14ac:dyDescent="0.25">
      <c r="F1214" s="6"/>
    </row>
    <row r="1215" spans="6:6" x14ac:dyDescent="0.25">
      <c r="F1215" s="6"/>
    </row>
    <row r="1216" spans="6:6" x14ac:dyDescent="0.25">
      <c r="F1216" s="6"/>
    </row>
    <row r="1217" spans="6:6" x14ac:dyDescent="0.25">
      <c r="F1217" s="6"/>
    </row>
    <row r="1218" spans="6:6" x14ac:dyDescent="0.25">
      <c r="F1218" s="6"/>
    </row>
    <row r="1219" spans="6:6" x14ac:dyDescent="0.25">
      <c r="F1219" s="6"/>
    </row>
    <row r="1220" spans="6:6" x14ac:dyDescent="0.25">
      <c r="F1220" s="6"/>
    </row>
    <row r="1221" spans="6:6" x14ac:dyDescent="0.25">
      <c r="F1221" s="6"/>
    </row>
    <row r="1222" spans="6:6" x14ac:dyDescent="0.25">
      <c r="F1222" s="6"/>
    </row>
    <row r="1223" spans="6:6" x14ac:dyDescent="0.25">
      <c r="F1223" s="6"/>
    </row>
    <row r="1224" spans="6:6" x14ac:dyDescent="0.25">
      <c r="F1224" s="6"/>
    </row>
    <row r="1225" spans="6:6" x14ac:dyDescent="0.25">
      <c r="F1225" s="6"/>
    </row>
    <row r="1226" spans="6:6" x14ac:dyDescent="0.25">
      <c r="F1226" s="6"/>
    </row>
    <row r="1227" spans="6:6" x14ac:dyDescent="0.25">
      <c r="F1227" s="6"/>
    </row>
    <row r="1228" spans="6:6" x14ac:dyDescent="0.25">
      <c r="F1228" s="6"/>
    </row>
    <row r="1229" spans="6:6" x14ac:dyDescent="0.25">
      <c r="F1229" s="6"/>
    </row>
    <row r="1230" spans="6:6" x14ac:dyDescent="0.25">
      <c r="F1230" s="6"/>
    </row>
    <row r="1231" spans="6:6" x14ac:dyDescent="0.25">
      <c r="F1231" s="6"/>
    </row>
    <row r="1232" spans="6:6" x14ac:dyDescent="0.25">
      <c r="F1232" s="6"/>
    </row>
    <row r="1233" spans="6:6" x14ac:dyDescent="0.25">
      <c r="F1233" s="6"/>
    </row>
    <row r="1234" spans="6:6" x14ac:dyDescent="0.25">
      <c r="F1234" s="6"/>
    </row>
    <row r="1235" spans="6:6" x14ac:dyDescent="0.25">
      <c r="F1235" s="6"/>
    </row>
    <row r="1236" spans="6:6" x14ac:dyDescent="0.25">
      <c r="F1236" s="6"/>
    </row>
    <row r="1237" spans="6:6" x14ac:dyDescent="0.25">
      <c r="F1237" s="6"/>
    </row>
    <row r="1238" spans="6:6" x14ac:dyDescent="0.25">
      <c r="F1238" s="6"/>
    </row>
    <row r="1239" spans="6:6" x14ac:dyDescent="0.25">
      <c r="F1239" s="6"/>
    </row>
    <row r="1240" spans="6:6" x14ac:dyDescent="0.25">
      <c r="F1240" s="6"/>
    </row>
    <row r="1241" spans="6:6" x14ac:dyDescent="0.25">
      <c r="F1241" s="6"/>
    </row>
    <row r="1242" spans="6:6" x14ac:dyDescent="0.25">
      <c r="F1242" s="6"/>
    </row>
    <row r="1243" spans="6:6" x14ac:dyDescent="0.25">
      <c r="F1243" s="6"/>
    </row>
    <row r="1244" spans="6:6" x14ac:dyDescent="0.25">
      <c r="F1244" s="6"/>
    </row>
    <row r="1245" spans="6:6" x14ac:dyDescent="0.25">
      <c r="F1245" s="6"/>
    </row>
    <row r="1246" spans="6:6" x14ac:dyDescent="0.25">
      <c r="F1246" s="6"/>
    </row>
    <row r="1247" spans="6:6" x14ac:dyDescent="0.25">
      <c r="F1247" s="6"/>
    </row>
    <row r="1248" spans="6:6" x14ac:dyDescent="0.25">
      <c r="F1248" s="6"/>
    </row>
    <row r="1249" spans="6:6" x14ac:dyDescent="0.25">
      <c r="F1249" s="6"/>
    </row>
    <row r="1250" spans="6:6" x14ac:dyDescent="0.25">
      <c r="F1250" s="6"/>
    </row>
    <row r="1251" spans="6:6" x14ac:dyDescent="0.25">
      <c r="F1251" s="6"/>
    </row>
    <row r="1252" spans="6:6" x14ac:dyDescent="0.25">
      <c r="F1252" s="6"/>
    </row>
    <row r="1253" spans="6:6" x14ac:dyDescent="0.25">
      <c r="F1253" s="6"/>
    </row>
    <row r="1254" spans="6:6" x14ac:dyDescent="0.25">
      <c r="F1254" s="6"/>
    </row>
    <row r="1255" spans="6:6" x14ac:dyDescent="0.25">
      <c r="F1255" s="6"/>
    </row>
    <row r="1256" spans="6:6" x14ac:dyDescent="0.25">
      <c r="F1256" s="6"/>
    </row>
    <row r="1257" spans="6:6" x14ac:dyDescent="0.25">
      <c r="F1257" s="6"/>
    </row>
    <row r="1258" spans="6:6" x14ac:dyDescent="0.25">
      <c r="F1258" s="6"/>
    </row>
    <row r="1259" spans="6:6" x14ac:dyDescent="0.25">
      <c r="F1259" s="6"/>
    </row>
    <row r="1260" spans="6:6" x14ac:dyDescent="0.25">
      <c r="F1260" s="6"/>
    </row>
    <row r="1261" spans="6:6" x14ac:dyDescent="0.25">
      <c r="F1261" s="6"/>
    </row>
    <row r="1262" spans="6:6" x14ac:dyDescent="0.25">
      <c r="F1262" s="6"/>
    </row>
    <row r="1263" spans="6:6" x14ac:dyDescent="0.25">
      <c r="F1263" s="6"/>
    </row>
    <row r="1264" spans="6:6" x14ac:dyDescent="0.25">
      <c r="F1264" s="6"/>
    </row>
    <row r="1265" spans="6:6" x14ac:dyDescent="0.25">
      <c r="F1265" s="6"/>
    </row>
    <row r="1266" spans="6:6" x14ac:dyDescent="0.25">
      <c r="F1266" s="6"/>
    </row>
    <row r="1267" spans="6:6" x14ac:dyDescent="0.25">
      <c r="F1267" s="6"/>
    </row>
    <row r="1268" spans="6:6" x14ac:dyDescent="0.25">
      <c r="F1268" s="6"/>
    </row>
    <row r="1269" spans="6:6" x14ac:dyDescent="0.25">
      <c r="F1269" s="6"/>
    </row>
    <row r="1270" spans="6:6" x14ac:dyDescent="0.25">
      <c r="F1270" s="6"/>
    </row>
    <row r="1272" spans="6:6" x14ac:dyDescent="0.25">
      <c r="F1272" s="6"/>
    </row>
    <row r="1273" spans="6:6" x14ac:dyDescent="0.25">
      <c r="F1273" s="6"/>
    </row>
    <row r="1274" spans="6:6" x14ac:dyDescent="0.25">
      <c r="F1274" s="6"/>
    </row>
    <row r="1275" spans="6:6" x14ac:dyDescent="0.25">
      <c r="F1275" s="6"/>
    </row>
    <row r="1276" spans="6:6" x14ac:dyDescent="0.25">
      <c r="F1276" s="6"/>
    </row>
    <row r="1277" spans="6:6" x14ac:dyDescent="0.25">
      <c r="F1277" s="6"/>
    </row>
    <row r="1278" spans="6:6" x14ac:dyDescent="0.25">
      <c r="F1278" s="6"/>
    </row>
    <row r="1279" spans="6:6" x14ac:dyDescent="0.25">
      <c r="F1279" s="6"/>
    </row>
    <row r="1280" spans="6:6" x14ac:dyDescent="0.25">
      <c r="F1280" s="6"/>
    </row>
    <row r="1281" spans="6:6" x14ac:dyDescent="0.25">
      <c r="F1281" s="6"/>
    </row>
    <row r="1282" spans="6:6" x14ac:dyDescent="0.25">
      <c r="F1282" s="6"/>
    </row>
    <row r="1283" spans="6:6" x14ac:dyDescent="0.25">
      <c r="F1283" s="6"/>
    </row>
    <row r="1284" spans="6:6" x14ac:dyDescent="0.25">
      <c r="F1284" s="6"/>
    </row>
    <row r="1285" spans="6:6" x14ac:dyDescent="0.25">
      <c r="F1285" s="6"/>
    </row>
    <row r="1286" spans="6:6" x14ac:dyDescent="0.25">
      <c r="F1286" s="6"/>
    </row>
    <row r="1287" spans="6:6" x14ac:dyDescent="0.25">
      <c r="F1287" s="6"/>
    </row>
    <row r="1288" spans="6:6" x14ac:dyDescent="0.25">
      <c r="F1288" s="6"/>
    </row>
    <row r="1289" spans="6:6" x14ac:dyDescent="0.25">
      <c r="F1289" s="6"/>
    </row>
    <row r="1290" spans="6:6" x14ac:dyDescent="0.25">
      <c r="F1290" s="6"/>
    </row>
    <row r="1291" spans="6:6" x14ac:dyDescent="0.25">
      <c r="F1291" s="6"/>
    </row>
    <row r="1292" spans="6:6" x14ac:dyDescent="0.25">
      <c r="F1292" s="6"/>
    </row>
    <row r="1293" spans="6:6" x14ac:dyDescent="0.25">
      <c r="F1293" s="6"/>
    </row>
    <row r="1294" spans="6:6" x14ac:dyDescent="0.25">
      <c r="F1294" s="6"/>
    </row>
    <row r="1295" spans="6:6" x14ac:dyDescent="0.25">
      <c r="F1295" s="6"/>
    </row>
    <row r="1296" spans="6:6" x14ac:dyDescent="0.25">
      <c r="F1296" s="6"/>
    </row>
    <row r="1297" spans="6:6" x14ac:dyDescent="0.25">
      <c r="F1297" s="6"/>
    </row>
    <row r="1298" spans="6:6" x14ac:dyDescent="0.25">
      <c r="F1298" s="6"/>
    </row>
    <row r="1299" spans="6:6" x14ac:dyDescent="0.25">
      <c r="F1299" s="6"/>
    </row>
    <row r="1300" spans="6:6" x14ac:dyDescent="0.25">
      <c r="F1300" s="6"/>
    </row>
    <row r="1301" spans="6:6" x14ac:dyDescent="0.25">
      <c r="F1301" s="6"/>
    </row>
    <row r="1302" spans="6:6" x14ac:dyDescent="0.25">
      <c r="F1302" s="6"/>
    </row>
    <row r="1303" spans="6:6" x14ac:dyDescent="0.25">
      <c r="F1303" s="6"/>
    </row>
    <row r="1304" spans="6:6" x14ac:dyDescent="0.25">
      <c r="F1304" s="6"/>
    </row>
    <row r="1305" spans="6:6" x14ac:dyDescent="0.25">
      <c r="F1305" s="6"/>
    </row>
    <row r="1306" spans="6:6" x14ac:dyDescent="0.25">
      <c r="F1306" s="6"/>
    </row>
    <row r="1307" spans="6:6" x14ac:dyDescent="0.25">
      <c r="F1307" s="6"/>
    </row>
    <row r="1308" spans="6:6" x14ac:dyDescent="0.25">
      <c r="F1308" s="6"/>
    </row>
    <row r="1309" spans="6:6" x14ac:dyDescent="0.25">
      <c r="F1309" s="6"/>
    </row>
    <row r="1310" spans="6:6" x14ac:dyDescent="0.25">
      <c r="F1310" s="6"/>
    </row>
    <row r="1311" spans="6:6" x14ac:dyDescent="0.25">
      <c r="F1311" s="6"/>
    </row>
    <row r="1312" spans="6:6" x14ac:dyDescent="0.25">
      <c r="F1312" s="6"/>
    </row>
    <row r="1313" spans="6:6" x14ac:dyDescent="0.25">
      <c r="F1313" s="6"/>
    </row>
    <row r="1314" spans="6:6" x14ac:dyDescent="0.25">
      <c r="F1314" s="6"/>
    </row>
    <row r="1315" spans="6:6" x14ac:dyDescent="0.25">
      <c r="F1315" s="6"/>
    </row>
    <row r="1316" spans="6:6" x14ac:dyDescent="0.25">
      <c r="F1316" s="6"/>
    </row>
    <row r="1317" spans="6:6" x14ac:dyDescent="0.25">
      <c r="F1317" s="6"/>
    </row>
    <row r="1318" spans="6:6" x14ac:dyDescent="0.25">
      <c r="F1318" s="6"/>
    </row>
    <row r="1319" spans="6:6" x14ac:dyDescent="0.25">
      <c r="F1319" s="6"/>
    </row>
    <row r="1320" spans="6:6" x14ac:dyDescent="0.25">
      <c r="F1320" s="6"/>
    </row>
    <row r="1321" spans="6:6" x14ac:dyDescent="0.25">
      <c r="F1321" s="6"/>
    </row>
    <row r="1322" spans="6:6" x14ac:dyDescent="0.25">
      <c r="F1322" s="6"/>
    </row>
    <row r="1323" spans="6:6" x14ac:dyDescent="0.25">
      <c r="F1323" s="6"/>
    </row>
    <row r="1324" spans="6:6" x14ac:dyDescent="0.25">
      <c r="F1324" s="6"/>
    </row>
    <row r="1325" spans="6:6" x14ac:dyDescent="0.25">
      <c r="F1325" s="6"/>
    </row>
    <row r="1326" spans="6:6" x14ac:dyDescent="0.25">
      <c r="F1326" s="6"/>
    </row>
    <row r="1327" spans="6:6" x14ac:dyDescent="0.25">
      <c r="F1327" s="6"/>
    </row>
    <row r="1328" spans="6:6" x14ac:dyDescent="0.25">
      <c r="F1328" s="6"/>
    </row>
    <row r="1329" spans="6:6" x14ac:dyDescent="0.25">
      <c r="F1329" s="6"/>
    </row>
    <row r="1330" spans="6:6" x14ac:dyDescent="0.25">
      <c r="F1330" s="6"/>
    </row>
    <row r="1331" spans="6:6" x14ac:dyDescent="0.25">
      <c r="F1331" s="6"/>
    </row>
    <row r="1332" spans="6:6" x14ac:dyDescent="0.25">
      <c r="F1332" s="6"/>
    </row>
    <row r="1333" spans="6:6" x14ac:dyDescent="0.25">
      <c r="F1333" s="6"/>
    </row>
    <row r="1334" spans="6:6" x14ac:dyDescent="0.25">
      <c r="F1334" s="6"/>
    </row>
    <row r="1335" spans="6:6" x14ac:dyDescent="0.25">
      <c r="F1335" s="6"/>
    </row>
    <row r="1336" spans="6:6" x14ac:dyDescent="0.25">
      <c r="F1336" s="6"/>
    </row>
    <row r="1337" spans="6:6" x14ac:dyDescent="0.25">
      <c r="F1337" s="6"/>
    </row>
    <row r="1338" spans="6:6" x14ac:dyDescent="0.25">
      <c r="F1338" s="6"/>
    </row>
    <row r="1339" spans="6:6" x14ac:dyDescent="0.25">
      <c r="F1339" s="6"/>
    </row>
    <row r="1340" spans="6:6" x14ac:dyDescent="0.25">
      <c r="F1340" s="6"/>
    </row>
    <row r="1341" spans="6:6" x14ac:dyDescent="0.25">
      <c r="F1341" s="6"/>
    </row>
    <row r="1342" spans="6:6" x14ac:dyDescent="0.25">
      <c r="F1342" s="6"/>
    </row>
    <row r="1343" spans="6:6" x14ac:dyDescent="0.25">
      <c r="F1343" s="6"/>
    </row>
    <row r="1344" spans="6:6" x14ac:dyDescent="0.25">
      <c r="F1344" s="6"/>
    </row>
    <row r="1345" spans="6:6" x14ac:dyDescent="0.25">
      <c r="F1345" s="6"/>
    </row>
    <row r="1346" spans="6:6" x14ac:dyDescent="0.25">
      <c r="F1346" s="6"/>
    </row>
    <row r="1347" spans="6:6" x14ac:dyDescent="0.25">
      <c r="F1347" s="6"/>
    </row>
    <row r="1348" spans="6:6" x14ac:dyDescent="0.25">
      <c r="F1348" s="6"/>
    </row>
    <row r="1349" spans="6:6" x14ac:dyDescent="0.25">
      <c r="F1349" s="6"/>
    </row>
    <row r="1350" spans="6:6" x14ac:dyDescent="0.25">
      <c r="F1350" s="6"/>
    </row>
    <row r="1351" spans="6:6" x14ac:dyDescent="0.25">
      <c r="F1351" s="6"/>
    </row>
    <row r="1352" spans="6:6" x14ac:dyDescent="0.25">
      <c r="F1352" s="6"/>
    </row>
    <row r="1353" spans="6:6" x14ac:dyDescent="0.25">
      <c r="F1353" s="6"/>
    </row>
    <row r="1354" spans="6:6" x14ac:dyDescent="0.25">
      <c r="F1354" s="6"/>
    </row>
    <row r="1355" spans="6:6" x14ac:dyDescent="0.25">
      <c r="F1355" s="6"/>
    </row>
    <row r="1356" spans="6:6" x14ac:dyDescent="0.25">
      <c r="F1356" s="6"/>
    </row>
    <row r="1357" spans="6:6" x14ac:dyDescent="0.25">
      <c r="F1357" s="6"/>
    </row>
    <row r="1358" spans="6:6" x14ac:dyDescent="0.25">
      <c r="F1358" s="6"/>
    </row>
    <row r="1359" spans="6:6" x14ac:dyDescent="0.25">
      <c r="F1359" s="6"/>
    </row>
    <row r="1360" spans="6:6" x14ac:dyDescent="0.25">
      <c r="F1360" s="6"/>
    </row>
    <row r="1361" spans="6:6" x14ac:dyDescent="0.25">
      <c r="F1361" s="6"/>
    </row>
    <row r="1362" spans="6:6" x14ac:dyDescent="0.25">
      <c r="F1362" s="6"/>
    </row>
    <row r="1363" spans="6:6" x14ac:dyDescent="0.25">
      <c r="F1363" s="6"/>
    </row>
    <row r="1364" spans="6:6" x14ac:dyDescent="0.25">
      <c r="F1364" s="6"/>
    </row>
    <row r="1365" spans="6:6" x14ac:dyDescent="0.25">
      <c r="F1365" s="6"/>
    </row>
    <row r="1366" spans="6:6" x14ac:dyDescent="0.25">
      <c r="F1366" s="6"/>
    </row>
    <row r="1367" spans="6:6" x14ac:dyDescent="0.25">
      <c r="F1367" s="6"/>
    </row>
    <row r="1368" spans="6:6" x14ac:dyDescent="0.25">
      <c r="F1368" s="6"/>
    </row>
    <row r="1369" spans="6:6" x14ac:dyDescent="0.25">
      <c r="F1369" s="6"/>
    </row>
    <row r="1370" spans="6:6" x14ac:dyDescent="0.25">
      <c r="F1370" s="6"/>
    </row>
    <row r="1371" spans="6:6" x14ac:dyDescent="0.25">
      <c r="F1371" s="6"/>
    </row>
    <row r="1373" spans="6:6" x14ac:dyDescent="0.25">
      <c r="F1373" s="6"/>
    </row>
    <row r="1374" spans="6:6" x14ac:dyDescent="0.25">
      <c r="F1374" s="6"/>
    </row>
    <row r="1375" spans="6:6" x14ac:dyDescent="0.25">
      <c r="F1375" s="6"/>
    </row>
    <row r="1376" spans="6:6" x14ac:dyDescent="0.25">
      <c r="F1376" s="6"/>
    </row>
    <row r="1377" spans="6:6" x14ac:dyDescent="0.25">
      <c r="F1377" s="6"/>
    </row>
    <row r="1378" spans="6:6" x14ac:dyDescent="0.25">
      <c r="F1378" s="6"/>
    </row>
    <row r="1379" spans="6:6" x14ac:dyDescent="0.25">
      <c r="F1379" s="6"/>
    </row>
    <row r="1380" spans="6:6" x14ac:dyDescent="0.25">
      <c r="F1380" s="6"/>
    </row>
    <row r="1381" spans="6:6" x14ac:dyDescent="0.25">
      <c r="F1381" s="6"/>
    </row>
    <row r="1382" spans="6:6" x14ac:dyDescent="0.25">
      <c r="F1382" s="6"/>
    </row>
    <row r="1383" spans="6:6" x14ac:dyDescent="0.25">
      <c r="F1383" s="6"/>
    </row>
    <row r="1384" spans="6:6" x14ac:dyDescent="0.25">
      <c r="F1384" s="6"/>
    </row>
    <row r="1385" spans="6:6" x14ac:dyDescent="0.25">
      <c r="F1385" s="6"/>
    </row>
    <row r="1386" spans="6:6" x14ac:dyDescent="0.25">
      <c r="F1386" s="6"/>
    </row>
    <row r="1387" spans="6:6" x14ac:dyDescent="0.25">
      <c r="F1387" s="6"/>
    </row>
    <row r="1388" spans="6:6" x14ac:dyDescent="0.25">
      <c r="F1388" s="6"/>
    </row>
    <row r="1389" spans="6:6" x14ac:dyDescent="0.25">
      <c r="F1389" s="6"/>
    </row>
    <row r="1390" spans="6:6" x14ac:dyDescent="0.25">
      <c r="F1390" s="6"/>
    </row>
    <row r="1391" spans="6:6" x14ac:dyDescent="0.25">
      <c r="F1391" s="6"/>
    </row>
    <row r="1392" spans="6:6" x14ac:dyDescent="0.25">
      <c r="F1392" s="6"/>
    </row>
    <row r="1393" spans="6:6" x14ac:dyDescent="0.25">
      <c r="F1393" s="6"/>
    </row>
    <row r="1394" spans="6:6" x14ac:dyDescent="0.25">
      <c r="F1394" s="6"/>
    </row>
    <row r="1395" spans="6:6" x14ac:dyDescent="0.25">
      <c r="F1395" s="6"/>
    </row>
    <row r="1396" spans="6:6" x14ac:dyDescent="0.25">
      <c r="F1396" s="6"/>
    </row>
    <row r="1397" spans="6:6" x14ac:dyDescent="0.25">
      <c r="F1397" s="6"/>
    </row>
    <row r="1398" spans="6:6" x14ac:dyDescent="0.25">
      <c r="F1398" s="6"/>
    </row>
    <row r="1399" spans="6:6" x14ac:dyDescent="0.25">
      <c r="F1399" s="6"/>
    </row>
    <row r="1400" spans="6:6" x14ac:dyDescent="0.25">
      <c r="F1400" s="6"/>
    </row>
    <row r="1401" spans="6:6" x14ac:dyDescent="0.25">
      <c r="F1401" s="6"/>
    </row>
    <row r="1402" spans="6:6" x14ac:dyDescent="0.25">
      <c r="F1402" s="6"/>
    </row>
    <row r="1403" spans="6:6" x14ac:dyDescent="0.25">
      <c r="F1403" s="6"/>
    </row>
    <row r="1404" spans="6:6" x14ac:dyDescent="0.25">
      <c r="F1404" s="6"/>
    </row>
    <row r="1405" spans="6:6" x14ac:dyDescent="0.25">
      <c r="F1405" s="6"/>
    </row>
    <row r="1406" spans="6:6" x14ac:dyDescent="0.25">
      <c r="F1406" s="6"/>
    </row>
    <row r="1407" spans="6:6" x14ac:dyDescent="0.25">
      <c r="F1407" s="6"/>
    </row>
    <row r="1408" spans="6:6" x14ac:dyDescent="0.25">
      <c r="F1408" s="6"/>
    </row>
    <row r="1409" spans="6:6" x14ac:dyDescent="0.25">
      <c r="F1409" s="6"/>
    </row>
    <row r="1410" spans="6:6" x14ac:dyDescent="0.25">
      <c r="F1410" s="6"/>
    </row>
    <row r="1411" spans="6:6" x14ac:dyDescent="0.25">
      <c r="F1411" s="6"/>
    </row>
    <row r="1412" spans="6:6" x14ac:dyDescent="0.25">
      <c r="F1412" s="6"/>
    </row>
    <row r="1413" spans="6:6" x14ac:dyDescent="0.25">
      <c r="F1413" s="6"/>
    </row>
    <row r="1414" spans="6:6" x14ac:dyDescent="0.25">
      <c r="F1414" s="6"/>
    </row>
    <row r="1415" spans="6:6" x14ac:dyDescent="0.25">
      <c r="F1415" s="6"/>
    </row>
    <row r="1416" spans="6:6" x14ac:dyDescent="0.25">
      <c r="F1416" s="6"/>
    </row>
    <row r="1417" spans="6:6" x14ac:dyDescent="0.25">
      <c r="F1417" s="6"/>
    </row>
    <row r="1418" spans="6:6" x14ac:dyDescent="0.25">
      <c r="F1418" s="6"/>
    </row>
    <row r="1419" spans="6:6" x14ac:dyDescent="0.25">
      <c r="F1419" s="6"/>
    </row>
    <row r="1420" spans="6:6" x14ac:dyDescent="0.25">
      <c r="F1420" s="6"/>
    </row>
    <row r="1421" spans="6:6" x14ac:dyDescent="0.25">
      <c r="F1421" s="6"/>
    </row>
    <row r="1422" spans="6:6" x14ac:dyDescent="0.25">
      <c r="F1422" s="6"/>
    </row>
    <row r="1423" spans="6:6" x14ac:dyDescent="0.25">
      <c r="F1423" s="6"/>
    </row>
    <row r="1424" spans="6:6" x14ac:dyDescent="0.25">
      <c r="F1424" s="6"/>
    </row>
    <row r="1425" spans="6:6" x14ac:dyDescent="0.25">
      <c r="F1425" s="6"/>
    </row>
    <row r="1426" spans="6:6" x14ac:dyDescent="0.25">
      <c r="F1426" s="6"/>
    </row>
    <row r="1427" spans="6:6" x14ac:dyDescent="0.25">
      <c r="F1427" s="6"/>
    </row>
    <row r="1428" spans="6:6" x14ac:dyDescent="0.25">
      <c r="F1428" s="6"/>
    </row>
    <row r="1429" spans="6:6" x14ac:dyDescent="0.25">
      <c r="F1429" s="6"/>
    </row>
    <row r="1430" spans="6:6" x14ac:dyDescent="0.25">
      <c r="F1430" s="6"/>
    </row>
    <row r="1431" spans="6:6" x14ac:dyDescent="0.25">
      <c r="F1431" s="6"/>
    </row>
    <row r="1432" spans="6:6" x14ac:dyDescent="0.25">
      <c r="F1432" s="6"/>
    </row>
    <row r="1433" spans="6:6" x14ac:dyDescent="0.25">
      <c r="F1433" s="6"/>
    </row>
    <row r="1434" spans="6:6" x14ac:dyDescent="0.25">
      <c r="F1434" s="6"/>
    </row>
    <row r="1435" spans="6:6" x14ac:dyDescent="0.25">
      <c r="F1435" s="6"/>
    </row>
    <row r="1436" spans="6:6" x14ac:dyDescent="0.25">
      <c r="F1436" s="6"/>
    </row>
    <row r="1437" spans="6:6" x14ac:dyDescent="0.25">
      <c r="F1437" s="6"/>
    </row>
    <row r="1438" spans="6:6" x14ac:dyDescent="0.25">
      <c r="F1438" s="6"/>
    </row>
    <row r="1439" spans="6:6" x14ac:dyDescent="0.25">
      <c r="F1439" s="6"/>
    </row>
    <row r="1440" spans="6:6" x14ac:dyDescent="0.25">
      <c r="F1440" s="6"/>
    </row>
    <row r="1441" spans="6:6" x14ac:dyDescent="0.25">
      <c r="F1441" s="6"/>
    </row>
    <row r="1442" spans="6:6" x14ac:dyDescent="0.25">
      <c r="F1442" s="6"/>
    </row>
    <row r="1443" spans="6:6" x14ac:dyDescent="0.25">
      <c r="F1443" s="6"/>
    </row>
    <row r="1444" spans="6:6" x14ac:dyDescent="0.25">
      <c r="F1444" s="6"/>
    </row>
    <row r="1445" spans="6:6" x14ac:dyDescent="0.25">
      <c r="F1445" s="6"/>
    </row>
    <row r="1446" spans="6:6" x14ac:dyDescent="0.25">
      <c r="F1446" s="6"/>
    </row>
    <row r="1447" spans="6:6" x14ac:dyDescent="0.25">
      <c r="F1447" s="6"/>
    </row>
    <row r="1448" spans="6:6" x14ac:dyDescent="0.25">
      <c r="F1448" s="6"/>
    </row>
    <row r="1449" spans="6:6" x14ac:dyDescent="0.25">
      <c r="F1449" s="6"/>
    </row>
    <row r="1450" spans="6:6" x14ac:dyDescent="0.25">
      <c r="F1450" s="6"/>
    </row>
    <row r="1451" spans="6:6" x14ac:dyDescent="0.25">
      <c r="F1451" s="6"/>
    </row>
    <row r="1452" spans="6:6" x14ac:dyDescent="0.25">
      <c r="F1452" s="6"/>
    </row>
    <row r="1453" spans="6:6" x14ac:dyDescent="0.25">
      <c r="F1453" s="6"/>
    </row>
    <row r="1454" spans="6:6" x14ac:dyDescent="0.25">
      <c r="F1454" s="6"/>
    </row>
    <row r="1455" spans="6:6" x14ac:dyDescent="0.25">
      <c r="F1455" s="6"/>
    </row>
    <row r="1456" spans="6:6" x14ac:dyDescent="0.25">
      <c r="F1456" s="6"/>
    </row>
    <row r="1457" spans="6:6" x14ac:dyDescent="0.25">
      <c r="F1457" s="6"/>
    </row>
    <row r="1458" spans="6:6" x14ac:dyDescent="0.25">
      <c r="F1458" s="6"/>
    </row>
    <row r="1459" spans="6:6" x14ac:dyDescent="0.25">
      <c r="F1459" s="6"/>
    </row>
    <row r="1460" spans="6:6" x14ac:dyDescent="0.25">
      <c r="F1460" s="6"/>
    </row>
    <row r="1461" spans="6:6" x14ac:dyDescent="0.25">
      <c r="F1461" s="6"/>
    </row>
    <row r="1462" spans="6:6" x14ac:dyDescent="0.25">
      <c r="F1462" s="6"/>
    </row>
    <row r="1463" spans="6:6" x14ac:dyDescent="0.25">
      <c r="F1463" s="6"/>
    </row>
    <row r="1464" spans="6:6" x14ac:dyDescent="0.25">
      <c r="F1464" s="6"/>
    </row>
    <row r="1465" spans="6:6" x14ac:dyDescent="0.25">
      <c r="F1465" s="6"/>
    </row>
    <row r="1466" spans="6:6" x14ac:dyDescent="0.25">
      <c r="F1466" s="6"/>
    </row>
    <row r="1467" spans="6:6" x14ac:dyDescent="0.25">
      <c r="F1467" s="6"/>
    </row>
    <row r="1468" spans="6:6" x14ac:dyDescent="0.25">
      <c r="F1468" s="6"/>
    </row>
    <row r="1469" spans="6:6" x14ac:dyDescent="0.25">
      <c r="F1469" s="6"/>
    </row>
    <row r="1470" spans="6:6" x14ac:dyDescent="0.25">
      <c r="F1470" s="6"/>
    </row>
    <row r="1471" spans="6:6" x14ac:dyDescent="0.25">
      <c r="F1471" s="6"/>
    </row>
    <row r="1472" spans="6:6" x14ac:dyDescent="0.25">
      <c r="F1472" s="6"/>
    </row>
    <row r="1474" spans="6:6" x14ac:dyDescent="0.25">
      <c r="F1474" s="6"/>
    </row>
    <row r="1475" spans="6:6" x14ac:dyDescent="0.25">
      <c r="F1475" s="6"/>
    </row>
    <row r="1476" spans="6:6" x14ac:dyDescent="0.25">
      <c r="F1476" s="6"/>
    </row>
    <row r="1477" spans="6:6" x14ac:dyDescent="0.25">
      <c r="F1477" s="6"/>
    </row>
    <row r="1478" spans="6:6" x14ac:dyDescent="0.25">
      <c r="F1478" s="6"/>
    </row>
    <row r="1479" spans="6:6" x14ac:dyDescent="0.25">
      <c r="F1479" s="6"/>
    </row>
    <row r="1480" spans="6:6" x14ac:dyDescent="0.25">
      <c r="F1480" s="6"/>
    </row>
    <row r="1481" spans="6:6" x14ac:dyDescent="0.25">
      <c r="F1481" s="6"/>
    </row>
    <row r="1482" spans="6:6" x14ac:dyDescent="0.25">
      <c r="F1482" s="6"/>
    </row>
    <row r="1483" spans="6:6" x14ac:dyDescent="0.25">
      <c r="F1483" s="6"/>
    </row>
    <row r="1484" spans="6:6" x14ac:dyDescent="0.25">
      <c r="F1484" s="6"/>
    </row>
    <row r="1485" spans="6:6" x14ac:dyDescent="0.25">
      <c r="F1485" s="6"/>
    </row>
    <row r="1486" spans="6:6" x14ac:dyDescent="0.25">
      <c r="F1486" s="6"/>
    </row>
    <row r="1487" spans="6:6" x14ac:dyDescent="0.25">
      <c r="F1487" s="6"/>
    </row>
    <row r="1488" spans="6:6" x14ac:dyDescent="0.25">
      <c r="F1488" s="6"/>
    </row>
    <row r="1489" spans="6:6" x14ac:dyDescent="0.25">
      <c r="F1489" s="6"/>
    </row>
    <row r="1490" spans="6:6" x14ac:dyDescent="0.25">
      <c r="F1490" s="6"/>
    </row>
    <row r="1491" spans="6:6" x14ac:dyDescent="0.25">
      <c r="F1491" s="6"/>
    </row>
    <row r="1492" spans="6:6" x14ac:dyDescent="0.25">
      <c r="F1492" s="6"/>
    </row>
    <row r="1493" spans="6:6" x14ac:dyDescent="0.25">
      <c r="F1493" s="6"/>
    </row>
    <row r="1494" spans="6:6" x14ac:dyDescent="0.25">
      <c r="F1494" s="6"/>
    </row>
    <row r="1495" spans="6:6" x14ac:dyDescent="0.25">
      <c r="F1495" s="6"/>
    </row>
    <row r="1496" spans="6:6" x14ac:dyDescent="0.25">
      <c r="F1496" s="6"/>
    </row>
    <row r="1497" spans="6:6" x14ac:dyDescent="0.25">
      <c r="F1497" s="6"/>
    </row>
    <row r="1498" spans="6:6" x14ac:dyDescent="0.25">
      <c r="F1498" s="6"/>
    </row>
    <row r="1499" spans="6:6" x14ac:dyDescent="0.25">
      <c r="F1499" s="6"/>
    </row>
    <row r="1500" spans="6:6" x14ac:dyDescent="0.25">
      <c r="F1500" s="6"/>
    </row>
    <row r="1501" spans="6:6" x14ac:dyDescent="0.25">
      <c r="F1501" s="6"/>
    </row>
    <row r="1502" spans="6:6" x14ac:dyDescent="0.25">
      <c r="F1502" s="6"/>
    </row>
    <row r="1503" spans="6:6" x14ac:dyDescent="0.25">
      <c r="F1503" s="6"/>
    </row>
    <row r="1504" spans="6:6" x14ac:dyDescent="0.25">
      <c r="F1504" s="6"/>
    </row>
    <row r="1505" spans="6:6" x14ac:dyDescent="0.25">
      <c r="F1505" s="6"/>
    </row>
    <row r="1506" spans="6:6" x14ac:dyDescent="0.25">
      <c r="F1506" s="6"/>
    </row>
    <row r="1507" spans="6:6" x14ac:dyDescent="0.25">
      <c r="F1507" s="6"/>
    </row>
    <row r="1508" spans="6:6" x14ac:dyDescent="0.25">
      <c r="F1508" s="6"/>
    </row>
    <row r="1509" spans="6:6" x14ac:dyDescent="0.25">
      <c r="F1509" s="6"/>
    </row>
    <row r="1510" spans="6:6" x14ac:dyDescent="0.25">
      <c r="F1510" s="6"/>
    </row>
    <row r="1511" spans="6:6" x14ac:dyDescent="0.25">
      <c r="F1511" s="6"/>
    </row>
    <row r="1512" spans="6:6" x14ac:dyDescent="0.25">
      <c r="F1512" s="6"/>
    </row>
    <row r="1513" spans="6:6" x14ac:dyDescent="0.25">
      <c r="F1513" s="6"/>
    </row>
    <row r="1514" spans="6:6" x14ac:dyDescent="0.25">
      <c r="F1514" s="6"/>
    </row>
    <row r="1515" spans="6:6" x14ac:dyDescent="0.25">
      <c r="F1515" s="6"/>
    </row>
    <row r="1516" spans="6:6" x14ac:dyDescent="0.25">
      <c r="F1516" s="6"/>
    </row>
    <row r="1517" spans="6:6" x14ac:dyDescent="0.25">
      <c r="F1517" s="6"/>
    </row>
    <row r="1518" spans="6:6" x14ac:dyDescent="0.25">
      <c r="F1518" s="6"/>
    </row>
    <row r="1519" spans="6:6" x14ac:dyDescent="0.25">
      <c r="F1519" s="6"/>
    </row>
    <row r="1520" spans="6:6" x14ac:dyDescent="0.25">
      <c r="F1520" s="6"/>
    </row>
    <row r="1521" spans="6:6" x14ac:dyDescent="0.25">
      <c r="F1521" s="6"/>
    </row>
    <row r="1522" spans="6:6" x14ac:dyDescent="0.25">
      <c r="F1522" s="6"/>
    </row>
    <row r="1523" spans="6:6" x14ac:dyDescent="0.25">
      <c r="F1523" s="6"/>
    </row>
    <row r="1524" spans="6:6" x14ac:dyDescent="0.25">
      <c r="F1524" s="6"/>
    </row>
    <row r="1525" spans="6:6" x14ac:dyDescent="0.25">
      <c r="F1525" s="6"/>
    </row>
    <row r="1526" spans="6:6" x14ac:dyDescent="0.25">
      <c r="F1526" s="6"/>
    </row>
    <row r="1527" spans="6:6" x14ac:dyDescent="0.25">
      <c r="F1527" s="6"/>
    </row>
    <row r="1528" spans="6:6" x14ac:dyDescent="0.25">
      <c r="F1528" s="6"/>
    </row>
    <row r="1529" spans="6:6" x14ac:dyDescent="0.25">
      <c r="F1529" s="6"/>
    </row>
    <row r="1530" spans="6:6" x14ac:dyDescent="0.25">
      <c r="F1530" s="6"/>
    </row>
    <row r="1531" spans="6:6" x14ac:dyDescent="0.25">
      <c r="F1531" s="6"/>
    </row>
    <row r="1532" spans="6:6" x14ac:dyDescent="0.25">
      <c r="F1532" s="6"/>
    </row>
    <row r="1533" spans="6:6" x14ac:dyDescent="0.25">
      <c r="F1533" s="6"/>
    </row>
    <row r="1534" spans="6:6" x14ac:dyDescent="0.25">
      <c r="F1534" s="6"/>
    </row>
    <row r="1535" spans="6:6" x14ac:dyDescent="0.25">
      <c r="F1535" s="6"/>
    </row>
    <row r="1536" spans="6:6" x14ac:dyDescent="0.25">
      <c r="F1536" s="6"/>
    </row>
    <row r="1537" spans="6:6" x14ac:dyDescent="0.25">
      <c r="F1537" s="6"/>
    </row>
    <row r="1538" spans="6:6" x14ac:dyDescent="0.25">
      <c r="F1538" s="6"/>
    </row>
    <row r="1539" spans="6:6" x14ac:dyDescent="0.25">
      <c r="F1539" s="6"/>
    </row>
    <row r="1540" spans="6:6" x14ac:dyDescent="0.25">
      <c r="F1540" s="6"/>
    </row>
    <row r="1541" spans="6:6" x14ac:dyDescent="0.25">
      <c r="F1541" s="6"/>
    </row>
    <row r="1542" spans="6:6" x14ac:dyDescent="0.25">
      <c r="F1542" s="6"/>
    </row>
    <row r="1543" spans="6:6" x14ac:dyDescent="0.25">
      <c r="F1543" s="6"/>
    </row>
    <row r="1544" spans="6:6" x14ac:dyDescent="0.25">
      <c r="F1544" s="6"/>
    </row>
    <row r="1545" spans="6:6" x14ac:dyDescent="0.25">
      <c r="F1545" s="6"/>
    </row>
    <row r="1546" spans="6:6" x14ac:dyDescent="0.25">
      <c r="F1546" s="6"/>
    </row>
    <row r="1547" spans="6:6" x14ac:dyDescent="0.25">
      <c r="F1547" s="6"/>
    </row>
    <row r="1548" spans="6:6" x14ac:dyDescent="0.25">
      <c r="F1548" s="6"/>
    </row>
    <row r="1549" spans="6:6" x14ac:dyDescent="0.25">
      <c r="F1549" s="6"/>
    </row>
    <row r="1550" spans="6:6" x14ac:dyDescent="0.25">
      <c r="F1550" s="6"/>
    </row>
    <row r="1551" spans="6:6" x14ac:dyDescent="0.25">
      <c r="F1551" s="6"/>
    </row>
    <row r="1552" spans="6:6" x14ac:dyDescent="0.25">
      <c r="F1552" s="6"/>
    </row>
    <row r="1553" spans="6:6" x14ac:dyDescent="0.25">
      <c r="F1553" s="6"/>
    </row>
    <row r="1554" spans="6:6" x14ac:dyDescent="0.25">
      <c r="F1554" s="6"/>
    </row>
    <row r="1555" spans="6:6" x14ac:dyDescent="0.25">
      <c r="F1555" s="6"/>
    </row>
    <row r="1556" spans="6:6" x14ac:dyDescent="0.25">
      <c r="F1556" s="6"/>
    </row>
    <row r="1557" spans="6:6" x14ac:dyDescent="0.25">
      <c r="F1557" s="6"/>
    </row>
    <row r="1558" spans="6:6" x14ac:dyDescent="0.25">
      <c r="F1558" s="6"/>
    </row>
    <row r="1559" spans="6:6" x14ac:dyDescent="0.25">
      <c r="F1559" s="6"/>
    </row>
    <row r="1560" spans="6:6" x14ac:dyDescent="0.25">
      <c r="F1560" s="6"/>
    </row>
    <row r="1561" spans="6:6" x14ac:dyDescent="0.25">
      <c r="F1561" s="6"/>
    </row>
    <row r="1562" spans="6:6" x14ac:dyDescent="0.25">
      <c r="F1562" s="6"/>
    </row>
    <row r="1563" spans="6:6" x14ac:dyDescent="0.25">
      <c r="F1563" s="6"/>
    </row>
    <row r="1564" spans="6:6" x14ac:dyDescent="0.25">
      <c r="F1564" s="6"/>
    </row>
    <row r="1565" spans="6:6" x14ac:dyDescent="0.25">
      <c r="F1565" s="6"/>
    </row>
    <row r="1566" spans="6:6" x14ac:dyDescent="0.25">
      <c r="F1566" s="6"/>
    </row>
    <row r="1567" spans="6:6" x14ac:dyDescent="0.25">
      <c r="F1567" s="6"/>
    </row>
    <row r="1568" spans="6:6" x14ac:dyDescent="0.25">
      <c r="F1568" s="6"/>
    </row>
    <row r="1569" spans="6:6" x14ac:dyDescent="0.25">
      <c r="F1569" s="6"/>
    </row>
    <row r="1570" spans="6:6" x14ac:dyDescent="0.25">
      <c r="F1570" s="6"/>
    </row>
    <row r="1571" spans="6:6" x14ac:dyDescent="0.25">
      <c r="F1571" s="6"/>
    </row>
    <row r="1572" spans="6:6" x14ac:dyDescent="0.25">
      <c r="F1572" s="6"/>
    </row>
    <row r="1573" spans="6:6" x14ac:dyDescent="0.25">
      <c r="F1573" s="6"/>
    </row>
    <row r="1575" spans="6:6" x14ac:dyDescent="0.25">
      <c r="F1575" s="6"/>
    </row>
    <row r="1576" spans="6:6" x14ac:dyDescent="0.25">
      <c r="F1576" s="6"/>
    </row>
    <row r="1577" spans="6:6" x14ac:dyDescent="0.25">
      <c r="F1577" s="6"/>
    </row>
    <row r="1578" spans="6:6" x14ac:dyDescent="0.25">
      <c r="F1578" s="6"/>
    </row>
    <row r="1579" spans="6:6" x14ac:dyDescent="0.25">
      <c r="F1579" s="6"/>
    </row>
    <row r="1580" spans="6:6" x14ac:dyDescent="0.25">
      <c r="F1580" s="6"/>
    </row>
    <row r="1581" spans="6:6" x14ac:dyDescent="0.25">
      <c r="F1581" s="6"/>
    </row>
    <row r="1582" spans="6:6" x14ac:dyDescent="0.25">
      <c r="F1582" s="6"/>
    </row>
    <row r="1583" spans="6:6" x14ac:dyDescent="0.25">
      <c r="F1583" s="6"/>
    </row>
    <row r="1584" spans="6:6" x14ac:dyDescent="0.25">
      <c r="F1584" s="6"/>
    </row>
    <row r="1585" spans="6:6" x14ac:dyDescent="0.25">
      <c r="F1585" s="6"/>
    </row>
    <row r="1586" spans="6:6" x14ac:dyDescent="0.25">
      <c r="F1586" s="6"/>
    </row>
    <row r="1587" spans="6:6" x14ac:dyDescent="0.25">
      <c r="F1587" s="6"/>
    </row>
    <row r="1588" spans="6:6" x14ac:dyDescent="0.25">
      <c r="F1588" s="6"/>
    </row>
    <row r="1589" spans="6:6" x14ac:dyDescent="0.25">
      <c r="F1589" s="6"/>
    </row>
    <row r="1590" spans="6:6" x14ac:dyDescent="0.25">
      <c r="F1590" s="6"/>
    </row>
    <row r="1591" spans="6:6" x14ac:dyDescent="0.25">
      <c r="F1591" s="6"/>
    </row>
    <row r="1592" spans="6:6" x14ac:dyDescent="0.25">
      <c r="F1592" s="6"/>
    </row>
    <row r="1593" spans="6:6" x14ac:dyDescent="0.25">
      <c r="F1593" s="6"/>
    </row>
    <row r="1594" spans="6:6" x14ac:dyDescent="0.25">
      <c r="F1594" s="6"/>
    </row>
    <row r="1595" spans="6:6" x14ac:dyDescent="0.25">
      <c r="F1595" s="6"/>
    </row>
    <row r="1596" spans="6:6" x14ac:dyDescent="0.25">
      <c r="F1596" s="6"/>
    </row>
    <row r="1597" spans="6:6" x14ac:dyDescent="0.25">
      <c r="F1597" s="6"/>
    </row>
    <row r="1598" spans="6:6" x14ac:dyDescent="0.25">
      <c r="F1598" s="6"/>
    </row>
    <row r="1599" spans="6:6" x14ac:dyDescent="0.25">
      <c r="F1599" s="6"/>
    </row>
    <row r="1600" spans="6:6" x14ac:dyDescent="0.25">
      <c r="F1600" s="6"/>
    </row>
    <row r="1601" spans="6:6" x14ac:dyDescent="0.25">
      <c r="F1601" s="6"/>
    </row>
    <row r="1602" spans="6:6" x14ac:dyDescent="0.25">
      <c r="F1602" s="6"/>
    </row>
    <row r="1603" spans="6:6" x14ac:dyDescent="0.25">
      <c r="F1603" s="6"/>
    </row>
    <row r="1604" spans="6:6" x14ac:dyDescent="0.25">
      <c r="F1604" s="6"/>
    </row>
    <row r="1605" spans="6:6" x14ac:dyDescent="0.25">
      <c r="F1605" s="6"/>
    </row>
    <row r="1606" spans="6:6" x14ac:dyDescent="0.25">
      <c r="F1606" s="6"/>
    </row>
    <row r="1607" spans="6:6" x14ac:dyDescent="0.25">
      <c r="F1607" s="6"/>
    </row>
    <row r="1608" spans="6:6" x14ac:dyDescent="0.25">
      <c r="F1608" s="6"/>
    </row>
    <row r="1609" spans="6:6" x14ac:dyDescent="0.25">
      <c r="F1609" s="6"/>
    </row>
    <row r="1610" spans="6:6" x14ac:dyDescent="0.25">
      <c r="F1610" s="6"/>
    </row>
    <row r="1611" spans="6:6" x14ac:dyDescent="0.25">
      <c r="F1611" s="6"/>
    </row>
    <row r="1612" spans="6:6" x14ac:dyDescent="0.25">
      <c r="F1612" s="6"/>
    </row>
    <row r="1613" spans="6:6" x14ac:dyDescent="0.25">
      <c r="F1613" s="6"/>
    </row>
    <row r="1614" spans="6:6" x14ac:dyDescent="0.25">
      <c r="F1614" s="6"/>
    </row>
    <row r="1615" spans="6:6" x14ac:dyDescent="0.25">
      <c r="F1615" s="6"/>
    </row>
    <row r="1616" spans="6:6" x14ac:dyDescent="0.25">
      <c r="F1616" s="6"/>
    </row>
    <row r="1617" spans="6:6" x14ac:dyDescent="0.25">
      <c r="F1617" s="6"/>
    </row>
    <row r="1618" spans="6:6" x14ac:dyDescent="0.25">
      <c r="F1618" s="6"/>
    </row>
    <row r="1619" spans="6:6" x14ac:dyDescent="0.25">
      <c r="F1619" s="6"/>
    </row>
    <row r="1620" spans="6:6" x14ac:dyDescent="0.25">
      <c r="F1620" s="6"/>
    </row>
    <row r="1621" spans="6:6" x14ac:dyDescent="0.25">
      <c r="F1621" s="6"/>
    </row>
    <row r="1622" spans="6:6" x14ac:dyDescent="0.25">
      <c r="F1622" s="6"/>
    </row>
    <row r="1623" spans="6:6" x14ac:dyDescent="0.25">
      <c r="F1623" s="6"/>
    </row>
    <row r="1624" spans="6:6" x14ac:dyDescent="0.25">
      <c r="F1624" s="6"/>
    </row>
    <row r="1625" spans="6:6" x14ac:dyDescent="0.25">
      <c r="F1625" s="6"/>
    </row>
    <row r="1626" spans="6:6" x14ac:dyDescent="0.25">
      <c r="F1626" s="6"/>
    </row>
    <row r="1627" spans="6:6" x14ac:dyDescent="0.25">
      <c r="F1627" s="6"/>
    </row>
    <row r="1628" spans="6:6" x14ac:dyDescent="0.25">
      <c r="F1628" s="6"/>
    </row>
    <row r="1629" spans="6:6" x14ac:dyDescent="0.25">
      <c r="F1629" s="6"/>
    </row>
    <row r="1630" spans="6:6" x14ac:dyDescent="0.25">
      <c r="F1630" s="6"/>
    </row>
    <row r="1631" spans="6:6" x14ac:dyDescent="0.25">
      <c r="F1631" s="6"/>
    </row>
    <row r="1632" spans="6:6" x14ac:dyDescent="0.25">
      <c r="F1632" s="6"/>
    </row>
    <row r="1633" spans="6:6" x14ac:dyDescent="0.25">
      <c r="F1633" s="6"/>
    </row>
    <row r="1634" spans="6:6" x14ac:dyDescent="0.25">
      <c r="F1634" s="6"/>
    </row>
    <row r="1635" spans="6:6" x14ac:dyDescent="0.25">
      <c r="F1635" s="6"/>
    </row>
    <row r="1636" spans="6:6" x14ac:dyDescent="0.25">
      <c r="F1636" s="6"/>
    </row>
    <row r="1637" spans="6:6" x14ac:dyDescent="0.25">
      <c r="F1637" s="6"/>
    </row>
    <row r="1638" spans="6:6" x14ac:dyDescent="0.25">
      <c r="F1638" s="6"/>
    </row>
    <row r="1639" spans="6:6" x14ac:dyDescent="0.25">
      <c r="F1639" s="6"/>
    </row>
    <row r="1640" spans="6:6" x14ac:dyDescent="0.25">
      <c r="F1640" s="6"/>
    </row>
    <row r="1641" spans="6:6" x14ac:dyDescent="0.25">
      <c r="F1641" s="6"/>
    </row>
    <row r="1642" spans="6:6" x14ac:dyDescent="0.25">
      <c r="F1642" s="6"/>
    </row>
    <row r="1643" spans="6:6" x14ac:dyDescent="0.25">
      <c r="F1643" s="6"/>
    </row>
    <row r="1644" spans="6:6" x14ac:dyDescent="0.25">
      <c r="F1644" s="6"/>
    </row>
    <row r="1645" spans="6:6" x14ac:dyDescent="0.25">
      <c r="F1645" s="6"/>
    </row>
    <row r="1646" spans="6:6" x14ac:dyDescent="0.25">
      <c r="F1646" s="6"/>
    </row>
    <row r="1647" spans="6:6" x14ac:dyDescent="0.25">
      <c r="F1647" s="6"/>
    </row>
    <row r="1648" spans="6:6" x14ac:dyDescent="0.25">
      <c r="F1648" s="6"/>
    </row>
    <row r="1649" spans="6:6" x14ac:dyDescent="0.25">
      <c r="F1649" s="6"/>
    </row>
    <row r="1650" spans="6:6" x14ac:dyDescent="0.25">
      <c r="F1650" s="6"/>
    </row>
    <row r="1651" spans="6:6" x14ac:dyDescent="0.25">
      <c r="F1651" s="6"/>
    </row>
    <row r="1652" spans="6:6" x14ac:dyDescent="0.25">
      <c r="F1652" s="6"/>
    </row>
    <row r="1653" spans="6:6" x14ac:dyDescent="0.25">
      <c r="F1653" s="6"/>
    </row>
    <row r="1654" spans="6:6" x14ac:dyDescent="0.25">
      <c r="F1654" s="6"/>
    </row>
    <row r="1655" spans="6:6" x14ac:dyDescent="0.25">
      <c r="F1655" s="6"/>
    </row>
    <row r="1656" spans="6:6" x14ac:dyDescent="0.25">
      <c r="F1656" s="6"/>
    </row>
    <row r="1657" spans="6:6" x14ac:dyDescent="0.25">
      <c r="F1657" s="6"/>
    </row>
    <row r="1658" spans="6:6" x14ac:dyDescent="0.25">
      <c r="F1658" s="6"/>
    </row>
    <row r="1659" spans="6:6" x14ac:dyDescent="0.25">
      <c r="F1659" s="6"/>
    </row>
    <row r="1660" spans="6:6" x14ac:dyDescent="0.25">
      <c r="F1660" s="6"/>
    </row>
    <row r="1661" spans="6:6" x14ac:dyDescent="0.25">
      <c r="F1661" s="6"/>
    </row>
    <row r="1662" spans="6:6" x14ac:dyDescent="0.25">
      <c r="F1662" s="6"/>
    </row>
    <row r="1663" spans="6:6" x14ac:dyDescent="0.25">
      <c r="F1663" s="6"/>
    </row>
    <row r="1664" spans="6:6" x14ac:dyDescent="0.25">
      <c r="F1664" s="6"/>
    </row>
    <row r="1665" spans="6:6" x14ac:dyDescent="0.25">
      <c r="F1665" s="6"/>
    </row>
    <row r="1666" spans="6:6" x14ac:dyDescent="0.25">
      <c r="F1666" s="6"/>
    </row>
    <row r="1667" spans="6:6" x14ac:dyDescent="0.25">
      <c r="F1667" s="6"/>
    </row>
    <row r="1668" spans="6:6" x14ac:dyDescent="0.25">
      <c r="F1668" s="6"/>
    </row>
    <row r="1669" spans="6:6" x14ac:dyDescent="0.25">
      <c r="F1669" s="6"/>
    </row>
    <row r="1670" spans="6:6" x14ac:dyDescent="0.25">
      <c r="F1670" s="6"/>
    </row>
    <row r="1671" spans="6:6" x14ac:dyDescent="0.25">
      <c r="F1671" s="6"/>
    </row>
    <row r="1672" spans="6:6" x14ac:dyDescent="0.25">
      <c r="F1672" s="6"/>
    </row>
    <row r="1673" spans="6:6" x14ac:dyDescent="0.25">
      <c r="F1673" s="6"/>
    </row>
    <row r="1674" spans="6:6" x14ac:dyDescent="0.25">
      <c r="F1674" s="6"/>
    </row>
    <row r="1676" spans="6:6" x14ac:dyDescent="0.25">
      <c r="F1676" s="6"/>
    </row>
    <row r="1677" spans="6:6" x14ac:dyDescent="0.25">
      <c r="F1677" s="6"/>
    </row>
    <row r="1678" spans="6:6" x14ac:dyDescent="0.25">
      <c r="F1678" s="6"/>
    </row>
    <row r="1679" spans="6:6" x14ac:dyDescent="0.25">
      <c r="F1679" s="6"/>
    </row>
    <row r="1680" spans="6:6" x14ac:dyDescent="0.25">
      <c r="F1680" s="6"/>
    </row>
    <row r="1681" spans="6:6" x14ac:dyDescent="0.25">
      <c r="F1681" s="6"/>
    </row>
    <row r="1682" spans="6:6" x14ac:dyDescent="0.25">
      <c r="F1682" s="6"/>
    </row>
    <row r="1683" spans="6:6" x14ac:dyDescent="0.25">
      <c r="F1683" s="6"/>
    </row>
    <row r="1684" spans="6:6" x14ac:dyDescent="0.25">
      <c r="F1684" s="6"/>
    </row>
    <row r="1685" spans="6:6" x14ac:dyDescent="0.25">
      <c r="F1685" s="6"/>
    </row>
    <row r="1686" spans="6:6" x14ac:dyDescent="0.25">
      <c r="F1686" s="6"/>
    </row>
    <row r="1687" spans="6:6" x14ac:dyDescent="0.25">
      <c r="F1687" s="6"/>
    </row>
    <row r="1688" spans="6:6" x14ac:dyDescent="0.25">
      <c r="F1688" s="6"/>
    </row>
    <row r="1689" spans="6:6" x14ac:dyDescent="0.25">
      <c r="F1689" s="6"/>
    </row>
    <row r="1690" spans="6:6" x14ac:dyDescent="0.25">
      <c r="F1690" s="6"/>
    </row>
    <row r="1691" spans="6:6" x14ac:dyDescent="0.25">
      <c r="F1691" s="6"/>
    </row>
    <row r="1692" spans="6:6" x14ac:dyDescent="0.25">
      <c r="F1692" s="6"/>
    </row>
    <row r="1693" spans="6:6" x14ac:dyDescent="0.25">
      <c r="F1693" s="6"/>
    </row>
    <row r="1694" spans="6:6" x14ac:dyDescent="0.25">
      <c r="F1694" s="6"/>
    </row>
    <row r="1695" spans="6:6" x14ac:dyDescent="0.25">
      <c r="F1695" s="6"/>
    </row>
    <row r="1696" spans="6:6" x14ac:dyDescent="0.25">
      <c r="F1696" s="6"/>
    </row>
    <row r="1697" spans="6:6" x14ac:dyDescent="0.25">
      <c r="F1697" s="6"/>
    </row>
    <row r="1698" spans="6:6" x14ac:dyDescent="0.25">
      <c r="F1698" s="6"/>
    </row>
    <row r="1699" spans="6:6" x14ac:dyDescent="0.25">
      <c r="F1699" s="6"/>
    </row>
    <row r="1700" spans="6:6" x14ac:dyDescent="0.25">
      <c r="F1700" s="6"/>
    </row>
    <row r="1701" spans="6:6" x14ac:dyDescent="0.25">
      <c r="F1701" s="6"/>
    </row>
    <row r="1702" spans="6:6" x14ac:dyDescent="0.25">
      <c r="F1702" s="6"/>
    </row>
    <row r="1703" spans="6:6" x14ac:dyDescent="0.25">
      <c r="F1703" s="6"/>
    </row>
    <row r="1704" spans="6:6" x14ac:dyDescent="0.25">
      <c r="F1704" s="6"/>
    </row>
    <row r="1705" spans="6:6" x14ac:dyDescent="0.25">
      <c r="F1705" s="6"/>
    </row>
    <row r="1706" spans="6:6" x14ac:dyDescent="0.25">
      <c r="F1706" s="6"/>
    </row>
    <row r="1707" spans="6:6" x14ac:dyDescent="0.25">
      <c r="F1707" s="6"/>
    </row>
    <row r="1708" spans="6:6" x14ac:dyDescent="0.25">
      <c r="F1708" s="6"/>
    </row>
    <row r="1709" spans="6:6" x14ac:dyDescent="0.25">
      <c r="F1709" s="6"/>
    </row>
    <row r="1710" spans="6:6" x14ac:dyDescent="0.25">
      <c r="F1710" s="6"/>
    </row>
    <row r="1711" spans="6:6" x14ac:dyDescent="0.25">
      <c r="F1711" s="6"/>
    </row>
    <row r="1712" spans="6:6" x14ac:dyDescent="0.25">
      <c r="F1712" s="6"/>
    </row>
    <row r="1713" spans="6:6" x14ac:dyDescent="0.25">
      <c r="F1713" s="6"/>
    </row>
    <row r="1714" spans="6:6" x14ac:dyDescent="0.25">
      <c r="F1714" s="6"/>
    </row>
    <row r="1715" spans="6:6" x14ac:dyDescent="0.25">
      <c r="F1715" s="6"/>
    </row>
    <row r="1716" spans="6:6" x14ac:dyDescent="0.25">
      <c r="F1716" s="6"/>
    </row>
    <row r="1717" spans="6:6" x14ac:dyDescent="0.25">
      <c r="F1717" s="6"/>
    </row>
    <row r="1718" spans="6:6" x14ac:dyDescent="0.25">
      <c r="F1718" s="6"/>
    </row>
    <row r="1719" spans="6:6" x14ac:dyDescent="0.25">
      <c r="F1719" s="6"/>
    </row>
    <row r="1720" spans="6:6" x14ac:dyDescent="0.25">
      <c r="F1720" s="6"/>
    </row>
    <row r="1721" spans="6:6" x14ac:dyDescent="0.25">
      <c r="F1721" s="6"/>
    </row>
    <row r="1722" spans="6:6" x14ac:dyDescent="0.25">
      <c r="F1722" s="6"/>
    </row>
    <row r="1723" spans="6:6" x14ac:dyDescent="0.25">
      <c r="F1723" s="6"/>
    </row>
    <row r="1724" spans="6:6" x14ac:dyDescent="0.25">
      <c r="F1724" s="6"/>
    </row>
    <row r="1725" spans="6:6" x14ac:dyDescent="0.25">
      <c r="F1725" s="6"/>
    </row>
    <row r="1726" spans="6:6" x14ac:dyDescent="0.25">
      <c r="F1726" s="6"/>
    </row>
    <row r="1727" spans="6:6" x14ac:dyDescent="0.25">
      <c r="F1727" s="6"/>
    </row>
    <row r="1728" spans="6:6" x14ac:dyDescent="0.25">
      <c r="F1728" s="6"/>
    </row>
    <row r="1729" spans="6:6" x14ac:dyDescent="0.25">
      <c r="F1729" s="6"/>
    </row>
    <row r="1730" spans="6:6" x14ac:dyDescent="0.25">
      <c r="F1730" s="6"/>
    </row>
    <row r="1731" spans="6:6" x14ac:dyDescent="0.25">
      <c r="F1731" s="6"/>
    </row>
    <row r="1732" spans="6:6" x14ac:dyDescent="0.25">
      <c r="F1732" s="6"/>
    </row>
    <row r="1733" spans="6:6" x14ac:dyDescent="0.25">
      <c r="F1733" s="6"/>
    </row>
    <row r="1734" spans="6:6" x14ac:dyDescent="0.25">
      <c r="F1734" s="6"/>
    </row>
    <row r="1735" spans="6:6" x14ac:dyDescent="0.25">
      <c r="F1735" s="6"/>
    </row>
    <row r="1736" spans="6:6" x14ac:dyDescent="0.25">
      <c r="F1736" s="6"/>
    </row>
    <row r="1737" spans="6:6" x14ac:dyDescent="0.25">
      <c r="F1737" s="6"/>
    </row>
    <row r="1738" spans="6:6" x14ac:dyDescent="0.25">
      <c r="F1738" s="6"/>
    </row>
    <row r="1739" spans="6:6" x14ac:dyDescent="0.25">
      <c r="F1739" s="6"/>
    </row>
    <row r="1740" spans="6:6" x14ac:dyDescent="0.25">
      <c r="F1740" s="6"/>
    </row>
    <row r="1741" spans="6:6" x14ac:dyDescent="0.25">
      <c r="F1741" s="6"/>
    </row>
    <row r="1742" spans="6:6" x14ac:dyDescent="0.25">
      <c r="F1742" s="6"/>
    </row>
    <row r="1743" spans="6:6" x14ac:dyDescent="0.25">
      <c r="F1743" s="6"/>
    </row>
    <row r="1744" spans="6:6" x14ac:dyDescent="0.25">
      <c r="F1744" s="6"/>
    </row>
    <row r="1745" spans="6:6" x14ac:dyDescent="0.25">
      <c r="F1745" s="6"/>
    </row>
    <row r="1746" spans="6:6" x14ac:dyDescent="0.25">
      <c r="F1746" s="6"/>
    </row>
    <row r="1747" spans="6:6" x14ac:dyDescent="0.25">
      <c r="F1747" s="6"/>
    </row>
    <row r="1748" spans="6:6" x14ac:dyDescent="0.25">
      <c r="F1748" s="6"/>
    </row>
    <row r="1749" spans="6:6" x14ac:dyDescent="0.25">
      <c r="F1749" s="6"/>
    </row>
    <row r="1750" spans="6:6" x14ac:dyDescent="0.25">
      <c r="F1750" s="6"/>
    </row>
    <row r="1751" spans="6:6" x14ac:dyDescent="0.25">
      <c r="F1751" s="6"/>
    </row>
    <row r="1753" spans="6:6" x14ac:dyDescent="0.25">
      <c r="F1753" s="6"/>
    </row>
    <row r="1754" spans="6:6" x14ac:dyDescent="0.25">
      <c r="F1754" s="6"/>
    </row>
    <row r="1755" spans="6:6" x14ac:dyDescent="0.25">
      <c r="F1755" s="6"/>
    </row>
    <row r="1756" spans="6:6" x14ac:dyDescent="0.25">
      <c r="F1756" s="6"/>
    </row>
    <row r="1757" spans="6:6" x14ac:dyDescent="0.25">
      <c r="F1757" s="6"/>
    </row>
    <row r="1758" spans="6:6" x14ac:dyDescent="0.25">
      <c r="F1758" s="6"/>
    </row>
    <row r="1759" spans="6:6" x14ac:dyDescent="0.25">
      <c r="F1759" s="6"/>
    </row>
    <row r="1760" spans="6:6" x14ac:dyDescent="0.25">
      <c r="F1760" s="6"/>
    </row>
    <row r="1761" spans="6:6" x14ac:dyDescent="0.25">
      <c r="F1761" s="6"/>
    </row>
    <row r="1762" spans="6:6" x14ac:dyDescent="0.25">
      <c r="F1762" s="6"/>
    </row>
    <row r="1763" spans="6:6" x14ac:dyDescent="0.25">
      <c r="F1763" s="6"/>
    </row>
    <row r="1764" spans="6:6" x14ac:dyDescent="0.25">
      <c r="F1764" s="6"/>
    </row>
    <row r="1765" spans="6:6" x14ac:dyDescent="0.25">
      <c r="F1765" s="6"/>
    </row>
    <row r="1766" spans="6:6" x14ac:dyDescent="0.25">
      <c r="F1766" s="6"/>
    </row>
    <row r="1767" spans="6:6" x14ac:dyDescent="0.25">
      <c r="F1767" s="6"/>
    </row>
    <row r="1768" spans="6:6" x14ac:dyDescent="0.25">
      <c r="F1768" s="6"/>
    </row>
    <row r="1769" spans="6:6" x14ac:dyDescent="0.25">
      <c r="F1769" s="6"/>
    </row>
    <row r="1770" spans="6:6" x14ac:dyDescent="0.25">
      <c r="F1770" s="6"/>
    </row>
    <row r="1771" spans="6:6" x14ac:dyDescent="0.25">
      <c r="F1771" s="6"/>
    </row>
    <row r="1772" spans="6:6" x14ac:dyDescent="0.25">
      <c r="F1772" s="6"/>
    </row>
    <row r="1773" spans="6:6" x14ac:dyDescent="0.25">
      <c r="F1773" s="6"/>
    </row>
    <row r="1774" spans="6:6" x14ac:dyDescent="0.25">
      <c r="F1774" s="6"/>
    </row>
    <row r="1775" spans="6:6" x14ac:dyDescent="0.25">
      <c r="F1775" s="6"/>
    </row>
    <row r="1776" spans="6:6" x14ac:dyDescent="0.25">
      <c r="F1776" s="6"/>
    </row>
    <row r="1777" spans="6:6" x14ac:dyDescent="0.25">
      <c r="F1777" s="6"/>
    </row>
    <row r="1778" spans="6:6" x14ac:dyDescent="0.25">
      <c r="F1778" s="6"/>
    </row>
    <row r="1779" spans="6:6" x14ac:dyDescent="0.25">
      <c r="F1779" s="6"/>
    </row>
    <row r="1780" spans="6:6" x14ac:dyDescent="0.25">
      <c r="F1780" s="6"/>
    </row>
    <row r="1781" spans="6:6" x14ac:dyDescent="0.25">
      <c r="F1781" s="6"/>
    </row>
    <row r="1782" spans="6:6" x14ac:dyDescent="0.25">
      <c r="F1782" s="6"/>
    </row>
    <row r="1783" spans="6:6" x14ac:dyDescent="0.25">
      <c r="F1783" s="6"/>
    </row>
    <row r="1784" spans="6:6" x14ac:dyDescent="0.25">
      <c r="F1784" s="6"/>
    </row>
    <row r="1785" spans="6:6" x14ac:dyDescent="0.25">
      <c r="F1785" s="6"/>
    </row>
    <row r="1786" spans="6:6" x14ac:dyDescent="0.25">
      <c r="F1786" s="6"/>
    </row>
    <row r="1787" spans="6:6" x14ac:dyDescent="0.25">
      <c r="F1787" s="6"/>
    </row>
    <row r="1788" spans="6:6" x14ac:dyDescent="0.25">
      <c r="F1788" s="6"/>
    </row>
    <row r="1789" spans="6:6" x14ac:dyDescent="0.25">
      <c r="F1789" s="6"/>
    </row>
    <row r="1790" spans="6:6" x14ac:dyDescent="0.25">
      <c r="F1790" s="6"/>
    </row>
    <row r="1791" spans="6:6" x14ac:dyDescent="0.25">
      <c r="F1791" s="6"/>
    </row>
    <row r="1792" spans="6:6" x14ac:dyDescent="0.25">
      <c r="F1792" s="6"/>
    </row>
    <row r="1793" spans="6:6" x14ac:dyDescent="0.25">
      <c r="F1793" s="6"/>
    </row>
    <row r="1794" spans="6:6" x14ac:dyDescent="0.25">
      <c r="F1794" s="6"/>
    </row>
    <row r="1795" spans="6:6" x14ac:dyDescent="0.25">
      <c r="F1795" s="6"/>
    </row>
    <row r="1796" spans="6:6" x14ac:dyDescent="0.25">
      <c r="F1796" s="6"/>
    </row>
    <row r="1797" spans="6:6" x14ac:dyDescent="0.25">
      <c r="F1797" s="6"/>
    </row>
    <row r="1798" spans="6:6" x14ac:dyDescent="0.25">
      <c r="F1798" s="6"/>
    </row>
    <row r="1799" spans="6:6" x14ac:dyDescent="0.25">
      <c r="F1799" s="6"/>
    </row>
    <row r="1800" spans="6:6" x14ac:dyDescent="0.25">
      <c r="F1800" s="6"/>
    </row>
    <row r="1801" spans="6:6" x14ac:dyDescent="0.25">
      <c r="F1801" s="6"/>
    </row>
    <row r="1802" spans="6:6" x14ac:dyDescent="0.25">
      <c r="F1802" s="6"/>
    </row>
    <row r="1803" spans="6:6" x14ac:dyDescent="0.25">
      <c r="F1803" s="6"/>
    </row>
    <row r="1804" spans="6:6" x14ac:dyDescent="0.25">
      <c r="F1804" s="6"/>
    </row>
    <row r="1805" spans="6:6" x14ac:dyDescent="0.25">
      <c r="F1805" s="6"/>
    </row>
    <row r="1806" spans="6:6" x14ac:dyDescent="0.25">
      <c r="F1806" s="6"/>
    </row>
    <row r="1807" spans="6:6" x14ac:dyDescent="0.25">
      <c r="F1807" s="6"/>
    </row>
    <row r="1808" spans="6:6" x14ac:dyDescent="0.25">
      <c r="F1808" s="6"/>
    </row>
    <row r="1809" spans="6:6" x14ac:dyDescent="0.25">
      <c r="F1809" s="6"/>
    </row>
    <row r="1810" spans="6:6" x14ac:dyDescent="0.25">
      <c r="F1810" s="6"/>
    </row>
    <row r="1811" spans="6:6" x14ac:dyDescent="0.25">
      <c r="F1811" s="6"/>
    </row>
    <row r="1812" spans="6:6" x14ac:dyDescent="0.25">
      <c r="F1812" s="6"/>
    </row>
    <row r="1813" spans="6:6" x14ac:dyDescent="0.25">
      <c r="F1813" s="6"/>
    </row>
    <row r="1814" spans="6:6" x14ac:dyDescent="0.25">
      <c r="F1814" s="6"/>
    </row>
    <row r="1815" spans="6:6" x14ac:dyDescent="0.25">
      <c r="F1815" s="6"/>
    </row>
    <row r="1816" spans="6:6" x14ac:dyDescent="0.25">
      <c r="F1816" s="6"/>
    </row>
    <row r="1817" spans="6:6" x14ac:dyDescent="0.25">
      <c r="F1817" s="6"/>
    </row>
    <row r="1818" spans="6:6" x14ac:dyDescent="0.25">
      <c r="F1818" s="6"/>
    </row>
    <row r="1819" spans="6:6" x14ac:dyDescent="0.25">
      <c r="F1819" s="6"/>
    </row>
    <row r="1820" spans="6:6" x14ac:dyDescent="0.25">
      <c r="F1820" s="6"/>
    </row>
    <row r="1821" spans="6:6" x14ac:dyDescent="0.25">
      <c r="F1821" s="6"/>
    </row>
    <row r="1822" spans="6:6" x14ac:dyDescent="0.25">
      <c r="F1822" s="6"/>
    </row>
    <row r="1823" spans="6:6" x14ac:dyDescent="0.25">
      <c r="F1823" s="6"/>
    </row>
    <row r="1824" spans="6:6" x14ac:dyDescent="0.25">
      <c r="F1824" s="6"/>
    </row>
    <row r="1825" spans="6:6" x14ac:dyDescent="0.25">
      <c r="F1825" s="6"/>
    </row>
    <row r="1826" spans="6:6" x14ac:dyDescent="0.25">
      <c r="F1826" s="6"/>
    </row>
    <row r="1827" spans="6:6" x14ac:dyDescent="0.25">
      <c r="F1827" s="6"/>
    </row>
    <row r="1828" spans="6:6" x14ac:dyDescent="0.25">
      <c r="F1828" s="6"/>
    </row>
    <row r="1829" spans="6:6" x14ac:dyDescent="0.25">
      <c r="F1829" s="6"/>
    </row>
    <row r="1830" spans="6:6" x14ac:dyDescent="0.25">
      <c r="F1830" s="6"/>
    </row>
    <row r="1831" spans="6:6" x14ac:dyDescent="0.25">
      <c r="F1831" s="6"/>
    </row>
    <row r="1832" spans="6:6" x14ac:dyDescent="0.25">
      <c r="F1832" s="6"/>
    </row>
    <row r="1833" spans="6:6" x14ac:dyDescent="0.25">
      <c r="F1833" s="6"/>
    </row>
    <row r="1834" spans="6:6" x14ac:dyDescent="0.25">
      <c r="F1834" s="6"/>
    </row>
    <row r="1835" spans="6:6" x14ac:dyDescent="0.25">
      <c r="F1835" s="6"/>
    </row>
    <row r="1836" spans="6:6" x14ac:dyDescent="0.25">
      <c r="F1836" s="6"/>
    </row>
    <row r="1837" spans="6:6" x14ac:dyDescent="0.25">
      <c r="F1837" s="6"/>
    </row>
    <row r="1838" spans="6:6" x14ac:dyDescent="0.25">
      <c r="F1838" s="6"/>
    </row>
    <row r="1839" spans="6:6" x14ac:dyDescent="0.25">
      <c r="F1839" s="6"/>
    </row>
    <row r="1840" spans="6:6" x14ac:dyDescent="0.25">
      <c r="F1840" s="6"/>
    </row>
    <row r="1841" spans="6:6" x14ac:dyDescent="0.25">
      <c r="F1841" s="6"/>
    </row>
    <row r="1842" spans="6:6" x14ac:dyDescent="0.25">
      <c r="F1842" s="6"/>
    </row>
    <row r="1843" spans="6:6" x14ac:dyDescent="0.25">
      <c r="F1843" s="6"/>
    </row>
    <row r="1844" spans="6:6" x14ac:dyDescent="0.25">
      <c r="F1844" s="6"/>
    </row>
    <row r="1845" spans="6:6" x14ac:dyDescent="0.25">
      <c r="F1845" s="6"/>
    </row>
    <row r="1846" spans="6:6" x14ac:dyDescent="0.25">
      <c r="F1846" s="6"/>
    </row>
    <row r="1847" spans="6:6" x14ac:dyDescent="0.25">
      <c r="F1847" s="6"/>
    </row>
    <row r="1848" spans="6:6" x14ac:dyDescent="0.25">
      <c r="F1848" s="6"/>
    </row>
    <row r="1849" spans="6:6" x14ac:dyDescent="0.25">
      <c r="F1849" s="6"/>
    </row>
    <row r="1850" spans="6:6" x14ac:dyDescent="0.25">
      <c r="F1850" s="6"/>
    </row>
    <row r="1851" spans="6:6" x14ac:dyDescent="0.25">
      <c r="F1851" s="6"/>
    </row>
    <row r="1852" spans="6:6" x14ac:dyDescent="0.25">
      <c r="F185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0C4F7-2452-484D-BA54-562FEC45C19D}">
  <sheetPr codeName="Sheet10"/>
  <dimension ref="A1:F58"/>
  <sheetViews>
    <sheetView workbookViewId="0">
      <selection activeCell="B15" sqref="B15"/>
    </sheetView>
  </sheetViews>
  <sheetFormatPr defaultRowHeight="15" x14ac:dyDescent="0.25"/>
  <cols>
    <col min="1" max="1" width="15.5703125" bestFit="1" customWidth="1"/>
    <col min="2" max="2" width="52.28515625" bestFit="1" customWidth="1"/>
    <col min="3" max="3" width="9.5703125" bestFit="1" customWidth="1"/>
    <col min="4" max="4" width="19.7109375" bestFit="1" customWidth="1"/>
  </cols>
  <sheetData>
    <row r="1" spans="1:6" x14ac:dyDescent="0.25">
      <c r="A1" s="15" t="s">
        <v>774</v>
      </c>
      <c r="B1" s="14" t="s">
        <v>39</v>
      </c>
      <c r="C1" s="15" t="s">
        <v>775</v>
      </c>
      <c r="D1" s="22"/>
      <c r="E1" s="22" t="s">
        <v>776</v>
      </c>
      <c r="F1" s="22" t="s">
        <v>777</v>
      </c>
    </row>
    <row r="2" spans="1:6" x14ac:dyDescent="0.25">
      <c r="A2" s="17" t="s">
        <v>115</v>
      </c>
      <c r="B2" s="20" t="s">
        <v>113</v>
      </c>
      <c r="C2" s="17">
        <v>1401</v>
      </c>
      <c r="D2" s="47" t="str">
        <f>A2&amp;C2</f>
        <v>TU51401</v>
      </c>
      <c r="E2">
        <v>445</v>
      </c>
      <c r="F2">
        <v>290</v>
      </c>
    </row>
    <row r="3" spans="1:6" x14ac:dyDescent="0.25">
      <c r="A3" s="19" t="s">
        <v>115</v>
      </c>
      <c r="B3" s="21" t="s">
        <v>441</v>
      </c>
      <c r="C3" s="19">
        <v>1399</v>
      </c>
      <c r="D3" s="47" t="str">
        <f t="shared" ref="D3:D58" si="0">A3&amp;C3</f>
        <v>TU51399</v>
      </c>
      <c r="E3">
        <v>410</v>
      </c>
      <c r="F3">
        <v>275</v>
      </c>
    </row>
    <row r="4" spans="1:6" x14ac:dyDescent="0.25">
      <c r="A4" s="19" t="s">
        <v>739</v>
      </c>
      <c r="B4" s="21" t="s">
        <v>737</v>
      </c>
      <c r="C4" s="19">
        <v>1398</v>
      </c>
      <c r="D4" s="47" t="str">
        <f t="shared" si="0"/>
        <v>TONDAR 90+ at1398</v>
      </c>
      <c r="E4">
        <v>675</v>
      </c>
      <c r="F4">
        <v>550</v>
      </c>
    </row>
    <row r="5" spans="1:6" x14ac:dyDescent="0.25">
      <c r="A5" s="19" t="s">
        <v>94</v>
      </c>
      <c r="B5" s="21" t="s">
        <v>569</v>
      </c>
      <c r="C5" s="19">
        <v>1398</v>
      </c>
      <c r="D5" s="47" t="str">
        <f t="shared" si="0"/>
        <v>TONDAR 90 K4M1398</v>
      </c>
      <c r="E5">
        <v>675</v>
      </c>
      <c r="F5">
        <v>550</v>
      </c>
    </row>
    <row r="6" spans="1:6" x14ac:dyDescent="0.25">
      <c r="A6" s="19" t="s">
        <v>94</v>
      </c>
      <c r="B6" s="18" t="s">
        <v>156</v>
      </c>
      <c r="C6" s="19">
        <v>1393</v>
      </c>
      <c r="D6" s="47" t="str">
        <f t="shared" si="0"/>
        <v>TONDAR 90 K4M1393</v>
      </c>
    </row>
    <row r="7" spans="1:6" x14ac:dyDescent="0.25">
      <c r="A7" s="17" t="s">
        <v>94</v>
      </c>
      <c r="B7" s="20" t="s">
        <v>92</v>
      </c>
      <c r="C7" s="17">
        <v>1386</v>
      </c>
      <c r="D7" s="47" t="str">
        <f t="shared" si="0"/>
        <v>TONDAR 90 K4M1386</v>
      </c>
    </row>
    <row r="8" spans="1:6" x14ac:dyDescent="0.25">
      <c r="A8" s="19" t="s">
        <v>649</v>
      </c>
      <c r="B8" s="18" t="s">
        <v>650</v>
      </c>
      <c r="C8" s="19">
        <v>1400</v>
      </c>
      <c r="D8" s="47" t="str">
        <f t="shared" si="0"/>
        <v>TARA TU5PA1400</v>
      </c>
      <c r="E8">
        <v>720</v>
      </c>
      <c r="F8">
        <v>590</v>
      </c>
    </row>
    <row r="9" spans="1:6" x14ac:dyDescent="0.25">
      <c r="A9" s="19" t="s">
        <v>124</v>
      </c>
      <c r="B9" s="21" t="s">
        <v>538</v>
      </c>
      <c r="C9" s="19">
        <v>1401</v>
      </c>
      <c r="D9" s="47" t="str">
        <f t="shared" si="0"/>
        <v>SOREN EF71401</v>
      </c>
      <c r="E9">
        <v>465</v>
      </c>
      <c r="F9">
        <v>350</v>
      </c>
    </row>
    <row r="10" spans="1:6" x14ac:dyDescent="0.25">
      <c r="A10" s="17" t="s">
        <v>124</v>
      </c>
      <c r="B10" s="20" t="s">
        <v>479</v>
      </c>
      <c r="C10" s="17">
        <v>1400</v>
      </c>
      <c r="D10" s="47" t="str">
        <f t="shared" si="0"/>
        <v>SOREN EF71400</v>
      </c>
      <c r="E10">
        <v>435</v>
      </c>
      <c r="F10">
        <v>330</v>
      </c>
    </row>
    <row r="11" spans="1:6" x14ac:dyDescent="0.25">
      <c r="A11" s="17" t="s">
        <v>124</v>
      </c>
      <c r="B11" s="20" t="s">
        <v>430</v>
      </c>
      <c r="C11" s="17">
        <v>1399</v>
      </c>
      <c r="D11" s="47" t="str">
        <f t="shared" si="0"/>
        <v>SOREN EF71399</v>
      </c>
      <c r="E11">
        <v>400</v>
      </c>
      <c r="F11">
        <v>310</v>
      </c>
    </row>
    <row r="12" spans="1:6" x14ac:dyDescent="0.25">
      <c r="A12" s="19" t="s">
        <v>124</v>
      </c>
      <c r="B12" s="21" t="s">
        <v>401</v>
      </c>
      <c r="C12" s="19">
        <v>1398</v>
      </c>
      <c r="D12" s="47" t="str">
        <f t="shared" si="0"/>
        <v>SOREN EF71398</v>
      </c>
      <c r="E12">
        <v>380</v>
      </c>
      <c r="F12">
        <v>290</v>
      </c>
    </row>
    <row r="13" spans="1:6" x14ac:dyDescent="0.25">
      <c r="A13" s="19" t="s">
        <v>742</v>
      </c>
      <c r="B13" s="18" t="s">
        <v>741</v>
      </c>
      <c r="C13" s="19">
        <v>1401</v>
      </c>
      <c r="D13" s="47" t="str">
        <f t="shared" si="0"/>
        <v>S7-T-AT1401</v>
      </c>
      <c r="E13">
        <v>1345</v>
      </c>
      <c r="F13">
        <v>970</v>
      </c>
    </row>
    <row r="14" spans="1:6" x14ac:dyDescent="0.25">
      <c r="A14" s="19" t="s">
        <v>736</v>
      </c>
      <c r="B14" s="21" t="s">
        <v>744</v>
      </c>
      <c r="C14" s="19">
        <v>1401</v>
      </c>
      <c r="D14" s="47" t="str">
        <f t="shared" si="0"/>
        <v>S5-T-AT1401</v>
      </c>
      <c r="E14">
        <v>1110</v>
      </c>
      <c r="F14">
        <v>803</v>
      </c>
    </row>
    <row r="15" spans="1:6" x14ac:dyDescent="0.25">
      <c r="A15" s="19" t="s">
        <v>63</v>
      </c>
      <c r="B15" s="21" t="s">
        <v>126</v>
      </c>
      <c r="C15" s="19">
        <v>1399</v>
      </c>
      <c r="D15" s="47" t="str">
        <f t="shared" si="0"/>
        <v>PU1 OHVG CNG1399</v>
      </c>
      <c r="E15">
        <v>283</v>
      </c>
    </row>
    <row r="16" spans="1:6" x14ac:dyDescent="0.25">
      <c r="A16" s="19" t="s">
        <v>128</v>
      </c>
      <c r="B16" s="18" t="s">
        <v>155</v>
      </c>
      <c r="C16" s="19">
        <v>1401</v>
      </c>
      <c r="D16" s="47" t="str">
        <f t="shared" si="0"/>
        <v>PARS XU7 P1401</v>
      </c>
      <c r="E16">
        <v>450</v>
      </c>
      <c r="F16">
        <v>317</v>
      </c>
    </row>
    <row r="17" spans="1:6" x14ac:dyDescent="0.25">
      <c r="A17" s="19" t="s">
        <v>446</v>
      </c>
      <c r="B17" s="18" t="s">
        <v>444</v>
      </c>
      <c r="C17" s="19">
        <v>1394</v>
      </c>
      <c r="D17" s="47" t="str">
        <f t="shared" si="0"/>
        <v>PARS XU7 CNG1394</v>
      </c>
    </row>
    <row r="18" spans="1:6" x14ac:dyDescent="0.25">
      <c r="A18" s="17" t="s">
        <v>446</v>
      </c>
      <c r="B18" s="20" t="s">
        <v>501</v>
      </c>
      <c r="C18" s="17">
        <v>1400</v>
      </c>
      <c r="D18" s="47" t="str">
        <f t="shared" si="0"/>
        <v>PARS XU7 CNG1400</v>
      </c>
      <c r="E18">
        <v>510</v>
      </c>
      <c r="F18">
        <v>400</v>
      </c>
    </row>
    <row r="19" spans="1:6" x14ac:dyDescent="0.25">
      <c r="A19" s="17" t="s">
        <v>84</v>
      </c>
      <c r="B19" s="20" t="s">
        <v>82</v>
      </c>
      <c r="C19" s="17">
        <v>1400</v>
      </c>
      <c r="D19" s="47" t="str">
        <f t="shared" si="0"/>
        <v>PARS TU51400</v>
      </c>
      <c r="E19">
        <v>510</v>
      </c>
      <c r="F19">
        <v>360</v>
      </c>
    </row>
    <row r="20" spans="1:6" x14ac:dyDescent="0.25">
      <c r="A20" s="19" t="s">
        <v>84</v>
      </c>
      <c r="B20" s="21" t="s">
        <v>82</v>
      </c>
      <c r="C20" s="19">
        <v>1401</v>
      </c>
      <c r="D20" s="47" t="str">
        <f t="shared" si="0"/>
        <v>PARS TU51401</v>
      </c>
      <c r="E20">
        <v>525</v>
      </c>
      <c r="F20">
        <v>374</v>
      </c>
    </row>
    <row r="21" spans="1:6" x14ac:dyDescent="0.25">
      <c r="A21" s="17" t="s">
        <v>84</v>
      </c>
      <c r="B21" s="48" t="s">
        <v>82</v>
      </c>
      <c r="C21" s="17" t="s">
        <v>778</v>
      </c>
      <c r="D21" s="47" t="str">
        <f t="shared" si="0"/>
        <v>PARS TU51399</v>
      </c>
      <c r="E21">
        <v>495</v>
      </c>
      <c r="F21">
        <v>347</v>
      </c>
    </row>
    <row r="22" spans="1:6" x14ac:dyDescent="0.25">
      <c r="A22" s="19" t="s">
        <v>71</v>
      </c>
      <c r="B22" s="18" t="s">
        <v>79</v>
      </c>
      <c r="C22" s="19">
        <v>1392</v>
      </c>
      <c r="D22" s="47" t="str">
        <f t="shared" si="0"/>
        <v>OHV CNG1392</v>
      </c>
    </row>
    <row r="23" spans="1:6" x14ac:dyDescent="0.25">
      <c r="A23" s="19" t="s">
        <v>71</v>
      </c>
      <c r="B23" s="18" t="s">
        <v>77</v>
      </c>
      <c r="C23" s="19">
        <v>1393</v>
      </c>
      <c r="D23" s="47" t="str">
        <f t="shared" si="0"/>
        <v>OHV CNG1393</v>
      </c>
    </row>
    <row r="24" spans="1:6" x14ac:dyDescent="0.25">
      <c r="A24" s="17" t="s">
        <v>429</v>
      </c>
      <c r="B24" s="20" t="s">
        <v>427</v>
      </c>
      <c r="C24" s="17">
        <v>1398</v>
      </c>
      <c r="D24" s="47" t="str">
        <f t="shared" si="0"/>
        <v>LX XU7 CNG1398</v>
      </c>
    </row>
    <row r="25" spans="1:6" x14ac:dyDescent="0.25">
      <c r="A25" s="17" t="s">
        <v>97</v>
      </c>
      <c r="B25" s="20" t="s">
        <v>95</v>
      </c>
      <c r="C25" s="17">
        <v>1390</v>
      </c>
      <c r="D25" s="47" t="str">
        <f t="shared" si="0"/>
        <v>LX XU71390</v>
      </c>
    </row>
    <row r="26" spans="1:6" x14ac:dyDescent="0.25">
      <c r="A26" s="19" t="s">
        <v>109</v>
      </c>
      <c r="B26" s="21" t="s">
        <v>625</v>
      </c>
      <c r="C26" s="19">
        <v>1398</v>
      </c>
      <c r="D26" s="47" t="str">
        <f t="shared" si="0"/>
        <v>H30 TU5 A1398</v>
      </c>
    </row>
    <row r="27" spans="1:6" x14ac:dyDescent="0.25">
      <c r="A27" s="19" t="s">
        <v>465</v>
      </c>
      <c r="B27" s="21" t="s">
        <v>531</v>
      </c>
      <c r="C27" s="19">
        <v>1401</v>
      </c>
      <c r="D27" s="47" t="str">
        <f t="shared" si="0"/>
        <v>DENA+EF7TC A1401</v>
      </c>
      <c r="E27">
        <v>725</v>
      </c>
      <c r="F27">
        <v>505</v>
      </c>
    </row>
    <row r="28" spans="1:6" x14ac:dyDescent="0.25">
      <c r="A28" s="17" t="s">
        <v>465</v>
      </c>
      <c r="B28" s="20" t="s">
        <v>469</v>
      </c>
      <c r="C28" s="17">
        <v>1399</v>
      </c>
      <c r="D28" s="47" t="str">
        <f t="shared" si="0"/>
        <v>DENA+EF7TC A1399</v>
      </c>
      <c r="E28">
        <v>690</v>
      </c>
      <c r="F28">
        <v>475</v>
      </c>
    </row>
    <row r="29" spans="1:6" x14ac:dyDescent="0.25">
      <c r="A29" s="19" t="s">
        <v>465</v>
      </c>
      <c r="B29" s="18" t="s">
        <v>463</v>
      </c>
      <c r="C29" s="19">
        <v>1400</v>
      </c>
      <c r="D29" s="47" t="str">
        <f t="shared" si="0"/>
        <v>DENA+EF7TC A1400</v>
      </c>
      <c r="E29">
        <v>710</v>
      </c>
      <c r="F29">
        <v>488</v>
      </c>
    </row>
    <row r="30" spans="1:6" x14ac:dyDescent="0.25">
      <c r="A30" s="19" t="s">
        <v>412</v>
      </c>
      <c r="B30" s="18" t="s">
        <v>411</v>
      </c>
      <c r="C30" s="19">
        <v>1398</v>
      </c>
      <c r="D30" s="47" t="str">
        <f t="shared" si="0"/>
        <v>DENA+EF7-MT1398</v>
      </c>
      <c r="E30">
        <v>600</v>
      </c>
    </row>
    <row r="31" spans="1:6" x14ac:dyDescent="0.25">
      <c r="A31" s="19" t="s">
        <v>546</v>
      </c>
      <c r="B31" s="21" t="s">
        <v>545</v>
      </c>
      <c r="C31" s="19">
        <v>1401</v>
      </c>
      <c r="D31" s="47" t="str">
        <f t="shared" si="0"/>
        <v>DENA EF7 TC-MT1401</v>
      </c>
      <c r="E31">
        <v>675</v>
      </c>
      <c r="F31">
        <v>470</v>
      </c>
    </row>
    <row r="32" spans="1:6" x14ac:dyDescent="0.25">
      <c r="A32" s="17" t="s">
        <v>70</v>
      </c>
      <c r="B32" s="20" t="s">
        <v>75</v>
      </c>
      <c r="C32" s="17">
        <v>1391</v>
      </c>
      <c r="D32" s="47" t="str">
        <f t="shared" si="0"/>
        <v>BARDO OHV1391</v>
      </c>
    </row>
    <row r="33" spans="1:6" x14ac:dyDescent="0.25">
      <c r="A33" s="19" t="s">
        <v>81</v>
      </c>
      <c r="B33" s="18" t="s">
        <v>107</v>
      </c>
      <c r="C33" s="19">
        <v>1393</v>
      </c>
      <c r="D33" s="47" t="str">
        <f t="shared" si="0"/>
        <v>405GLX XU7 CNG1393</v>
      </c>
      <c r="E33">
        <v>245</v>
      </c>
    </row>
    <row r="34" spans="1:6" x14ac:dyDescent="0.25">
      <c r="A34" s="17" t="s">
        <v>81</v>
      </c>
      <c r="B34" s="20" t="s">
        <v>105</v>
      </c>
      <c r="C34" s="17">
        <v>1392</v>
      </c>
      <c r="D34" s="47" t="str">
        <f t="shared" si="0"/>
        <v>405GLX XU7 CNG1392</v>
      </c>
      <c r="E34">
        <v>220</v>
      </c>
    </row>
    <row r="35" spans="1:6" x14ac:dyDescent="0.25">
      <c r="A35" s="19" t="s">
        <v>74</v>
      </c>
      <c r="B35" s="21" t="s">
        <v>385</v>
      </c>
      <c r="C35" s="19">
        <v>1399</v>
      </c>
      <c r="D35" s="47" t="str">
        <f t="shared" si="0"/>
        <v>405 GLX XU71399</v>
      </c>
      <c r="E35">
        <v>420</v>
      </c>
    </row>
    <row r="36" spans="1:6" x14ac:dyDescent="0.25">
      <c r="A36" s="19" t="s">
        <v>74</v>
      </c>
      <c r="B36" s="18" t="s">
        <v>90</v>
      </c>
      <c r="C36" s="19">
        <v>1389</v>
      </c>
      <c r="D36" s="47" t="str">
        <f t="shared" si="0"/>
        <v>405 GLX XU71389</v>
      </c>
      <c r="E36">
        <v>170</v>
      </c>
    </row>
    <row r="37" spans="1:6" x14ac:dyDescent="0.25">
      <c r="A37" s="19" t="s">
        <v>448</v>
      </c>
      <c r="B37" s="21" t="s">
        <v>779</v>
      </c>
      <c r="C37" s="19">
        <v>1401</v>
      </c>
      <c r="D37" s="47" t="str">
        <f t="shared" si="0"/>
        <v>207i-MT1401</v>
      </c>
      <c r="E37">
        <v>580</v>
      </c>
      <c r="F37">
        <v>392</v>
      </c>
    </row>
    <row r="38" spans="1:6" x14ac:dyDescent="0.25">
      <c r="A38" s="17" t="s">
        <v>448</v>
      </c>
      <c r="B38" s="20" t="s">
        <v>467</v>
      </c>
      <c r="C38" s="17">
        <v>1400</v>
      </c>
      <c r="D38" s="47" t="str">
        <f t="shared" si="0"/>
        <v>207i-MT1400</v>
      </c>
      <c r="E38">
        <v>560</v>
      </c>
      <c r="F38">
        <v>385</v>
      </c>
    </row>
    <row r="39" spans="1:6" x14ac:dyDescent="0.25">
      <c r="A39" s="19" t="s">
        <v>560</v>
      </c>
      <c r="B39" s="21" t="s">
        <v>561</v>
      </c>
      <c r="C39" s="19">
        <v>1401</v>
      </c>
      <c r="D39" s="47" t="str">
        <f t="shared" si="0"/>
        <v>207i TU5P A1401</v>
      </c>
      <c r="E39">
        <v>710</v>
      </c>
    </row>
    <row r="40" spans="1:6" x14ac:dyDescent="0.25">
      <c r="A40" s="19" t="s">
        <v>560</v>
      </c>
      <c r="B40" s="21" t="s">
        <v>561</v>
      </c>
      <c r="C40" s="19">
        <v>1400</v>
      </c>
      <c r="D40" s="47" t="str">
        <f t="shared" si="0"/>
        <v>207i TU5P A1400</v>
      </c>
      <c r="E40">
        <v>700</v>
      </c>
      <c r="F40">
        <v>605</v>
      </c>
    </row>
    <row r="41" spans="1:6" x14ac:dyDescent="0.25">
      <c r="A41" s="17" t="s">
        <v>381</v>
      </c>
      <c r="B41" s="20" t="s">
        <v>379</v>
      </c>
      <c r="C41" s="17">
        <v>1395</v>
      </c>
      <c r="D41" s="47" t="str">
        <f t="shared" si="0"/>
        <v>206TU51395</v>
      </c>
      <c r="E41">
        <v>350</v>
      </c>
    </row>
    <row r="42" spans="1:6" x14ac:dyDescent="0.25">
      <c r="A42" s="19" t="s">
        <v>118</v>
      </c>
      <c r="B42" s="18" t="s">
        <v>425</v>
      </c>
      <c r="C42" s="19">
        <v>1397</v>
      </c>
      <c r="D42" s="47" t="str">
        <f t="shared" si="0"/>
        <v>206TU31397</v>
      </c>
      <c r="E42">
        <v>340</v>
      </c>
    </row>
    <row r="43" spans="1:6" x14ac:dyDescent="0.25">
      <c r="A43" s="19" t="s">
        <v>118</v>
      </c>
      <c r="B43" s="18" t="s">
        <v>116</v>
      </c>
      <c r="C43" s="19">
        <v>1399</v>
      </c>
      <c r="D43" s="47" t="str">
        <f t="shared" si="0"/>
        <v>206TU31399</v>
      </c>
      <c r="E43">
        <v>425</v>
      </c>
      <c r="F43">
        <v>282</v>
      </c>
    </row>
    <row r="44" spans="1:6" x14ac:dyDescent="0.25">
      <c r="A44" s="17" t="s">
        <v>103</v>
      </c>
      <c r="B44" s="20" t="s">
        <v>101</v>
      </c>
      <c r="C44" s="17">
        <v>1390</v>
      </c>
      <c r="D44" s="47" t="str">
        <f t="shared" si="0"/>
        <v>206SD TU5 A1390</v>
      </c>
      <c r="E44">
        <v>330</v>
      </c>
    </row>
    <row r="45" spans="1:6" x14ac:dyDescent="0.25">
      <c r="A45" s="17" t="s">
        <v>436</v>
      </c>
      <c r="B45" s="20" t="s">
        <v>515</v>
      </c>
      <c r="C45" s="17">
        <v>1401</v>
      </c>
      <c r="D45" s="47" t="str">
        <f t="shared" si="0"/>
        <v>+TU51401</v>
      </c>
    </row>
    <row r="46" spans="1:6" x14ac:dyDescent="0.25">
      <c r="D46" s="47" t="str">
        <f t="shared" si="0"/>
        <v/>
      </c>
    </row>
    <row r="47" spans="1:6" x14ac:dyDescent="0.25">
      <c r="D47" s="47" t="str">
        <f t="shared" si="0"/>
        <v/>
      </c>
    </row>
    <row r="48" spans="1:6" x14ac:dyDescent="0.25">
      <c r="D48" s="47" t="str">
        <f t="shared" si="0"/>
        <v/>
      </c>
    </row>
    <row r="49" spans="4:4" x14ac:dyDescent="0.25">
      <c r="D49" s="47" t="str">
        <f t="shared" si="0"/>
        <v/>
      </c>
    </row>
    <row r="50" spans="4:4" x14ac:dyDescent="0.25">
      <c r="D50" s="47" t="str">
        <f t="shared" si="0"/>
        <v/>
      </c>
    </row>
    <row r="51" spans="4:4" x14ac:dyDescent="0.25">
      <c r="D51" s="47" t="str">
        <f t="shared" si="0"/>
        <v/>
      </c>
    </row>
    <row r="52" spans="4:4" x14ac:dyDescent="0.25">
      <c r="D52" s="47" t="str">
        <f t="shared" si="0"/>
        <v/>
      </c>
    </row>
    <row r="53" spans="4:4" x14ac:dyDescent="0.25">
      <c r="D53" s="47" t="str">
        <f t="shared" si="0"/>
        <v/>
      </c>
    </row>
    <row r="54" spans="4:4" x14ac:dyDescent="0.25">
      <c r="D54" s="47" t="str">
        <f t="shared" si="0"/>
        <v/>
      </c>
    </row>
    <row r="55" spans="4:4" x14ac:dyDescent="0.25">
      <c r="D55" s="47" t="str">
        <f t="shared" si="0"/>
        <v/>
      </c>
    </row>
    <row r="56" spans="4:4" x14ac:dyDescent="0.25">
      <c r="D56" s="47" t="str">
        <f t="shared" si="0"/>
        <v/>
      </c>
    </row>
    <row r="57" spans="4:4" x14ac:dyDescent="0.25">
      <c r="D57" s="47" t="str">
        <f t="shared" si="0"/>
        <v/>
      </c>
    </row>
    <row r="58" spans="4:4" x14ac:dyDescent="0.25">
      <c r="D58" s="47" t="str">
        <f t="shared" si="0"/>
        <v/>
      </c>
    </row>
  </sheetData>
  <autoFilter ref="A1:C58" xr:uid="{CB90C4F7-2452-484D-BA54-562FEC45C19D}">
    <sortState xmlns:xlrd2="http://schemas.microsoft.com/office/spreadsheetml/2017/richdata2" ref="A2:C58">
      <sortCondition descending="1" ref="A1:A58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7C42-C32F-4EB6-84D2-9A4F9783EEA2}">
  <sheetPr codeName="Sheet9"/>
  <dimension ref="A1:G631"/>
  <sheetViews>
    <sheetView topLeftCell="A463" workbookViewId="0">
      <selection activeCell="F465" sqref="F465"/>
    </sheetView>
  </sheetViews>
  <sheetFormatPr defaultRowHeight="15" x14ac:dyDescent="0.25"/>
  <cols>
    <col min="6" max="6" width="15.140625" bestFit="1" customWidth="1"/>
  </cols>
  <sheetData>
    <row r="1" spans="1:7" ht="75.75" thickBot="1" x14ac:dyDescent="0.3">
      <c r="B1" s="23">
        <v>407</v>
      </c>
      <c r="C1" s="24" t="s">
        <v>141</v>
      </c>
      <c r="D1" s="24" t="s">
        <v>82</v>
      </c>
      <c r="E1" s="25">
        <v>999999</v>
      </c>
      <c r="F1" s="26">
        <v>2750000000</v>
      </c>
    </row>
    <row r="2" spans="1:7" ht="75.75" thickBot="1" x14ac:dyDescent="0.3">
      <c r="A2" s="28"/>
      <c r="B2" s="27">
        <v>411</v>
      </c>
      <c r="C2" s="28" t="s">
        <v>384</v>
      </c>
      <c r="D2" s="28" t="s">
        <v>82</v>
      </c>
      <c r="E2" s="29">
        <v>999999</v>
      </c>
      <c r="F2" s="30">
        <v>3090000000</v>
      </c>
      <c r="G2" s="27">
        <v>508</v>
      </c>
    </row>
    <row r="3" spans="1:7" ht="75.75" thickBot="1" x14ac:dyDescent="0.3">
      <c r="A3" s="32"/>
      <c r="B3" s="31">
        <v>528</v>
      </c>
      <c r="C3" s="32" t="s">
        <v>426</v>
      </c>
      <c r="D3" s="32" t="s">
        <v>425</v>
      </c>
      <c r="E3" s="33">
        <v>999999</v>
      </c>
      <c r="F3" s="30">
        <v>3438800000</v>
      </c>
      <c r="G3" s="31">
        <v>638</v>
      </c>
    </row>
    <row r="4" spans="1:7" ht="120.75" thickBot="1" x14ac:dyDescent="0.3">
      <c r="A4" s="28"/>
      <c r="B4" s="27">
        <v>413</v>
      </c>
      <c r="C4" s="28" t="s">
        <v>454</v>
      </c>
      <c r="D4" s="28" t="s">
        <v>453</v>
      </c>
      <c r="E4" s="29">
        <v>999999</v>
      </c>
      <c r="F4" s="30">
        <v>3615500000</v>
      </c>
      <c r="G4" s="27">
        <v>510</v>
      </c>
    </row>
    <row r="5" spans="1:7" ht="105.75" thickBot="1" x14ac:dyDescent="0.3">
      <c r="A5" s="32"/>
      <c r="B5" s="31">
        <v>431</v>
      </c>
      <c r="C5" s="32" t="s">
        <v>543</v>
      </c>
      <c r="D5" s="32" t="s">
        <v>469</v>
      </c>
      <c r="E5" s="33">
        <v>999999</v>
      </c>
      <c r="F5" s="30">
        <v>4619999999</v>
      </c>
      <c r="G5" s="31">
        <v>528</v>
      </c>
    </row>
    <row r="6" spans="1:7" ht="75.75" thickBot="1" x14ac:dyDescent="0.3">
      <c r="A6" s="28"/>
      <c r="B6" s="27">
        <v>469</v>
      </c>
      <c r="C6" s="28" t="s">
        <v>555</v>
      </c>
      <c r="D6" s="28" t="s">
        <v>467</v>
      </c>
      <c r="E6" s="29">
        <v>999999</v>
      </c>
      <c r="F6" s="30">
        <v>4633000000</v>
      </c>
      <c r="G6" s="27">
        <v>573</v>
      </c>
    </row>
    <row r="7" spans="1:7" ht="90.75" thickBot="1" x14ac:dyDescent="0.3">
      <c r="A7" s="32"/>
      <c r="B7" s="31">
        <v>510</v>
      </c>
      <c r="C7" s="32" t="s">
        <v>746</v>
      </c>
      <c r="D7" s="32" t="s">
        <v>735</v>
      </c>
      <c r="E7" s="33">
        <v>999999</v>
      </c>
      <c r="F7" s="30">
        <v>10366099999</v>
      </c>
      <c r="G7" s="31">
        <v>620</v>
      </c>
    </row>
    <row r="8" spans="1:7" ht="105.75" thickBot="1" x14ac:dyDescent="0.3">
      <c r="A8" s="28"/>
      <c r="B8" s="27">
        <v>479</v>
      </c>
      <c r="C8" s="28">
        <v>18901034</v>
      </c>
      <c r="D8" s="28" t="s">
        <v>88</v>
      </c>
      <c r="E8" s="29">
        <v>328695</v>
      </c>
      <c r="F8" s="30">
        <v>2019999999</v>
      </c>
      <c r="G8" s="27">
        <v>583</v>
      </c>
    </row>
    <row r="9" spans="1:7" ht="105.75" thickBot="1" x14ac:dyDescent="0.3">
      <c r="A9" s="32"/>
      <c r="B9" s="31">
        <v>480</v>
      </c>
      <c r="C9" s="32" t="s">
        <v>102</v>
      </c>
      <c r="D9" s="32" t="s">
        <v>780</v>
      </c>
      <c r="E9" s="33">
        <v>274640</v>
      </c>
      <c r="F9" s="30">
        <v>2875000000</v>
      </c>
      <c r="G9" s="31">
        <v>584</v>
      </c>
    </row>
    <row r="10" spans="1:7" ht="90.75" thickBot="1" x14ac:dyDescent="0.3">
      <c r="A10" s="28"/>
      <c r="B10" s="27">
        <v>522</v>
      </c>
      <c r="C10" s="28" t="s">
        <v>123</v>
      </c>
      <c r="D10" s="28" t="s">
        <v>122</v>
      </c>
      <c r="E10" s="29">
        <v>220151</v>
      </c>
      <c r="F10" s="30">
        <v>2625500001</v>
      </c>
      <c r="G10" s="27">
        <v>632</v>
      </c>
    </row>
    <row r="11" spans="1:7" ht="90.75" thickBot="1" x14ac:dyDescent="0.3">
      <c r="A11" s="32"/>
      <c r="B11" s="31">
        <v>529</v>
      </c>
      <c r="C11" s="32" t="s">
        <v>157</v>
      </c>
      <c r="D11" s="32" t="s">
        <v>156</v>
      </c>
      <c r="E11" s="33">
        <v>184940</v>
      </c>
      <c r="F11" s="30">
        <v>3230000000</v>
      </c>
      <c r="G11" s="31">
        <v>639</v>
      </c>
    </row>
    <row r="12" spans="1:7" ht="60.75" thickBot="1" x14ac:dyDescent="0.3">
      <c r="A12" s="28"/>
      <c r="B12" s="27">
        <v>521</v>
      </c>
      <c r="C12" s="28" t="s">
        <v>404</v>
      </c>
      <c r="D12" s="28" t="s">
        <v>403</v>
      </c>
      <c r="E12" s="29">
        <v>175907</v>
      </c>
      <c r="F12" s="30">
        <v>3821111111</v>
      </c>
      <c r="G12" s="27">
        <v>631</v>
      </c>
    </row>
    <row r="13" spans="1:7" ht="90.75" thickBot="1" x14ac:dyDescent="0.3">
      <c r="A13" s="32"/>
      <c r="B13" s="31">
        <v>527</v>
      </c>
      <c r="C13" s="32" t="s">
        <v>380</v>
      </c>
      <c r="D13" s="32" t="s">
        <v>379</v>
      </c>
      <c r="E13" s="33">
        <v>172025</v>
      </c>
      <c r="F13" s="30">
        <v>3388000009</v>
      </c>
      <c r="G13" s="31">
        <v>637</v>
      </c>
    </row>
    <row r="14" spans="1:7" ht="75.75" thickBot="1" x14ac:dyDescent="0.3">
      <c r="A14" s="28"/>
      <c r="B14" s="27">
        <v>531</v>
      </c>
      <c r="C14" s="28" t="s">
        <v>120</v>
      </c>
      <c r="D14" s="28" t="s">
        <v>119</v>
      </c>
      <c r="E14" s="29">
        <v>165265</v>
      </c>
      <c r="F14" s="30">
        <v>2140596399</v>
      </c>
      <c r="G14" s="27">
        <v>641</v>
      </c>
    </row>
    <row r="15" spans="1:7" ht="105.75" thickBot="1" x14ac:dyDescent="0.3">
      <c r="A15" s="32"/>
      <c r="B15" s="31">
        <v>525</v>
      </c>
      <c r="C15" s="32" t="s">
        <v>108</v>
      </c>
      <c r="D15" s="32" t="s">
        <v>107</v>
      </c>
      <c r="E15" s="33">
        <v>153981</v>
      </c>
      <c r="F15" s="30">
        <v>2431119000</v>
      </c>
      <c r="G15" s="31">
        <v>635</v>
      </c>
    </row>
    <row r="16" spans="1:7" ht="90.75" thickBot="1" x14ac:dyDescent="0.3">
      <c r="A16" s="28"/>
      <c r="B16" s="27">
        <v>524</v>
      </c>
      <c r="C16" s="28" t="s">
        <v>148</v>
      </c>
      <c r="D16" s="28" t="s">
        <v>147</v>
      </c>
      <c r="E16" s="29">
        <v>151291</v>
      </c>
      <c r="F16" s="30">
        <v>2586120000</v>
      </c>
      <c r="G16" s="27">
        <v>634</v>
      </c>
    </row>
    <row r="17" spans="1:7" ht="105.75" thickBot="1" x14ac:dyDescent="0.3">
      <c r="A17" s="32"/>
      <c r="B17" s="31">
        <v>526</v>
      </c>
      <c r="C17" s="32" t="s">
        <v>106</v>
      </c>
      <c r="D17" s="32" t="s">
        <v>105</v>
      </c>
      <c r="E17" s="33">
        <v>134556</v>
      </c>
      <c r="F17" s="30">
        <v>2499890000</v>
      </c>
      <c r="G17" s="31">
        <v>636</v>
      </c>
    </row>
    <row r="18" spans="1:7" ht="75.75" thickBot="1" x14ac:dyDescent="0.3">
      <c r="A18" s="28"/>
      <c r="B18" s="27">
        <v>474</v>
      </c>
      <c r="C18" s="28">
        <v>82901531</v>
      </c>
      <c r="D18" s="28" t="s">
        <v>68</v>
      </c>
      <c r="E18" s="29">
        <v>131923</v>
      </c>
      <c r="F18" s="30">
        <v>912000000</v>
      </c>
      <c r="G18" s="27">
        <v>578</v>
      </c>
    </row>
    <row r="19" spans="1:7" ht="90.75" thickBot="1" x14ac:dyDescent="0.3">
      <c r="A19" s="32"/>
      <c r="B19" s="31">
        <v>530</v>
      </c>
      <c r="C19" s="32" t="s">
        <v>91</v>
      </c>
      <c r="D19" s="32" t="s">
        <v>90</v>
      </c>
      <c r="E19" s="33">
        <v>100076</v>
      </c>
      <c r="F19" s="30">
        <v>1810000019</v>
      </c>
      <c r="G19" s="31">
        <v>640</v>
      </c>
    </row>
    <row r="20" spans="1:7" ht="135.75" thickBot="1" x14ac:dyDescent="0.3">
      <c r="A20" s="28"/>
      <c r="B20" s="27">
        <v>478</v>
      </c>
      <c r="C20" s="28" t="s">
        <v>99</v>
      </c>
      <c r="D20" s="28" t="s">
        <v>98</v>
      </c>
      <c r="E20" s="29">
        <v>89164</v>
      </c>
      <c r="F20" s="30">
        <v>2766000000</v>
      </c>
      <c r="G20" s="27">
        <v>582</v>
      </c>
    </row>
    <row r="21" spans="1:7" ht="75.75" thickBot="1" x14ac:dyDescent="0.3">
      <c r="A21" s="32"/>
      <c r="B21" s="31">
        <v>523</v>
      </c>
      <c r="C21" s="32" t="s">
        <v>96</v>
      </c>
      <c r="D21" s="32" t="s">
        <v>95</v>
      </c>
      <c r="E21" s="33">
        <v>82532</v>
      </c>
      <c r="F21" s="30">
        <v>1917000000</v>
      </c>
      <c r="G21" s="31">
        <v>633</v>
      </c>
    </row>
    <row r="22" spans="1:7" ht="90.75" thickBot="1" x14ac:dyDescent="0.3">
      <c r="A22" s="28"/>
      <c r="B22" s="27">
        <v>451</v>
      </c>
      <c r="C22" s="28" t="s">
        <v>73</v>
      </c>
      <c r="D22" s="28" t="s">
        <v>72</v>
      </c>
      <c r="E22" s="29">
        <v>74102</v>
      </c>
      <c r="F22" s="30">
        <v>1552000000</v>
      </c>
      <c r="G22" s="27">
        <v>555</v>
      </c>
    </row>
    <row r="23" spans="1:7" ht="105.75" thickBot="1" x14ac:dyDescent="0.3">
      <c r="A23" s="32"/>
      <c r="B23" s="31">
        <v>442</v>
      </c>
      <c r="C23" s="32" t="s">
        <v>636</v>
      </c>
      <c r="D23" s="32" t="s">
        <v>635</v>
      </c>
      <c r="E23" s="33">
        <v>73894</v>
      </c>
      <c r="F23" s="30">
        <v>5000000008</v>
      </c>
      <c r="G23" s="31">
        <v>539</v>
      </c>
    </row>
    <row r="24" spans="1:7" ht="60.75" thickBot="1" x14ac:dyDescent="0.3">
      <c r="A24" s="28"/>
      <c r="B24" s="27">
        <v>477</v>
      </c>
      <c r="C24" s="28" t="s">
        <v>111</v>
      </c>
      <c r="D24" s="28" t="s">
        <v>110</v>
      </c>
      <c r="E24" s="29">
        <v>60760</v>
      </c>
      <c r="F24" s="30">
        <v>2999999999</v>
      </c>
      <c r="G24" s="27">
        <v>581</v>
      </c>
    </row>
    <row r="25" spans="1:7" ht="105.75" thickBot="1" x14ac:dyDescent="0.3">
      <c r="A25" s="32"/>
      <c r="B25" s="31">
        <v>438</v>
      </c>
      <c r="C25" s="32" t="s">
        <v>634</v>
      </c>
      <c r="D25" s="32" t="s">
        <v>469</v>
      </c>
      <c r="E25" s="33">
        <v>59210</v>
      </c>
      <c r="F25" s="30">
        <v>4776688445</v>
      </c>
      <c r="G25" s="31">
        <v>535</v>
      </c>
    </row>
    <row r="26" spans="1:7" ht="105.75" thickBot="1" x14ac:dyDescent="0.3">
      <c r="A26" s="28"/>
      <c r="B26" s="27">
        <v>444</v>
      </c>
      <c r="C26" s="28" t="s">
        <v>642</v>
      </c>
      <c r="D26" s="28" t="s">
        <v>469</v>
      </c>
      <c r="E26" s="29">
        <v>55745</v>
      </c>
      <c r="F26" s="30">
        <v>5236999999</v>
      </c>
      <c r="G26" s="27">
        <v>541</v>
      </c>
    </row>
    <row r="27" spans="1:7" ht="105.75" thickBot="1" x14ac:dyDescent="0.3">
      <c r="A27" s="32"/>
      <c r="B27" s="31">
        <v>418</v>
      </c>
      <c r="C27" s="32" t="s">
        <v>445</v>
      </c>
      <c r="D27" s="32" t="s">
        <v>444</v>
      </c>
      <c r="E27" s="33">
        <v>53719</v>
      </c>
      <c r="F27" s="30">
        <v>3310429869</v>
      </c>
      <c r="G27" s="31">
        <v>515</v>
      </c>
    </row>
    <row r="28" spans="1:7" ht="120.75" thickBot="1" x14ac:dyDescent="0.3">
      <c r="A28" s="28"/>
      <c r="B28" s="27">
        <v>452</v>
      </c>
      <c r="C28" s="28" t="s">
        <v>86</v>
      </c>
      <c r="D28" s="28" t="s">
        <v>85</v>
      </c>
      <c r="E28" s="29">
        <v>53198</v>
      </c>
      <c r="F28" s="30">
        <v>1589758000</v>
      </c>
      <c r="G28" s="27">
        <v>556</v>
      </c>
    </row>
    <row r="29" spans="1:7" ht="105.75" thickBot="1" x14ac:dyDescent="0.3">
      <c r="A29" s="32"/>
      <c r="B29" s="31">
        <v>432</v>
      </c>
      <c r="C29" s="32" t="s">
        <v>643</v>
      </c>
      <c r="D29" s="32" t="s">
        <v>469</v>
      </c>
      <c r="E29" s="33">
        <v>52770</v>
      </c>
      <c r="F29" s="30">
        <v>5462566666</v>
      </c>
      <c r="G29" s="31">
        <v>529</v>
      </c>
    </row>
    <row r="30" spans="1:7" ht="90.75" thickBot="1" x14ac:dyDescent="0.3">
      <c r="A30" s="28"/>
      <c r="B30" s="27">
        <v>476</v>
      </c>
      <c r="C30" s="28">
        <v>31003309</v>
      </c>
      <c r="D30" s="28" t="s">
        <v>781</v>
      </c>
      <c r="E30" s="29">
        <v>47764</v>
      </c>
      <c r="F30" s="30">
        <v>1189000000</v>
      </c>
      <c r="G30" s="27">
        <v>580</v>
      </c>
    </row>
    <row r="31" spans="1:7" ht="90.75" thickBot="1" x14ac:dyDescent="0.3">
      <c r="A31" s="32"/>
      <c r="B31" s="31">
        <v>430</v>
      </c>
      <c r="C31" s="32" t="s">
        <v>424</v>
      </c>
      <c r="D31" s="32" t="s">
        <v>411</v>
      </c>
      <c r="E31" s="33">
        <v>42307</v>
      </c>
      <c r="F31" s="30">
        <v>4700000000</v>
      </c>
      <c r="G31" s="31">
        <v>527</v>
      </c>
    </row>
    <row r="32" spans="1:7" ht="120.75" thickBot="1" x14ac:dyDescent="0.3">
      <c r="A32" s="28"/>
      <c r="B32" s="27">
        <v>433</v>
      </c>
      <c r="C32" s="28" t="s">
        <v>632</v>
      </c>
      <c r="D32" s="28" t="s">
        <v>466</v>
      </c>
      <c r="E32" s="29">
        <v>41452</v>
      </c>
      <c r="F32" s="30">
        <v>4767214000</v>
      </c>
      <c r="G32" s="27">
        <v>530</v>
      </c>
    </row>
    <row r="33" spans="1:7" ht="90.75" thickBot="1" x14ac:dyDescent="0.3">
      <c r="A33" s="32"/>
      <c r="B33" s="31">
        <v>462</v>
      </c>
      <c r="C33" s="32" t="s">
        <v>431</v>
      </c>
      <c r="D33" s="32" t="s">
        <v>430</v>
      </c>
      <c r="E33" s="33">
        <v>39810</v>
      </c>
      <c r="F33" s="30">
        <v>3818888889</v>
      </c>
      <c r="G33" s="31">
        <v>566</v>
      </c>
    </row>
    <row r="34" spans="1:7" ht="105.75" thickBot="1" x14ac:dyDescent="0.3">
      <c r="A34" s="28"/>
      <c r="B34" s="27">
        <v>435</v>
      </c>
      <c r="C34" s="28" t="s">
        <v>633</v>
      </c>
      <c r="D34" s="28" t="s">
        <v>469</v>
      </c>
      <c r="E34" s="29">
        <v>39806</v>
      </c>
      <c r="F34" s="30">
        <v>5050000999</v>
      </c>
      <c r="G34" s="27">
        <v>532</v>
      </c>
    </row>
    <row r="35" spans="1:7" ht="75.75" thickBot="1" x14ac:dyDescent="0.3">
      <c r="A35" s="32"/>
      <c r="B35" s="31">
        <v>491</v>
      </c>
      <c r="C35" s="32" t="s">
        <v>439</v>
      </c>
      <c r="D35" s="32" t="s">
        <v>116</v>
      </c>
      <c r="E35" s="33">
        <v>38595</v>
      </c>
      <c r="F35" s="30">
        <v>3888000000</v>
      </c>
      <c r="G35" s="31">
        <v>595</v>
      </c>
    </row>
    <row r="36" spans="1:7" ht="105.75" thickBot="1" x14ac:dyDescent="0.3">
      <c r="A36" s="28"/>
      <c r="B36" s="27">
        <v>440</v>
      </c>
      <c r="C36" s="28" t="s">
        <v>624</v>
      </c>
      <c r="D36" s="28" t="s">
        <v>463</v>
      </c>
      <c r="E36" s="29">
        <v>38339</v>
      </c>
      <c r="F36" s="30">
        <v>5209999999</v>
      </c>
      <c r="G36" s="27">
        <v>537</v>
      </c>
    </row>
    <row r="37" spans="1:7" ht="75.75" thickBot="1" x14ac:dyDescent="0.3">
      <c r="A37" s="32"/>
      <c r="B37" s="31">
        <v>492</v>
      </c>
      <c r="C37" s="32" t="s">
        <v>93</v>
      </c>
      <c r="D37" s="32" t="s">
        <v>92</v>
      </c>
      <c r="E37" s="33">
        <v>37102</v>
      </c>
      <c r="F37" s="30">
        <v>2418888888</v>
      </c>
      <c r="G37" s="31">
        <v>602</v>
      </c>
    </row>
    <row r="38" spans="1:7" ht="60.75" thickBot="1" x14ac:dyDescent="0.3">
      <c r="A38" s="28"/>
      <c r="B38" s="27">
        <v>429</v>
      </c>
      <c r="C38" s="28" t="s">
        <v>493</v>
      </c>
      <c r="D38" s="28" t="s">
        <v>492</v>
      </c>
      <c r="E38" s="29">
        <v>34956</v>
      </c>
      <c r="F38" s="30">
        <v>4472099999</v>
      </c>
      <c r="G38" s="27">
        <v>526</v>
      </c>
    </row>
    <row r="39" spans="1:7" ht="75.75" thickBot="1" x14ac:dyDescent="0.3">
      <c r="A39" s="32"/>
      <c r="B39" s="31">
        <v>410</v>
      </c>
      <c r="C39" s="32" t="s">
        <v>489</v>
      </c>
      <c r="D39" s="32" t="s">
        <v>82</v>
      </c>
      <c r="E39" s="33">
        <v>33851</v>
      </c>
      <c r="F39" s="30">
        <v>4184200000</v>
      </c>
      <c r="G39" s="31">
        <v>507</v>
      </c>
    </row>
    <row r="40" spans="1:7" ht="90.75" thickBot="1" x14ac:dyDescent="0.3">
      <c r="A40" s="28"/>
      <c r="B40" s="27">
        <v>412</v>
      </c>
      <c r="C40" s="28" t="s">
        <v>482</v>
      </c>
      <c r="D40" s="28" t="s">
        <v>456</v>
      </c>
      <c r="E40" s="29">
        <v>33351</v>
      </c>
      <c r="F40" s="30">
        <v>3610009999</v>
      </c>
      <c r="G40" s="27">
        <v>509</v>
      </c>
    </row>
    <row r="41" spans="1:7" ht="90.75" thickBot="1" x14ac:dyDescent="0.3">
      <c r="A41" s="32"/>
      <c r="B41" s="31">
        <v>475</v>
      </c>
      <c r="C41" s="32" t="s">
        <v>76</v>
      </c>
      <c r="D41" s="32" t="s">
        <v>75</v>
      </c>
      <c r="E41" s="33">
        <v>33278</v>
      </c>
      <c r="F41" s="30">
        <v>1555600000</v>
      </c>
      <c r="G41" s="31">
        <v>579</v>
      </c>
    </row>
    <row r="42" spans="1:7" ht="105.75" thickBot="1" x14ac:dyDescent="0.3">
      <c r="A42" s="28"/>
      <c r="B42" s="27">
        <v>453</v>
      </c>
      <c r="C42" s="28" t="s">
        <v>378</v>
      </c>
      <c r="D42" s="28" t="s">
        <v>377</v>
      </c>
      <c r="E42" s="29">
        <v>30348</v>
      </c>
      <c r="F42" s="30">
        <v>3409000000</v>
      </c>
      <c r="G42" s="27">
        <v>557</v>
      </c>
    </row>
    <row r="43" spans="1:7" ht="120.75" thickBot="1" x14ac:dyDescent="0.3">
      <c r="A43" s="32"/>
      <c r="B43" s="31">
        <v>473</v>
      </c>
      <c r="C43" s="32" t="s">
        <v>78</v>
      </c>
      <c r="D43" s="32" t="s">
        <v>77</v>
      </c>
      <c r="E43" s="33">
        <v>29814</v>
      </c>
      <c r="F43" s="30">
        <v>1655555555</v>
      </c>
      <c r="G43" s="31">
        <v>577</v>
      </c>
    </row>
    <row r="44" spans="1:7" ht="120.75" thickBot="1" x14ac:dyDescent="0.3">
      <c r="A44" s="28"/>
      <c r="B44" s="27">
        <v>439</v>
      </c>
      <c r="C44" s="28" t="s">
        <v>641</v>
      </c>
      <c r="D44" s="28" t="s">
        <v>466</v>
      </c>
      <c r="E44" s="29">
        <v>28250</v>
      </c>
      <c r="F44" s="30">
        <v>5449999999</v>
      </c>
      <c r="G44" s="27">
        <v>536</v>
      </c>
    </row>
    <row r="45" spans="1:7" ht="75.75" thickBot="1" x14ac:dyDescent="0.3">
      <c r="A45" s="32"/>
      <c r="B45" s="31">
        <v>408</v>
      </c>
      <c r="C45" s="32" t="s">
        <v>513</v>
      </c>
      <c r="D45" s="32" t="s">
        <v>82</v>
      </c>
      <c r="E45" s="33">
        <v>26562</v>
      </c>
      <c r="F45" s="34"/>
      <c r="G45" s="31">
        <v>505</v>
      </c>
    </row>
    <row r="46" spans="1:7" ht="90.75" thickBot="1" x14ac:dyDescent="0.3">
      <c r="A46" s="28"/>
      <c r="B46" s="27">
        <v>421</v>
      </c>
      <c r="C46" s="28" t="s">
        <v>533</v>
      </c>
      <c r="D46" s="28" t="s">
        <v>532</v>
      </c>
      <c r="E46" s="29">
        <v>18843</v>
      </c>
      <c r="F46" s="30">
        <v>4275619800</v>
      </c>
      <c r="G46" s="27">
        <v>518</v>
      </c>
    </row>
    <row r="47" spans="1:7" ht="120.75" thickBot="1" x14ac:dyDescent="0.3">
      <c r="A47" s="32"/>
      <c r="B47" s="31">
        <v>472</v>
      </c>
      <c r="C47" s="32" t="s">
        <v>80</v>
      </c>
      <c r="D47" s="32" t="s">
        <v>79</v>
      </c>
      <c r="E47" s="33">
        <v>18474</v>
      </c>
      <c r="F47" s="30">
        <v>1665555555</v>
      </c>
      <c r="G47" s="31">
        <v>576</v>
      </c>
    </row>
    <row r="48" spans="1:7" ht="120.75" thickBot="1" x14ac:dyDescent="0.3">
      <c r="A48" s="28"/>
      <c r="B48" s="27">
        <v>445</v>
      </c>
      <c r="C48" s="28" t="s">
        <v>637</v>
      </c>
      <c r="D48" s="28" t="s">
        <v>466</v>
      </c>
      <c r="E48" s="29">
        <v>17749</v>
      </c>
      <c r="F48" s="30">
        <v>5762999999</v>
      </c>
      <c r="G48" s="27">
        <v>542</v>
      </c>
    </row>
    <row r="49" spans="1:7" ht="105.75" thickBot="1" x14ac:dyDescent="0.3">
      <c r="A49" s="32"/>
      <c r="B49" s="31">
        <v>446</v>
      </c>
      <c r="C49" s="32" t="s">
        <v>644</v>
      </c>
      <c r="D49" s="32" t="s">
        <v>469</v>
      </c>
      <c r="E49" s="33">
        <v>16444</v>
      </c>
      <c r="F49" s="30">
        <v>5517777777</v>
      </c>
      <c r="G49" s="31">
        <v>543</v>
      </c>
    </row>
    <row r="50" spans="1:7" ht="90.75" thickBot="1" x14ac:dyDescent="0.3">
      <c r="A50" s="28"/>
      <c r="B50" s="27">
        <v>513</v>
      </c>
      <c r="C50" s="28" t="s">
        <v>749</v>
      </c>
      <c r="D50" s="28" t="s">
        <v>741</v>
      </c>
      <c r="E50" s="29">
        <v>16202</v>
      </c>
      <c r="F50" s="30">
        <v>10260000000</v>
      </c>
      <c r="G50" s="27">
        <v>623</v>
      </c>
    </row>
    <row r="51" spans="1:7" ht="105.75" thickBot="1" x14ac:dyDescent="0.3">
      <c r="A51" s="32"/>
      <c r="B51" s="31">
        <v>436</v>
      </c>
      <c r="C51" s="32" t="s">
        <v>655</v>
      </c>
      <c r="D51" s="32" t="s">
        <v>469</v>
      </c>
      <c r="E51" s="33">
        <v>13732</v>
      </c>
      <c r="F51" s="30">
        <v>6050004444</v>
      </c>
      <c r="G51" s="31">
        <v>533</v>
      </c>
    </row>
    <row r="52" spans="1:7" ht="60.75" thickBot="1" x14ac:dyDescent="0.3">
      <c r="A52" s="28"/>
      <c r="B52" s="27">
        <v>415</v>
      </c>
      <c r="C52" s="28" t="s">
        <v>451</v>
      </c>
      <c r="D52" s="28" t="s">
        <v>323</v>
      </c>
      <c r="E52" s="29">
        <v>12918</v>
      </c>
      <c r="F52" s="30">
        <v>4215888110</v>
      </c>
      <c r="G52" s="27">
        <v>512</v>
      </c>
    </row>
    <row r="53" spans="1:7" ht="105.75" thickBot="1" x14ac:dyDescent="0.3">
      <c r="A53" s="32"/>
      <c r="B53" s="31">
        <v>447</v>
      </c>
      <c r="C53" s="32" t="s">
        <v>653</v>
      </c>
      <c r="D53" s="32" t="s">
        <v>469</v>
      </c>
      <c r="E53" s="33">
        <v>7359</v>
      </c>
      <c r="F53" s="30">
        <v>5925555555</v>
      </c>
      <c r="G53" s="31">
        <v>544</v>
      </c>
    </row>
    <row r="54" spans="1:7" ht="75.75" thickBot="1" x14ac:dyDescent="0.3">
      <c r="A54" s="28"/>
      <c r="B54" s="27">
        <v>471</v>
      </c>
      <c r="C54" s="28" t="s">
        <v>547</v>
      </c>
      <c r="D54" s="28" t="s">
        <v>472</v>
      </c>
      <c r="E54" s="29">
        <v>6382</v>
      </c>
      <c r="F54" s="30">
        <v>5429853251</v>
      </c>
      <c r="G54" s="27">
        <v>575</v>
      </c>
    </row>
    <row r="55" spans="1:7" ht="105.75" thickBot="1" x14ac:dyDescent="0.3">
      <c r="A55" s="32"/>
      <c r="B55" s="31">
        <v>420</v>
      </c>
      <c r="C55" s="32" t="s">
        <v>502</v>
      </c>
      <c r="D55" s="32" t="s">
        <v>501</v>
      </c>
      <c r="E55" s="33">
        <v>6343</v>
      </c>
      <c r="F55" s="30">
        <v>4378000000</v>
      </c>
      <c r="G55" s="31">
        <v>517</v>
      </c>
    </row>
    <row r="56" spans="1:7" ht="105.75" thickBot="1" x14ac:dyDescent="0.3">
      <c r="A56" s="28"/>
      <c r="B56" s="27">
        <v>449</v>
      </c>
      <c r="C56" s="28" t="s">
        <v>590</v>
      </c>
      <c r="D56" s="28" t="s">
        <v>469</v>
      </c>
      <c r="E56" s="29">
        <v>5874</v>
      </c>
      <c r="F56" s="30">
        <v>6523000000</v>
      </c>
      <c r="G56" s="27">
        <v>546</v>
      </c>
    </row>
    <row r="57" spans="1:7" ht="105.75" thickBot="1" x14ac:dyDescent="0.3">
      <c r="A57" s="32"/>
      <c r="B57" s="31">
        <v>443</v>
      </c>
      <c r="C57" s="32" t="s">
        <v>659</v>
      </c>
      <c r="D57" s="32" t="s">
        <v>463</v>
      </c>
      <c r="E57" s="33">
        <v>5399</v>
      </c>
      <c r="F57" s="30">
        <v>5897654329</v>
      </c>
      <c r="G57" s="31">
        <v>540</v>
      </c>
    </row>
    <row r="58" spans="1:7" ht="60.75" thickBot="1" x14ac:dyDescent="0.3">
      <c r="A58" s="28"/>
      <c r="B58" s="27">
        <v>417</v>
      </c>
      <c r="C58" s="28" t="s">
        <v>455</v>
      </c>
      <c r="D58" s="28" t="s">
        <v>323</v>
      </c>
      <c r="E58" s="29">
        <v>5365</v>
      </c>
      <c r="F58" s="30">
        <v>4010000000</v>
      </c>
      <c r="G58" s="27">
        <v>514</v>
      </c>
    </row>
    <row r="59" spans="1:7" ht="105.75" thickBot="1" x14ac:dyDescent="0.3">
      <c r="A59" s="32"/>
      <c r="B59" s="31">
        <v>422</v>
      </c>
      <c r="C59" s="32" t="s">
        <v>542</v>
      </c>
      <c r="D59" s="32" t="s">
        <v>501</v>
      </c>
      <c r="E59" s="33">
        <v>4262</v>
      </c>
      <c r="F59" s="30">
        <v>4668900000</v>
      </c>
      <c r="G59" s="31">
        <v>519</v>
      </c>
    </row>
    <row r="60" spans="1:7" ht="105.75" thickBot="1" x14ac:dyDescent="0.3">
      <c r="A60" s="28"/>
      <c r="B60" s="27">
        <v>437</v>
      </c>
      <c r="C60" s="28" t="s">
        <v>640</v>
      </c>
      <c r="D60" s="28" t="s">
        <v>463</v>
      </c>
      <c r="E60" s="29">
        <v>3632</v>
      </c>
      <c r="F60" s="30">
        <v>6012345678</v>
      </c>
      <c r="G60" s="27">
        <v>534</v>
      </c>
    </row>
    <row r="61" spans="1:7" ht="75.75" thickBot="1" x14ac:dyDescent="0.3">
      <c r="A61" s="32"/>
      <c r="B61" s="31">
        <v>470</v>
      </c>
      <c r="C61" s="32" t="s">
        <v>566</v>
      </c>
      <c r="D61" s="32" t="s">
        <v>447</v>
      </c>
      <c r="E61" s="33">
        <v>3626</v>
      </c>
      <c r="F61" s="30">
        <v>5308888889</v>
      </c>
      <c r="G61" s="31">
        <v>574</v>
      </c>
    </row>
    <row r="62" spans="1:7" ht="75.75" thickBot="1" x14ac:dyDescent="0.3">
      <c r="A62" s="28"/>
      <c r="B62" s="27">
        <v>409</v>
      </c>
      <c r="C62" s="28" t="s">
        <v>457</v>
      </c>
      <c r="D62" s="28" t="s">
        <v>82</v>
      </c>
      <c r="E62" s="29">
        <v>3270</v>
      </c>
      <c r="F62" s="30">
        <v>4749999999</v>
      </c>
      <c r="G62" s="27">
        <v>506</v>
      </c>
    </row>
    <row r="63" spans="1:7" ht="60.75" thickBot="1" x14ac:dyDescent="0.3">
      <c r="A63" s="32"/>
      <c r="B63" s="31">
        <v>228</v>
      </c>
      <c r="C63" s="32" t="s">
        <v>508</v>
      </c>
      <c r="D63" s="32" t="s">
        <v>113</v>
      </c>
      <c r="E63" s="33">
        <v>3043</v>
      </c>
      <c r="F63" s="30">
        <v>4999999999</v>
      </c>
      <c r="G63" s="31">
        <v>270</v>
      </c>
    </row>
    <row r="64" spans="1:7" ht="135.75" thickBot="1" x14ac:dyDescent="0.3">
      <c r="A64" s="28"/>
      <c r="B64" s="27">
        <v>488</v>
      </c>
      <c r="C64" s="28" t="s">
        <v>544</v>
      </c>
      <c r="D64" s="28" t="s">
        <v>440</v>
      </c>
      <c r="E64" s="29">
        <v>2891</v>
      </c>
      <c r="F64" s="30">
        <v>4729999999</v>
      </c>
      <c r="G64" s="27">
        <v>592</v>
      </c>
    </row>
    <row r="65" spans="1:7" ht="75.75" thickBot="1" x14ac:dyDescent="0.3">
      <c r="A65" s="32"/>
      <c r="B65" s="31">
        <v>370</v>
      </c>
      <c r="C65" s="32" t="s">
        <v>594</v>
      </c>
      <c r="D65" s="32" t="s">
        <v>82</v>
      </c>
      <c r="E65" s="33">
        <v>2767</v>
      </c>
      <c r="F65" s="30">
        <v>4449999999</v>
      </c>
      <c r="G65" s="31">
        <v>412</v>
      </c>
    </row>
    <row r="66" spans="1:7" ht="135.75" thickBot="1" x14ac:dyDescent="0.3">
      <c r="A66" s="28"/>
      <c r="B66" s="27">
        <v>487</v>
      </c>
      <c r="C66" s="28" t="s">
        <v>470</v>
      </c>
      <c r="D66" s="28" t="s">
        <v>440</v>
      </c>
      <c r="E66" s="29">
        <v>2209</v>
      </c>
      <c r="F66" s="30">
        <v>4366999999</v>
      </c>
      <c r="G66" s="27">
        <v>591</v>
      </c>
    </row>
    <row r="67" spans="1:7" ht="90.75" thickBot="1" x14ac:dyDescent="0.3">
      <c r="A67" s="32"/>
      <c r="B67" s="31">
        <v>461</v>
      </c>
      <c r="C67" s="32" t="s">
        <v>438</v>
      </c>
      <c r="D67" s="32" t="s">
        <v>430</v>
      </c>
      <c r="E67" s="33">
        <v>2033</v>
      </c>
      <c r="F67" s="30">
        <v>3700999999</v>
      </c>
      <c r="G67" s="31">
        <v>565</v>
      </c>
    </row>
    <row r="68" spans="1:7" ht="105.75" thickBot="1" x14ac:dyDescent="0.3">
      <c r="A68" s="28"/>
      <c r="B68" s="27">
        <v>464</v>
      </c>
      <c r="C68" s="28" t="s">
        <v>494</v>
      </c>
      <c r="D68" s="28" t="s">
        <v>393</v>
      </c>
      <c r="E68" s="29">
        <v>1471</v>
      </c>
      <c r="F68" s="30">
        <v>4125000000</v>
      </c>
      <c r="G68" s="27">
        <v>568</v>
      </c>
    </row>
    <row r="69" spans="1:7" ht="90.75" thickBot="1" x14ac:dyDescent="0.3">
      <c r="A69" s="32"/>
      <c r="B69" s="31">
        <v>463</v>
      </c>
      <c r="C69" s="32" t="s">
        <v>503</v>
      </c>
      <c r="D69" s="32" t="s">
        <v>437</v>
      </c>
      <c r="E69" s="33">
        <v>1308</v>
      </c>
      <c r="F69" s="30">
        <v>4446777000</v>
      </c>
      <c r="G69" s="31">
        <v>567</v>
      </c>
    </row>
    <row r="70" spans="1:7" ht="90.75" thickBot="1" x14ac:dyDescent="0.3">
      <c r="A70" s="28"/>
      <c r="B70" s="27">
        <v>403</v>
      </c>
      <c r="C70" s="28" t="s">
        <v>751</v>
      </c>
      <c r="D70" s="28" t="s">
        <v>750</v>
      </c>
      <c r="E70" s="29">
        <v>1199</v>
      </c>
      <c r="F70" s="30">
        <v>9919999999</v>
      </c>
      <c r="G70" s="27">
        <v>447</v>
      </c>
    </row>
    <row r="71" spans="1:7" ht="75.75" thickBot="1" x14ac:dyDescent="0.3">
      <c r="A71" s="32"/>
      <c r="B71" s="31">
        <v>376</v>
      </c>
      <c r="C71" s="32" t="s">
        <v>628</v>
      </c>
      <c r="D71" s="32" t="s">
        <v>475</v>
      </c>
      <c r="E71" s="33">
        <v>1062</v>
      </c>
      <c r="F71" s="30">
        <v>4777557000</v>
      </c>
      <c r="G71" s="31">
        <v>420</v>
      </c>
    </row>
    <row r="72" spans="1:7" ht="60.75" thickBot="1" x14ac:dyDescent="0.3">
      <c r="A72" s="28"/>
      <c r="B72" s="27">
        <v>357</v>
      </c>
      <c r="C72" s="28" t="s">
        <v>665</v>
      </c>
      <c r="D72" s="28" t="s">
        <v>64</v>
      </c>
      <c r="E72" s="29">
        <v>1047</v>
      </c>
      <c r="F72" s="30">
        <v>5723000000</v>
      </c>
      <c r="G72" s="27">
        <v>399</v>
      </c>
    </row>
    <row r="73" spans="1:7" ht="90.75" thickBot="1" x14ac:dyDescent="0.3">
      <c r="A73" s="32"/>
      <c r="B73" s="31">
        <v>511</v>
      </c>
      <c r="C73" s="32" t="s">
        <v>753</v>
      </c>
      <c r="D73" s="32" t="s">
        <v>741</v>
      </c>
      <c r="E73" s="33">
        <v>1041</v>
      </c>
      <c r="F73" s="30">
        <v>12720888889</v>
      </c>
      <c r="G73" s="31">
        <v>621</v>
      </c>
    </row>
    <row r="74" spans="1:7" ht="75.75" thickBot="1" x14ac:dyDescent="0.3">
      <c r="A74" s="28"/>
      <c r="B74" s="27">
        <v>383</v>
      </c>
      <c r="C74" s="28" t="s">
        <v>553</v>
      </c>
      <c r="D74" s="28" t="s">
        <v>82</v>
      </c>
      <c r="E74" s="29">
        <v>1000</v>
      </c>
      <c r="F74" s="30">
        <v>4125720000</v>
      </c>
      <c r="G74" s="27">
        <v>427</v>
      </c>
    </row>
    <row r="75" spans="1:7" ht="105.75" thickBot="1" x14ac:dyDescent="0.3">
      <c r="A75" s="32"/>
      <c r="B75" s="31">
        <v>424</v>
      </c>
      <c r="C75" s="32" t="s">
        <v>458</v>
      </c>
      <c r="D75" s="32" t="s">
        <v>155</v>
      </c>
      <c r="E75" s="33">
        <v>780</v>
      </c>
      <c r="F75" s="30">
        <v>4172000000</v>
      </c>
      <c r="G75" s="31">
        <v>521</v>
      </c>
    </row>
    <row r="76" spans="1:7" ht="105.75" thickBot="1" x14ac:dyDescent="0.3">
      <c r="A76" s="28"/>
      <c r="B76" s="27">
        <v>450</v>
      </c>
      <c r="C76" s="28" t="s">
        <v>678</v>
      </c>
      <c r="D76" s="28" t="s">
        <v>531</v>
      </c>
      <c r="E76" s="29">
        <v>573</v>
      </c>
      <c r="F76" s="30">
        <v>6500140000</v>
      </c>
      <c r="G76" s="27">
        <v>547</v>
      </c>
    </row>
    <row r="77" spans="1:7" ht="105.75" thickBot="1" x14ac:dyDescent="0.3">
      <c r="A77" s="32"/>
      <c r="B77" s="31">
        <v>396</v>
      </c>
      <c r="C77" s="32" t="s">
        <v>511</v>
      </c>
      <c r="D77" s="32" t="s">
        <v>155</v>
      </c>
      <c r="E77" s="33">
        <v>457</v>
      </c>
      <c r="F77" s="30">
        <v>3851414145</v>
      </c>
      <c r="G77" s="31">
        <v>440</v>
      </c>
    </row>
    <row r="78" spans="1:7" ht="105.75" thickBot="1" x14ac:dyDescent="0.3">
      <c r="A78" s="28"/>
      <c r="B78" s="27">
        <v>441</v>
      </c>
      <c r="C78" s="28" t="s">
        <v>672</v>
      </c>
      <c r="D78" s="28" t="s">
        <v>469</v>
      </c>
      <c r="E78" s="29">
        <v>391</v>
      </c>
      <c r="F78" s="30">
        <v>6217777777</v>
      </c>
      <c r="G78" s="27">
        <v>538</v>
      </c>
    </row>
    <row r="79" spans="1:7" ht="105.75" thickBot="1" x14ac:dyDescent="0.3">
      <c r="A79" s="32"/>
      <c r="B79" s="31">
        <v>448</v>
      </c>
      <c r="C79" s="32" t="s">
        <v>677</v>
      </c>
      <c r="D79" s="32" t="s">
        <v>469</v>
      </c>
      <c r="E79" s="33">
        <v>340</v>
      </c>
      <c r="F79" s="30">
        <v>6500000000</v>
      </c>
      <c r="G79" s="31">
        <v>545</v>
      </c>
    </row>
    <row r="80" spans="1:7" ht="105.75" thickBot="1" x14ac:dyDescent="0.3">
      <c r="A80" s="28"/>
      <c r="B80" s="27">
        <v>398</v>
      </c>
      <c r="C80" s="28" t="s">
        <v>759</v>
      </c>
      <c r="D80" s="28" t="s">
        <v>743</v>
      </c>
      <c r="E80" s="29">
        <v>319</v>
      </c>
      <c r="F80" s="30">
        <v>12300111000</v>
      </c>
      <c r="G80" s="27">
        <v>442</v>
      </c>
    </row>
    <row r="81" spans="1:7" ht="105.75" thickBot="1" x14ac:dyDescent="0.3">
      <c r="A81" s="32"/>
      <c r="B81" s="31">
        <v>414</v>
      </c>
      <c r="C81" s="32" t="s">
        <v>500</v>
      </c>
      <c r="D81" s="32" t="s">
        <v>389</v>
      </c>
      <c r="E81" s="33">
        <v>308</v>
      </c>
      <c r="F81" s="30">
        <v>4115000009</v>
      </c>
      <c r="G81" s="31">
        <v>511</v>
      </c>
    </row>
    <row r="82" spans="1:7" ht="90.75" thickBot="1" x14ac:dyDescent="0.3">
      <c r="A82" s="28"/>
      <c r="B82" s="27">
        <v>256</v>
      </c>
      <c r="C82" s="28" t="s">
        <v>506</v>
      </c>
      <c r="D82" s="28" t="s">
        <v>505</v>
      </c>
      <c r="E82" s="29">
        <v>305</v>
      </c>
      <c r="F82" s="30">
        <v>4278999999</v>
      </c>
      <c r="G82" s="27">
        <v>298</v>
      </c>
    </row>
    <row r="83" spans="1:7" ht="105.75" thickBot="1" x14ac:dyDescent="0.3">
      <c r="A83" s="32"/>
      <c r="B83" s="31">
        <v>404</v>
      </c>
      <c r="C83" s="32" t="s">
        <v>756</v>
      </c>
      <c r="D83" s="32" t="s">
        <v>755</v>
      </c>
      <c r="E83" s="33">
        <v>296</v>
      </c>
      <c r="F83" s="30">
        <v>11171154321</v>
      </c>
      <c r="G83" s="31">
        <v>448</v>
      </c>
    </row>
    <row r="84" spans="1:7" ht="90.75" thickBot="1" x14ac:dyDescent="0.3">
      <c r="A84" s="28"/>
      <c r="B84" s="27">
        <v>399</v>
      </c>
      <c r="C84" s="28" t="s">
        <v>748</v>
      </c>
      <c r="D84" s="28" t="s">
        <v>747</v>
      </c>
      <c r="E84" s="29">
        <v>294</v>
      </c>
      <c r="F84" s="30">
        <v>12586593231</v>
      </c>
      <c r="G84" s="27">
        <v>443</v>
      </c>
    </row>
    <row r="85" spans="1:7" ht="90.75" thickBot="1" x14ac:dyDescent="0.3">
      <c r="A85" s="32"/>
      <c r="B85" s="31">
        <v>400</v>
      </c>
      <c r="C85" s="32" t="s">
        <v>761</v>
      </c>
      <c r="D85" s="32" t="s">
        <v>741</v>
      </c>
      <c r="E85" s="33">
        <v>258</v>
      </c>
      <c r="F85" s="30">
        <v>13100000000</v>
      </c>
      <c r="G85" s="31">
        <v>444</v>
      </c>
    </row>
    <row r="86" spans="1:7" ht="90.75" thickBot="1" x14ac:dyDescent="0.3">
      <c r="A86" s="28"/>
      <c r="B86" s="27">
        <v>466</v>
      </c>
      <c r="C86" s="28" t="s">
        <v>418</v>
      </c>
      <c r="D86" s="28" t="s">
        <v>401</v>
      </c>
      <c r="E86" s="29">
        <v>256</v>
      </c>
      <c r="F86" s="30">
        <v>4076999999</v>
      </c>
      <c r="G86" s="27">
        <v>570</v>
      </c>
    </row>
    <row r="87" spans="1:7" ht="135.75" thickBot="1" x14ac:dyDescent="0.3">
      <c r="A87" s="32"/>
      <c r="B87" s="31">
        <v>489</v>
      </c>
      <c r="C87" s="32" t="s">
        <v>516</v>
      </c>
      <c r="D87" s="32" t="s">
        <v>515</v>
      </c>
      <c r="E87" s="33">
        <v>231</v>
      </c>
      <c r="F87" s="30">
        <v>4145698000</v>
      </c>
      <c r="G87" s="31">
        <v>593</v>
      </c>
    </row>
    <row r="88" spans="1:7" ht="90.75" thickBot="1" x14ac:dyDescent="0.3">
      <c r="A88" s="28"/>
      <c r="B88" s="27">
        <v>401</v>
      </c>
      <c r="C88" s="28" t="s">
        <v>760</v>
      </c>
      <c r="D88" s="28" t="s">
        <v>741</v>
      </c>
      <c r="E88" s="29">
        <v>195</v>
      </c>
      <c r="F88" s="30">
        <v>11111111111</v>
      </c>
      <c r="G88" s="27">
        <v>445</v>
      </c>
    </row>
    <row r="89" spans="1:7" ht="75.75" thickBot="1" x14ac:dyDescent="0.3">
      <c r="A89" s="32"/>
      <c r="B89" s="31">
        <v>384</v>
      </c>
      <c r="C89" s="32" t="s">
        <v>565</v>
      </c>
      <c r="D89" s="32" t="s">
        <v>82</v>
      </c>
      <c r="E89" s="33">
        <v>183</v>
      </c>
      <c r="F89" s="30">
        <v>4180000000</v>
      </c>
      <c r="G89" s="31">
        <v>428</v>
      </c>
    </row>
    <row r="90" spans="1:7" ht="90.75" thickBot="1" x14ac:dyDescent="0.3">
      <c r="A90" s="28"/>
      <c r="B90" s="27">
        <v>485</v>
      </c>
      <c r="C90" s="28" t="s">
        <v>435</v>
      </c>
      <c r="D90" s="28" t="s">
        <v>427</v>
      </c>
      <c r="E90" s="29">
        <v>162</v>
      </c>
      <c r="F90" s="30">
        <v>3954325401</v>
      </c>
      <c r="G90" s="27">
        <v>589</v>
      </c>
    </row>
    <row r="91" spans="1:7" ht="105.75" thickBot="1" x14ac:dyDescent="0.3">
      <c r="A91" s="32"/>
      <c r="B91" s="31">
        <v>324</v>
      </c>
      <c r="C91" s="32" t="s">
        <v>728</v>
      </c>
      <c r="D91" s="32" t="s">
        <v>559</v>
      </c>
      <c r="E91" s="33">
        <v>124</v>
      </c>
      <c r="F91" s="30">
        <v>6320000000</v>
      </c>
      <c r="G91" s="31">
        <v>366</v>
      </c>
    </row>
    <row r="92" spans="1:7" ht="105.75" thickBot="1" x14ac:dyDescent="0.3">
      <c r="A92" s="28"/>
      <c r="B92" s="27">
        <v>317</v>
      </c>
      <c r="C92" s="28" t="s">
        <v>587</v>
      </c>
      <c r="D92" s="28" t="s">
        <v>561</v>
      </c>
      <c r="E92" s="29">
        <v>116</v>
      </c>
      <c r="F92" s="30">
        <v>6100000000</v>
      </c>
      <c r="G92" s="27">
        <v>359</v>
      </c>
    </row>
    <row r="93" spans="1:7" ht="75.75" thickBot="1" x14ac:dyDescent="0.3">
      <c r="A93" s="32"/>
      <c r="B93" s="31">
        <v>354</v>
      </c>
      <c r="C93" s="32" t="s">
        <v>651</v>
      </c>
      <c r="D93" s="32" t="s">
        <v>650</v>
      </c>
      <c r="E93" s="33">
        <v>111</v>
      </c>
      <c r="F93" s="30">
        <v>6418500009</v>
      </c>
      <c r="G93" s="31">
        <v>396</v>
      </c>
    </row>
    <row r="94" spans="1:7" ht="90.75" thickBot="1" x14ac:dyDescent="0.3">
      <c r="A94" s="28"/>
      <c r="B94" s="27">
        <v>486</v>
      </c>
      <c r="C94" s="28" t="s">
        <v>428</v>
      </c>
      <c r="D94" s="28" t="s">
        <v>427</v>
      </c>
      <c r="E94" s="29">
        <v>110</v>
      </c>
      <c r="F94" s="30">
        <v>3954421010</v>
      </c>
      <c r="G94" s="27">
        <v>590</v>
      </c>
    </row>
    <row r="95" spans="1:7" ht="105.75" thickBot="1" x14ac:dyDescent="0.3">
      <c r="A95" s="32"/>
      <c r="B95" s="31">
        <v>313</v>
      </c>
      <c r="C95" s="32" t="s">
        <v>579</v>
      </c>
      <c r="D95" s="32" t="s">
        <v>559</v>
      </c>
      <c r="E95" s="33">
        <v>110</v>
      </c>
      <c r="F95" s="30">
        <v>6050222000</v>
      </c>
      <c r="G95" s="31">
        <v>355</v>
      </c>
    </row>
    <row r="96" spans="1:7" ht="90.75" thickBot="1" x14ac:dyDescent="0.3">
      <c r="A96" s="28"/>
      <c r="B96" s="27">
        <v>251</v>
      </c>
      <c r="C96" s="28" t="s">
        <v>478</v>
      </c>
      <c r="D96" s="28" t="s">
        <v>382</v>
      </c>
      <c r="E96" s="29">
        <v>104</v>
      </c>
      <c r="F96" s="30">
        <v>4018989890</v>
      </c>
      <c r="G96" s="27">
        <v>293</v>
      </c>
    </row>
    <row r="97" spans="1:7" ht="105.75" thickBot="1" x14ac:dyDescent="0.3">
      <c r="A97" s="32"/>
      <c r="B97" s="31">
        <v>300</v>
      </c>
      <c r="C97" s="32" t="s">
        <v>580</v>
      </c>
      <c r="D97" s="32" t="s">
        <v>561</v>
      </c>
      <c r="E97" s="33">
        <v>104</v>
      </c>
      <c r="F97" s="30">
        <v>6300000000</v>
      </c>
      <c r="G97" s="31">
        <v>342</v>
      </c>
    </row>
    <row r="98" spans="1:7" ht="105.75" thickBot="1" x14ac:dyDescent="0.3">
      <c r="A98" s="28"/>
      <c r="B98" s="27">
        <v>390</v>
      </c>
      <c r="C98" s="28" t="s">
        <v>556</v>
      </c>
      <c r="D98" s="28" t="s">
        <v>389</v>
      </c>
      <c r="E98" s="29">
        <v>103</v>
      </c>
      <c r="F98" s="30">
        <v>4070000000</v>
      </c>
      <c r="G98" s="27">
        <v>434</v>
      </c>
    </row>
    <row r="99" spans="1:7" ht="90.75" thickBot="1" x14ac:dyDescent="0.3">
      <c r="A99" s="32"/>
      <c r="B99" s="31">
        <v>482</v>
      </c>
      <c r="C99" s="32" t="s">
        <v>432</v>
      </c>
      <c r="D99" s="32" t="s">
        <v>427</v>
      </c>
      <c r="E99" s="33">
        <v>100</v>
      </c>
      <c r="F99" s="30">
        <v>3818888899</v>
      </c>
      <c r="G99" s="31">
        <v>586</v>
      </c>
    </row>
    <row r="100" spans="1:7" ht="120.75" thickBot="1" x14ac:dyDescent="0.3">
      <c r="A100" s="35"/>
      <c r="B100" s="36">
        <v>394</v>
      </c>
      <c r="C100" s="35" t="s">
        <v>510</v>
      </c>
      <c r="D100" s="35" t="s">
        <v>453</v>
      </c>
      <c r="E100" s="37">
        <v>100</v>
      </c>
      <c r="F100" s="38">
        <v>3950000000</v>
      </c>
      <c r="G100" s="36">
        <v>438</v>
      </c>
    </row>
    <row r="101" spans="1:7" ht="90.75" thickBot="1" x14ac:dyDescent="0.3">
      <c r="B101" s="39">
        <v>261</v>
      </c>
      <c r="C101" s="40" t="s">
        <v>480</v>
      </c>
      <c r="D101" s="40" t="s">
        <v>479</v>
      </c>
      <c r="E101" s="41">
        <v>100</v>
      </c>
      <c r="F101" s="26">
        <v>3955000000</v>
      </c>
      <c r="G101" s="39">
        <v>303</v>
      </c>
    </row>
    <row r="102" spans="1:7" ht="75.75" thickBot="1" x14ac:dyDescent="0.3">
      <c r="A102" s="28"/>
      <c r="B102" s="27">
        <v>387</v>
      </c>
      <c r="C102" s="28" t="s">
        <v>588</v>
      </c>
      <c r="D102" s="28" t="s">
        <v>82</v>
      </c>
      <c r="E102" s="29">
        <v>100</v>
      </c>
      <c r="F102" s="30">
        <v>4055555555</v>
      </c>
      <c r="G102" s="27">
        <v>431</v>
      </c>
    </row>
    <row r="103" spans="1:7" ht="75.75" thickBot="1" x14ac:dyDescent="0.3">
      <c r="A103" s="32"/>
      <c r="B103" s="31">
        <v>270</v>
      </c>
      <c r="C103" s="32" t="s">
        <v>562</v>
      </c>
      <c r="D103" s="32" t="s">
        <v>82</v>
      </c>
      <c r="E103" s="33">
        <v>100</v>
      </c>
      <c r="F103" s="30">
        <v>4510000222</v>
      </c>
      <c r="G103" s="31">
        <v>312</v>
      </c>
    </row>
    <row r="104" spans="1:7" ht="75.75" thickBot="1" x14ac:dyDescent="0.3">
      <c r="A104" s="28"/>
      <c r="B104" s="27">
        <v>382</v>
      </c>
      <c r="C104" s="28" t="s">
        <v>622</v>
      </c>
      <c r="D104" s="28" t="s">
        <v>82</v>
      </c>
      <c r="E104" s="29">
        <v>100</v>
      </c>
      <c r="F104" s="30">
        <v>4550000000</v>
      </c>
      <c r="G104" s="27">
        <v>426</v>
      </c>
    </row>
    <row r="105" spans="1:7" ht="75.75" thickBot="1" x14ac:dyDescent="0.3">
      <c r="A105" s="32"/>
      <c r="B105" s="31">
        <v>378</v>
      </c>
      <c r="C105" s="32" t="s">
        <v>606</v>
      </c>
      <c r="D105" s="32" t="s">
        <v>82</v>
      </c>
      <c r="E105" s="33">
        <v>99</v>
      </c>
      <c r="F105" s="30">
        <v>4876599999</v>
      </c>
      <c r="G105" s="31">
        <v>422</v>
      </c>
    </row>
    <row r="106" spans="1:7" ht="105.75" thickBot="1" x14ac:dyDescent="0.3">
      <c r="A106" s="28"/>
      <c r="B106" s="27">
        <v>332</v>
      </c>
      <c r="C106" s="28" t="s">
        <v>713</v>
      </c>
      <c r="D106" s="28" t="s">
        <v>561</v>
      </c>
      <c r="E106" s="29">
        <v>99</v>
      </c>
      <c r="F106" s="30">
        <v>6019500000</v>
      </c>
      <c r="G106" s="27">
        <v>374</v>
      </c>
    </row>
    <row r="107" spans="1:7" ht="105.75" thickBot="1" x14ac:dyDescent="0.3">
      <c r="A107" s="32"/>
      <c r="B107" s="31">
        <v>314</v>
      </c>
      <c r="C107" s="32" t="s">
        <v>568</v>
      </c>
      <c r="D107" s="32" t="s">
        <v>561</v>
      </c>
      <c r="E107" s="33">
        <v>97</v>
      </c>
      <c r="F107" s="30">
        <v>6010999999</v>
      </c>
      <c r="G107" s="31">
        <v>356</v>
      </c>
    </row>
    <row r="108" spans="1:7" ht="105.75" thickBot="1" x14ac:dyDescent="0.3">
      <c r="A108" s="28"/>
      <c r="B108" s="27">
        <v>311</v>
      </c>
      <c r="C108" s="28" t="s">
        <v>576</v>
      </c>
      <c r="D108" s="28" t="s">
        <v>559</v>
      </c>
      <c r="E108" s="29">
        <v>96</v>
      </c>
      <c r="F108" s="30">
        <v>6050222000</v>
      </c>
      <c r="G108" s="27">
        <v>353</v>
      </c>
    </row>
    <row r="109" spans="1:7" ht="90.75" thickBot="1" x14ac:dyDescent="0.3">
      <c r="A109" s="32"/>
      <c r="B109" s="31">
        <v>512</v>
      </c>
      <c r="C109" s="32" t="s">
        <v>752</v>
      </c>
      <c r="D109" s="32" t="s">
        <v>741</v>
      </c>
      <c r="E109" s="33">
        <v>96</v>
      </c>
      <c r="F109" s="30">
        <v>12520888889</v>
      </c>
      <c r="G109" s="31">
        <v>622</v>
      </c>
    </row>
    <row r="110" spans="1:7" ht="105.75" thickBot="1" x14ac:dyDescent="0.3">
      <c r="A110" s="28"/>
      <c r="B110" s="27">
        <v>295</v>
      </c>
      <c r="C110" s="28" t="s">
        <v>581</v>
      </c>
      <c r="D110" s="28" t="s">
        <v>559</v>
      </c>
      <c r="E110" s="29">
        <v>95</v>
      </c>
      <c r="F110" s="30">
        <v>6010000000</v>
      </c>
      <c r="G110" s="27">
        <v>337</v>
      </c>
    </row>
    <row r="111" spans="1:7" ht="45.75" thickBot="1" x14ac:dyDescent="0.3">
      <c r="A111" s="32"/>
      <c r="B111" s="31">
        <v>490</v>
      </c>
      <c r="C111" s="32" t="s">
        <v>442</v>
      </c>
      <c r="D111" s="32" t="s">
        <v>441</v>
      </c>
      <c r="E111" s="33">
        <v>90</v>
      </c>
      <c r="F111" s="30">
        <v>4172999999</v>
      </c>
      <c r="G111" s="31">
        <v>594</v>
      </c>
    </row>
    <row r="112" spans="1:7" ht="105.75" thickBot="1" x14ac:dyDescent="0.3">
      <c r="A112" s="28"/>
      <c r="B112" s="27">
        <v>388</v>
      </c>
      <c r="C112" s="28" t="s">
        <v>390</v>
      </c>
      <c r="D112" s="28" t="s">
        <v>155</v>
      </c>
      <c r="E112" s="29">
        <v>87</v>
      </c>
      <c r="F112" s="30">
        <v>4020000000</v>
      </c>
      <c r="G112" s="27">
        <v>432</v>
      </c>
    </row>
    <row r="113" spans="1:7" ht="90.75" thickBot="1" x14ac:dyDescent="0.3">
      <c r="A113" s="32"/>
      <c r="B113" s="31">
        <v>468</v>
      </c>
      <c r="C113" s="32" t="s">
        <v>420</v>
      </c>
      <c r="D113" s="32" t="s">
        <v>401</v>
      </c>
      <c r="E113" s="33">
        <v>87</v>
      </c>
      <c r="F113" s="30">
        <v>4119679900</v>
      </c>
      <c r="G113" s="31">
        <v>572</v>
      </c>
    </row>
    <row r="114" spans="1:7" ht="60.75" thickBot="1" x14ac:dyDescent="0.3">
      <c r="A114" s="28"/>
      <c r="B114" s="27">
        <v>249</v>
      </c>
      <c r="C114" s="28" t="s">
        <v>620</v>
      </c>
      <c r="D114" s="28" t="s">
        <v>129</v>
      </c>
      <c r="E114" s="29">
        <v>86</v>
      </c>
      <c r="F114" s="30">
        <v>5152999999</v>
      </c>
      <c r="G114" s="27">
        <v>291</v>
      </c>
    </row>
    <row r="115" spans="1:7" ht="105.75" thickBot="1" x14ac:dyDescent="0.3">
      <c r="A115" s="32"/>
      <c r="B115" s="31">
        <v>120</v>
      </c>
      <c r="C115" s="32" t="s">
        <v>220</v>
      </c>
      <c r="D115" s="32" t="s">
        <v>126</v>
      </c>
      <c r="E115" s="33">
        <v>84</v>
      </c>
      <c r="F115" s="30">
        <v>2359000000</v>
      </c>
      <c r="G115" s="31">
        <v>162</v>
      </c>
    </row>
    <row r="116" spans="1:7" ht="105.75" thickBot="1" x14ac:dyDescent="0.3">
      <c r="A116" s="28"/>
      <c r="B116" s="27">
        <v>318</v>
      </c>
      <c r="C116" s="28" t="s">
        <v>577</v>
      </c>
      <c r="D116" s="28" t="s">
        <v>559</v>
      </c>
      <c r="E116" s="29">
        <v>81</v>
      </c>
      <c r="F116" s="30">
        <v>6135000000</v>
      </c>
      <c r="G116" s="27">
        <v>360</v>
      </c>
    </row>
    <row r="117" spans="1:7" ht="105.75" thickBot="1" x14ac:dyDescent="0.3">
      <c r="A117" s="32"/>
      <c r="B117" s="31">
        <v>520</v>
      </c>
      <c r="C117" s="32" t="s">
        <v>558</v>
      </c>
      <c r="D117" s="32" t="s">
        <v>557</v>
      </c>
      <c r="E117" s="33">
        <v>80</v>
      </c>
      <c r="F117" s="30">
        <v>4875141555</v>
      </c>
      <c r="G117" s="31">
        <v>630</v>
      </c>
    </row>
    <row r="118" spans="1:7" ht="105.75" thickBot="1" x14ac:dyDescent="0.3">
      <c r="A118" s="28"/>
      <c r="B118" s="27">
        <v>296</v>
      </c>
      <c r="C118" s="28" t="s">
        <v>582</v>
      </c>
      <c r="D118" s="28" t="s">
        <v>559</v>
      </c>
      <c r="E118" s="29">
        <v>80</v>
      </c>
      <c r="F118" s="30">
        <v>6150000000</v>
      </c>
      <c r="G118" s="27">
        <v>338</v>
      </c>
    </row>
    <row r="119" spans="1:7" ht="105.75" thickBot="1" x14ac:dyDescent="0.3">
      <c r="A119" s="32"/>
      <c r="B119" s="31">
        <v>434</v>
      </c>
      <c r="C119" s="32" t="s">
        <v>676</v>
      </c>
      <c r="D119" s="32" t="s">
        <v>463</v>
      </c>
      <c r="E119" s="33">
        <v>80</v>
      </c>
      <c r="F119" s="30">
        <v>6759999999</v>
      </c>
      <c r="G119" s="31">
        <v>531</v>
      </c>
    </row>
    <row r="120" spans="1:7" ht="75.75" thickBot="1" x14ac:dyDescent="0.3">
      <c r="A120" s="28"/>
      <c r="B120" s="27">
        <v>348</v>
      </c>
      <c r="C120" s="28" t="s">
        <v>664</v>
      </c>
      <c r="D120" s="28" t="s">
        <v>663</v>
      </c>
      <c r="E120" s="29">
        <v>79</v>
      </c>
      <c r="F120" s="30">
        <v>6011000000</v>
      </c>
      <c r="G120" s="27">
        <v>390</v>
      </c>
    </row>
    <row r="121" spans="1:7" ht="105.75" thickBot="1" x14ac:dyDescent="0.3">
      <c r="A121" s="32"/>
      <c r="B121" s="31">
        <v>343</v>
      </c>
      <c r="C121" s="32" t="s">
        <v>699</v>
      </c>
      <c r="D121" s="32" t="s">
        <v>561</v>
      </c>
      <c r="E121" s="33">
        <v>77</v>
      </c>
      <c r="F121" s="30">
        <v>5866666666</v>
      </c>
      <c r="G121" s="31">
        <v>385</v>
      </c>
    </row>
    <row r="122" spans="1:7" ht="105.75" thickBot="1" x14ac:dyDescent="0.3">
      <c r="A122" s="28"/>
      <c r="B122" s="27">
        <v>341</v>
      </c>
      <c r="C122" s="28" t="s">
        <v>708</v>
      </c>
      <c r="D122" s="28" t="s">
        <v>561</v>
      </c>
      <c r="E122" s="29">
        <v>76</v>
      </c>
      <c r="F122" s="30">
        <v>5590999999</v>
      </c>
      <c r="G122" s="27">
        <v>383</v>
      </c>
    </row>
    <row r="123" spans="1:7" ht="105.75" thickBot="1" x14ac:dyDescent="0.3">
      <c r="A123" s="32"/>
      <c r="B123" s="31">
        <v>345</v>
      </c>
      <c r="C123" s="32" t="s">
        <v>700</v>
      </c>
      <c r="D123" s="32" t="s">
        <v>559</v>
      </c>
      <c r="E123" s="33">
        <v>72</v>
      </c>
      <c r="F123" s="30">
        <v>6200111000</v>
      </c>
      <c r="G123" s="31">
        <v>387</v>
      </c>
    </row>
    <row r="124" spans="1:7" ht="90.75" thickBot="1" x14ac:dyDescent="0.3">
      <c r="A124" s="28"/>
      <c r="B124" s="27">
        <v>355</v>
      </c>
      <c r="C124" s="28" t="s">
        <v>662</v>
      </c>
      <c r="D124" s="28" t="s">
        <v>652</v>
      </c>
      <c r="E124" s="29">
        <v>71</v>
      </c>
      <c r="F124" s="30">
        <v>6511111111</v>
      </c>
      <c r="G124" s="27">
        <v>397</v>
      </c>
    </row>
    <row r="125" spans="1:7" ht="90.75" thickBot="1" x14ac:dyDescent="0.3">
      <c r="A125" s="32"/>
      <c r="B125" s="31">
        <v>460</v>
      </c>
      <c r="C125" s="32" t="s">
        <v>627</v>
      </c>
      <c r="D125" s="32" t="s">
        <v>625</v>
      </c>
      <c r="E125" s="33">
        <v>70</v>
      </c>
      <c r="F125" s="30">
        <v>6626000000</v>
      </c>
      <c r="G125" s="31">
        <v>564</v>
      </c>
    </row>
    <row r="126" spans="1:7" ht="75.75" thickBot="1" x14ac:dyDescent="0.3">
      <c r="A126" s="28"/>
      <c r="B126" s="27">
        <v>372</v>
      </c>
      <c r="C126" s="28" t="s">
        <v>589</v>
      </c>
      <c r="D126" s="28" t="s">
        <v>82</v>
      </c>
      <c r="E126" s="29">
        <v>69</v>
      </c>
      <c r="F126" s="30">
        <v>4477557000</v>
      </c>
      <c r="G126" s="27">
        <v>414</v>
      </c>
    </row>
    <row r="127" spans="1:7" ht="90.75" thickBot="1" x14ac:dyDescent="0.3">
      <c r="A127" s="32"/>
      <c r="B127" s="31">
        <v>455</v>
      </c>
      <c r="C127" s="32" t="s">
        <v>386</v>
      </c>
      <c r="D127" s="32" t="s">
        <v>385</v>
      </c>
      <c r="E127" s="33">
        <v>68</v>
      </c>
      <c r="F127" s="30">
        <v>3667900000</v>
      </c>
      <c r="G127" s="31">
        <v>559</v>
      </c>
    </row>
    <row r="128" spans="1:7" ht="90.75" thickBot="1" x14ac:dyDescent="0.3">
      <c r="A128" s="28"/>
      <c r="B128" s="27">
        <v>465</v>
      </c>
      <c r="C128" s="28" t="s">
        <v>402</v>
      </c>
      <c r="D128" s="28" t="s">
        <v>401</v>
      </c>
      <c r="E128" s="29">
        <v>68</v>
      </c>
      <c r="F128" s="30">
        <v>4146777777</v>
      </c>
      <c r="G128" s="27">
        <v>569</v>
      </c>
    </row>
    <row r="129" spans="1:7" ht="105.75" thickBot="1" x14ac:dyDescent="0.3">
      <c r="A129" s="32"/>
      <c r="B129" s="31">
        <v>284</v>
      </c>
      <c r="C129" s="32" t="s">
        <v>719</v>
      </c>
      <c r="D129" s="32" t="s">
        <v>559</v>
      </c>
      <c r="E129" s="33">
        <v>67</v>
      </c>
      <c r="F129" s="30">
        <v>6370991111</v>
      </c>
      <c r="G129" s="31">
        <v>326</v>
      </c>
    </row>
    <row r="130" spans="1:7" ht="105.75" thickBot="1" x14ac:dyDescent="0.3">
      <c r="A130" s="28"/>
      <c r="B130" s="27">
        <v>340</v>
      </c>
      <c r="C130" s="28" t="s">
        <v>724</v>
      </c>
      <c r="D130" s="28" t="s">
        <v>561</v>
      </c>
      <c r="E130" s="29">
        <v>67</v>
      </c>
      <c r="F130" s="30">
        <v>6450000000</v>
      </c>
      <c r="G130" s="27">
        <v>382</v>
      </c>
    </row>
    <row r="131" spans="1:7" ht="105.75" thickBot="1" x14ac:dyDescent="0.3">
      <c r="A131" s="32"/>
      <c r="B131" s="31">
        <v>154</v>
      </c>
      <c r="C131" s="32" t="s">
        <v>249</v>
      </c>
      <c r="D131" s="32" t="s">
        <v>126</v>
      </c>
      <c r="E131" s="33">
        <v>66</v>
      </c>
      <c r="F131" s="30">
        <v>2280000000</v>
      </c>
      <c r="G131" s="31">
        <v>196</v>
      </c>
    </row>
    <row r="132" spans="1:7" ht="90.75" thickBot="1" x14ac:dyDescent="0.3">
      <c r="A132" s="28"/>
      <c r="B132" s="27">
        <v>505</v>
      </c>
      <c r="C132" s="28" t="s">
        <v>617</v>
      </c>
      <c r="D132" s="28" t="s">
        <v>569</v>
      </c>
      <c r="E132" s="29">
        <v>66</v>
      </c>
      <c r="F132" s="30">
        <v>6153285590</v>
      </c>
      <c r="G132" s="27">
        <v>615</v>
      </c>
    </row>
    <row r="133" spans="1:7" ht="105.75" thickBot="1" x14ac:dyDescent="0.3">
      <c r="A133" s="32"/>
      <c r="B133" s="31">
        <v>290</v>
      </c>
      <c r="C133" s="32" t="s">
        <v>683</v>
      </c>
      <c r="D133" s="32" t="s">
        <v>561</v>
      </c>
      <c r="E133" s="33">
        <v>64</v>
      </c>
      <c r="F133" s="30">
        <v>5777777777</v>
      </c>
      <c r="G133" s="31">
        <v>332</v>
      </c>
    </row>
    <row r="134" spans="1:7" ht="105.75" thickBot="1" x14ac:dyDescent="0.3">
      <c r="A134" s="28"/>
      <c r="B134" s="27">
        <v>244</v>
      </c>
      <c r="C134" s="28" t="s">
        <v>731</v>
      </c>
      <c r="D134" s="28" t="s">
        <v>531</v>
      </c>
      <c r="E134" s="29">
        <v>64</v>
      </c>
      <c r="F134" s="30">
        <v>6230000000</v>
      </c>
      <c r="G134" s="27">
        <v>286</v>
      </c>
    </row>
    <row r="135" spans="1:7" ht="105.75" thickBot="1" x14ac:dyDescent="0.3">
      <c r="A135" s="32"/>
      <c r="B135" s="31">
        <v>278</v>
      </c>
      <c r="C135" s="32" t="s">
        <v>682</v>
      </c>
      <c r="D135" s="32" t="s">
        <v>561</v>
      </c>
      <c r="E135" s="33">
        <v>64</v>
      </c>
      <c r="F135" s="30">
        <v>6360000000</v>
      </c>
      <c r="G135" s="31">
        <v>320</v>
      </c>
    </row>
    <row r="136" spans="1:7" ht="90.75" thickBot="1" x14ac:dyDescent="0.3">
      <c r="A136" s="28"/>
      <c r="B136" s="27">
        <v>459</v>
      </c>
      <c r="C136" s="28" t="s">
        <v>626</v>
      </c>
      <c r="D136" s="28" t="s">
        <v>625</v>
      </c>
      <c r="E136" s="29">
        <v>63</v>
      </c>
      <c r="F136" s="30">
        <v>6165400000</v>
      </c>
      <c r="G136" s="27">
        <v>563</v>
      </c>
    </row>
    <row r="137" spans="1:7" ht="90.75" thickBot="1" x14ac:dyDescent="0.3">
      <c r="A137" s="32"/>
      <c r="B137" s="31">
        <v>257</v>
      </c>
      <c r="C137" s="32" t="s">
        <v>549</v>
      </c>
      <c r="D137" s="32" t="s">
        <v>538</v>
      </c>
      <c r="E137" s="33">
        <v>61</v>
      </c>
      <c r="F137" s="30">
        <v>4030000000</v>
      </c>
      <c r="G137" s="31">
        <v>299</v>
      </c>
    </row>
    <row r="138" spans="1:7" ht="90.75" thickBot="1" x14ac:dyDescent="0.3">
      <c r="A138" s="28"/>
      <c r="B138" s="27">
        <v>498</v>
      </c>
      <c r="C138" s="28" t="s">
        <v>610</v>
      </c>
      <c r="D138" s="28" t="s">
        <v>569</v>
      </c>
      <c r="E138" s="29">
        <v>61</v>
      </c>
      <c r="F138" s="30">
        <v>6148758930</v>
      </c>
      <c r="G138" s="27">
        <v>608</v>
      </c>
    </row>
    <row r="139" spans="1:7" ht="105.75" thickBot="1" x14ac:dyDescent="0.3">
      <c r="A139" s="32"/>
      <c r="B139" s="31">
        <v>273</v>
      </c>
      <c r="C139" s="32" t="s">
        <v>715</v>
      </c>
      <c r="D139" s="32" t="s">
        <v>559</v>
      </c>
      <c r="E139" s="33">
        <v>61</v>
      </c>
      <c r="F139" s="30">
        <v>6267500000</v>
      </c>
      <c r="G139" s="31">
        <v>315</v>
      </c>
    </row>
    <row r="140" spans="1:7" ht="105.75" thickBot="1" x14ac:dyDescent="0.3">
      <c r="A140" s="28"/>
      <c r="B140" s="27">
        <v>66</v>
      </c>
      <c r="C140" s="28" t="s">
        <v>169</v>
      </c>
      <c r="D140" s="28" t="s">
        <v>126</v>
      </c>
      <c r="E140" s="29">
        <v>60</v>
      </c>
      <c r="F140" s="30">
        <v>2436770000</v>
      </c>
      <c r="G140" s="27">
        <v>108</v>
      </c>
    </row>
    <row r="141" spans="1:7" ht="105.75" thickBot="1" x14ac:dyDescent="0.3">
      <c r="A141" s="32"/>
      <c r="B141" s="31">
        <v>346</v>
      </c>
      <c r="C141" s="32" t="s">
        <v>725</v>
      </c>
      <c r="D141" s="32" t="s">
        <v>559</v>
      </c>
      <c r="E141" s="33">
        <v>60</v>
      </c>
      <c r="F141" s="30">
        <v>6100000000</v>
      </c>
      <c r="G141" s="31">
        <v>388</v>
      </c>
    </row>
    <row r="142" spans="1:7" ht="105.75" thickBot="1" x14ac:dyDescent="0.3">
      <c r="A142" s="28"/>
      <c r="B142" s="27">
        <v>303</v>
      </c>
      <c r="C142" s="28" t="s">
        <v>583</v>
      </c>
      <c r="D142" s="28" t="s">
        <v>561</v>
      </c>
      <c r="E142" s="29">
        <v>60</v>
      </c>
      <c r="F142" s="30">
        <v>6377777777</v>
      </c>
      <c r="G142" s="27">
        <v>345</v>
      </c>
    </row>
    <row r="143" spans="1:7" ht="105.75" thickBot="1" x14ac:dyDescent="0.3">
      <c r="A143" s="32"/>
      <c r="B143" s="31">
        <v>309</v>
      </c>
      <c r="C143" s="32" t="s">
        <v>703</v>
      </c>
      <c r="D143" s="32" t="s">
        <v>561</v>
      </c>
      <c r="E143" s="33">
        <v>59</v>
      </c>
      <c r="F143" s="30">
        <v>6006006060</v>
      </c>
      <c r="G143" s="31">
        <v>351</v>
      </c>
    </row>
    <row r="144" spans="1:7" ht="105.75" thickBot="1" x14ac:dyDescent="0.3">
      <c r="A144" s="28"/>
      <c r="B144" s="27">
        <v>286</v>
      </c>
      <c r="C144" s="28" t="s">
        <v>685</v>
      </c>
      <c r="D144" s="28" t="s">
        <v>561</v>
      </c>
      <c r="E144" s="29">
        <v>59</v>
      </c>
      <c r="F144" s="30">
        <v>6066555000</v>
      </c>
      <c r="G144" s="27">
        <v>328</v>
      </c>
    </row>
    <row r="145" spans="1:7" ht="90.75" thickBot="1" x14ac:dyDescent="0.3">
      <c r="A145" s="32"/>
      <c r="B145" s="31">
        <v>495</v>
      </c>
      <c r="C145" s="32" t="s">
        <v>607</v>
      </c>
      <c r="D145" s="32" t="s">
        <v>569</v>
      </c>
      <c r="E145" s="33">
        <v>58</v>
      </c>
      <c r="F145" s="30">
        <v>6362000000</v>
      </c>
      <c r="G145" s="31">
        <v>605</v>
      </c>
    </row>
    <row r="146" spans="1:7" ht="105.75" thickBot="1" x14ac:dyDescent="0.3">
      <c r="A146" s="28"/>
      <c r="B146" s="27">
        <v>61</v>
      </c>
      <c r="C146" s="28" t="s">
        <v>164</v>
      </c>
      <c r="D146" s="28" t="s">
        <v>126</v>
      </c>
      <c r="E146" s="29">
        <v>57</v>
      </c>
      <c r="F146" s="30">
        <v>2234000001</v>
      </c>
      <c r="G146" s="27">
        <v>103</v>
      </c>
    </row>
    <row r="147" spans="1:7" ht="90.75" thickBot="1" x14ac:dyDescent="0.3">
      <c r="A147" s="32"/>
      <c r="B147" s="31">
        <v>467</v>
      </c>
      <c r="C147" s="32" t="s">
        <v>419</v>
      </c>
      <c r="D147" s="32" t="s">
        <v>401</v>
      </c>
      <c r="E147" s="33">
        <v>57</v>
      </c>
      <c r="F147" s="30">
        <v>4490000000</v>
      </c>
      <c r="G147" s="31">
        <v>571</v>
      </c>
    </row>
    <row r="148" spans="1:7" ht="105.75" thickBot="1" x14ac:dyDescent="0.3">
      <c r="A148" s="28"/>
      <c r="B148" s="27">
        <v>319</v>
      </c>
      <c r="C148" s="28" t="s">
        <v>596</v>
      </c>
      <c r="D148" s="28" t="s">
        <v>561</v>
      </c>
      <c r="E148" s="29">
        <v>57</v>
      </c>
      <c r="F148" s="30">
        <v>5976655555</v>
      </c>
      <c r="G148" s="27">
        <v>361</v>
      </c>
    </row>
    <row r="149" spans="1:7" ht="105.75" thickBot="1" x14ac:dyDescent="0.3">
      <c r="A149" s="32"/>
      <c r="B149" s="31">
        <v>293</v>
      </c>
      <c r="C149" s="32" t="s">
        <v>584</v>
      </c>
      <c r="D149" s="32" t="s">
        <v>559</v>
      </c>
      <c r="E149" s="33">
        <v>57</v>
      </c>
      <c r="F149" s="30">
        <v>6050222000</v>
      </c>
      <c r="G149" s="31">
        <v>335</v>
      </c>
    </row>
    <row r="150" spans="1:7" ht="90.75" thickBot="1" x14ac:dyDescent="0.3">
      <c r="A150" s="28"/>
      <c r="B150" s="27">
        <v>500</v>
      </c>
      <c r="C150" s="28" t="s">
        <v>612</v>
      </c>
      <c r="D150" s="28" t="s">
        <v>569</v>
      </c>
      <c r="E150" s="29">
        <v>57</v>
      </c>
      <c r="F150" s="30">
        <v>6148758930</v>
      </c>
      <c r="G150" s="27">
        <v>610</v>
      </c>
    </row>
    <row r="151" spans="1:7" ht="105.75" thickBot="1" x14ac:dyDescent="0.3">
      <c r="A151" s="32"/>
      <c r="B151" s="31">
        <v>275</v>
      </c>
      <c r="C151" s="32" t="s">
        <v>701</v>
      </c>
      <c r="D151" s="32" t="s">
        <v>561</v>
      </c>
      <c r="E151" s="33">
        <v>57</v>
      </c>
      <c r="F151" s="30">
        <v>6277770000</v>
      </c>
      <c r="G151" s="31">
        <v>317</v>
      </c>
    </row>
    <row r="152" spans="1:7" ht="105.75" thickBot="1" x14ac:dyDescent="0.3">
      <c r="A152" s="28"/>
      <c r="B152" s="27">
        <v>137</v>
      </c>
      <c r="C152" s="28" t="s">
        <v>233</v>
      </c>
      <c r="D152" s="28" t="s">
        <v>126</v>
      </c>
      <c r="E152" s="29">
        <v>56</v>
      </c>
      <c r="F152" s="30">
        <v>2388238888</v>
      </c>
      <c r="G152" s="27">
        <v>179</v>
      </c>
    </row>
    <row r="153" spans="1:7" ht="75.75" thickBot="1" x14ac:dyDescent="0.3">
      <c r="A153" s="32"/>
      <c r="B153" s="31">
        <v>350</v>
      </c>
      <c r="C153" s="32" t="s">
        <v>495</v>
      </c>
      <c r="D153" s="32" t="s">
        <v>467</v>
      </c>
      <c r="E153" s="33">
        <v>56</v>
      </c>
      <c r="F153" s="30">
        <v>5400000000</v>
      </c>
      <c r="G153" s="31">
        <v>392</v>
      </c>
    </row>
    <row r="154" spans="1:7" ht="60.75" thickBot="1" x14ac:dyDescent="0.3">
      <c r="A154" s="28"/>
      <c r="B154" s="27">
        <v>358</v>
      </c>
      <c r="C154" s="28" t="s">
        <v>670</v>
      </c>
      <c r="D154" s="28" t="s">
        <v>669</v>
      </c>
      <c r="E154" s="29">
        <v>56</v>
      </c>
      <c r="F154" s="30">
        <v>5629999999</v>
      </c>
      <c r="G154" s="27">
        <v>400</v>
      </c>
    </row>
    <row r="155" spans="1:7" ht="90.75" thickBot="1" x14ac:dyDescent="0.3">
      <c r="A155" s="32"/>
      <c r="B155" s="31">
        <v>496</v>
      </c>
      <c r="C155" s="32" t="s">
        <v>608</v>
      </c>
      <c r="D155" s="32" t="s">
        <v>569</v>
      </c>
      <c r="E155" s="33">
        <v>56</v>
      </c>
      <c r="F155" s="30">
        <v>6400000000</v>
      </c>
      <c r="G155" s="31">
        <v>606</v>
      </c>
    </row>
    <row r="156" spans="1:7" ht="105.75" thickBot="1" x14ac:dyDescent="0.3">
      <c r="A156" s="28"/>
      <c r="B156" s="27">
        <v>23</v>
      </c>
      <c r="C156" s="28" t="s">
        <v>139</v>
      </c>
      <c r="D156" s="28" t="s">
        <v>126</v>
      </c>
      <c r="E156" s="29">
        <v>55</v>
      </c>
      <c r="F156" s="30">
        <v>2388888888</v>
      </c>
      <c r="G156" s="27">
        <v>65</v>
      </c>
    </row>
    <row r="157" spans="1:7" ht="90.75" thickBot="1" x14ac:dyDescent="0.3">
      <c r="A157" s="32"/>
      <c r="B157" s="31">
        <v>253</v>
      </c>
      <c r="C157" s="32" t="s">
        <v>539</v>
      </c>
      <c r="D157" s="32" t="s">
        <v>538</v>
      </c>
      <c r="E157" s="33">
        <v>55</v>
      </c>
      <c r="F157" s="30">
        <v>4116686600</v>
      </c>
      <c r="G157" s="31">
        <v>295</v>
      </c>
    </row>
    <row r="158" spans="1:7" ht="105.75" thickBot="1" x14ac:dyDescent="0.3">
      <c r="A158" s="28"/>
      <c r="B158" s="27">
        <v>326</v>
      </c>
      <c r="C158" s="28" t="s">
        <v>691</v>
      </c>
      <c r="D158" s="28" t="s">
        <v>561</v>
      </c>
      <c r="E158" s="29">
        <v>55</v>
      </c>
      <c r="F158" s="30">
        <v>5703590000</v>
      </c>
      <c r="G158" s="27">
        <v>368</v>
      </c>
    </row>
    <row r="159" spans="1:7" ht="90.75" thickBot="1" x14ac:dyDescent="0.3">
      <c r="A159" s="32"/>
      <c r="B159" s="31">
        <v>507</v>
      </c>
      <c r="C159" s="32" t="s">
        <v>619</v>
      </c>
      <c r="D159" s="32" t="s">
        <v>569</v>
      </c>
      <c r="E159" s="33">
        <v>55</v>
      </c>
      <c r="F159" s="30">
        <v>5999999999</v>
      </c>
      <c r="G159" s="31">
        <v>617</v>
      </c>
    </row>
    <row r="160" spans="1:7" ht="90.75" thickBot="1" x14ac:dyDescent="0.3">
      <c r="A160" s="28"/>
      <c r="B160" s="27">
        <v>502</v>
      </c>
      <c r="C160" s="28" t="s">
        <v>614</v>
      </c>
      <c r="D160" s="28" t="s">
        <v>569</v>
      </c>
      <c r="E160" s="29">
        <v>55</v>
      </c>
      <c r="F160" s="30">
        <v>6153285590</v>
      </c>
      <c r="G160" s="27">
        <v>612</v>
      </c>
    </row>
    <row r="161" spans="1:7" ht="105.75" thickBot="1" x14ac:dyDescent="0.3">
      <c r="A161" s="32"/>
      <c r="B161" s="31">
        <v>281</v>
      </c>
      <c r="C161" s="32" t="s">
        <v>693</v>
      </c>
      <c r="D161" s="32" t="s">
        <v>561</v>
      </c>
      <c r="E161" s="33">
        <v>55</v>
      </c>
      <c r="F161" s="30">
        <v>6385000000</v>
      </c>
      <c r="G161" s="31">
        <v>323</v>
      </c>
    </row>
    <row r="162" spans="1:7" ht="105.75" thickBot="1" x14ac:dyDescent="0.3">
      <c r="A162" s="28"/>
      <c r="B162" s="27">
        <v>276</v>
      </c>
      <c r="C162" s="28" t="s">
        <v>716</v>
      </c>
      <c r="D162" s="28" t="s">
        <v>561</v>
      </c>
      <c r="E162" s="29">
        <v>55</v>
      </c>
      <c r="F162" s="30">
        <v>6485236742</v>
      </c>
      <c r="G162" s="27">
        <v>318</v>
      </c>
    </row>
    <row r="163" spans="1:7" ht="90.75" thickBot="1" x14ac:dyDescent="0.3">
      <c r="A163" s="32"/>
      <c r="B163" s="31">
        <v>504</v>
      </c>
      <c r="C163" s="32" t="s">
        <v>616</v>
      </c>
      <c r="D163" s="32" t="s">
        <v>569</v>
      </c>
      <c r="E163" s="33">
        <v>55</v>
      </c>
      <c r="F163" s="30">
        <v>6500000000</v>
      </c>
      <c r="G163" s="31">
        <v>614</v>
      </c>
    </row>
    <row r="164" spans="1:7" ht="90.75" thickBot="1" x14ac:dyDescent="0.3">
      <c r="A164" s="28"/>
      <c r="B164" s="27">
        <v>501</v>
      </c>
      <c r="C164" s="28" t="s">
        <v>613</v>
      </c>
      <c r="D164" s="28" t="s">
        <v>569</v>
      </c>
      <c r="E164" s="29">
        <v>54</v>
      </c>
      <c r="F164" s="30">
        <v>5688669999</v>
      </c>
      <c r="G164" s="27">
        <v>611</v>
      </c>
    </row>
    <row r="165" spans="1:7" ht="90.75" thickBot="1" x14ac:dyDescent="0.3">
      <c r="A165" s="32"/>
      <c r="B165" s="31">
        <v>497</v>
      </c>
      <c r="C165" s="32" t="s">
        <v>609</v>
      </c>
      <c r="D165" s="32" t="s">
        <v>569</v>
      </c>
      <c r="E165" s="33">
        <v>54</v>
      </c>
      <c r="F165" s="30">
        <v>5872200000</v>
      </c>
      <c r="G165" s="31">
        <v>607</v>
      </c>
    </row>
    <row r="166" spans="1:7" ht="105.75" thickBot="1" x14ac:dyDescent="0.3">
      <c r="A166" s="28"/>
      <c r="B166" s="27">
        <v>310</v>
      </c>
      <c r="C166" s="28" t="s">
        <v>585</v>
      </c>
      <c r="D166" s="28" t="s">
        <v>559</v>
      </c>
      <c r="E166" s="29">
        <v>54</v>
      </c>
      <c r="F166" s="30">
        <v>6051000000</v>
      </c>
      <c r="G166" s="27">
        <v>352</v>
      </c>
    </row>
    <row r="167" spans="1:7" ht="90.75" thickBot="1" x14ac:dyDescent="0.3">
      <c r="A167" s="32"/>
      <c r="B167" s="31">
        <v>499</v>
      </c>
      <c r="C167" s="32" t="s">
        <v>611</v>
      </c>
      <c r="D167" s="32" t="s">
        <v>569</v>
      </c>
      <c r="E167" s="33">
        <v>54</v>
      </c>
      <c r="F167" s="30">
        <v>6148758930</v>
      </c>
      <c r="G167" s="31">
        <v>609</v>
      </c>
    </row>
    <row r="168" spans="1:7" ht="105.75" thickBot="1" x14ac:dyDescent="0.3">
      <c r="A168" s="28"/>
      <c r="B168" s="27">
        <v>347</v>
      </c>
      <c r="C168" s="28" t="s">
        <v>726</v>
      </c>
      <c r="D168" s="28" t="s">
        <v>561</v>
      </c>
      <c r="E168" s="29">
        <v>54</v>
      </c>
      <c r="F168" s="30">
        <v>6219999999</v>
      </c>
      <c r="G168" s="27">
        <v>389</v>
      </c>
    </row>
    <row r="169" spans="1:7" ht="105.75" thickBot="1" x14ac:dyDescent="0.3">
      <c r="A169" s="32"/>
      <c r="B169" s="31">
        <v>277</v>
      </c>
      <c r="C169" s="32" t="s">
        <v>717</v>
      </c>
      <c r="D169" s="32" t="s">
        <v>559</v>
      </c>
      <c r="E169" s="33">
        <v>54</v>
      </c>
      <c r="F169" s="30">
        <v>6296800000</v>
      </c>
      <c r="G169" s="31">
        <v>319</v>
      </c>
    </row>
    <row r="170" spans="1:7" ht="105.75" thickBot="1" x14ac:dyDescent="0.3">
      <c r="A170" s="28"/>
      <c r="B170" s="27">
        <v>315</v>
      </c>
      <c r="C170" s="28" t="s">
        <v>578</v>
      </c>
      <c r="D170" s="28" t="s">
        <v>561</v>
      </c>
      <c r="E170" s="29">
        <v>54</v>
      </c>
      <c r="F170" s="30">
        <v>7000033000</v>
      </c>
      <c r="G170" s="27">
        <v>357</v>
      </c>
    </row>
    <row r="171" spans="1:7" ht="135.75" thickBot="1" x14ac:dyDescent="0.3">
      <c r="A171" s="32"/>
      <c r="B171" s="31">
        <v>493</v>
      </c>
      <c r="C171" s="32" t="s">
        <v>738</v>
      </c>
      <c r="D171" s="32" t="s">
        <v>737</v>
      </c>
      <c r="E171" s="33">
        <v>54</v>
      </c>
      <c r="F171" s="30">
        <v>8926000000</v>
      </c>
      <c r="G171" s="31">
        <v>603</v>
      </c>
    </row>
    <row r="172" spans="1:7" ht="105.75" thickBot="1" x14ac:dyDescent="0.3">
      <c r="A172" s="28"/>
      <c r="B172" s="27">
        <v>329</v>
      </c>
      <c r="C172" s="28" t="s">
        <v>704</v>
      </c>
      <c r="D172" s="28" t="s">
        <v>561</v>
      </c>
      <c r="E172" s="29">
        <v>53</v>
      </c>
      <c r="F172" s="30">
        <v>5960000000</v>
      </c>
      <c r="G172" s="27">
        <v>371</v>
      </c>
    </row>
    <row r="173" spans="1:7" ht="90.75" thickBot="1" x14ac:dyDescent="0.3">
      <c r="A173" s="32"/>
      <c r="B173" s="31">
        <v>503</v>
      </c>
      <c r="C173" s="32" t="s">
        <v>615</v>
      </c>
      <c r="D173" s="32" t="s">
        <v>569</v>
      </c>
      <c r="E173" s="33">
        <v>53</v>
      </c>
      <c r="F173" s="30">
        <v>6280000000</v>
      </c>
      <c r="G173" s="31">
        <v>613</v>
      </c>
    </row>
    <row r="174" spans="1:7" ht="105.75" thickBot="1" x14ac:dyDescent="0.3">
      <c r="A174" s="28"/>
      <c r="B174" s="27">
        <v>294</v>
      </c>
      <c r="C174" s="28" t="s">
        <v>586</v>
      </c>
      <c r="D174" s="28" t="s">
        <v>559</v>
      </c>
      <c r="E174" s="29">
        <v>53</v>
      </c>
      <c r="F174" s="30">
        <v>6422000000</v>
      </c>
      <c r="G174" s="27">
        <v>336</v>
      </c>
    </row>
    <row r="175" spans="1:7" ht="105.75" thickBot="1" x14ac:dyDescent="0.3">
      <c r="A175" s="32"/>
      <c r="B175" s="31">
        <v>30</v>
      </c>
      <c r="C175" s="32" t="s">
        <v>345</v>
      </c>
      <c r="D175" s="32" t="s">
        <v>126</v>
      </c>
      <c r="E175" s="33">
        <v>52</v>
      </c>
      <c r="F175" s="30">
        <v>2467999000</v>
      </c>
      <c r="G175" s="31">
        <v>72</v>
      </c>
    </row>
    <row r="176" spans="1:7" ht="105.75" thickBot="1" x14ac:dyDescent="0.3">
      <c r="A176" s="28"/>
      <c r="B176" s="27">
        <v>56</v>
      </c>
      <c r="C176" s="28" t="s">
        <v>371</v>
      </c>
      <c r="D176" s="28" t="s">
        <v>126</v>
      </c>
      <c r="E176" s="29">
        <v>52</v>
      </c>
      <c r="F176" s="30">
        <v>2552000000</v>
      </c>
      <c r="G176" s="27">
        <v>98</v>
      </c>
    </row>
    <row r="177" spans="1:7" ht="90.75" thickBot="1" x14ac:dyDescent="0.3">
      <c r="A177" s="32"/>
      <c r="B177" s="31">
        <v>508</v>
      </c>
      <c r="C177" s="32" t="s">
        <v>604</v>
      </c>
      <c r="D177" s="32" t="s">
        <v>569</v>
      </c>
      <c r="E177" s="33">
        <v>52</v>
      </c>
      <c r="F177" s="30">
        <v>6029999999</v>
      </c>
      <c r="G177" s="31">
        <v>618</v>
      </c>
    </row>
    <row r="178" spans="1:7" ht="60.75" thickBot="1" x14ac:dyDescent="0.3">
      <c r="A178" s="28"/>
      <c r="B178" s="27">
        <v>247</v>
      </c>
      <c r="C178" s="28" t="s">
        <v>647</v>
      </c>
      <c r="D178" s="28" t="s">
        <v>129</v>
      </c>
      <c r="E178" s="29">
        <v>51</v>
      </c>
      <c r="F178" s="30">
        <v>5150000000</v>
      </c>
      <c r="G178" s="27">
        <v>289</v>
      </c>
    </row>
    <row r="179" spans="1:7" ht="105.75" thickBot="1" x14ac:dyDescent="0.3">
      <c r="A179" s="32"/>
      <c r="B179" s="31">
        <v>288</v>
      </c>
      <c r="C179" s="32" t="s">
        <v>694</v>
      </c>
      <c r="D179" s="32" t="s">
        <v>561</v>
      </c>
      <c r="E179" s="33">
        <v>51</v>
      </c>
      <c r="F179" s="30">
        <v>5720000000</v>
      </c>
      <c r="G179" s="31">
        <v>330</v>
      </c>
    </row>
    <row r="180" spans="1:7" ht="105.75" thickBot="1" x14ac:dyDescent="0.3">
      <c r="A180" s="28"/>
      <c r="B180" s="27">
        <v>336</v>
      </c>
      <c r="C180" s="28" t="s">
        <v>675</v>
      </c>
      <c r="D180" s="28" t="s">
        <v>561</v>
      </c>
      <c r="E180" s="29">
        <v>51</v>
      </c>
      <c r="F180" s="30">
        <v>5877779999</v>
      </c>
      <c r="G180" s="27">
        <v>378</v>
      </c>
    </row>
    <row r="181" spans="1:7" ht="105.75" thickBot="1" x14ac:dyDescent="0.3">
      <c r="A181" s="32"/>
      <c r="B181" s="31">
        <v>328</v>
      </c>
      <c r="C181" s="32" t="s">
        <v>721</v>
      </c>
      <c r="D181" s="32" t="s">
        <v>561</v>
      </c>
      <c r="E181" s="33">
        <v>51</v>
      </c>
      <c r="F181" s="30">
        <v>6260009990</v>
      </c>
      <c r="G181" s="31">
        <v>370</v>
      </c>
    </row>
    <row r="182" spans="1:7" ht="90.75" thickBot="1" x14ac:dyDescent="0.3">
      <c r="A182" s="28"/>
      <c r="B182" s="27">
        <v>458</v>
      </c>
      <c r="C182" s="28" t="s">
        <v>330</v>
      </c>
      <c r="D182" s="28" t="s">
        <v>145</v>
      </c>
      <c r="E182" s="29">
        <v>50</v>
      </c>
      <c r="F182" s="30">
        <v>3459000000</v>
      </c>
      <c r="G182" s="27">
        <v>562</v>
      </c>
    </row>
    <row r="183" spans="1:7" ht="75.75" thickBot="1" x14ac:dyDescent="0.3">
      <c r="A183" s="32"/>
      <c r="B183" s="31">
        <v>369</v>
      </c>
      <c r="C183" s="32" t="s">
        <v>563</v>
      </c>
      <c r="D183" s="32" t="s">
        <v>82</v>
      </c>
      <c r="E183" s="33">
        <v>50</v>
      </c>
      <c r="F183" s="30">
        <v>4300000000</v>
      </c>
      <c r="G183" s="31">
        <v>411</v>
      </c>
    </row>
    <row r="184" spans="1:7" ht="90.75" thickBot="1" x14ac:dyDescent="0.3">
      <c r="A184" s="28"/>
      <c r="B184" s="27">
        <v>402</v>
      </c>
      <c r="C184" s="28" t="s">
        <v>745</v>
      </c>
      <c r="D184" s="28" t="s">
        <v>744</v>
      </c>
      <c r="E184" s="29">
        <v>50</v>
      </c>
      <c r="F184" s="30">
        <v>11100564321</v>
      </c>
      <c r="G184" s="27">
        <v>446</v>
      </c>
    </row>
    <row r="185" spans="1:7" ht="105.75" thickBot="1" x14ac:dyDescent="0.3">
      <c r="A185" s="32"/>
      <c r="B185" s="31">
        <v>180</v>
      </c>
      <c r="C185" s="32" t="s">
        <v>273</v>
      </c>
      <c r="D185" s="32" t="s">
        <v>126</v>
      </c>
      <c r="E185" s="33">
        <v>48</v>
      </c>
      <c r="F185" s="30">
        <v>2412000000</v>
      </c>
      <c r="G185" s="31">
        <v>222</v>
      </c>
    </row>
    <row r="186" spans="1:7" ht="105.75" thickBot="1" x14ac:dyDescent="0.3">
      <c r="A186" s="28"/>
      <c r="B186" s="27">
        <v>291</v>
      </c>
      <c r="C186" s="28" t="s">
        <v>686</v>
      </c>
      <c r="D186" s="28" t="s">
        <v>561</v>
      </c>
      <c r="E186" s="29">
        <v>48</v>
      </c>
      <c r="F186" s="30">
        <v>5866666666</v>
      </c>
      <c r="G186" s="27">
        <v>333</v>
      </c>
    </row>
    <row r="187" spans="1:7" ht="105.75" thickBot="1" x14ac:dyDescent="0.3">
      <c r="A187" s="32"/>
      <c r="B187" s="31">
        <v>323</v>
      </c>
      <c r="C187" s="32" t="s">
        <v>720</v>
      </c>
      <c r="D187" s="32" t="s">
        <v>559</v>
      </c>
      <c r="E187" s="33">
        <v>48</v>
      </c>
      <c r="F187" s="30">
        <v>6245500000</v>
      </c>
      <c r="G187" s="31">
        <v>365</v>
      </c>
    </row>
    <row r="188" spans="1:7" ht="105.75" thickBot="1" x14ac:dyDescent="0.3">
      <c r="A188" s="28"/>
      <c r="B188" s="27">
        <v>337</v>
      </c>
      <c r="C188" s="28" t="s">
        <v>723</v>
      </c>
      <c r="D188" s="28" t="s">
        <v>561</v>
      </c>
      <c r="E188" s="29">
        <v>47</v>
      </c>
      <c r="F188" s="30">
        <v>6142222222</v>
      </c>
      <c r="G188" s="27">
        <v>379</v>
      </c>
    </row>
    <row r="189" spans="1:7" ht="135.75" thickBot="1" x14ac:dyDescent="0.3">
      <c r="A189" s="32"/>
      <c r="B189" s="31">
        <v>494</v>
      </c>
      <c r="C189" s="32" t="s">
        <v>740</v>
      </c>
      <c r="D189" s="32" t="s">
        <v>737</v>
      </c>
      <c r="E189" s="33">
        <v>47</v>
      </c>
      <c r="F189" s="30">
        <v>8444444444</v>
      </c>
      <c r="G189" s="31">
        <v>604</v>
      </c>
    </row>
    <row r="190" spans="1:7" ht="90.75" thickBot="1" x14ac:dyDescent="0.3">
      <c r="A190" s="28"/>
      <c r="B190" s="27">
        <v>258</v>
      </c>
      <c r="C190" s="28" t="s">
        <v>550</v>
      </c>
      <c r="D190" s="28" t="s">
        <v>538</v>
      </c>
      <c r="E190" s="29">
        <v>46</v>
      </c>
      <c r="F190" s="30">
        <v>4120000000</v>
      </c>
      <c r="G190" s="27">
        <v>300</v>
      </c>
    </row>
    <row r="191" spans="1:7" ht="45.75" thickBot="1" x14ac:dyDescent="0.3">
      <c r="A191" s="32"/>
      <c r="B191" s="31">
        <v>232</v>
      </c>
      <c r="C191" s="32" t="s">
        <v>499</v>
      </c>
      <c r="D191" s="32" t="s">
        <v>417</v>
      </c>
      <c r="E191" s="33">
        <v>46</v>
      </c>
      <c r="F191" s="30">
        <v>4323333333</v>
      </c>
      <c r="G191" s="31">
        <v>274</v>
      </c>
    </row>
    <row r="192" spans="1:7" ht="105.75" thickBot="1" x14ac:dyDescent="0.3">
      <c r="A192" s="28"/>
      <c r="B192" s="27">
        <v>119</v>
      </c>
      <c r="C192" s="28" t="s">
        <v>219</v>
      </c>
      <c r="D192" s="28" t="s">
        <v>126</v>
      </c>
      <c r="E192" s="29">
        <v>45</v>
      </c>
      <c r="F192" s="30">
        <v>2320000000</v>
      </c>
      <c r="G192" s="27">
        <v>161</v>
      </c>
    </row>
    <row r="193" spans="1:7" ht="105.75" thickBot="1" x14ac:dyDescent="0.3">
      <c r="A193" s="32"/>
      <c r="B193" s="31">
        <v>148</v>
      </c>
      <c r="C193" s="32" t="s">
        <v>243</v>
      </c>
      <c r="D193" s="32" t="s">
        <v>126</v>
      </c>
      <c r="E193" s="33">
        <v>45</v>
      </c>
      <c r="F193" s="30">
        <v>2370000000</v>
      </c>
      <c r="G193" s="31">
        <v>190</v>
      </c>
    </row>
    <row r="194" spans="1:7" ht="105.75" thickBot="1" x14ac:dyDescent="0.3">
      <c r="A194" s="28"/>
      <c r="B194" s="27">
        <v>177</v>
      </c>
      <c r="C194" s="28" t="s">
        <v>270</v>
      </c>
      <c r="D194" s="28" t="s">
        <v>126</v>
      </c>
      <c r="E194" s="29">
        <v>45</v>
      </c>
      <c r="F194" s="30">
        <v>2459999999</v>
      </c>
      <c r="G194" s="27">
        <v>219</v>
      </c>
    </row>
    <row r="195" spans="1:7" ht="75.75" thickBot="1" x14ac:dyDescent="0.3">
      <c r="A195" s="32"/>
      <c r="B195" s="31">
        <v>351</v>
      </c>
      <c r="C195" s="32" t="s">
        <v>507</v>
      </c>
      <c r="D195" s="32" t="s">
        <v>467</v>
      </c>
      <c r="E195" s="33">
        <v>45</v>
      </c>
      <c r="F195" s="30">
        <v>5909999999</v>
      </c>
      <c r="G195" s="31">
        <v>393</v>
      </c>
    </row>
    <row r="196" spans="1:7" ht="90.75" thickBot="1" x14ac:dyDescent="0.3">
      <c r="A196" s="28"/>
      <c r="B196" s="27">
        <v>255</v>
      </c>
      <c r="C196" s="28" t="s">
        <v>537</v>
      </c>
      <c r="D196" s="28" t="s">
        <v>505</v>
      </c>
      <c r="E196" s="29">
        <v>44</v>
      </c>
      <c r="F196" s="30">
        <v>4030000000</v>
      </c>
      <c r="G196" s="27">
        <v>297</v>
      </c>
    </row>
    <row r="197" spans="1:7" ht="105.75" thickBot="1" x14ac:dyDescent="0.3">
      <c r="A197" s="32"/>
      <c r="B197" s="31">
        <v>235</v>
      </c>
      <c r="C197" s="32" t="s">
        <v>681</v>
      </c>
      <c r="D197" s="32" t="s">
        <v>680</v>
      </c>
      <c r="E197" s="33">
        <v>44</v>
      </c>
      <c r="F197" s="30">
        <v>5888888888</v>
      </c>
      <c r="G197" s="31">
        <v>277</v>
      </c>
    </row>
    <row r="198" spans="1:7" ht="90.75" thickBot="1" x14ac:dyDescent="0.3">
      <c r="A198" s="28"/>
      <c r="B198" s="27">
        <v>243</v>
      </c>
      <c r="C198" s="28" t="s">
        <v>674</v>
      </c>
      <c r="D198" s="28" t="s">
        <v>545</v>
      </c>
      <c r="E198" s="29">
        <v>44</v>
      </c>
      <c r="F198" s="30">
        <v>6011000000</v>
      </c>
      <c r="G198" s="27">
        <v>285</v>
      </c>
    </row>
    <row r="199" spans="1:7" ht="105.75" thickBot="1" x14ac:dyDescent="0.3">
      <c r="A199" s="32"/>
      <c r="B199" s="31">
        <v>302</v>
      </c>
      <c r="C199" s="32" t="s">
        <v>574</v>
      </c>
      <c r="D199" s="32" t="s">
        <v>561</v>
      </c>
      <c r="E199" s="33">
        <v>44</v>
      </c>
      <c r="F199" s="30">
        <v>6610000000</v>
      </c>
      <c r="G199" s="31">
        <v>344</v>
      </c>
    </row>
    <row r="200" spans="1:7" ht="105.75" thickBot="1" x14ac:dyDescent="0.3">
      <c r="A200" s="42"/>
      <c r="B200" s="43">
        <v>10</v>
      </c>
      <c r="C200" s="42" t="s">
        <v>326</v>
      </c>
      <c r="D200" s="42" t="s">
        <v>126</v>
      </c>
      <c r="E200" s="44">
        <v>43</v>
      </c>
      <c r="F200" s="38">
        <v>2308759898</v>
      </c>
      <c r="G200" s="43">
        <v>52</v>
      </c>
    </row>
    <row r="201" spans="1:7" ht="105.75" thickBot="1" x14ac:dyDescent="0.3">
      <c r="B201" s="51">
        <v>4</v>
      </c>
      <c r="C201" s="52" t="s">
        <v>319</v>
      </c>
      <c r="D201" s="52" t="s">
        <v>126</v>
      </c>
      <c r="E201" s="53">
        <v>43</v>
      </c>
      <c r="F201" s="26">
        <v>2635999999</v>
      </c>
      <c r="G201" s="51">
        <v>46</v>
      </c>
    </row>
    <row r="202" spans="1:7" ht="105.75" thickBot="1" x14ac:dyDescent="0.3">
      <c r="A202" s="28"/>
      <c r="B202" s="27">
        <v>308</v>
      </c>
      <c r="C202" s="28" t="s">
        <v>575</v>
      </c>
      <c r="D202" s="28" t="s">
        <v>559</v>
      </c>
      <c r="E202" s="29">
        <v>43</v>
      </c>
      <c r="F202" s="30">
        <v>6051550000</v>
      </c>
      <c r="G202" s="27">
        <v>350</v>
      </c>
    </row>
    <row r="203" spans="1:7" ht="105.75" thickBot="1" x14ac:dyDescent="0.3">
      <c r="A203" s="32"/>
      <c r="B203" s="31">
        <v>26</v>
      </c>
      <c r="C203" s="32" t="s">
        <v>341</v>
      </c>
      <c r="D203" s="32" t="s">
        <v>126</v>
      </c>
      <c r="E203" s="33">
        <v>42</v>
      </c>
      <c r="F203" s="30">
        <v>2418000000</v>
      </c>
      <c r="G203" s="31">
        <v>68</v>
      </c>
    </row>
    <row r="204" spans="1:7" ht="105.75" thickBot="1" x14ac:dyDescent="0.3">
      <c r="A204" s="28"/>
      <c r="B204" s="27">
        <v>157</v>
      </c>
      <c r="C204" s="28" t="s">
        <v>252</v>
      </c>
      <c r="D204" s="28" t="s">
        <v>126</v>
      </c>
      <c r="E204" s="29">
        <v>42</v>
      </c>
      <c r="F204" s="30">
        <v>2355555555</v>
      </c>
      <c r="G204" s="27">
        <v>199</v>
      </c>
    </row>
    <row r="205" spans="1:7" ht="105.75" thickBot="1" x14ac:dyDescent="0.3">
      <c r="A205" s="32"/>
      <c r="B205" s="31">
        <v>292</v>
      </c>
      <c r="C205" s="32" t="s">
        <v>687</v>
      </c>
      <c r="D205" s="32" t="s">
        <v>561</v>
      </c>
      <c r="E205" s="33">
        <v>42</v>
      </c>
      <c r="F205" s="30">
        <v>5939999999</v>
      </c>
      <c r="G205" s="31">
        <v>334</v>
      </c>
    </row>
    <row r="206" spans="1:7" ht="105.75" thickBot="1" x14ac:dyDescent="0.3">
      <c r="A206" s="28"/>
      <c r="B206" s="27">
        <v>305</v>
      </c>
      <c r="C206" s="28" t="s">
        <v>567</v>
      </c>
      <c r="D206" s="28" t="s">
        <v>559</v>
      </c>
      <c r="E206" s="29">
        <v>42</v>
      </c>
      <c r="F206" s="30">
        <v>5950222000</v>
      </c>
      <c r="G206" s="27">
        <v>347</v>
      </c>
    </row>
    <row r="207" spans="1:7" ht="105.75" thickBot="1" x14ac:dyDescent="0.3">
      <c r="A207" s="32"/>
      <c r="B207" s="31">
        <v>84</v>
      </c>
      <c r="C207" s="32" t="s">
        <v>185</v>
      </c>
      <c r="D207" s="32" t="s">
        <v>126</v>
      </c>
      <c r="E207" s="33">
        <v>41</v>
      </c>
      <c r="F207" s="30">
        <v>2437999000</v>
      </c>
      <c r="G207" s="31">
        <v>126</v>
      </c>
    </row>
    <row r="208" spans="1:7" ht="105.75" thickBot="1" x14ac:dyDescent="0.3">
      <c r="A208" s="28"/>
      <c r="B208" s="27">
        <v>419</v>
      </c>
      <c r="C208" s="28" t="s">
        <v>491</v>
      </c>
      <c r="D208" s="28" t="s">
        <v>490</v>
      </c>
      <c r="E208" s="29">
        <v>41</v>
      </c>
      <c r="F208" s="30">
        <v>4609990000</v>
      </c>
      <c r="G208" s="27">
        <v>516</v>
      </c>
    </row>
    <row r="209" spans="1:7" ht="105.75" thickBot="1" x14ac:dyDescent="0.3">
      <c r="A209" s="32"/>
      <c r="B209" s="31">
        <v>11</v>
      </c>
      <c r="C209" s="32" t="s">
        <v>327</v>
      </c>
      <c r="D209" s="32" t="s">
        <v>126</v>
      </c>
      <c r="E209" s="33">
        <v>40</v>
      </c>
      <c r="F209" s="30">
        <v>2615999999</v>
      </c>
      <c r="G209" s="31">
        <v>53</v>
      </c>
    </row>
    <row r="210" spans="1:7" ht="105.75" thickBot="1" x14ac:dyDescent="0.3">
      <c r="A210" s="28"/>
      <c r="B210" s="27">
        <v>18</v>
      </c>
      <c r="C210" s="28" t="s">
        <v>334</v>
      </c>
      <c r="D210" s="28" t="s">
        <v>126</v>
      </c>
      <c r="E210" s="29">
        <v>40</v>
      </c>
      <c r="F210" s="30">
        <v>2395000000</v>
      </c>
      <c r="G210" s="27">
        <v>60</v>
      </c>
    </row>
    <row r="211" spans="1:7" ht="105.75" thickBot="1" x14ac:dyDescent="0.3">
      <c r="A211" s="32"/>
      <c r="B211" s="31">
        <v>179</v>
      </c>
      <c r="C211" s="32" t="s">
        <v>272</v>
      </c>
      <c r="D211" s="32" t="s">
        <v>126</v>
      </c>
      <c r="E211" s="33">
        <v>40</v>
      </c>
      <c r="F211" s="30">
        <v>2577000000</v>
      </c>
      <c r="G211" s="31">
        <v>221</v>
      </c>
    </row>
    <row r="212" spans="1:7" ht="105.75" thickBot="1" x14ac:dyDescent="0.3">
      <c r="A212" s="28"/>
      <c r="B212" s="27">
        <v>67</v>
      </c>
      <c r="C212" s="28" t="s">
        <v>170</v>
      </c>
      <c r="D212" s="28" t="s">
        <v>126</v>
      </c>
      <c r="E212" s="29">
        <v>39</v>
      </c>
      <c r="F212" s="30">
        <v>2569999999</v>
      </c>
      <c r="G212" s="27">
        <v>109</v>
      </c>
    </row>
    <row r="213" spans="1:7" ht="105.75" thickBot="1" x14ac:dyDescent="0.3">
      <c r="A213" s="32"/>
      <c r="B213" s="31">
        <v>132</v>
      </c>
      <c r="C213" s="32" t="s">
        <v>228</v>
      </c>
      <c r="D213" s="32" t="s">
        <v>126</v>
      </c>
      <c r="E213" s="33">
        <v>39</v>
      </c>
      <c r="F213" s="30">
        <v>2410000000</v>
      </c>
      <c r="G213" s="31">
        <v>174</v>
      </c>
    </row>
    <row r="214" spans="1:7" ht="105.75" thickBot="1" x14ac:dyDescent="0.3">
      <c r="A214" s="28"/>
      <c r="B214" s="27">
        <v>143</v>
      </c>
      <c r="C214" s="28" t="s">
        <v>238</v>
      </c>
      <c r="D214" s="28" t="s">
        <v>126</v>
      </c>
      <c r="E214" s="29">
        <v>39</v>
      </c>
      <c r="F214" s="30">
        <v>2340000000</v>
      </c>
      <c r="G214" s="27">
        <v>185</v>
      </c>
    </row>
    <row r="215" spans="1:7" ht="105.75" thickBot="1" x14ac:dyDescent="0.3">
      <c r="A215" s="32"/>
      <c r="B215" s="31">
        <v>176</v>
      </c>
      <c r="C215" s="32" t="s">
        <v>269</v>
      </c>
      <c r="D215" s="32" t="s">
        <v>126</v>
      </c>
      <c r="E215" s="33">
        <v>39</v>
      </c>
      <c r="F215" s="30">
        <v>2559999999</v>
      </c>
      <c r="G215" s="31">
        <v>218</v>
      </c>
    </row>
    <row r="216" spans="1:7" ht="105.75" thickBot="1" x14ac:dyDescent="0.3">
      <c r="A216" s="28"/>
      <c r="B216" s="27">
        <v>190</v>
      </c>
      <c r="C216" s="28" t="s">
        <v>153</v>
      </c>
      <c r="D216" s="28" t="s">
        <v>126</v>
      </c>
      <c r="E216" s="29">
        <v>39</v>
      </c>
      <c r="F216" s="30">
        <v>2452000000</v>
      </c>
      <c r="G216" s="27">
        <v>232</v>
      </c>
    </row>
    <row r="217" spans="1:7" ht="105.75" thickBot="1" x14ac:dyDescent="0.3">
      <c r="A217" s="32"/>
      <c r="B217" s="31">
        <v>192</v>
      </c>
      <c r="C217" s="32" t="s">
        <v>283</v>
      </c>
      <c r="D217" s="32" t="s">
        <v>126</v>
      </c>
      <c r="E217" s="33">
        <v>39</v>
      </c>
      <c r="F217" s="30">
        <v>2230000000</v>
      </c>
      <c r="G217" s="31">
        <v>234</v>
      </c>
    </row>
    <row r="218" spans="1:7" ht="60.75" thickBot="1" x14ac:dyDescent="0.3">
      <c r="A218" s="28"/>
      <c r="B218" s="27">
        <v>231</v>
      </c>
      <c r="C218" s="28" t="s">
        <v>498</v>
      </c>
      <c r="D218" s="28" t="s">
        <v>113</v>
      </c>
      <c r="E218" s="29">
        <v>39</v>
      </c>
      <c r="F218" s="30">
        <v>3612345678</v>
      </c>
      <c r="G218" s="27">
        <v>273</v>
      </c>
    </row>
    <row r="219" spans="1:7" ht="105.75" thickBot="1" x14ac:dyDescent="0.3">
      <c r="A219" s="32"/>
      <c r="B219" s="31">
        <v>279</v>
      </c>
      <c r="C219" s="32" t="s">
        <v>718</v>
      </c>
      <c r="D219" s="32" t="s">
        <v>561</v>
      </c>
      <c r="E219" s="33">
        <v>39</v>
      </c>
      <c r="F219" s="30">
        <v>6537829143</v>
      </c>
      <c r="G219" s="31">
        <v>321</v>
      </c>
    </row>
    <row r="220" spans="1:7" ht="105.75" thickBot="1" x14ac:dyDescent="0.3">
      <c r="A220" s="28"/>
      <c r="B220" s="27">
        <v>287</v>
      </c>
      <c r="C220" s="28" t="s">
        <v>690</v>
      </c>
      <c r="D220" s="28" t="s">
        <v>561</v>
      </c>
      <c r="E220" s="29">
        <v>39</v>
      </c>
      <c r="F220" s="30">
        <v>5919000000</v>
      </c>
      <c r="G220" s="27">
        <v>329</v>
      </c>
    </row>
    <row r="221" spans="1:7" ht="105.75" thickBot="1" x14ac:dyDescent="0.3">
      <c r="A221" s="32"/>
      <c r="B221" s="31">
        <v>321</v>
      </c>
      <c r="C221" s="32" t="s">
        <v>573</v>
      </c>
      <c r="D221" s="32" t="s">
        <v>559</v>
      </c>
      <c r="E221" s="33">
        <v>39</v>
      </c>
      <c r="F221" s="30">
        <v>6050222000</v>
      </c>
      <c r="G221" s="31">
        <v>363</v>
      </c>
    </row>
    <row r="222" spans="1:7" ht="105.75" thickBot="1" x14ac:dyDescent="0.3">
      <c r="A222" s="28"/>
      <c r="B222" s="27">
        <v>339</v>
      </c>
      <c r="C222" s="28" t="s">
        <v>707</v>
      </c>
      <c r="D222" s="28" t="s">
        <v>559</v>
      </c>
      <c r="E222" s="29">
        <v>39</v>
      </c>
      <c r="F222" s="30">
        <v>6200111000</v>
      </c>
      <c r="G222" s="27">
        <v>381</v>
      </c>
    </row>
    <row r="223" spans="1:7" ht="105.75" thickBot="1" x14ac:dyDescent="0.3">
      <c r="A223" s="32"/>
      <c r="B223" s="31">
        <v>423</v>
      </c>
      <c r="C223" s="32" t="s">
        <v>514</v>
      </c>
      <c r="D223" s="32" t="s">
        <v>490</v>
      </c>
      <c r="E223" s="33">
        <v>39</v>
      </c>
      <c r="F223" s="30">
        <v>4511111111</v>
      </c>
      <c r="G223" s="31">
        <v>520</v>
      </c>
    </row>
    <row r="224" spans="1:7" ht="105.75" thickBot="1" x14ac:dyDescent="0.3">
      <c r="A224" s="28"/>
      <c r="B224" s="27">
        <v>17</v>
      </c>
      <c r="C224" s="28" t="s">
        <v>333</v>
      </c>
      <c r="D224" s="28" t="s">
        <v>126</v>
      </c>
      <c r="E224" s="29">
        <v>38</v>
      </c>
      <c r="F224" s="30">
        <v>2400000000</v>
      </c>
      <c r="G224" s="27">
        <v>59</v>
      </c>
    </row>
    <row r="225" spans="1:7" ht="105.75" thickBot="1" x14ac:dyDescent="0.3">
      <c r="A225" s="32"/>
      <c r="B225" s="31">
        <v>135</v>
      </c>
      <c r="C225" s="32" t="s">
        <v>231</v>
      </c>
      <c r="D225" s="32" t="s">
        <v>126</v>
      </c>
      <c r="E225" s="33">
        <v>38</v>
      </c>
      <c r="F225" s="30">
        <v>2439999999</v>
      </c>
      <c r="G225" s="31">
        <v>177</v>
      </c>
    </row>
    <row r="226" spans="1:7" ht="105.75" thickBot="1" x14ac:dyDescent="0.3">
      <c r="A226" s="28"/>
      <c r="B226" s="27">
        <v>199</v>
      </c>
      <c r="C226" s="28" t="s">
        <v>290</v>
      </c>
      <c r="D226" s="28" t="s">
        <v>126</v>
      </c>
      <c r="E226" s="29">
        <v>38</v>
      </c>
      <c r="F226" s="30">
        <v>2468999999</v>
      </c>
      <c r="G226" s="27">
        <v>241</v>
      </c>
    </row>
    <row r="227" spans="1:7" ht="105.75" thickBot="1" x14ac:dyDescent="0.3">
      <c r="A227" s="32"/>
      <c r="B227" s="31">
        <v>212</v>
      </c>
      <c r="C227" s="32" t="s">
        <v>302</v>
      </c>
      <c r="D227" s="32" t="s">
        <v>126</v>
      </c>
      <c r="E227" s="33">
        <v>38</v>
      </c>
      <c r="F227" s="30">
        <v>2576099999</v>
      </c>
      <c r="G227" s="31">
        <v>254</v>
      </c>
    </row>
    <row r="228" spans="1:7" ht="90.75" thickBot="1" x14ac:dyDescent="0.3">
      <c r="A228" s="28"/>
      <c r="B228" s="27">
        <v>238</v>
      </c>
      <c r="C228" s="28" t="s">
        <v>485</v>
      </c>
      <c r="D228" s="28" t="s">
        <v>382</v>
      </c>
      <c r="E228" s="29">
        <v>38</v>
      </c>
      <c r="F228" s="30">
        <v>4385999999</v>
      </c>
      <c r="G228" s="27">
        <v>280</v>
      </c>
    </row>
    <row r="229" spans="1:7" ht="105.75" thickBot="1" x14ac:dyDescent="0.3">
      <c r="A229" s="32"/>
      <c r="B229" s="31">
        <v>72</v>
      </c>
      <c r="C229" s="32" t="s">
        <v>175</v>
      </c>
      <c r="D229" s="32" t="s">
        <v>126</v>
      </c>
      <c r="E229" s="33">
        <v>37</v>
      </c>
      <c r="F229" s="30">
        <v>2386666666</v>
      </c>
      <c r="G229" s="31">
        <v>114</v>
      </c>
    </row>
    <row r="230" spans="1:7" ht="105.75" thickBot="1" x14ac:dyDescent="0.3">
      <c r="A230" s="28"/>
      <c r="B230" s="27">
        <v>82</v>
      </c>
      <c r="C230" s="28" t="s">
        <v>183</v>
      </c>
      <c r="D230" s="28" t="s">
        <v>126</v>
      </c>
      <c r="E230" s="29">
        <v>37</v>
      </c>
      <c r="F230" s="30">
        <v>2487999000</v>
      </c>
      <c r="G230" s="27">
        <v>124</v>
      </c>
    </row>
    <row r="231" spans="1:7" ht="105.75" thickBot="1" x14ac:dyDescent="0.3">
      <c r="A231" s="32"/>
      <c r="B231" s="31">
        <v>158</v>
      </c>
      <c r="C231" s="32" t="s">
        <v>253</v>
      </c>
      <c r="D231" s="32" t="s">
        <v>126</v>
      </c>
      <c r="E231" s="33">
        <v>37</v>
      </c>
      <c r="F231" s="30">
        <v>2459000000</v>
      </c>
      <c r="G231" s="31">
        <v>200</v>
      </c>
    </row>
    <row r="232" spans="1:7" ht="105.75" thickBot="1" x14ac:dyDescent="0.3">
      <c r="A232" s="28"/>
      <c r="B232" s="27">
        <v>187</v>
      </c>
      <c r="C232" s="28" t="s">
        <v>280</v>
      </c>
      <c r="D232" s="28" t="s">
        <v>126</v>
      </c>
      <c r="E232" s="29">
        <v>37</v>
      </c>
      <c r="F232" s="30">
        <v>2512000000</v>
      </c>
      <c r="G232" s="27">
        <v>229</v>
      </c>
    </row>
    <row r="233" spans="1:7" ht="105.75" thickBot="1" x14ac:dyDescent="0.3">
      <c r="A233" s="32"/>
      <c r="B233" s="31">
        <v>289</v>
      </c>
      <c r="C233" s="32" t="s">
        <v>702</v>
      </c>
      <c r="D233" s="32" t="s">
        <v>561</v>
      </c>
      <c r="E233" s="33">
        <v>37</v>
      </c>
      <c r="F233" s="30">
        <v>6255558546</v>
      </c>
      <c r="G233" s="31">
        <v>331</v>
      </c>
    </row>
    <row r="234" spans="1:7" ht="105.75" thickBot="1" x14ac:dyDescent="0.3">
      <c r="A234" s="28"/>
      <c r="B234" s="27">
        <v>322</v>
      </c>
      <c r="C234" s="28" t="s">
        <v>695</v>
      </c>
      <c r="D234" s="28" t="s">
        <v>561</v>
      </c>
      <c r="E234" s="29">
        <v>37</v>
      </c>
      <c r="F234" s="30">
        <v>5960000000</v>
      </c>
      <c r="G234" s="27">
        <v>364</v>
      </c>
    </row>
    <row r="235" spans="1:7" ht="75.75" thickBot="1" x14ac:dyDescent="0.3">
      <c r="A235" s="32"/>
      <c r="B235" s="31">
        <v>377</v>
      </c>
      <c r="C235" s="32" t="s">
        <v>639</v>
      </c>
      <c r="D235" s="32" t="s">
        <v>449</v>
      </c>
      <c r="E235" s="33">
        <v>37</v>
      </c>
      <c r="F235" s="30">
        <v>5030009990</v>
      </c>
      <c r="G235" s="31">
        <v>421</v>
      </c>
    </row>
    <row r="236" spans="1:7" ht="105.75" thickBot="1" x14ac:dyDescent="0.3">
      <c r="A236" s="28"/>
      <c r="B236" s="27">
        <v>36</v>
      </c>
      <c r="C236" s="28" t="s">
        <v>351</v>
      </c>
      <c r="D236" s="28" t="s">
        <v>126</v>
      </c>
      <c r="E236" s="29">
        <v>36</v>
      </c>
      <c r="F236" s="30">
        <v>2400000999</v>
      </c>
      <c r="G236" s="27">
        <v>78</v>
      </c>
    </row>
    <row r="237" spans="1:7" ht="105.75" thickBot="1" x14ac:dyDescent="0.3">
      <c r="A237" s="32"/>
      <c r="B237" s="31">
        <v>44</v>
      </c>
      <c r="C237" s="32" t="s">
        <v>359</v>
      </c>
      <c r="D237" s="32" t="s">
        <v>126</v>
      </c>
      <c r="E237" s="33">
        <v>36</v>
      </c>
      <c r="F237" s="30">
        <v>2403000000</v>
      </c>
      <c r="G237" s="31">
        <v>86</v>
      </c>
    </row>
    <row r="238" spans="1:7" ht="105.75" thickBot="1" x14ac:dyDescent="0.3">
      <c r="A238" s="28"/>
      <c r="B238" s="27">
        <v>102</v>
      </c>
      <c r="C238" s="28" t="s">
        <v>202</v>
      </c>
      <c r="D238" s="28" t="s">
        <v>126</v>
      </c>
      <c r="E238" s="29">
        <v>36</v>
      </c>
      <c r="F238" s="30">
        <v>2688888888</v>
      </c>
      <c r="G238" s="27">
        <v>144</v>
      </c>
    </row>
    <row r="239" spans="1:7" ht="105.75" thickBot="1" x14ac:dyDescent="0.3">
      <c r="A239" s="32"/>
      <c r="B239" s="31">
        <v>124</v>
      </c>
      <c r="C239" s="32" t="s">
        <v>154</v>
      </c>
      <c r="D239" s="32" t="s">
        <v>126</v>
      </c>
      <c r="E239" s="33">
        <v>36</v>
      </c>
      <c r="F239" s="30">
        <v>2469999999</v>
      </c>
      <c r="G239" s="31">
        <v>166</v>
      </c>
    </row>
    <row r="240" spans="1:7" ht="105.75" thickBot="1" x14ac:dyDescent="0.3">
      <c r="A240" s="28"/>
      <c r="B240" s="27">
        <v>149</v>
      </c>
      <c r="C240" s="28" t="s">
        <v>244</v>
      </c>
      <c r="D240" s="28" t="s">
        <v>126</v>
      </c>
      <c r="E240" s="29">
        <v>36</v>
      </c>
      <c r="F240" s="30">
        <v>2618000000</v>
      </c>
      <c r="G240" s="27">
        <v>191</v>
      </c>
    </row>
    <row r="241" spans="1:7" ht="105.75" thickBot="1" x14ac:dyDescent="0.3">
      <c r="A241" s="32"/>
      <c r="B241" s="31">
        <v>150</v>
      </c>
      <c r="C241" s="32" t="s">
        <v>245</v>
      </c>
      <c r="D241" s="32" t="s">
        <v>126</v>
      </c>
      <c r="E241" s="33">
        <v>36</v>
      </c>
      <c r="F241" s="30">
        <v>2523200000</v>
      </c>
      <c r="G241" s="31">
        <v>192</v>
      </c>
    </row>
    <row r="242" spans="1:7" ht="105.75" thickBot="1" x14ac:dyDescent="0.3">
      <c r="A242" s="28"/>
      <c r="B242" s="27">
        <v>151</v>
      </c>
      <c r="C242" s="28" t="s">
        <v>246</v>
      </c>
      <c r="D242" s="28" t="s">
        <v>126</v>
      </c>
      <c r="E242" s="29">
        <v>36</v>
      </c>
      <c r="F242" s="30">
        <v>2510000000</v>
      </c>
      <c r="G242" s="27">
        <v>193</v>
      </c>
    </row>
    <row r="243" spans="1:7" ht="105.75" thickBot="1" x14ac:dyDescent="0.3">
      <c r="A243" s="32"/>
      <c r="B243" s="31">
        <v>155</v>
      </c>
      <c r="C243" s="32" t="s">
        <v>250</v>
      </c>
      <c r="D243" s="32" t="s">
        <v>126</v>
      </c>
      <c r="E243" s="33">
        <v>36</v>
      </c>
      <c r="F243" s="30">
        <v>2321000000</v>
      </c>
      <c r="G243" s="31">
        <v>197</v>
      </c>
    </row>
    <row r="244" spans="1:7" ht="105.75" thickBot="1" x14ac:dyDescent="0.3">
      <c r="A244" s="28"/>
      <c r="B244" s="27">
        <v>161</v>
      </c>
      <c r="C244" s="28" t="s">
        <v>255</v>
      </c>
      <c r="D244" s="28" t="s">
        <v>126</v>
      </c>
      <c r="E244" s="29">
        <v>36</v>
      </c>
      <c r="F244" s="30">
        <v>2355354438</v>
      </c>
      <c r="G244" s="27">
        <v>203</v>
      </c>
    </row>
    <row r="245" spans="1:7" ht="105.75" thickBot="1" x14ac:dyDescent="0.3">
      <c r="A245" s="32"/>
      <c r="B245" s="31">
        <v>183</v>
      </c>
      <c r="C245" s="32" t="s">
        <v>276</v>
      </c>
      <c r="D245" s="32" t="s">
        <v>126</v>
      </c>
      <c r="E245" s="33">
        <v>36</v>
      </c>
      <c r="F245" s="30">
        <v>2552000000</v>
      </c>
      <c r="G245" s="31">
        <v>225</v>
      </c>
    </row>
    <row r="246" spans="1:7" ht="105.75" thickBot="1" x14ac:dyDescent="0.3">
      <c r="A246" s="28"/>
      <c r="B246" s="27">
        <v>206</v>
      </c>
      <c r="C246" s="28" t="s">
        <v>296</v>
      </c>
      <c r="D246" s="28" t="s">
        <v>126</v>
      </c>
      <c r="E246" s="29">
        <v>36</v>
      </c>
      <c r="F246" s="30">
        <v>2288888888</v>
      </c>
      <c r="G246" s="27">
        <v>248</v>
      </c>
    </row>
    <row r="247" spans="1:7" ht="105.75" thickBot="1" x14ac:dyDescent="0.3">
      <c r="A247" s="32"/>
      <c r="B247" s="31">
        <v>280</v>
      </c>
      <c r="C247" s="32" t="s">
        <v>710</v>
      </c>
      <c r="D247" s="32" t="s">
        <v>559</v>
      </c>
      <c r="E247" s="33">
        <v>36</v>
      </c>
      <c r="F247" s="30">
        <v>6109999999</v>
      </c>
      <c r="G247" s="31">
        <v>322</v>
      </c>
    </row>
    <row r="248" spans="1:7" ht="75.75" thickBot="1" x14ac:dyDescent="0.3">
      <c r="A248" s="28"/>
      <c r="B248" s="27">
        <v>352</v>
      </c>
      <c r="C248" s="28" t="s">
        <v>654</v>
      </c>
      <c r="D248" s="28" t="s">
        <v>447</v>
      </c>
      <c r="E248" s="29">
        <v>36</v>
      </c>
      <c r="F248" s="30">
        <v>5389999999</v>
      </c>
      <c r="G248" s="27">
        <v>394</v>
      </c>
    </row>
    <row r="249" spans="1:7" ht="105.75" thickBot="1" x14ac:dyDescent="0.3">
      <c r="A249" s="32"/>
      <c r="B249" s="31">
        <v>12</v>
      </c>
      <c r="C249" s="32" t="s">
        <v>328</v>
      </c>
      <c r="D249" s="32" t="s">
        <v>126</v>
      </c>
      <c r="E249" s="33">
        <v>35</v>
      </c>
      <c r="F249" s="30">
        <v>2290000000</v>
      </c>
      <c r="G249" s="31">
        <v>54</v>
      </c>
    </row>
    <row r="250" spans="1:7" ht="105.75" thickBot="1" x14ac:dyDescent="0.3">
      <c r="A250" s="28"/>
      <c r="B250" s="27">
        <v>13</v>
      </c>
      <c r="C250" s="28" t="s">
        <v>159</v>
      </c>
      <c r="D250" s="28" t="s">
        <v>126</v>
      </c>
      <c r="E250" s="29">
        <v>35</v>
      </c>
      <c r="F250" s="30">
        <v>2377999000</v>
      </c>
      <c r="G250" s="27">
        <v>55</v>
      </c>
    </row>
    <row r="251" spans="1:7" ht="105.75" thickBot="1" x14ac:dyDescent="0.3">
      <c r="A251" s="32"/>
      <c r="B251" s="31">
        <v>107</v>
      </c>
      <c r="C251" s="32" t="s">
        <v>207</v>
      </c>
      <c r="D251" s="32" t="s">
        <v>126</v>
      </c>
      <c r="E251" s="33">
        <v>35</v>
      </c>
      <c r="F251" s="30">
        <v>2463999000</v>
      </c>
      <c r="G251" s="31">
        <v>149</v>
      </c>
    </row>
    <row r="252" spans="1:7" ht="105.75" thickBot="1" x14ac:dyDescent="0.3">
      <c r="A252" s="28"/>
      <c r="B252" s="27">
        <v>110</v>
      </c>
      <c r="C252" s="28" t="s">
        <v>210</v>
      </c>
      <c r="D252" s="28" t="s">
        <v>126</v>
      </c>
      <c r="E252" s="29">
        <v>35</v>
      </c>
      <c r="F252" s="30">
        <v>2359898800</v>
      </c>
      <c r="G252" s="27">
        <v>152</v>
      </c>
    </row>
    <row r="253" spans="1:7" ht="105.75" thickBot="1" x14ac:dyDescent="0.3">
      <c r="A253" s="32"/>
      <c r="B253" s="31">
        <v>156</v>
      </c>
      <c r="C253" s="32" t="s">
        <v>251</v>
      </c>
      <c r="D253" s="32" t="s">
        <v>126</v>
      </c>
      <c r="E253" s="33">
        <v>35</v>
      </c>
      <c r="F253" s="30">
        <v>2411999990</v>
      </c>
      <c r="G253" s="31">
        <v>198</v>
      </c>
    </row>
    <row r="254" spans="1:7" ht="105.75" thickBot="1" x14ac:dyDescent="0.3">
      <c r="A254" s="28"/>
      <c r="B254" s="27">
        <v>182</v>
      </c>
      <c r="C254" s="28" t="s">
        <v>275</v>
      </c>
      <c r="D254" s="28" t="s">
        <v>126</v>
      </c>
      <c r="E254" s="29">
        <v>35</v>
      </c>
      <c r="F254" s="30">
        <v>2512000000</v>
      </c>
      <c r="G254" s="27">
        <v>224</v>
      </c>
    </row>
    <row r="255" spans="1:7" ht="105.75" thickBot="1" x14ac:dyDescent="0.3">
      <c r="A255" s="32"/>
      <c r="B255" s="31">
        <v>184</v>
      </c>
      <c r="C255" s="32" t="s">
        <v>277</v>
      </c>
      <c r="D255" s="32" t="s">
        <v>126</v>
      </c>
      <c r="E255" s="33">
        <v>35</v>
      </c>
      <c r="F255" s="30">
        <v>2412000000</v>
      </c>
      <c r="G255" s="31">
        <v>226</v>
      </c>
    </row>
    <row r="256" spans="1:7" ht="105.75" thickBot="1" x14ac:dyDescent="0.3">
      <c r="A256" s="28"/>
      <c r="B256" s="27">
        <v>196</v>
      </c>
      <c r="C256" s="28" t="s">
        <v>287</v>
      </c>
      <c r="D256" s="28" t="s">
        <v>126</v>
      </c>
      <c r="E256" s="29">
        <v>35</v>
      </c>
      <c r="F256" s="30">
        <v>2271255000</v>
      </c>
      <c r="G256" s="27">
        <v>238</v>
      </c>
    </row>
    <row r="257" spans="1:7" ht="105.75" thickBot="1" x14ac:dyDescent="0.3">
      <c r="A257" s="32"/>
      <c r="B257" s="31">
        <v>208</v>
      </c>
      <c r="C257" s="32" t="s">
        <v>298</v>
      </c>
      <c r="D257" s="32" t="s">
        <v>126</v>
      </c>
      <c r="E257" s="33">
        <v>35</v>
      </c>
      <c r="F257" s="30">
        <v>2602500000</v>
      </c>
      <c r="G257" s="31">
        <v>250</v>
      </c>
    </row>
    <row r="258" spans="1:7" ht="105.75" thickBot="1" x14ac:dyDescent="0.3">
      <c r="A258" s="28"/>
      <c r="B258" s="27">
        <v>233</v>
      </c>
      <c r="C258" s="28" t="s">
        <v>729</v>
      </c>
      <c r="D258" s="28" t="s">
        <v>531</v>
      </c>
      <c r="E258" s="29">
        <v>35</v>
      </c>
      <c r="F258" s="30">
        <v>6212345678</v>
      </c>
      <c r="G258" s="27">
        <v>275</v>
      </c>
    </row>
    <row r="259" spans="1:7" ht="105.75" thickBot="1" x14ac:dyDescent="0.3">
      <c r="A259" s="32"/>
      <c r="B259" s="31">
        <v>327</v>
      </c>
      <c r="C259" s="32" t="s">
        <v>712</v>
      </c>
      <c r="D259" s="32" t="s">
        <v>561</v>
      </c>
      <c r="E259" s="33">
        <v>35</v>
      </c>
      <c r="F259" s="30">
        <v>6120000000</v>
      </c>
      <c r="G259" s="31">
        <v>369</v>
      </c>
    </row>
    <row r="260" spans="1:7" ht="105.75" thickBot="1" x14ac:dyDescent="0.3">
      <c r="A260" s="28"/>
      <c r="B260" s="27">
        <v>16</v>
      </c>
      <c r="C260" s="28" t="s">
        <v>332</v>
      </c>
      <c r="D260" s="28" t="s">
        <v>126</v>
      </c>
      <c r="E260" s="29">
        <v>34</v>
      </c>
      <c r="F260" s="30">
        <v>2320056000</v>
      </c>
      <c r="G260" s="27">
        <v>58</v>
      </c>
    </row>
    <row r="261" spans="1:7" ht="105.75" thickBot="1" x14ac:dyDescent="0.3">
      <c r="A261" s="32"/>
      <c r="B261" s="31">
        <v>21</v>
      </c>
      <c r="C261" s="32" t="s">
        <v>337</v>
      </c>
      <c r="D261" s="32" t="s">
        <v>126</v>
      </c>
      <c r="E261" s="33">
        <v>34</v>
      </c>
      <c r="F261" s="30">
        <v>2538000000</v>
      </c>
      <c r="G261" s="31">
        <v>63</v>
      </c>
    </row>
    <row r="262" spans="1:7" ht="105.75" thickBot="1" x14ac:dyDescent="0.3">
      <c r="A262" s="28"/>
      <c r="B262" s="27">
        <v>64</v>
      </c>
      <c r="C262" s="28" t="s">
        <v>167</v>
      </c>
      <c r="D262" s="28" t="s">
        <v>126</v>
      </c>
      <c r="E262" s="29">
        <v>34</v>
      </c>
      <c r="F262" s="30">
        <v>2515000000</v>
      </c>
      <c r="G262" s="27">
        <v>106</v>
      </c>
    </row>
    <row r="263" spans="1:7" ht="105.75" thickBot="1" x14ac:dyDescent="0.3">
      <c r="A263" s="32"/>
      <c r="B263" s="31">
        <v>79</v>
      </c>
      <c r="C263" s="32" t="s">
        <v>140</v>
      </c>
      <c r="D263" s="32" t="s">
        <v>126</v>
      </c>
      <c r="E263" s="33">
        <v>34</v>
      </c>
      <c r="F263" s="30">
        <v>2310000110</v>
      </c>
      <c r="G263" s="31">
        <v>121</v>
      </c>
    </row>
    <row r="264" spans="1:7" ht="105.75" thickBot="1" x14ac:dyDescent="0.3">
      <c r="A264" s="28"/>
      <c r="B264" s="27">
        <v>104</v>
      </c>
      <c r="C264" s="28" t="s">
        <v>204</v>
      </c>
      <c r="D264" s="28" t="s">
        <v>126</v>
      </c>
      <c r="E264" s="29">
        <v>34</v>
      </c>
      <c r="F264" s="30">
        <v>2349999999</v>
      </c>
      <c r="G264" s="27">
        <v>146</v>
      </c>
    </row>
    <row r="265" spans="1:7" ht="105.75" thickBot="1" x14ac:dyDescent="0.3">
      <c r="A265" s="32"/>
      <c r="B265" s="31">
        <v>169</v>
      </c>
      <c r="C265" s="32" t="s">
        <v>262</v>
      </c>
      <c r="D265" s="32" t="s">
        <v>126</v>
      </c>
      <c r="E265" s="33">
        <v>34</v>
      </c>
      <c r="F265" s="30">
        <v>2442000000</v>
      </c>
      <c r="G265" s="31">
        <v>211</v>
      </c>
    </row>
    <row r="266" spans="1:7" ht="105.75" thickBot="1" x14ac:dyDescent="0.3">
      <c r="A266" s="28"/>
      <c r="B266" s="27">
        <v>214</v>
      </c>
      <c r="C266" s="28" t="s">
        <v>304</v>
      </c>
      <c r="D266" s="28" t="s">
        <v>126</v>
      </c>
      <c r="E266" s="29">
        <v>34</v>
      </c>
      <c r="F266" s="30">
        <v>2529999999</v>
      </c>
      <c r="G266" s="27">
        <v>256</v>
      </c>
    </row>
    <row r="267" spans="1:7" ht="75.75" thickBot="1" x14ac:dyDescent="0.3">
      <c r="A267" s="32"/>
      <c r="B267" s="31">
        <v>230</v>
      </c>
      <c r="C267" s="32" t="s">
        <v>484</v>
      </c>
      <c r="D267" s="32" t="s">
        <v>116</v>
      </c>
      <c r="E267" s="33">
        <v>34</v>
      </c>
      <c r="F267" s="30">
        <v>4171210001</v>
      </c>
      <c r="G267" s="31">
        <v>272</v>
      </c>
    </row>
    <row r="268" spans="1:7" ht="105.75" thickBot="1" x14ac:dyDescent="0.3">
      <c r="A268" s="28"/>
      <c r="B268" s="27">
        <v>306</v>
      </c>
      <c r="C268" s="28" t="s">
        <v>572</v>
      </c>
      <c r="D268" s="28" t="s">
        <v>561</v>
      </c>
      <c r="E268" s="29">
        <v>34</v>
      </c>
      <c r="F268" s="30">
        <v>6179999369</v>
      </c>
      <c r="G268" s="27">
        <v>348</v>
      </c>
    </row>
    <row r="269" spans="1:7" ht="105.75" thickBot="1" x14ac:dyDescent="0.3">
      <c r="A269" s="32"/>
      <c r="B269" s="31">
        <v>338</v>
      </c>
      <c r="C269" s="32" t="s">
        <v>688</v>
      </c>
      <c r="D269" s="32" t="s">
        <v>561</v>
      </c>
      <c r="E269" s="33">
        <v>34</v>
      </c>
      <c r="F269" s="30">
        <v>5919999999</v>
      </c>
      <c r="G269" s="31">
        <v>380</v>
      </c>
    </row>
    <row r="270" spans="1:7" ht="90.75" thickBot="1" x14ac:dyDescent="0.3">
      <c r="A270" s="28"/>
      <c r="B270" s="27">
        <v>506</v>
      </c>
      <c r="C270" s="28" t="s">
        <v>618</v>
      </c>
      <c r="D270" s="28" t="s">
        <v>569</v>
      </c>
      <c r="E270" s="29">
        <v>34</v>
      </c>
      <c r="F270" s="30">
        <v>6148758930</v>
      </c>
      <c r="G270" s="27">
        <v>616</v>
      </c>
    </row>
    <row r="271" spans="1:7" ht="105.75" thickBot="1" x14ac:dyDescent="0.3">
      <c r="A271" s="32"/>
      <c r="B271" s="31">
        <v>5</v>
      </c>
      <c r="C271" s="32" t="s">
        <v>320</v>
      </c>
      <c r="D271" s="32" t="s">
        <v>126</v>
      </c>
      <c r="E271" s="33">
        <v>33</v>
      </c>
      <c r="F271" s="30">
        <v>2500000000</v>
      </c>
      <c r="G271" s="31">
        <v>47</v>
      </c>
    </row>
    <row r="272" spans="1:7" ht="105.75" thickBot="1" x14ac:dyDescent="0.3">
      <c r="A272" s="28"/>
      <c r="B272" s="27">
        <v>34</v>
      </c>
      <c r="C272" s="28" t="s">
        <v>349</v>
      </c>
      <c r="D272" s="28" t="s">
        <v>126</v>
      </c>
      <c r="E272" s="29">
        <v>33</v>
      </c>
      <c r="F272" s="30">
        <v>2278999999</v>
      </c>
      <c r="G272" s="27">
        <v>76</v>
      </c>
    </row>
    <row r="273" spans="1:7" ht="105.75" thickBot="1" x14ac:dyDescent="0.3">
      <c r="A273" s="32"/>
      <c r="B273" s="31">
        <v>98</v>
      </c>
      <c r="C273" s="32" t="s">
        <v>198</v>
      </c>
      <c r="D273" s="32" t="s">
        <v>126</v>
      </c>
      <c r="E273" s="33">
        <v>33</v>
      </c>
      <c r="F273" s="30">
        <v>2456789000</v>
      </c>
      <c r="G273" s="31">
        <v>140</v>
      </c>
    </row>
    <row r="274" spans="1:7" ht="105.75" thickBot="1" x14ac:dyDescent="0.3">
      <c r="A274" s="28"/>
      <c r="B274" s="27">
        <v>115</v>
      </c>
      <c r="C274" s="28" t="s">
        <v>215</v>
      </c>
      <c r="D274" s="28" t="s">
        <v>126</v>
      </c>
      <c r="E274" s="29">
        <v>33</v>
      </c>
      <c r="F274" s="30">
        <v>2331101130</v>
      </c>
      <c r="G274" s="27">
        <v>157</v>
      </c>
    </row>
    <row r="275" spans="1:7" ht="105.75" thickBot="1" x14ac:dyDescent="0.3">
      <c r="A275" s="32"/>
      <c r="B275" s="31">
        <v>117</v>
      </c>
      <c r="C275" s="32" t="s">
        <v>217</v>
      </c>
      <c r="D275" s="32" t="s">
        <v>126</v>
      </c>
      <c r="E275" s="33">
        <v>33</v>
      </c>
      <c r="F275" s="30">
        <v>2298900000</v>
      </c>
      <c r="G275" s="31">
        <v>159</v>
      </c>
    </row>
    <row r="276" spans="1:7" ht="105.75" thickBot="1" x14ac:dyDescent="0.3">
      <c r="A276" s="28"/>
      <c r="B276" s="27">
        <v>126</v>
      </c>
      <c r="C276" s="28" t="s">
        <v>222</v>
      </c>
      <c r="D276" s="28" t="s">
        <v>126</v>
      </c>
      <c r="E276" s="29">
        <v>33</v>
      </c>
      <c r="F276" s="30">
        <v>2419999999</v>
      </c>
      <c r="G276" s="27">
        <v>168</v>
      </c>
    </row>
    <row r="277" spans="1:7" ht="105.75" thickBot="1" x14ac:dyDescent="0.3">
      <c r="A277" s="32"/>
      <c r="B277" s="31">
        <v>140</v>
      </c>
      <c r="C277" s="32" t="s">
        <v>149</v>
      </c>
      <c r="D277" s="32" t="s">
        <v>126</v>
      </c>
      <c r="E277" s="33">
        <v>33</v>
      </c>
      <c r="F277" s="30">
        <v>2469999999</v>
      </c>
      <c r="G277" s="31">
        <v>182</v>
      </c>
    </row>
    <row r="278" spans="1:7" ht="105.75" thickBot="1" x14ac:dyDescent="0.3">
      <c r="A278" s="28"/>
      <c r="B278" s="27">
        <v>159</v>
      </c>
      <c r="C278" s="28" t="s">
        <v>254</v>
      </c>
      <c r="D278" s="28" t="s">
        <v>126</v>
      </c>
      <c r="E278" s="29">
        <v>33</v>
      </c>
      <c r="F278" s="30">
        <v>2470000000</v>
      </c>
      <c r="G278" s="27">
        <v>201</v>
      </c>
    </row>
    <row r="279" spans="1:7" ht="105.75" thickBot="1" x14ac:dyDescent="0.3">
      <c r="A279" s="32"/>
      <c r="B279" s="31">
        <v>188</v>
      </c>
      <c r="C279" s="32" t="s">
        <v>281</v>
      </c>
      <c r="D279" s="32" t="s">
        <v>126</v>
      </c>
      <c r="E279" s="33">
        <v>33</v>
      </c>
      <c r="F279" s="30">
        <v>2552000000</v>
      </c>
      <c r="G279" s="31">
        <v>230</v>
      </c>
    </row>
    <row r="280" spans="1:7" ht="105.75" thickBot="1" x14ac:dyDescent="0.3">
      <c r="A280" s="28"/>
      <c r="B280" s="27">
        <v>220</v>
      </c>
      <c r="C280" s="28" t="s">
        <v>310</v>
      </c>
      <c r="D280" s="28" t="s">
        <v>126</v>
      </c>
      <c r="E280" s="29">
        <v>33</v>
      </c>
      <c r="F280" s="30">
        <v>2450000000</v>
      </c>
      <c r="G280" s="27">
        <v>262</v>
      </c>
    </row>
    <row r="281" spans="1:7" ht="75.75" thickBot="1" x14ac:dyDescent="0.3">
      <c r="A281" s="32"/>
      <c r="B281" s="31">
        <v>226</v>
      </c>
      <c r="C281" s="32" t="s">
        <v>535</v>
      </c>
      <c r="D281" s="32" t="s">
        <v>116</v>
      </c>
      <c r="E281" s="33">
        <v>33</v>
      </c>
      <c r="F281" s="30">
        <v>4313333333</v>
      </c>
      <c r="G281" s="31">
        <v>268</v>
      </c>
    </row>
    <row r="282" spans="1:7" ht="90.75" thickBot="1" x14ac:dyDescent="0.3">
      <c r="A282" s="28"/>
      <c r="B282" s="27">
        <v>250</v>
      </c>
      <c r="C282" s="28" t="s">
        <v>486</v>
      </c>
      <c r="D282" s="28" t="s">
        <v>382</v>
      </c>
      <c r="E282" s="29">
        <v>33</v>
      </c>
      <c r="F282" s="30">
        <v>3900000000</v>
      </c>
      <c r="G282" s="27">
        <v>292</v>
      </c>
    </row>
    <row r="283" spans="1:7" ht="105.75" thickBot="1" x14ac:dyDescent="0.3">
      <c r="A283" s="32"/>
      <c r="B283" s="31">
        <v>260</v>
      </c>
      <c r="C283" s="32" t="s">
        <v>487</v>
      </c>
      <c r="D283" s="32" t="s">
        <v>393</v>
      </c>
      <c r="E283" s="33">
        <v>33</v>
      </c>
      <c r="F283" s="30">
        <v>3989888800</v>
      </c>
      <c r="G283" s="31">
        <v>302</v>
      </c>
    </row>
    <row r="284" spans="1:7" ht="75.75" thickBot="1" x14ac:dyDescent="0.3">
      <c r="A284" s="28"/>
      <c r="B284" s="27">
        <v>349</v>
      </c>
      <c r="C284" s="28" t="s">
        <v>658</v>
      </c>
      <c r="D284" s="28" t="s">
        <v>447</v>
      </c>
      <c r="E284" s="29">
        <v>33</v>
      </c>
      <c r="F284" s="30">
        <v>5409999999</v>
      </c>
      <c r="G284" s="27">
        <v>391</v>
      </c>
    </row>
    <row r="285" spans="1:7" ht="90.75" thickBot="1" x14ac:dyDescent="0.3">
      <c r="A285" s="32"/>
      <c r="B285" s="31">
        <v>397</v>
      </c>
      <c r="C285" s="32" t="s">
        <v>758</v>
      </c>
      <c r="D285" s="32" t="s">
        <v>741</v>
      </c>
      <c r="E285" s="33">
        <v>33</v>
      </c>
      <c r="F285" s="30">
        <v>12000000000</v>
      </c>
      <c r="G285" s="31">
        <v>441</v>
      </c>
    </row>
    <row r="286" spans="1:7" ht="90.75" thickBot="1" x14ac:dyDescent="0.3">
      <c r="A286" s="28"/>
      <c r="B286" s="27">
        <v>509</v>
      </c>
      <c r="C286" s="28" t="s">
        <v>570</v>
      </c>
      <c r="D286" s="28" t="s">
        <v>569</v>
      </c>
      <c r="E286" s="29">
        <v>33</v>
      </c>
      <c r="F286" s="30">
        <v>5555555555</v>
      </c>
      <c r="G286" s="27">
        <v>619</v>
      </c>
    </row>
    <row r="287" spans="1:7" ht="105.75" thickBot="1" x14ac:dyDescent="0.3">
      <c r="A287" s="32"/>
      <c r="B287" s="31">
        <v>49</v>
      </c>
      <c r="C287" s="32" t="s">
        <v>364</v>
      </c>
      <c r="D287" s="32" t="s">
        <v>126</v>
      </c>
      <c r="E287" s="33">
        <v>32</v>
      </c>
      <c r="F287" s="30">
        <v>2424222200</v>
      </c>
      <c r="G287" s="31">
        <v>91</v>
      </c>
    </row>
    <row r="288" spans="1:7" ht="105.75" thickBot="1" x14ac:dyDescent="0.3">
      <c r="A288" s="28"/>
      <c r="B288" s="27">
        <v>51</v>
      </c>
      <c r="C288" s="28" t="s">
        <v>366</v>
      </c>
      <c r="D288" s="28" t="s">
        <v>126</v>
      </c>
      <c r="E288" s="29">
        <v>32</v>
      </c>
      <c r="F288" s="30">
        <v>2467999000</v>
      </c>
      <c r="G288" s="27">
        <v>93</v>
      </c>
    </row>
    <row r="289" spans="1:7" ht="105.75" thickBot="1" x14ac:dyDescent="0.3">
      <c r="A289" s="32"/>
      <c r="B289" s="31">
        <v>54</v>
      </c>
      <c r="C289" s="32" t="s">
        <v>369</v>
      </c>
      <c r="D289" s="32" t="s">
        <v>126</v>
      </c>
      <c r="E289" s="33">
        <v>32</v>
      </c>
      <c r="F289" s="30">
        <v>2467999000</v>
      </c>
      <c r="G289" s="31">
        <v>96</v>
      </c>
    </row>
    <row r="290" spans="1:7" ht="105.75" thickBot="1" x14ac:dyDescent="0.3">
      <c r="A290" s="28"/>
      <c r="B290" s="27">
        <v>63</v>
      </c>
      <c r="C290" s="28" t="s">
        <v>166</v>
      </c>
      <c r="D290" s="28" t="s">
        <v>126</v>
      </c>
      <c r="E290" s="29">
        <v>32</v>
      </c>
      <c r="F290" s="30">
        <v>2473000000</v>
      </c>
      <c r="G290" s="27">
        <v>105</v>
      </c>
    </row>
    <row r="291" spans="1:7" ht="105.75" thickBot="1" x14ac:dyDescent="0.3">
      <c r="A291" s="32"/>
      <c r="B291" s="31">
        <v>76</v>
      </c>
      <c r="C291" s="32" t="s">
        <v>179</v>
      </c>
      <c r="D291" s="32" t="s">
        <v>126</v>
      </c>
      <c r="E291" s="33">
        <v>32</v>
      </c>
      <c r="F291" s="30">
        <v>2477963369</v>
      </c>
      <c r="G291" s="31">
        <v>118</v>
      </c>
    </row>
    <row r="292" spans="1:7" ht="105.75" thickBot="1" x14ac:dyDescent="0.3">
      <c r="A292" s="28"/>
      <c r="B292" s="27">
        <v>162</v>
      </c>
      <c r="C292" s="28" t="s">
        <v>256</v>
      </c>
      <c r="D292" s="28" t="s">
        <v>126</v>
      </c>
      <c r="E292" s="29">
        <v>32</v>
      </c>
      <c r="F292" s="30">
        <v>2333000000</v>
      </c>
      <c r="G292" s="27">
        <v>204</v>
      </c>
    </row>
    <row r="293" spans="1:7" ht="105.75" thickBot="1" x14ac:dyDescent="0.3">
      <c r="A293" s="32"/>
      <c r="B293" s="31">
        <v>213</v>
      </c>
      <c r="C293" s="32" t="s">
        <v>303</v>
      </c>
      <c r="D293" s="32" t="s">
        <v>126</v>
      </c>
      <c r="E293" s="33">
        <v>32</v>
      </c>
      <c r="F293" s="30">
        <v>2552000000</v>
      </c>
      <c r="G293" s="31">
        <v>255</v>
      </c>
    </row>
    <row r="294" spans="1:7" ht="90.75" thickBot="1" x14ac:dyDescent="0.3">
      <c r="A294" s="28"/>
      <c r="B294" s="27">
        <v>239</v>
      </c>
      <c r="C294" s="28" t="s">
        <v>423</v>
      </c>
      <c r="D294" s="28" t="s">
        <v>382</v>
      </c>
      <c r="E294" s="29">
        <v>32</v>
      </c>
      <c r="F294" s="30">
        <v>5330000000</v>
      </c>
      <c r="G294" s="27">
        <v>281</v>
      </c>
    </row>
    <row r="295" spans="1:7" ht="60.75" thickBot="1" x14ac:dyDescent="0.3">
      <c r="A295" s="32"/>
      <c r="B295" s="31">
        <v>267</v>
      </c>
      <c r="C295" s="32" t="s">
        <v>481</v>
      </c>
      <c r="D295" s="32" t="s">
        <v>113</v>
      </c>
      <c r="E295" s="33">
        <v>32</v>
      </c>
      <c r="F295" s="30">
        <v>3999900000</v>
      </c>
      <c r="G295" s="31">
        <v>309</v>
      </c>
    </row>
    <row r="296" spans="1:7" ht="60.75" thickBot="1" x14ac:dyDescent="0.3">
      <c r="A296" s="28"/>
      <c r="B296" s="27">
        <v>268</v>
      </c>
      <c r="C296" s="28" t="s">
        <v>410</v>
      </c>
      <c r="D296" s="28" t="s">
        <v>113</v>
      </c>
      <c r="E296" s="29">
        <v>32</v>
      </c>
      <c r="F296" s="30">
        <v>4113000000</v>
      </c>
      <c r="G296" s="27">
        <v>310</v>
      </c>
    </row>
    <row r="297" spans="1:7" ht="75.75" thickBot="1" x14ac:dyDescent="0.3">
      <c r="A297" s="32"/>
      <c r="B297" s="31">
        <v>361</v>
      </c>
      <c r="C297" s="32" t="s">
        <v>667</v>
      </c>
      <c r="D297" s="32" t="s">
        <v>443</v>
      </c>
      <c r="E297" s="33">
        <v>32</v>
      </c>
      <c r="F297" s="30">
        <v>5309999999</v>
      </c>
      <c r="G297" s="31">
        <v>403</v>
      </c>
    </row>
    <row r="298" spans="1:7" ht="105.75" thickBot="1" x14ac:dyDescent="0.3">
      <c r="A298" s="28"/>
      <c r="B298" s="27">
        <v>57</v>
      </c>
      <c r="C298" s="28" t="s">
        <v>372</v>
      </c>
      <c r="D298" s="28" t="s">
        <v>126</v>
      </c>
      <c r="E298" s="29">
        <v>31</v>
      </c>
      <c r="F298" s="30">
        <v>2532000000</v>
      </c>
      <c r="G298" s="27">
        <v>99</v>
      </c>
    </row>
    <row r="299" spans="1:7" ht="105.75" thickBot="1" x14ac:dyDescent="0.3">
      <c r="A299" s="32"/>
      <c r="B299" s="31">
        <v>70</v>
      </c>
      <c r="C299" s="32" t="s">
        <v>173</v>
      </c>
      <c r="D299" s="32" t="s">
        <v>126</v>
      </c>
      <c r="E299" s="33">
        <v>31</v>
      </c>
      <c r="F299" s="30">
        <v>2261000111</v>
      </c>
      <c r="G299" s="31">
        <v>112</v>
      </c>
    </row>
    <row r="300" spans="1:7" ht="105.75" thickBot="1" x14ac:dyDescent="0.3">
      <c r="A300" s="42"/>
      <c r="B300" s="43">
        <v>71</v>
      </c>
      <c r="C300" s="42" t="s">
        <v>174</v>
      </c>
      <c r="D300" s="42" t="s">
        <v>126</v>
      </c>
      <c r="E300" s="44">
        <v>31</v>
      </c>
      <c r="F300" s="38">
        <v>2459999999</v>
      </c>
      <c r="G300" s="43">
        <v>113</v>
      </c>
    </row>
    <row r="301" spans="1:7" ht="105.75" thickBot="1" x14ac:dyDescent="0.3">
      <c r="B301" s="23">
        <v>81</v>
      </c>
      <c r="C301" s="24" t="s">
        <v>182</v>
      </c>
      <c r="D301" s="24" t="s">
        <v>126</v>
      </c>
      <c r="E301" s="25">
        <v>31</v>
      </c>
      <c r="F301" s="26">
        <v>2293870000</v>
      </c>
      <c r="G301" s="23">
        <v>123</v>
      </c>
    </row>
    <row r="302" spans="1:7" ht="105.75" thickBot="1" x14ac:dyDescent="0.3">
      <c r="A302" s="28"/>
      <c r="B302" s="27">
        <v>90</v>
      </c>
      <c r="C302" s="28" t="s">
        <v>191</v>
      </c>
      <c r="D302" s="28" t="s">
        <v>126</v>
      </c>
      <c r="E302" s="29">
        <v>31</v>
      </c>
      <c r="F302" s="30">
        <v>2269990100</v>
      </c>
      <c r="G302" s="27">
        <v>132</v>
      </c>
    </row>
    <row r="303" spans="1:7" ht="105.75" thickBot="1" x14ac:dyDescent="0.3">
      <c r="A303" s="32"/>
      <c r="B303" s="31">
        <v>92</v>
      </c>
      <c r="C303" s="32" t="s">
        <v>193</v>
      </c>
      <c r="D303" s="32" t="s">
        <v>126</v>
      </c>
      <c r="E303" s="33">
        <v>31</v>
      </c>
      <c r="F303" s="30">
        <v>2306500000</v>
      </c>
      <c r="G303" s="31">
        <v>134</v>
      </c>
    </row>
    <row r="304" spans="1:7" ht="105.75" thickBot="1" x14ac:dyDescent="0.3">
      <c r="A304" s="28"/>
      <c r="B304" s="27">
        <v>111</v>
      </c>
      <c r="C304" s="28" t="s">
        <v>211</v>
      </c>
      <c r="D304" s="28" t="s">
        <v>126</v>
      </c>
      <c r="E304" s="29">
        <v>31</v>
      </c>
      <c r="F304" s="30">
        <v>2312896989</v>
      </c>
      <c r="G304" s="27">
        <v>153</v>
      </c>
    </row>
    <row r="305" spans="1:7" ht="105.75" thickBot="1" x14ac:dyDescent="0.3">
      <c r="A305" s="32"/>
      <c r="B305" s="31">
        <v>123</v>
      </c>
      <c r="C305" s="32" t="s">
        <v>150</v>
      </c>
      <c r="D305" s="32" t="s">
        <v>126</v>
      </c>
      <c r="E305" s="33">
        <v>31</v>
      </c>
      <c r="F305" s="30">
        <v>2400758740</v>
      </c>
      <c r="G305" s="31">
        <v>165</v>
      </c>
    </row>
    <row r="306" spans="1:7" ht="105.75" thickBot="1" x14ac:dyDescent="0.3">
      <c r="A306" s="28"/>
      <c r="B306" s="27">
        <v>144</v>
      </c>
      <c r="C306" s="28" t="s">
        <v>239</v>
      </c>
      <c r="D306" s="28" t="s">
        <v>126</v>
      </c>
      <c r="E306" s="29">
        <v>31</v>
      </c>
      <c r="F306" s="30">
        <v>2320000000</v>
      </c>
      <c r="G306" s="27">
        <v>186</v>
      </c>
    </row>
    <row r="307" spans="1:7" ht="105.75" thickBot="1" x14ac:dyDescent="0.3">
      <c r="A307" s="32"/>
      <c r="B307" s="31">
        <v>146</v>
      </c>
      <c r="C307" s="32" t="s">
        <v>241</v>
      </c>
      <c r="D307" s="32" t="s">
        <v>126</v>
      </c>
      <c r="E307" s="33">
        <v>31</v>
      </c>
      <c r="F307" s="30">
        <v>2583999999</v>
      </c>
      <c r="G307" s="31">
        <v>188</v>
      </c>
    </row>
    <row r="308" spans="1:7" ht="105.75" thickBot="1" x14ac:dyDescent="0.3">
      <c r="A308" s="28"/>
      <c r="B308" s="27">
        <v>147</v>
      </c>
      <c r="C308" s="28" t="s">
        <v>242</v>
      </c>
      <c r="D308" s="28" t="s">
        <v>126</v>
      </c>
      <c r="E308" s="29">
        <v>31</v>
      </c>
      <c r="F308" s="30">
        <v>2431111111</v>
      </c>
      <c r="G308" s="27">
        <v>189</v>
      </c>
    </row>
    <row r="309" spans="1:7" ht="105.75" thickBot="1" x14ac:dyDescent="0.3">
      <c r="A309" s="32"/>
      <c r="B309" s="31">
        <v>181</v>
      </c>
      <c r="C309" s="32" t="s">
        <v>274</v>
      </c>
      <c r="D309" s="32" t="s">
        <v>126</v>
      </c>
      <c r="E309" s="33">
        <v>31</v>
      </c>
      <c r="F309" s="30">
        <v>2452000000</v>
      </c>
      <c r="G309" s="31">
        <v>223</v>
      </c>
    </row>
    <row r="310" spans="1:7" ht="105.75" thickBot="1" x14ac:dyDescent="0.3">
      <c r="A310" s="28"/>
      <c r="B310" s="27">
        <v>201</v>
      </c>
      <c r="C310" s="28" t="s">
        <v>292</v>
      </c>
      <c r="D310" s="28" t="s">
        <v>126</v>
      </c>
      <c r="E310" s="29">
        <v>31</v>
      </c>
      <c r="F310" s="30">
        <v>2310000000</v>
      </c>
      <c r="G310" s="27">
        <v>243</v>
      </c>
    </row>
    <row r="311" spans="1:7" ht="105.75" thickBot="1" x14ac:dyDescent="0.3">
      <c r="A311" s="32"/>
      <c r="B311" s="31">
        <v>211</v>
      </c>
      <c r="C311" s="32" t="s">
        <v>301</v>
      </c>
      <c r="D311" s="32" t="s">
        <v>126</v>
      </c>
      <c r="E311" s="33">
        <v>31</v>
      </c>
      <c r="F311" s="30">
        <v>2431578999</v>
      </c>
      <c r="G311" s="31">
        <v>253</v>
      </c>
    </row>
    <row r="312" spans="1:7" ht="105.75" thickBot="1" x14ac:dyDescent="0.3">
      <c r="A312" s="28"/>
      <c r="B312" s="27">
        <v>215</v>
      </c>
      <c r="C312" s="28" t="s">
        <v>305</v>
      </c>
      <c r="D312" s="28" t="s">
        <v>126</v>
      </c>
      <c r="E312" s="29">
        <v>31</v>
      </c>
      <c r="F312" s="30">
        <v>2479999999</v>
      </c>
      <c r="G312" s="27">
        <v>257</v>
      </c>
    </row>
    <row r="313" spans="1:7" ht="105.75" thickBot="1" x14ac:dyDescent="0.3">
      <c r="A313" s="32"/>
      <c r="B313" s="31">
        <v>219</v>
      </c>
      <c r="C313" s="32" t="s">
        <v>309</v>
      </c>
      <c r="D313" s="32" t="s">
        <v>126</v>
      </c>
      <c r="E313" s="33">
        <v>31</v>
      </c>
      <c r="F313" s="30">
        <v>2388888888</v>
      </c>
      <c r="G313" s="31">
        <v>261</v>
      </c>
    </row>
    <row r="314" spans="1:7" ht="105.75" thickBot="1" x14ac:dyDescent="0.3">
      <c r="A314" s="28"/>
      <c r="B314" s="27">
        <v>222</v>
      </c>
      <c r="C314" s="28" t="s">
        <v>312</v>
      </c>
      <c r="D314" s="28" t="s">
        <v>126</v>
      </c>
      <c r="E314" s="29">
        <v>31</v>
      </c>
      <c r="F314" s="30">
        <v>2310000999</v>
      </c>
      <c r="G314" s="27">
        <v>264</v>
      </c>
    </row>
    <row r="315" spans="1:7" ht="120.75" thickBot="1" x14ac:dyDescent="0.3">
      <c r="A315" s="32"/>
      <c r="B315" s="31">
        <v>234</v>
      </c>
      <c r="C315" s="32" t="s">
        <v>730</v>
      </c>
      <c r="D315" s="32" t="s">
        <v>466</v>
      </c>
      <c r="E315" s="33">
        <v>31</v>
      </c>
      <c r="F315" s="30">
        <v>6511286650</v>
      </c>
      <c r="G315" s="31">
        <v>276</v>
      </c>
    </row>
    <row r="316" spans="1:7" ht="90.75" thickBot="1" x14ac:dyDescent="0.3">
      <c r="A316" s="28"/>
      <c r="B316" s="27">
        <v>353</v>
      </c>
      <c r="C316" s="28" t="s">
        <v>734</v>
      </c>
      <c r="D316" s="28" t="s">
        <v>733</v>
      </c>
      <c r="E316" s="29">
        <v>31</v>
      </c>
      <c r="F316" s="30">
        <v>6666666000</v>
      </c>
      <c r="G316" s="27">
        <v>395</v>
      </c>
    </row>
    <row r="317" spans="1:7" ht="75.75" thickBot="1" x14ac:dyDescent="0.3">
      <c r="A317" s="32"/>
      <c r="B317" s="31">
        <v>375</v>
      </c>
      <c r="C317" s="32" t="s">
        <v>638</v>
      </c>
      <c r="D317" s="32" t="s">
        <v>449</v>
      </c>
      <c r="E317" s="33">
        <v>31</v>
      </c>
      <c r="F317" s="30">
        <v>4743500000</v>
      </c>
      <c r="G317" s="31">
        <v>419</v>
      </c>
    </row>
    <row r="318" spans="1:7" ht="105.75" thickBot="1" x14ac:dyDescent="0.3">
      <c r="A318" s="28"/>
      <c r="B318" s="27">
        <v>15</v>
      </c>
      <c r="C318" s="28" t="s">
        <v>331</v>
      </c>
      <c r="D318" s="28" t="s">
        <v>126</v>
      </c>
      <c r="E318" s="29">
        <v>30</v>
      </c>
      <c r="F318" s="30">
        <v>2352000000</v>
      </c>
      <c r="G318" s="27">
        <v>57</v>
      </c>
    </row>
    <row r="319" spans="1:7" ht="105.75" thickBot="1" x14ac:dyDescent="0.3">
      <c r="A319" s="32"/>
      <c r="B319" s="31">
        <v>20</v>
      </c>
      <c r="C319" s="32" t="s">
        <v>336</v>
      </c>
      <c r="D319" s="32" t="s">
        <v>126</v>
      </c>
      <c r="E319" s="33">
        <v>30</v>
      </c>
      <c r="F319" s="30">
        <v>2420000000</v>
      </c>
      <c r="G319" s="31">
        <v>62</v>
      </c>
    </row>
    <row r="320" spans="1:7" ht="105.75" thickBot="1" x14ac:dyDescent="0.3">
      <c r="A320" s="28"/>
      <c r="B320" s="27">
        <v>41</v>
      </c>
      <c r="C320" s="28" t="s">
        <v>356</v>
      </c>
      <c r="D320" s="28" t="s">
        <v>126</v>
      </c>
      <c r="E320" s="29">
        <v>30</v>
      </c>
      <c r="F320" s="30">
        <v>2425000000</v>
      </c>
      <c r="G320" s="27">
        <v>83</v>
      </c>
    </row>
    <row r="321" spans="1:7" ht="105.75" thickBot="1" x14ac:dyDescent="0.3">
      <c r="A321" s="32"/>
      <c r="B321" s="31">
        <v>86</v>
      </c>
      <c r="C321" s="32" t="s">
        <v>187</v>
      </c>
      <c r="D321" s="32" t="s">
        <v>126</v>
      </c>
      <c r="E321" s="33">
        <v>30</v>
      </c>
      <c r="F321" s="30">
        <v>2300000000</v>
      </c>
      <c r="G321" s="31">
        <v>128</v>
      </c>
    </row>
    <row r="322" spans="1:7" ht="105.75" thickBot="1" x14ac:dyDescent="0.3">
      <c r="A322" s="28"/>
      <c r="B322" s="27">
        <v>97</v>
      </c>
      <c r="C322" s="28" t="s">
        <v>197</v>
      </c>
      <c r="D322" s="28" t="s">
        <v>126</v>
      </c>
      <c r="E322" s="29">
        <v>30</v>
      </c>
      <c r="F322" s="30">
        <v>2583259009</v>
      </c>
      <c r="G322" s="27">
        <v>139</v>
      </c>
    </row>
    <row r="323" spans="1:7" ht="105.75" thickBot="1" x14ac:dyDescent="0.3">
      <c r="A323" s="32"/>
      <c r="B323" s="31">
        <v>100</v>
      </c>
      <c r="C323" s="32" t="s">
        <v>200</v>
      </c>
      <c r="D323" s="32" t="s">
        <v>126</v>
      </c>
      <c r="E323" s="33">
        <v>30</v>
      </c>
      <c r="F323" s="30">
        <v>2671990000</v>
      </c>
      <c r="G323" s="31">
        <v>142</v>
      </c>
    </row>
    <row r="324" spans="1:7" ht="105.75" thickBot="1" x14ac:dyDescent="0.3">
      <c r="A324" s="28"/>
      <c r="B324" s="27">
        <v>101</v>
      </c>
      <c r="C324" s="28" t="s">
        <v>201</v>
      </c>
      <c r="D324" s="28" t="s">
        <v>126</v>
      </c>
      <c r="E324" s="29">
        <v>30</v>
      </c>
      <c r="F324" s="30">
        <v>2437999000</v>
      </c>
      <c r="G324" s="27">
        <v>143</v>
      </c>
    </row>
    <row r="325" spans="1:7" ht="105.75" thickBot="1" x14ac:dyDescent="0.3">
      <c r="A325" s="32"/>
      <c r="B325" s="31">
        <v>105</v>
      </c>
      <c r="C325" s="32" t="s">
        <v>205</v>
      </c>
      <c r="D325" s="32" t="s">
        <v>126</v>
      </c>
      <c r="E325" s="33">
        <v>30</v>
      </c>
      <c r="F325" s="30">
        <v>2446999000</v>
      </c>
      <c r="G325" s="31">
        <v>147</v>
      </c>
    </row>
    <row r="326" spans="1:7" ht="105.75" thickBot="1" x14ac:dyDescent="0.3">
      <c r="A326" s="28"/>
      <c r="B326" s="27">
        <v>129</v>
      </c>
      <c r="C326" s="28" t="s">
        <v>225</v>
      </c>
      <c r="D326" s="28" t="s">
        <v>126</v>
      </c>
      <c r="E326" s="29">
        <v>30</v>
      </c>
      <c r="F326" s="30">
        <v>2360000000</v>
      </c>
      <c r="G326" s="27">
        <v>171</v>
      </c>
    </row>
    <row r="327" spans="1:7" ht="105.75" thickBot="1" x14ac:dyDescent="0.3">
      <c r="A327" s="32"/>
      <c r="B327" s="31">
        <v>142</v>
      </c>
      <c r="C327" s="32" t="s">
        <v>237</v>
      </c>
      <c r="D327" s="32" t="s">
        <v>126</v>
      </c>
      <c r="E327" s="33">
        <v>30</v>
      </c>
      <c r="F327" s="30">
        <v>2389999999</v>
      </c>
      <c r="G327" s="31">
        <v>184</v>
      </c>
    </row>
    <row r="328" spans="1:7" ht="105.75" thickBot="1" x14ac:dyDescent="0.3">
      <c r="A328" s="28"/>
      <c r="B328" s="27">
        <v>172</v>
      </c>
      <c r="C328" s="28" t="s">
        <v>265</v>
      </c>
      <c r="D328" s="28" t="s">
        <v>126</v>
      </c>
      <c r="E328" s="29">
        <v>30</v>
      </c>
      <c r="F328" s="30">
        <v>2551000000</v>
      </c>
      <c r="G328" s="27">
        <v>214</v>
      </c>
    </row>
    <row r="329" spans="1:7" ht="105.75" thickBot="1" x14ac:dyDescent="0.3">
      <c r="A329" s="32"/>
      <c r="B329" s="31">
        <v>173</v>
      </c>
      <c r="C329" s="32" t="s">
        <v>266</v>
      </c>
      <c r="D329" s="32" t="s">
        <v>126</v>
      </c>
      <c r="E329" s="33">
        <v>30</v>
      </c>
      <c r="F329" s="30">
        <v>2285500000</v>
      </c>
      <c r="G329" s="31">
        <v>215</v>
      </c>
    </row>
    <row r="330" spans="1:7" ht="105.75" thickBot="1" x14ac:dyDescent="0.3">
      <c r="A330" s="28"/>
      <c r="B330" s="27">
        <v>193</v>
      </c>
      <c r="C330" s="28" t="s">
        <v>284</v>
      </c>
      <c r="D330" s="28" t="s">
        <v>126</v>
      </c>
      <c r="E330" s="29">
        <v>30</v>
      </c>
      <c r="F330" s="30">
        <v>2386099999</v>
      </c>
      <c r="G330" s="27">
        <v>235</v>
      </c>
    </row>
    <row r="331" spans="1:7" ht="105.75" thickBot="1" x14ac:dyDescent="0.3">
      <c r="A331" s="32"/>
      <c r="B331" s="31">
        <v>223</v>
      </c>
      <c r="C331" s="32" t="s">
        <v>313</v>
      </c>
      <c r="D331" s="32" t="s">
        <v>126</v>
      </c>
      <c r="E331" s="33">
        <v>30</v>
      </c>
      <c r="F331" s="30">
        <v>2401000000</v>
      </c>
      <c r="G331" s="31">
        <v>265</v>
      </c>
    </row>
    <row r="332" spans="1:7" ht="105.75" thickBot="1" x14ac:dyDescent="0.3">
      <c r="A332" s="28"/>
      <c r="B332" s="27">
        <v>299</v>
      </c>
      <c r="C332" s="28" t="s">
        <v>605</v>
      </c>
      <c r="D332" s="28" t="s">
        <v>559</v>
      </c>
      <c r="E332" s="29">
        <v>30</v>
      </c>
      <c r="F332" s="30">
        <v>6466000000</v>
      </c>
      <c r="G332" s="27">
        <v>341</v>
      </c>
    </row>
    <row r="333" spans="1:7" ht="75.75" thickBot="1" x14ac:dyDescent="0.3">
      <c r="A333" s="32"/>
      <c r="B333" s="31">
        <v>362</v>
      </c>
      <c r="C333" s="32" t="s">
        <v>673</v>
      </c>
      <c r="D333" s="32" t="s">
        <v>443</v>
      </c>
      <c r="E333" s="33">
        <v>30</v>
      </c>
      <c r="F333" s="30">
        <v>5669000000</v>
      </c>
      <c r="G333" s="31">
        <v>404</v>
      </c>
    </row>
    <row r="334" spans="1:7" ht="60.75" thickBot="1" x14ac:dyDescent="0.3">
      <c r="A334" s="28"/>
      <c r="B334" s="27">
        <v>371</v>
      </c>
      <c r="C334" s="28" t="s">
        <v>630</v>
      </c>
      <c r="D334" s="28" t="s">
        <v>629</v>
      </c>
      <c r="E334" s="29">
        <v>30</v>
      </c>
      <c r="F334" s="30">
        <v>4958530000</v>
      </c>
      <c r="G334" s="27">
        <v>413</v>
      </c>
    </row>
    <row r="335" spans="1:7" ht="75.75" thickBot="1" x14ac:dyDescent="0.3">
      <c r="A335" s="32"/>
      <c r="B335" s="31">
        <v>373</v>
      </c>
      <c r="C335" s="32" t="s">
        <v>668</v>
      </c>
      <c r="D335" s="32" t="s">
        <v>443</v>
      </c>
      <c r="E335" s="33">
        <v>30</v>
      </c>
      <c r="F335" s="30">
        <v>5710000000</v>
      </c>
      <c r="G335" s="31">
        <v>415</v>
      </c>
    </row>
    <row r="336" spans="1:7" ht="105.75" thickBot="1" x14ac:dyDescent="0.3">
      <c r="A336" s="28"/>
      <c r="B336" s="27">
        <v>2</v>
      </c>
      <c r="C336" s="28" t="s">
        <v>317</v>
      </c>
      <c r="D336" s="28" t="s">
        <v>126</v>
      </c>
      <c r="E336" s="29">
        <v>29</v>
      </c>
      <c r="F336" s="30">
        <v>2337999000</v>
      </c>
      <c r="G336" s="27">
        <v>44</v>
      </c>
    </row>
    <row r="337" spans="1:7" ht="105.75" thickBot="1" x14ac:dyDescent="0.3">
      <c r="A337" s="32"/>
      <c r="B337" s="31">
        <v>28</v>
      </c>
      <c r="C337" s="32" t="s">
        <v>343</v>
      </c>
      <c r="D337" s="32" t="s">
        <v>126</v>
      </c>
      <c r="E337" s="33">
        <v>29</v>
      </c>
      <c r="F337" s="30">
        <v>2487999000</v>
      </c>
      <c r="G337" s="31">
        <v>70</v>
      </c>
    </row>
    <row r="338" spans="1:7" ht="105.75" thickBot="1" x14ac:dyDescent="0.3">
      <c r="A338" s="28"/>
      <c r="B338" s="27">
        <v>40</v>
      </c>
      <c r="C338" s="28" t="s">
        <v>355</v>
      </c>
      <c r="D338" s="28" t="s">
        <v>126</v>
      </c>
      <c r="E338" s="29">
        <v>29</v>
      </c>
      <c r="F338" s="30">
        <v>2530000000</v>
      </c>
      <c r="G338" s="27">
        <v>82</v>
      </c>
    </row>
    <row r="339" spans="1:7" ht="105.75" thickBot="1" x14ac:dyDescent="0.3">
      <c r="A339" s="32"/>
      <c r="B339" s="31">
        <v>46</v>
      </c>
      <c r="C339" s="32" t="s">
        <v>361</v>
      </c>
      <c r="D339" s="32" t="s">
        <v>126</v>
      </c>
      <c r="E339" s="33">
        <v>29</v>
      </c>
      <c r="F339" s="30">
        <v>2502200000</v>
      </c>
      <c r="G339" s="31">
        <v>88</v>
      </c>
    </row>
    <row r="340" spans="1:7" ht="105.75" thickBot="1" x14ac:dyDescent="0.3">
      <c r="A340" s="28"/>
      <c r="B340" s="27">
        <v>80</v>
      </c>
      <c r="C340" s="28" t="s">
        <v>181</v>
      </c>
      <c r="D340" s="28" t="s">
        <v>126</v>
      </c>
      <c r="E340" s="29">
        <v>29</v>
      </c>
      <c r="F340" s="30">
        <v>2377999000</v>
      </c>
      <c r="G340" s="27">
        <v>122</v>
      </c>
    </row>
    <row r="341" spans="1:7" ht="105.75" thickBot="1" x14ac:dyDescent="0.3">
      <c r="A341" s="32"/>
      <c r="B341" s="31">
        <v>87</v>
      </c>
      <c r="C341" s="32" t="s">
        <v>188</v>
      </c>
      <c r="D341" s="32" t="s">
        <v>126</v>
      </c>
      <c r="E341" s="33">
        <v>29</v>
      </c>
      <c r="F341" s="30">
        <v>2239999999</v>
      </c>
      <c r="G341" s="31">
        <v>129</v>
      </c>
    </row>
    <row r="342" spans="1:7" ht="105.75" thickBot="1" x14ac:dyDescent="0.3">
      <c r="A342" s="28"/>
      <c r="B342" s="27">
        <v>91</v>
      </c>
      <c r="C342" s="28" t="s">
        <v>192</v>
      </c>
      <c r="D342" s="28" t="s">
        <v>126</v>
      </c>
      <c r="E342" s="29">
        <v>29</v>
      </c>
      <c r="F342" s="30">
        <v>2335000000</v>
      </c>
      <c r="G342" s="27">
        <v>133</v>
      </c>
    </row>
    <row r="343" spans="1:7" ht="105.75" thickBot="1" x14ac:dyDescent="0.3">
      <c r="A343" s="32"/>
      <c r="B343" s="31">
        <v>93</v>
      </c>
      <c r="C343" s="32" t="s">
        <v>160</v>
      </c>
      <c r="D343" s="32" t="s">
        <v>126</v>
      </c>
      <c r="E343" s="33">
        <v>29</v>
      </c>
      <c r="F343" s="30">
        <v>2299900000</v>
      </c>
      <c r="G343" s="31">
        <v>135</v>
      </c>
    </row>
    <row r="344" spans="1:7" ht="105.75" thickBot="1" x14ac:dyDescent="0.3">
      <c r="A344" s="28"/>
      <c r="B344" s="27">
        <v>125</v>
      </c>
      <c r="C344" s="28" t="s">
        <v>151</v>
      </c>
      <c r="D344" s="28" t="s">
        <v>126</v>
      </c>
      <c r="E344" s="29">
        <v>29</v>
      </c>
      <c r="F344" s="30">
        <v>2363250000</v>
      </c>
      <c r="G344" s="27">
        <v>167</v>
      </c>
    </row>
    <row r="345" spans="1:7" ht="105.75" thickBot="1" x14ac:dyDescent="0.3">
      <c r="A345" s="32"/>
      <c r="B345" s="31">
        <v>138</v>
      </c>
      <c r="C345" s="32" t="s">
        <v>234</v>
      </c>
      <c r="D345" s="32" t="s">
        <v>126</v>
      </c>
      <c r="E345" s="33">
        <v>29</v>
      </c>
      <c r="F345" s="30">
        <v>2999999999</v>
      </c>
      <c r="G345" s="31">
        <v>180</v>
      </c>
    </row>
    <row r="346" spans="1:7" ht="105.75" thickBot="1" x14ac:dyDescent="0.3">
      <c r="A346" s="28"/>
      <c r="B346" s="27">
        <v>152</v>
      </c>
      <c r="C346" s="28" t="s">
        <v>247</v>
      </c>
      <c r="D346" s="28" t="s">
        <v>126</v>
      </c>
      <c r="E346" s="29">
        <v>29</v>
      </c>
      <c r="F346" s="30">
        <v>2487999000</v>
      </c>
      <c r="G346" s="27">
        <v>194</v>
      </c>
    </row>
    <row r="347" spans="1:7" ht="105.75" thickBot="1" x14ac:dyDescent="0.3">
      <c r="A347" s="32"/>
      <c r="B347" s="31">
        <v>153</v>
      </c>
      <c r="C347" s="32" t="s">
        <v>248</v>
      </c>
      <c r="D347" s="32" t="s">
        <v>126</v>
      </c>
      <c r="E347" s="33">
        <v>29</v>
      </c>
      <c r="F347" s="30">
        <v>2467999000</v>
      </c>
      <c r="G347" s="31">
        <v>195</v>
      </c>
    </row>
    <row r="348" spans="1:7" ht="105.75" thickBot="1" x14ac:dyDescent="0.3">
      <c r="A348" s="28"/>
      <c r="B348" s="27">
        <v>178</v>
      </c>
      <c r="C348" s="28" t="s">
        <v>271</v>
      </c>
      <c r="D348" s="28" t="s">
        <v>126</v>
      </c>
      <c r="E348" s="29">
        <v>29</v>
      </c>
      <c r="F348" s="30">
        <v>2450000000</v>
      </c>
      <c r="G348" s="27">
        <v>220</v>
      </c>
    </row>
    <row r="349" spans="1:7" ht="105.75" thickBot="1" x14ac:dyDescent="0.3">
      <c r="A349" s="32"/>
      <c r="B349" s="31">
        <v>185</v>
      </c>
      <c r="C349" s="32" t="s">
        <v>278</v>
      </c>
      <c r="D349" s="32" t="s">
        <v>126</v>
      </c>
      <c r="E349" s="33">
        <v>29</v>
      </c>
      <c r="F349" s="30">
        <v>2499999999</v>
      </c>
      <c r="G349" s="31">
        <v>227</v>
      </c>
    </row>
    <row r="350" spans="1:7" ht="105.75" thickBot="1" x14ac:dyDescent="0.3">
      <c r="A350" s="28"/>
      <c r="B350" s="27">
        <v>218</v>
      </c>
      <c r="C350" s="28" t="s">
        <v>308</v>
      </c>
      <c r="D350" s="28" t="s">
        <v>126</v>
      </c>
      <c r="E350" s="29">
        <v>29</v>
      </c>
      <c r="F350" s="30">
        <v>2321530394</v>
      </c>
      <c r="G350" s="27">
        <v>260</v>
      </c>
    </row>
    <row r="351" spans="1:7" ht="105.75" thickBot="1" x14ac:dyDescent="0.3">
      <c r="A351" s="32"/>
      <c r="B351" s="31">
        <v>221</v>
      </c>
      <c r="C351" s="32" t="s">
        <v>311</v>
      </c>
      <c r="D351" s="32" t="s">
        <v>126</v>
      </c>
      <c r="E351" s="33">
        <v>29</v>
      </c>
      <c r="F351" s="30">
        <v>2450000111</v>
      </c>
      <c r="G351" s="31">
        <v>263</v>
      </c>
    </row>
    <row r="352" spans="1:7" ht="105.75" thickBot="1" x14ac:dyDescent="0.3">
      <c r="A352" s="28"/>
      <c r="B352" s="27">
        <v>224</v>
      </c>
      <c r="C352" s="28" t="s">
        <v>314</v>
      </c>
      <c r="D352" s="28" t="s">
        <v>126</v>
      </c>
      <c r="E352" s="29">
        <v>29</v>
      </c>
      <c r="F352" s="30">
        <v>2379999999</v>
      </c>
      <c r="G352" s="27">
        <v>266</v>
      </c>
    </row>
    <row r="353" spans="1:7" ht="105.75" thickBot="1" x14ac:dyDescent="0.3">
      <c r="A353" s="32"/>
      <c r="B353" s="31">
        <v>225</v>
      </c>
      <c r="C353" s="32" t="s">
        <v>315</v>
      </c>
      <c r="D353" s="32" t="s">
        <v>126</v>
      </c>
      <c r="E353" s="33">
        <v>29</v>
      </c>
      <c r="F353" s="30">
        <v>2380000000</v>
      </c>
      <c r="G353" s="31">
        <v>267</v>
      </c>
    </row>
    <row r="354" spans="1:7" ht="90.75" thickBot="1" x14ac:dyDescent="0.3">
      <c r="A354" s="28"/>
      <c r="B354" s="27">
        <v>240</v>
      </c>
      <c r="C354" s="28" t="s">
        <v>476</v>
      </c>
      <c r="D354" s="28" t="s">
        <v>382</v>
      </c>
      <c r="E354" s="29">
        <v>29</v>
      </c>
      <c r="F354" s="30">
        <v>4139895000</v>
      </c>
      <c r="G354" s="27">
        <v>282</v>
      </c>
    </row>
    <row r="355" spans="1:7" ht="105.75" thickBot="1" x14ac:dyDescent="0.3">
      <c r="A355" s="32"/>
      <c r="B355" s="31">
        <v>298</v>
      </c>
      <c r="C355" s="32" t="s">
        <v>571</v>
      </c>
      <c r="D355" s="32" t="s">
        <v>559</v>
      </c>
      <c r="E355" s="33">
        <v>29</v>
      </c>
      <c r="F355" s="30">
        <v>6353999999</v>
      </c>
      <c r="G355" s="31">
        <v>340</v>
      </c>
    </row>
    <row r="356" spans="1:7" ht="75.75" thickBot="1" x14ac:dyDescent="0.3">
      <c r="A356" s="28"/>
      <c r="B356" s="27">
        <v>366</v>
      </c>
      <c r="C356" s="28" t="s">
        <v>593</v>
      </c>
      <c r="D356" s="28" t="s">
        <v>82</v>
      </c>
      <c r="E356" s="29">
        <v>29</v>
      </c>
      <c r="F356" s="34"/>
      <c r="G356" s="27">
        <v>408</v>
      </c>
    </row>
    <row r="357" spans="1:7" ht="90.75" thickBot="1" x14ac:dyDescent="0.3">
      <c r="A357" s="32"/>
      <c r="B357" s="31">
        <v>405</v>
      </c>
      <c r="C357" s="32" t="s">
        <v>754</v>
      </c>
      <c r="D357" s="32" t="s">
        <v>735</v>
      </c>
      <c r="E357" s="33">
        <v>29</v>
      </c>
      <c r="F357" s="30">
        <v>10780000000</v>
      </c>
      <c r="G357" s="31">
        <v>449</v>
      </c>
    </row>
    <row r="358" spans="1:7" ht="105.75" thickBot="1" x14ac:dyDescent="0.3">
      <c r="A358" s="28"/>
      <c r="B358" s="27">
        <v>47</v>
      </c>
      <c r="C358" s="28" t="s">
        <v>362</v>
      </c>
      <c r="D358" s="28" t="s">
        <v>126</v>
      </c>
      <c r="E358" s="29">
        <v>28</v>
      </c>
      <c r="F358" s="30">
        <v>3000000000</v>
      </c>
      <c r="G358" s="27">
        <v>89</v>
      </c>
    </row>
    <row r="359" spans="1:7" ht="105.75" thickBot="1" x14ac:dyDescent="0.3">
      <c r="A359" s="32"/>
      <c r="B359" s="31">
        <v>59</v>
      </c>
      <c r="C359" s="32" t="s">
        <v>162</v>
      </c>
      <c r="D359" s="32" t="s">
        <v>126</v>
      </c>
      <c r="E359" s="33">
        <v>28</v>
      </c>
      <c r="F359" s="30">
        <v>2553000000</v>
      </c>
      <c r="G359" s="31">
        <v>101</v>
      </c>
    </row>
    <row r="360" spans="1:7" ht="105.75" thickBot="1" x14ac:dyDescent="0.3">
      <c r="A360" s="28"/>
      <c r="B360" s="27">
        <v>74</v>
      </c>
      <c r="C360" s="28" t="s">
        <v>177</v>
      </c>
      <c r="D360" s="28" t="s">
        <v>126</v>
      </c>
      <c r="E360" s="29">
        <v>28</v>
      </c>
      <c r="F360" s="30">
        <v>2413333333</v>
      </c>
      <c r="G360" s="27">
        <v>116</v>
      </c>
    </row>
    <row r="361" spans="1:7" ht="105.75" thickBot="1" x14ac:dyDescent="0.3">
      <c r="A361" s="32"/>
      <c r="B361" s="31">
        <v>75</v>
      </c>
      <c r="C361" s="32" t="s">
        <v>178</v>
      </c>
      <c r="D361" s="32" t="s">
        <v>126</v>
      </c>
      <c r="E361" s="33">
        <v>28</v>
      </c>
      <c r="F361" s="30">
        <v>2388888888</v>
      </c>
      <c r="G361" s="31">
        <v>117</v>
      </c>
    </row>
    <row r="362" spans="1:7" ht="105.75" thickBot="1" x14ac:dyDescent="0.3">
      <c r="A362" s="28"/>
      <c r="B362" s="27">
        <v>88</v>
      </c>
      <c r="C362" s="28" t="s">
        <v>189</v>
      </c>
      <c r="D362" s="28" t="s">
        <v>126</v>
      </c>
      <c r="E362" s="29">
        <v>28</v>
      </c>
      <c r="F362" s="30">
        <v>2399999999</v>
      </c>
      <c r="G362" s="27">
        <v>130</v>
      </c>
    </row>
    <row r="363" spans="1:7" ht="105.75" thickBot="1" x14ac:dyDescent="0.3">
      <c r="A363" s="32"/>
      <c r="B363" s="31">
        <v>113</v>
      </c>
      <c r="C363" s="32" t="s">
        <v>213</v>
      </c>
      <c r="D363" s="32" t="s">
        <v>126</v>
      </c>
      <c r="E363" s="33">
        <v>28</v>
      </c>
      <c r="F363" s="30">
        <v>2386000000</v>
      </c>
      <c r="G363" s="31">
        <v>155</v>
      </c>
    </row>
    <row r="364" spans="1:7" ht="105.75" thickBot="1" x14ac:dyDescent="0.3">
      <c r="A364" s="28"/>
      <c r="B364" s="27">
        <v>163</v>
      </c>
      <c r="C364" s="28" t="s">
        <v>257</v>
      </c>
      <c r="D364" s="28" t="s">
        <v>126</v>
      </c>
      <c r="E364" s="29">
        <v>28</v>
      </c>
      <c r="F364" s="30">
        <v>2260321000</v>
      </c>
      <c r="G364" s="27">
        <v>205</v>
      </c>
    </row>
    <row r="365" spans="1:7" ht="105.75" thickBot="1" x14ac:dyDescent="0.3">
      <c r="A365" s="32"/>
      <c r="B365" s="31">
        <v>189</v>
      </c>
      <c r="C365" s="32" t="s">
        <v>152</v>
      </c>
      <c r="D365" s="32" t="s">
        <v>126</v>
      </c>
      <c r="E365" s="33">
        <v>28</v>
      </c>
      <c r="F365" s="30">
        <v>2412000000</v>
      </c>
      <c r="G365" s="31">
        <v>231</v>
      </c>
    </row>
    <row r="366" spans="1:7" ht="105.75" thickBot="1" x14ac:dyDescent="0.3">
      <c r="A366" s="28"/>
      <c r="B366" s="27">
        <v>195</v>
      </c>
      <c r="C366" s="28" t="s">
        <v>286</v>
      </c>
      <c r="D366" s="28" t="s">
        <v>126</v>
      </c>
      <c r="E366" s="29">
        <v>28</v>
      </c>
      <c r="F366" s="30">
        <v>2388888888</v>
      </c>
      <c r="G366" s="27">
        <v>237</v>
      </c>
    </row>
    <row r="367" spans="1:7" ht="120.75" thickBot="1" x14ac:dyDescent="0.3">
      <c r="A367" s="32"/>
      <c r="B367" s="31">
        <v>237</v>
      </c>
      <c r="C367" s="32" t="s">
        <v>732</v>
      </c>
      <c r="D367" s="32" t="s">
        <v>466</v>
      </c>
      <c r="E367" s="33">
        <v>28</v>
      </c>
      <c r="F367" s="30">
        <v>6665000000</v>
      </c>
      <c r="G367" s="31">
        <v>279</v>
      </c>
    </row>
    <row r="368" spans="1:7" ht="75.75" thickBot="1" x14ac:dyDescent="0.3">
      <c r="A368" s="28"/>
      <c r="B368" s="27">
        <v>266</v>
      </c>
      <c r="C368" s="28" t="s">
        <v>405</v>
      </c>
      <c r="D368" s="28" t="s">
        <v>116</v>
      </c>
      <c r="E368" s="29">
        <v>28</v>
      </c>
      <c r="F368" s="30">
        <v>4225000000</v>
      </c>
      <c r="G368" s="27">
        <v>308</v>
      </c>
    </row>
    <row r="369" spans="1:7" ht="105.75" thickBot="1" x14ac:dyDescent="0.3">
      <c r="A369" s="32"/>
      <c r="B369" s="31">
        <v>283</v>
      </c>
      <c r="C369" s="32" t="s">
        <v>684</v>
      </c>
      <c r="D369" s="32" t="s">
        <v>561</v>
      </c>
      <c r="E369" s="33">
        <v>28</v>
      </c>
      <c r="F369" s="30">
        <v>6097500000</v>
      </c>
      <c r="G369" s="31">
        <v>325</v>
      </c>
    </row>
    <row r="370" spans="1:7" ht="105.75" thickBot="1" x14ac:dyDescent="0.3">
      <c r="A370" s="28"/>
      <c r="B370" s="27">
        <v>297</v>
      </c>
      <c r="C370" s="28" t="s">
        <v>592</v>
      </c>
      <c r="D370" s="28" t="s">
        <v>561</v>
      </c>
      <c r="E370" s="29">
        <v>28</v>
      </c>
      <c r="F370" s="30">
        <v>6269380000</v>
      </c>
      <c r="G370" s="27">
        <v>339</v>
      </c>
    </row>
    <row r="371" spans="1:7" ht="105.75" thickBot="1" x14ac:dyDescent="0.3">
      <c r="A371" s="32"/>
      <c r="B371" s="31">
        <v>304</v>
      </c>
      <c r="C371" s="32" t="s">
        <v>599</v>
      </c>
      <c r="D371" s="32" t="s">
        <v>561</v>
      </c>
      <c r="E371" s="33">
        <v>28</v>
      </c>
      <c r="F371" s="30">
        <v>5750000000</v>
      </c>
      <c r="G371" s="31">
        <v>346</v>
      </c>
    </row>
    <row r="372" spans="1:7" ht="105.75" thickBot="1" x14ac:dyDescent="0.3">
      <c r="A372" s="28"/>
      <c r="B372" s="27">
        <v>325</v>
      </c>
      <c r="C372" s="28" t="s">
        <v>696</v>
      </c>
      <c r="D372" s="28" t="s">
        <v>561</v>
      </c>
      <c r="E372" s="29">
        <v>28</v>
      </c>
      <c r="F372" s="30">
        <v>5512000000</v>
      </c>
      <c r="G372" s="27">
        <v>367</v>
      </c>
    </row>
    <row r="373" spans="1:7" ht="105.75" thickBot="1" x14ac:dyDescent="0.3">
      <c r="A373" s="32"/>
      <c r="B373" s="31">
        <v>333</v>
      </c>
      <c r="C373" s="32" t="s">
        <v>722</v>
      </c>
      <c r="D373" s="32" t="s">
        <v>561</v>
      </c>
      <c r="E373" s="33">
        <v>28</v>
      </c>
      <c r="F373" s="30">
        <v>5572000000</v>
      </c>
      <c r="G373" s="31">
        <v>375</v>
      </c>
    </row>
    <row r="374" spans="1:7" ht="105.75" thickBot="1" x14ac:dyDescent="0.3">
      <c r="A374" s="28"/>
      <c r="B374" s="27">
        <v>1</v>
      </c>
      <c r="C374" s="28" t="s">
        <v>316</v>
      </c>
      <c r="D374" s="28" t="s">
        <v>126</v>
      </c>
      <c r="E374" s="29">
        <v>27</v>
      </c>
      <c r="F374" s="30">
        <v>3353000000</v>
      </c>
      <c r="G374" s="27">
        <v>43</v>
      </c>
    </row>
    <row r="375" spans="1:7" ht="105.75" thickBot="1" x14ac:dyDescent="0.3">
      <c r="A375" s="32"/>
      <c r="B375" s="31">
        <v>6</v>
      </c>
      <c r="C375" s="32" t="s">
        <v>321</v>
      </c>
      <c r="D375" s="32" t="s">
        <v>126</v>
      </c>
      <c r="E375" s="33">
        <v>27</v>
      </c>
      <c r="F375" s="30">
        <v>2625999899</v>
      </c>
      <c r="G375" s="31">
        <v>48</v>
      </c>
    </row>
    <row r="376" spans="1:7" ht="105.75" thickBot="1" x14ac:dyDescent="0.3">
      <c r="A376" s="28"/>
      <c r="B376" s="27">
        <v>7</v>
      </c>
      <c r="C376" s="28" t="s">
        <v>322</v>
      </c>
      <c r="D376" s="28" t="s">
        <v>126</v>
      </c>
      <c r="E376" s="29">
        <v>27</v>
      </c>
      <c r="F376" s="30">
        <v>2387999000</v>
      </c>
      <c r="G376" s="27">
        <v>49</v>
      </c>
    </row>
    <row r="377" spans="1:7" ht="105.75" thickBot="1" x14ac:dyDescent="0.3">
      <c r="A377" s="32"/>
      <c r="B377" s="31">
        <v>22</v>
      </c>
      <c r="C377" s="32" t="s">
        <v>338</v>
      </c>
      <c r="D377" s="32" t="s">
        <v>126</v>
      </c>
      <c r="E377" s="33">
        <v>27</v>
      </c>
      <c r="F377" s="30">
        <v>2359999999</v>
      </c>
      <c r="G377" s="31">
        <v>64</v>
      </c>
    </row>
    <row r="378" spans="1:7" ht="105.75" thickBot="1" x14ac:dyDescent="0.3">
      <c r="A378" s="28"/>
      <c r="B378" s="27">
        <v>24</v>
      </c>
      <c r="C378" s="28" t="s">
        <v>339</v>
      </c>
      <c r="D378" s="28" t="s">
        <v>126</v>
      </c>
      <c r="E378" s="29">
        <v>27</v>
      </c>
      <c r="F378" s="30">
        <v>2400000000</v>
      </c>
      <c r="G378" s="27">
        <v>66</v>
      </c>
    </row>
    <row r="379" spans="1:7" ht="105.75" thickBot="1" x14ac:dyDescent="0.3">
      <c r="A379" s="32"/>
      <c r="B379" s="31">
        <v>25</v>
      </c>
      <c r="C379" s="32" t="s">
        <v>340</v>
      </c>
      <c r="D379" s="32" t="s">
        <v>126</v>
      </c>
      <c r="E379" s="33">
        <v>27</v>
      </c>
      <c r="F379" s="30">
        <v>2412345678</v>
      </c>
      <c r="G379" s="31">
        <v>67</v>
      </c>
    </row>
    <row r="380" spans="1:7" ht="105.75" thickBot="1" x14ac:dyDescent="0.3">
      <c r="A380" s="28"/>
      <c r="B380" s="27">
        <v>27</v>
      </c>
      <c r="C380" s="28" t="s">
        <v>342</v>
      </c>
      <c r="D380" s="28" t="s">
        <v>126</v>
      </c>
      <c r="E380" s="29">
        <v>27</v>
      </c>
      <c r="F380" s="30">
        <v>2550000000</v>
      </c>
      <c r="G380" s="27">
        <v>69</v>
      </c>
    </row>
    <row r="381" spans="1:7" ht="105.75" thickBot="1" x14ac:dyDescent="0.3">
      <c r="A381" s="32"/>
      <c r="B381" s="31">
        <v>31</v>
      </c>
      <c r="C381" s="32" t="s">
        <v>346</v>
      </c>
      <c r="D381" s="32" t="s">
        <v>126</v>
      </c>
      <c r="E381" s="33">
        <v>27</v>
      </c>
      <c r="F381" s="30">
        <v>2467999000</v>
      </c>
      <c r="G381" s="31">
        <v>73</v>
      </c>
    </row>
    <row r="382" spans="1:7" ht="105.75" thickBot="1" x14ac:dyDescent="0.3">
      <c r="A382" s="28"/>
      <c r="B382" s="27">
        <v>33</v>
      </c>
      <c r="C382" s="28" t="s">
        <v>348</v>
      </c>
      <c r="D382" s="28" t="s">
        <v>126</v>
      </c>
      <c r="E382" s="29">
        <v>27</v>
      </c>
      <c r="F382" s="30">
        <v>2477999000</v>
      </c>
      <c r="G382" s="27">
        <v>75</v>
      </c>
    </row>
    <row r="383" spans="1:7" ht="105.75" thickBot="1" x14ac:dyDescent="0.3">
      <c r="A383" s="32"/>
      <c r="B383" s="31">
        <v>35</v>
      </c>
      <c r="C383" s="32" t="s">
        <v>350</v>
      </c>
      <c r="D383" s="32" t="s">
        <v>126</v>
      </c>
      <c r="E383" s="33">
        <v>27</v>
      </c>
      <c r="F383" s="30">
        <v>2511212127</v>
      </c>
      <c r="G383" s="31">
        <v>77</v>
      </c>
    </row>
    <row r="384" spans="1:7" ht="105.75" thickBot="1" x14ac:dyDescent="0.3">
      <c r="A384" s="28"/>
      <c r="B384" s="27">
        <v>38</v>
      </c>
      <c r="C384" s="28" t="s">
        <v>353</v>
      </c>
      <c r="D384" s="28" t="s">
        <v>126</v>
      </c>
      <c r="E384" s="29">
        <v>27</v>
      </c>
      <c r="F384" s="30">
        <v>2451999999</v>
      </c>
      <c r="G384" s="27">
        <v>80</v>
      </c>
    </row>
    <row r="385" spans="1:7" ht="105.75" thickBot="1" x14ac:dyDescent="0.3">
      <c r="A385" s="32"/>
      <c r="B385" s="31">
        <v>39</v>
      </c>
      <c r="C385" s="32" t="s">
        <v>354</v>
      </c>
      <c r="D385" s="32" t="s">
        <v>126</v>
      </c>
      <c r="E385" s="33">
        <v>27</v>
      </c>
      <c r="F385" s="30">
        <v>2540000000</v>
      </c>
      <c r="G385" s="31">
        <v>81</v>
      </c>
    </row>
    <row r="386" spans="1:7" ht="105.75" thickBot="1" x14ac:dyDescent="0.3">
      <c r="A386" s="28"/>
      <c r="B386" s="27">
        <v>53</v>
      </c>
      <c r="C386" s="28" t="s">
        <v>368</v>
      </c>
      <c r="D386" s="28" t="s">
        <v>126</v>
      </c>
      <c r="E386" s="29">
        <v>27</v>
      </c>
      <c r="F386" s="30">
        <v>2469999999</v>
      </c>
      <c r="G386" s="27">
        <v>95</v>
      </c>
    </row>
    <row r="387" spans="1:7" ht="105.75" thickBot="1" x14ac:dyDescent="0.3">
      <c r="A387" s="32"/>
      <c r="B387" s="31">
        <v>60</v>
      </c>
      <c r="C387" s="32" t="s">
        <v>163</v>
      </c>
      <c r="D387" s="32" t="s">
        <v>126</v>
      </c>
      <c r="E387" s="33">
        <v>27</v>
      </c>
      <c r="F387" s="30">
        <v>2679999999</v>
      </c>
      <c r="G387" s="31">
        <v>102</v>
      </c>
    </row>
    <row r="388" spans="1:7" ht="105.75" thickBot="1" x14ac:dyDescent="0.3">
      <c r="A388" s="28"/>
      <c r="B388" s="27">
        <v>62</v>
      </c>
      <c r="C388" s="28" t="s">
        <v>165</v>
      </c>
      <c r="D388" s="28" t="s">
        <v>126</v>
      </c>
      <c r="E388" s="29">
        <v>27</v>
      </c>
      <c r="F388" s="30">
        <v>2483000000</v>
      </c>
      <c r="G388" s="27">
        <v>104</v>
      </c>
    </row>
    <row r="389" spans="1:7" ht="105.75" thickBot="1" x14ac:dyDescent="0.3">
      <c r="A389" s="32"/>
      <c r="B389" s="31">
        <v>68</v>
      </c>
      <c r="C389" s="32" t="s">
        <v>171</v>
      </c>
      <c r="D389" s="32" t="s">
        <v>126</v>
      </c>
      <c r="E389" s="33">
        <v>27</v>
      </c>
      <c r="F389" s="30">
        <v>2419999999</v>
      </c>
      <c r="G389" s="31">
        <v>110</v>
      </c>
    </row>
    <row r="390" spans="1:7" ht="105.75" thickBot="1" x14ac:dyDescent="0.3">
      <c r="A390" s="28"/>
      <c r="B390" s="27">
        <v>69</v>
      </c>
      <c r="C390" s="28" t="s">
        <v>172</v>
      </c>
      <c r="D390" s="28" t="s">
        <v>126</v>
      </c>
      <c r="E390" s="29">
        <v>27</v>
      </c>
      <c r="F390" s="30">
        <v>2439999999</v>
      </c>
      <c r="G390" s="27">
        <v>111</v>
      </c>
    </row>
    <row r="391" spans="1:7" ht="105.75" thickBot="1" x14ac:dyDescent="0.3">
      <c r="A391" s="32"/>
      <c r="B391" s="31">
        <v>89</v>
      </c>
      <c r="C391" s="32" t="s">
        <v>190</v>
      </c>
      <c r="D391" s="32" t="s">
        <v>126</v>
      </c>
      <c r="E391" s="33">
        <v>27</v>
      </c>
      <c r="F391" s="30">
        <v>2515000000</v>
      </c>
      <c r="G391" s="31">
        <v>131</v>
      </c>
    </row>
    <row r="392" spans="1:7" ht="105.75" thickBot="1" x14ac:dyDescent="0.3">
      <c r="A392" s="28"/>
      <c r="B392" s="27">
        <v>96</v>
      </c>
      <c r="C392" s="28" t="s">
        <v>196</v>
      </c>
      <c r="D392" s="28" t="s">
        <v>126</v>
      </c>
      <c r="E392" s="29">
        <v>27</v>
      </c>
      <c r="F392" s="30">
        <v>2288444888</v>
      </c>
      <c r="G392" s="27">
        <v>138</v>
      </c>
    </row>
    <row r="393" spans="1:7" ht="105.75" thickBot="1" x14ac:dyDescent="0.3">
      <c r="A393" s="32"/>
      <c r="B393" s="31">
        <v>99</v>
      </c>
      <c r="C393" s="32" t="s">
        <v>199</v>
      </c>
      <c r="D393" s="32" t="s">
        <v>126</v>
      </c>
      <c r="E393" s="33">
        <v>27</v>
      </c>
      <c r="F393" s="30">
        <v>2558800000</v>
      </c>
      <c r="G393" s="31">
        <v>141</v>
      </c>
    </row>
    <row r="394" spans="1:7" ht="105.75" thickBot="1" x14ac:dyDescent="0.3">
      <c r="A394" s="28"/>
      <c r="B394" s="27">
        <v>108</v>
      </c>
      <c r="C394" s="28" t="s">
        <v>208</v>
      </c>
      <c r="D394" s="28" t="s">
        <v>126</v>
      </c>
      <c r="E394" s="29">
        <v>27</v>
      </c>
      <c r="F394" s="30">
        <v>2437999000</v>
      </c>
      <c r="G394" s="27">
        <v>150</v>
      </c>
    </row>
    <row r="395" spans="1:7" ht="105.75" thickBot="1" x14ac:dyDescent="0.3">
      <c r="A395" s="32"/>
      <c r="B395" s="31">
        <v>116</v>
      </c>
      <c r="C395" s="32" t="s">
        <v>216</v>
      </c>
      <c r="D395" s="32" t="s">
        <v>126</v>
      </c>
      <c r="E395" s="33">
        <v>27</v>
      </c>
      <c r="F395" s="30">
        <v>2523000000</v>
      </c>
      <c r="G395" s="31">
        <v>158</v>
      </c>
    </row>
    <row r="396" spans="1:7" ht="105.75" thickBot="1" x14ac:dyDescent="0.3">
      <c r="A396" s="28"/>
      <c r="B396" s="27">
        <v>127</v>
      </c>
      <c r="C396" s="28" t="s">
        <v>223</v>
      </c>
      <c r="D396" s="28" t="s">
        <v>126</v>
      </c>
      <c r="E396" s="29">
        <v>27</v>
      </c>
      <c r="F396" s="30">
        <v>2340000000</v>
      </c>
      <c r="G396" s="27">
        <v>169</v>
      </c>
    </row>
    <row r="397" spans="1:7" ht="105.75" thickBot="1" x14ac:dyDescent="0.3">
      <c r="A397" s="32"/>
      <c r="B397" s="31">
        <v>130</v>
      </c>
      <c r="C397" s="32" t="s">
        <v>226</v>
      </c>
      <c r="D397" s="32" t="s">
        <v>126</v>
      </c>
      <c r="E397" s="33">
        <v>27</v>
      </c>
      <c r="F397" s="30">
        <v>2223470000</v>
      </c>
      <c r="G397" s="31">
        <v>172</v>
      </c>
    </row>
    <row r="398" spans="1:7" ht="105.75" thickBot="1" x14ac:dyDescent="0.3">
      <c r="A398" s="28"/>
      <c r="B398" s="27">
        <v>131</v>
      </c>
      <c r="C398" s="28" t="s">
        <v>227</v>
      </c>
      <c r="D398" s="28" t="s">
        <v>126</v>
      </c>
      <c r="E398" s="29">
        <v>27</v>
      </c>
      <c r="F398" s="30">
        <v>2310000000</v>
      </c>
      <c r="G398" s="27">
        <v>173</v>
      </c>
    </row>
    <row r="399" spans="1:7" ht="105.75" thickBot="1" x14ac:dyDescent="0.3">
      <c r="A399" s="32"/>
      <c r="B399" s="31">
        <v>133</v>
      </c>
      <c r="C399" s="32" t="s">
        <v>229</v>
      </c>
      <c r="D399" s="32" t="s">
        <v>126</v>
      </c>
      <c r="E399" s="33">
        <v>27</v>
      </c>
      <c r="F399" s="30">
        <v>2572513900</v>
      </c>
      <c r="G399" s="31">
        <v>175</v>
      </c>
    </row>
    <row r="400" spans="1:7" ht="105.75" thickBot="1" x14ac:dyDescent="0.3">
      <c r="A400" s="42"/>
      <c r="B400" s="43">
        <v>141</v>
      </c>
      <c r="C400" s="42" t="s">
        <v>236</v>
      </c>
      <c r="D400" s="42" t="s">
        <v>126</v>
      </c>
      <c r="E400" s="44">
        <v>27</v>
      </c>
      <c r="F400" s="38">
        <v>2400000000</v>
      </c>
      <c r="G400" s="43">
        <v>183</v>
      </c>
    </row>
    <row r="401" spans="1:7" ht="105.75" thickBot="1" x14ac:dyDescent="0.3">
      <c r="B401" s="23">
        <v>186</v>
      </c>
      <c r="C401" s="24" t="s">
        <v>279</v>
      </c>
      <c r="D401" s="24" t="s">
        <v>126</v>
      </c>
      <c r="E401" s="25">
        <v>27</v>
      </c>
      <c r="F401" s="26">
        <v>2542000000</v>
      </c>
      <c r="G401" s="23">
        <v>228</v>
      </c>
    </row>
    <row r="402" spans="1:7" ht="105.75" thickBot="1" x14ac:dyDescent="0.3">
      <c r="A402" s="28"/>
      <c r="B402" s="27">
        <v>203</v>
      </c>
      <c r="C402" s="28" t="s">
        <v>294</v>
      </c>
      <c r="D402" s="28" t="s">
        <v>126</v>
      </c>
      <c r="E402" s="29">
        <v>27</v>
      </c>
      <c r="F402" s="30">
        <v>2333333333</v>
      </c>
      <c r="G402" s="27">
        <v>245</v>
      </c>
    </row>
    <row r="403" spans="1:7" ht="105.75" thickBot="1" x14ac:dyDescent="0.3">
      <c r="A403" s="32"/>
      <c r="B403" s="31">
        <v>205</v>
      </c>
      <c r="C403" s="32" t="s">
        <v>782</v>
      </c>
      <c r="D403" s="32" t="s">
        <v>126</v>
      </c>
      <c r="E403" s="33">
        <v>27</v>
      </c>
      <c r="F403" s="30">
        <v>2547999000</v>
      </c>
      <c r="G403" s="31">
        <v>247</v>
      </c>
    </row>
    <row r="404" spans="1:7" ht="105.75" thickBot="1" x14ac:dyDescent="0.3">
      <c r="A404" s="28"/>
      <c r="B404" s="27">
        <v>209</v>
      </c>
      <c r="C404" s="28" t="s">
        <v>299</v>
      </c>
      <c r="D404" s="28" t="s">
        <v>126</v>
      </c>
      <c r="E404" s="29">
        <v>27</v>
      </c>
      <c r="F404" s="30">
        <v>2230000000</v>
      </c>
      <c r="G404" s="27">
        <v>251</v>
      </c>
    </row>
    <row r="405" spans="1:7" ht="75.75" thickBot="1" x14ac:dyDescent="0.3">
      <c r="A405" s="32"/>
      <c r="B405" s="31">
        <v>385</v>
      </c>
      <c r="C405" s="32" t="s">
        <v>623</v>
      </c>
      <c r="D405" s="32" t="s">
        <v>82</v>
      </c>
      <c r="E405" s="33">
        <v>27</v>
      </c>
      <c r="F405" s="30">
        <v>4941500000</v>
      </c>
      <c r="G405" s="31">
        <v>429</v>
      </c>
    </row>
    <row r="406" spans="1:7" ht="105.75" thickBot="1" x14ac:dyDescent="0.3">
      <c r="A406" s="28"/>
      <c r="B406" s="27">
        <v>389</v>
      </c>
      <c r="C406" s="28" t="s">
        <v>554</v>
      </c>
      <c r="D406" s="28" t="s">
        <v>406</v>
      </c>
      <c r="E406" s="29">
        <v>27</v>
      </c>
      <c r="F406" s="30">
        <v>4232168527</v>
      </c>
      <c r="G406" s="27">
        <v>433</v>
      </c>
    </row>
    <row r="407" spans="1:7" ht="105.75" thickBot="1" x14ac:dyDescent="0.3">
      <c r="A407" s="32"/>
      <c r="B407" s="31">
        <v>3</v>
      </c>
      <c r="C407" s="32" t="s">
        <v>318</v>
      </c>
      <c r="D407" s="32" t="s">
        <v>126</v>
      </c>
      <c r="E407" s="33">
        <v>26</v>
      </c>
      <c r="F407" s="30">
        <v>2418888888</v>
      </c>
      <c r="G407" s="31">
        <v>45</v>
      </c>
    </row>
    <row r="408" spans="1:7" ht="105.75" thickBot="1" x14ac:dyDescent="0.3">
      <c r="A408" s="28"/>
      <c r="B408" s="27">
        <v>65</v>
      </c>
      <c r="C408" s="28" t="s">
        <v>168</v>
      </c>
      <c r="D408" s="28" t="s">
        <v>126</v>
      </c>
      <c r="E408" s="29">
        <v>26</v>
      </c>
      <c r="F408" s="30">
        <v>2515000000</v>
      </c>
      <c r="G408" s="27">
        <v>107</v>
      </c>
    </row>
    <row r="409" spans="1:7" ht="105.75" thickBot="1" x14ac:dyDescent="0.3">
      <c r="A409" s="32"/>
      <c r="B409" s="31">
        <v>95</v>
      </c>
      <c r="C409" s="32" t="s">
        <v>195</v>
      </c>
      <c r="D409" s="32" t="s">
        <v>126</v>
      </c>
      <c r="E409" s="33">
        <v>26</v>
      </c>
      <c r="F409" s="30">
        <v>2419990000</v>
      </c>
      <c r="G409" s="31">
        <v>137</v>
      </c>
    </row>
    <row r="410" spans="1:7" ht="105.75" thickBot="1" x14ac:dyDescent="0.3">
      <c r="A410" s="28"/>
      <c r="B410" s="27">
        <v>106</v>
      </c>
      <c r="C410" s="28" t="s">
        <v>206</v>
      </c>
      <c r="D410" s="28" t="s">
        <v>126</v>
      </c>
      <c r="E410" s="29">
        <v>26</v>
      </c>
      <c r="F410" s="30">
        <v>2487999000</v>
      </c>
      <c r="G410" s="27">
        <v>148</v>
      </c>
    </row>
    <row r="411" spans="1:7" ht="105.75" thickBot="1" x14ac:dyDescent="0.3">
      <c r="A411" s="32"/>
      <c r="B411" s="31">
        <v>112</v>
      </c>
      <c r="C411" s="32" t="s">
        <v>212</v>
      </c>
      <c r="D411" s="32" t="s">
        <v>126</v>
      </c>
      <c r="E411" s="33">
        <v>26</v>
      </c>
      <c r="F411" s="30">
        <v>2268000000</v>
      </c>
      <c r="G411" s="31">
        <v>154</v>
      </c>
    </row>
    <row r="412" spans="1:7" ht="105.75" thickBot="1" x14ac:dyDescent="0.3">
      <c r="A412" s="28"/>
      <c r="B412" s="27">
        <v>128</v>
      </c>
      <c r="C412" s="28" t="s">
        <v>224</v>
      </c>
      <c r="D412" s="28" t="s">
        <v>126</v>
      </c>
      <c r="E412" s="29">
        <v>26</v>
      </c>
      <c r="F412" s="30">
        <v>2305555555</v>
      </c>
      <c r="G412" s="27">
        <v>170</v>
      </c>
    </row>
    <row r="413" spans="1:7" ht="105.75" thickBot="1" x14ac:dyDescent="0.3">
      <c r="A413" s="32"/>
      <c r="B413" s="31">
        <v>134</v>
      </c>
      <c r="C413" s="32" t="s">
        <v>230</v>
      </c>
      <c r="D413" s="32" t="s">
        <v>126</v>
      </c>
      <c r="E413" s="33">
        <v>26</v>
      </c>
      <c r="F413" s="30">
        <v>2289999999</v>
      </c>
      <c r="G413" s="31">
        <v>176</v>
      </c>
    </row>
    <row r="414" spans="1:7" ht="105.75" thickBot="1" x14ac:dyDescent="0.3">
      <c r="A414" s="28"/>
      <c r="B414" s="27">
        <v>145</v>
      </c>
      <c r="C414" s="28" t="s">
        <v>240</v>
      </c>
      <c r="D414" s="28" t="s">
        <v>126</v>
      </c>
      <c r="E414" s="29">
        <v>26</v>
      </c>
      <c r="F414" s="30">
        <v>2511212127</v>
      </c>
      <c r="G414" s="27">
        <v>187</v>
      </c>
    </row>
    <row r="415" spans="1:7" ht="105.75" thickBot="1" x14ac:dyDescent="0.3">
      <c r="A415" s="32"/>
      <c r="B415" s="31">
        <v>174</v>
      </c>
      <c r="C415" s="32" t="s">
        <v>267</v>
      </c>
      <c r="D415" s="32" t="s">
        <v>126</v>
      </c>
      <c r="E415" s="33">
        <v>26</v>
      </c>
      <c r="F415" s="30">
        <v>2386099999</v>
      </c>
      <c r="G415" s="31">
        <v>216</v>
      </c>
    </row>
    <row r="416" spans="1:7" ht="105.75" thickBot="1" x14ac:dyDescent="0.3">
      <c r="A416" s="28"/>
      <c r="B416" s="27">
        <v>200</v>
      </c>
      <c r="C416" s="28" t="s">
        <v>291</v>
      </c>
      <c r="D416" s="28" t="s">
        <v>126</v>
      </c>
      <c r="E416" s="29">
        <v>26</v>
      </c>
      <c r="F416" s="30">
        <v>2410000000</v>
      </c>
      <c r="G416" s="27">
        <v>242</v>
      </c>
    </row>
    <row r="417" spans="1:7" ht="105.75" thickBot="1" x14ac:dyDescent="0.3">
      <c r="A417" s="32"/>
      <c r="B417" s="31">
        <v>207</v>
      </c>
      <c r="C417" s="32" t="s">
        <v>297</v>
      </c>
      <c r="D417" s="32" t="s">
        <v>126</v>
      </c>
      <c r="E417" s="33">
        <v>26</v>
      </c>
      <c r="F417" s="30">
        <v>2300000000</v>
      </c>
      <c r="G417" s="31">
        <v>249</v>
      </c>
    </row>
    <row r="418" spans="1:7" ht="75.75" thickBot="1" x14ac:dyDescent="0.3">
      <c r="A418" s="28"/>
      <c r="B418" s="27">
        <v>227</v>
      </c>
      <c r="C418" s="28" t="s">
        <v>496</v>
      </c>
      <c r="D418" s="28" t="s">
        <v>116</v>
      </c>
      <c r="E418" s="29">
        <v>26</v>
      </c>
      <c r="F418" s="30">
        <v>4280000000</v>
      </c>
      <c r="G418" s="27">
        <v>269</v>
      </c>
    </row>
    <row r="419" spans="1:7" ht="60.75" thickBot="1" x14ac:dyDescent="0.3">
      <c r="A419" s="32"/>
      <c r="B419" s="31">
        <v>246</v>
      </c>
      <c r="C419" s="32" t="s">
        <v>646</v>
      </c>
      <c r="D419" s="32" t="s">
        <v>129</v>
      </c>
      <c r="E419" s="33">
        <v>26</v>
      </c>
      <c r="F419" s="30">
        <v>5366666666</v>
      </c>
      <c r="G419" s="31">
        <v>288</v>
      </c>
    </row>
    <row r="420" spans="1:7" ht="105.75" thickBot="1" x14ac:dyDescent="0.3">
      <c r="A420" s="28"/>
      <c r="B420" s="27">
        <v>272</v>
      </c>
      <c r="C420" s="28" t="s">
        <v>692</v>
      </c>
      <c r="D420" s="28" t="s">
        <v>561</v>
      </c>
      <c r="E420" s="29">
        <v>26</v>
      </c>
      <c r="F420" s="30">
        <v>6288888888</v>
      </c>
      <c r="G420" s="27">
        <v>314</v>
      </c>
    </row>
    <row r="421" spans="1:7" ht="105.75" thickBot="1" x14ac:dyDescent="0.3">
      <c r="A421" s="32"/>
      <c r="B421" s="31">
        <v>312</v>
      </c>
      <c r="C421" s="32" t="s">
        <v>595</v>
      </c>
      <c r="D421" s="32" t="s">
        <v>561</v>
      </c>
      <c r="E421" s="33">
        <v>26</v>
      </c>
      <c r="F421" s="30">
        <v>6510000000</v>
      </c>
      <c r="G421" s="31">
        <v>354</v>
      </c>
    </row>
    <row r="422" spans="1:7" ht="105.75" thickBot="1" x14ac:dyDescent="0.3">
      <c r="A422" s="28"/>
      <c r="B422" s="27">
        <v>334</v>
      </c>
      <c r="C422" s="28" t="s">
        <v>706</v>
      </c>
      <c r="D422" s="28" t="s">
        <v>561</v>
      </c>
      <c r="E422" s="29">
        <v>26</v>
      </c>
      <c r="F422" s="30">
        <v>6260000000</v>
      </c>
      <c r="G422" s="27">
        <v>376</v>
      </c>
    </row>
    <row r="423" spans="1:7" ht="105.75" thickBot="1" x14ac:dyDescent="0.3">
      <c r="A423" s="32"/>
      <c r="B423" s="31">
        <v>9</v>
      </c>
      <c r="C423" s="32" t="s">
        <v>325</v>
      </c>
      <c r="D423" s="32" t="s">
        <v>126</v>
      </c>
      <c r="E423" s="33">
        <v>25</v>
      </c>
      <c r="F423" s="30">
        <v>2605999999</v>
      </c>
      <c r="G423" s="31">
        <v>51</v>
      </c>
    </row>
    <row r="424" spans="1:7" ht="105.75" thickBot="1" x14ac:dyDescent="0.3">
      <c r="A424" s="28"/>
      <c r="B424" s="27">
        <v>19</v>
      </c>
      <c r="C424" s="28" t="s">
        <v>335</v>
      </c>
      <c r="D424" s="28" t="s">
        <v>126</v>
      </c>
      <c r="E424" s="29">
        <v>25</v>
      </c>
      <c r="F424" s="30">
        <v>2500000000</v>
      </c>
      <c r="G424" s="27">
        <v>61</v>
      </c>
    </row>
    <row r="425" spans="1:7" ht="105.75" thickBot="1" x14ac:dyDescent="0.3">
      <c r="A425" s="32"/>
      <c r="B425" s="31">
        <v>29</v>
      </c>
      <c r="C425" s="32" t="s">
        <v>344</v>
      </c>
      <c r="D425" s="32" t="s">
        <v>126</v>
      </c>
      <c r="E425" s="33">
        <v>25</v>
      </c>
      <c r="F425" s="30">
        <v>2467999000</v>
      </c>
      <c r="G425" s="31">
        <v>71</v>
      </c>
    </row>
    <row r="426" spans="1:7" ht="105.75" thickBot="1" x14ac:dyDescent="0.3">
      <c r="A426" s="28"/>
      <c r="B426" s="27">
        <v>32</v>
      </c>
      <c r="C426" s="28" t="s">
        <v>347</v>
      </c>
      <c r="D426" s="28" t="s">
        <v>126</v>
      </c>
      <c r="E426" s="29">
        <v>25</v>
      </c>
      <c r="F426" s="30">
        <v>2555222100</v>
      </c>
      <c r="G426" s="27">
        <v>74</v>
      </c>
    </row>
    <row r="427" spans="1:7" ht="105.75" thickBot="1" x14ac:dyDescent="0.3">
      <c r="A427" s="32"/>
      <c r="B427" s="31">
        <v>37</v>
      </c>
      <c r="C427" s="32" t="s">
        <v>352</v>
      </c>
      <c r="D427" s="32" t="s">
        <v>126</v>
      </c>
      <c r="E427" s="33">
        <v>25</v>
      </c>
      <c r="F427" s="30">
        <v>2458000000</v>
      </c>
      <c r="G427" s="31">
        <v>79</v>
      </c>
    </row>
    <row r="428" spans="1:7" ht="105.75" thickBot="1" x14ac:dyDescent="0.3">
      <c r="A428" s="28"/>
      <c r="B428" s="27">
        <v>45</v>
      </c>
      <c r="C428" s="28" t="s">
        <v>360</v>
      </c>
      <c r="D428" s="28" t="s">
        <v>126</v>
      </c>
      <c r="E428" s="29">
        <v>25</v>
      </c>
      <c r="F428" s="30">
        <v>2501009999</v>
      </c>
      <c r="G428" s="27">
        <v>87</v>
      </c>
    </row>
    <row r="429" spans="1:7" ht="105.75" thickBot="1" x14ac:dyDescent="0.3">
      <c r="A429" s="32"/>
      <c r="B429" s="31">
        <v>50</v>
      </c>
      <c r="C429" s="32" t="s">
        <v>365</v>
      </c>
      <c r="D429" s="32" t="s">
        <v>126</v>
      </c>
      <c r="E429" s="33">
        <v>25</v>
      </c>
      <c r="F429" s="30">
        <v>2423000000</v>
      </c>
      <c r="G429" s="31">
        <v>92</v>
      </c>
    </row>
    <row r="430" spans="1:7" ht="105.75" thickBot="1" x14ac:dyDescent="0.3">
      <c r="A430" s="28"/>
      <c r="B430" s="27">
        <v>52</v>
      </c>
      <c r="C430" s="28" t="s">
        <v>367</v>
      </c>
      <c r="D430" s="28" t="s">
        <v>126</v>
      </c>
      <c r="E430" s="29">
        <v>25</v>
      </c>
      <c r="F430" s="30">
        <v>2469999999</v>
      </c>
      <c r="G430" s="27">
        <v>94</v>
      </c>
    </row>
    <row r="431" spans="1:7" ht="105.75" thickBot="1" x14ac:dyDescent="0.3">
      <c r="A431" s="32"/>
      <c r="B431" s="31">
        <v>103</v>
      </c>
      <c r="C431" s="32" t="s">
        <v>203</v>
      </c>
      <c r="D431" s="32" t="s">
        <v>126</v>
      </c>
      <c r="E431" s="33">
        <v>25</v>
      </c>
      <c r="F431" s="30">
        <v>2328800000</v>
      </c>
      <c r="G431" s="31">
        <v>145</v>
      </c>
    </row>
    <row r="432" spans="1:7" ht="105.75" thickBot="1" x14ac:dyDescent="0.3">
      <c r="A432" s="28"/>
      <c r="B432" s="27">
        <v>121</v>
      </c>
      <c r="C432" s="28" t="s">
        <v>133</v>
      </c>
      <c r="D432" s="28" t="s">
        <v>126</v>
      </c>
      <c r="E432" s="29">
        <v>25</v>
      </c>
      <c r="F432" s="30">
        <v>2300000000</v>
      </c>
      <c r="G432" s="27">
        <v>163</v>
      </c>
    </row>
    <row r="433" spans="1:7" ht="105.75" thickBot="1" x14ac:dyDescent="0.3">
      <c r="A433" s="32"/>
      <c r="B433" s="31">
        <v>139</v>
      </c>
      <c r="C433" s="32" t="s">
        <v>235</v>
      </c>
      <c r="D433" s="32" t="s">
        <v>126</v>
      </c>
      <c r="E433" s="33">
        <v>25</v>
      </c>
      <c r="F433" s="30">
        <v>2380001000</v>
      </c>
      <c r="G433" s="31">
        <v>181</v>
      </c>
    </row>
    <row r="434" spans="1:7" ht="105.75" thickBot="1" x14ac:dyDescent="0.3">
      <c r="A434" s="28"/>
      <c r="B434" s="27">
        <v>160</v>
      </c>
      <c r="C434" s="28" t="s">
        <v>134</v>
      </c>
      <c r="D434" s="28" t="s">
        <v>126</v>
      </c>
      <c r="E434" s="29">
        <v>25</v>
      </c>
      <c r="F434" s="30">
        <v>2355000000</v>
      </c>
      <c r="G434" s="27">
        <v>202</v>
      </c>
    </row>
    <row r="435" spans="1:7" ht="105.75" thickBot="1" x14ac:dyDescent="0.3">
      <c r="A435" s="32"/>
      <c r="B435" s="31">
        <v>164</v>
      </c>
      <c r="C435" s="32" t="s">
        <v>258</v>
      </c>
      <c r="D435" s="32" t="s">
        <v>126</v>
      </c>
      <c r="E435" s="33">
        <v>25</v>
      </c>
      <c r="F435" s="30">
        <v>2130000000</v>
      </c>
      <c r="G435" s="31">
        <v>206</v>
      </c>
    </row>
    <row r="436" spans="1:7" ht="105.75" thickBot="1" x14ac:dyDescent="0.3">
      <c r="A436" s="28"/>
      <c r="B436" s="27">
        <v>197</v>
      </c>
      <c r="C436" s="28" t="s">
        <v>288</v>
      </c>
      <c r="D436" s="28" t="s">
        <v>126</v>
      </c>
      <c r="E436" s="29">
        <v>25</v>
      </c>
      <c r="F436" s="30">
        <v>2255000000</v>
      </c>
      <c r="G436" s="27">
        <v>239</v>
      </c>
    </row>
    <row r="437" spans="1:7" ht="105.75" thickBot="1" x14ac:dyDescent="0.3">
      <c r="A437" s="32"/>
      <c r="B437" s="31">
        <v>198</v>
      </c>
      <c r="C437" s="32" t="s">
        <v>289</v>
      </c>
      <c r="D437" s="32" t="s">
        <v>126</v>
      </c>
      <c r="E437" s="33">
        <v>25</v>
      </c>
      <c r="F437" s="30">
        <v>2265480000</v>
      </c>
      <c r="G437" s="31">
        <v>240</v>
      </c>
    </row>
    <row r="438" spans="1:7" ht="105.75" thickBot="1" x14ac:dyDescent="0.3">
      <c r="A438" s="28"/>
      <c r="B438" s="27">
        <v>202</v>
      </c>
      <c r="C438" s="28" t="s">
        <v>293</v>
      </c>
      <c r="D438" s="28" t="s">
        <v>126</v>
      </c>
      <c r="E438" s="29">
        <v>25</v>
      </c>
      <c r="F438" s="30">
        <v>2311101130</v>
      </c>
      <c r="G438" s="27">
        <v>244</v>
      </c>
    </row>
    <row r="439" spans="1:7" ht="105.75" thickBot="1" x14ac:dyDescent="0.3">
      <c r="A439" s="32"/>
      <c r="B439" s="31">
        <v>204</v>
      </c>
      <c r="C439" s="32" t="s">
        <v>295</v>
      </c>
      <c r="D439" s="32" t="s">
        <v>126</v>
      </c>
      <c r="E439" s="33">
        <v>25</v>
      </c>
      <c r="F439" s="30">
        <v>2271100000</v>
      </c>
      <c r="G439" s="31">
        <v>246</v>
      </c>
    </row>
    <row r="440" spans="1:7" ht="105.75" thickBot="1" x14ac:dyDescent="0.3">
      <c r="A440" s="28"/>
      <c r="B440" s="27">
        <v>216</v>
      </c>
      <c r="C440" s="28" t="s">
        <v>306</v>
      </c>
      <c r="D440" s="28" t="s">
        <v>126</v>
      </c>
      <c r="E440" s="29">
        <v>25</v>
      </c>
      <c r="F440" s="30">
        <v>2469999999</v>
      </c>
      <c r="G440" s="27">
        <v>258</v>
      </c>
    </row>
    <row r="441" spans="1:7" ht="105.75" thickBot="1" x14ac:dyDescent="0.3">
      <c r="A441" s="32"/>
      <c r="B441" s="31">
        <v>217</v>
      </c>
      <c r="C441" s="32" t="s">
        <v>307</v>
      </c>
      <c r="D441" s="32" t="s">
        <v>126</v>
      </c>
      <c r="E441" s="33">
        <v>25</v>
      </c>
      <c r="F441" s="30">
        <v>2358900000</v>
      </c>
      <c r="G441" s="31">
        <v>259</v>
      </c>
    </row>
    <row r="442" spans="1:7" ht="75.75" thickBot="1" x14ac:dyDescent="0.3">
      <c r="A442" s="28"/>
      <c r="B442" s="27">
        <v>229</v>
      </c>
      <c r="C442" s="28" t="s">
        <v>528</v>
      </c>
      <c r="D442" s="28" t="s">
        <v>116</v>
      </c>
      <c r="E442" s="29">
        <v>25</v>
      </c>
      <c r="F442" s="30">
        <v>4450000000</v>
      </c>
      <c r="G442" s="27">
        <v>271</v>
      </c>
    </row>
    <row r="443" spans="1:7" ht="105.75" thickBot="1" x14ac:dyDescent="0.3">
      <c r="A443" s="32"/>
      <c r="B443" s="31">
        <v>262</v>
      </c>
      <c r="C443" s="32" t="s">
        <v>396</v>
      </c>
      <c r="D443" s="32" t="s">
        <v>155</v>
      </c>
      <c r="E443" s="33">
        <v>25</v>
      </c>
      <c r="F443" s="30">
        <v>4109876543</v>
      </c>
      <c r="G443" s="31">
        <v>304</v>
      </c>
    </row>
    <row r="444" spans="1:7" ht="105.75" thickBot="1" x14ac:dyDescent="0.3">
      <c r="A444" s="28"/>
      <c r="B444" s="27">
        <v>282</v>
      </c>
      <c r="C444" s="28" t="s">
        <v>711</v>
      </c>
      <c r="D444" s="28" t="s">
        <v>561</v>
      </c>
      <c r="E444" s="29">
        <v>25</v>
      </c>
      <c r="F444" s="30">
        <v>6235555555</v>
      </c>
      <c r="G444" s="27">
        <v>324</v>
      </c>
    </row>
    <row r="445" spans="1:7" ht="105.75" thickBot="1" x14ac:dyDescent="0.3">
      <c r="A445" s="32"/>
      <c r="B445" s="31">
        <v>301</v>
      </c>
      <c r="C445" s="32" t="s">
        <v>602</v>
      </c>
      <c r="D445" s="32" t="s">
        <v>561</v>
      </c>
      <c r="E445" s="33">
        <v>25</v>
      </c>
      <c r="F445" s="30">
        <v>6780000000</v>
      </c>
      <c r="G445" s="31">
        <v>343</v>
      </c>
    </row>
    <row r="446" spans="1:7" ht="105.75" thickBot="1" x14ac:dyDescent="0.3">
      <c r="A446" s="28"/>
      <c r="B446" s="27">
        <v>320</v>
      </c>
      <c r="C446" s="28" t="s">
        <v>598</v>
      </c>
      <c r="D446" s="28" t="s">
        <v>559</v>
      </c>
      <c r="E446" s="29">
        <v>25</v>
      </c>
      <c r="F446" s="30">
        <v>6410000000</v>
      </c>
      <c r="G446" s="27">
        <v>362</v>
      </c>
    </row>
    <row r="447" spans="1:7" ht="105.75" thickBot="1" x14ac:dyDescent="0.3">
      <c r="A447" s="32"/>
      <c r="B447" s="31">
        <v>335</v>
      </c>
      <c r="C447" s="32" t="s">
        <v>698</v>
      </c>
      <c r="D447" s="32" t="s">
        <v>559</v>
      </c>
      <c r="E447" s="33">
        <v>25</v>
      </c>
      <c r="F447" s="30">
        <v>6100111000</v>
      </c>
      <c r="G447" s="31">
        <v>377</v>
      </c>
    </row>
    <row r="448" spans="1:7" ht="90.75" thickBot="1" x14ac:dyDescent="0.3">
      <c r="A448" s="28"/>
      <c r="B448" s="27">
        <v>356</v>
      </c>
      <c r="C448" s="28" t="s">
        <v>660</v>
      </c>
      <c r="D448" s="28" t="s">
        <v>656</v>
      </c>
      <c r="E448" s="29">
        <v>25</v>
      </c>
      <c r="F448" s="30">
        <v>6436900000</v>
      </c>
      <c r="G448" s="27">
        <v>398</v>
      </c>
    </row>
    <row r="449" spans="1:7" ht="75.75" thickBot="1" x14ac:dyDescent="0.3">
      <c r="A449" s="32"/>
      <c r="B449" s="31">
        <v>365</v>
      </c>
      <c r="C449" s="32" t="s">
        <v>504</v>
      </c>
      <c r="D449" s="32" t="s">
        <v>443</v>
      </c>
      <c r="E449" s="33">
        <v>25</v>
      </c>
      <c r="F449" s="30">
        <v>5510000000</v>
      </c>
      <c r="G449" s="31">
        <v>407</v>
      </c>
    </row>
    <row r="450" spans="1:7" ht="75.75" thickBot="1" x14ac:dyDescent="0.3">
      <c r="A450" s="28"/>
      <c r="B450" s="27">
        <v>379</v>
      </c>
      <c r="C450" s="28" t="s">
        <v>564</v>
      </c>
      <c r="D450" s="28" t="s">
        <v>82</v>
      </c>
      <c r="E450" s="29">
        <v>25</v>
      </c>
      <c r="F450" s="30">
        <v>4395550000</v>
      </c>
      <c r="G450" s="27">
        <v>423</v>
      </c>
    </row>
    <row r="451" spans="1:7" ht="105.75" thickBot="1" x14ac:dyDescent="0.3">
      <c r="A451" s="32"/>
      <c r="B451" s="31">
        <v>14</v>
      </c>
      <c r="C451" s="32" t="s">
        <v>329</v>
      </c>
      <c r="D451" s="32" t="s">
        <v>126</v>
      </c>
      <c r="E451" s="33">
        <v>24</v>
      </c>
      <c r="F451" s="30">
        <v>2456000000</v>
      </c>
      <c r="G451" s="31">
        <v>56</v>
      </c>
    </row>
    <row r="452" spans="1:7" ht="105.75" thickBot="1" x14ac:dyDescent="0.3">
      <c r="A452" s="28"/>
      <c r="B452" s="27">
        <v>78</v>
      </c>
      <c r="C452" s="28" t="s">
        <v>131</v>
      </c>
      <c r="D452" s="28" t="s">
        <v>126</v>
      </c>
      <c r="E452" s="29">
        <v>24</v>
      </c>
      <c r="F452" s="30">
        <v>2300000009</v>
      </c>
      <c r="G452" s="27">
        <v>120</v>
      </c>
    </row>
    <row r="453" spans="1:7" ht="105.75" thickBot="1" x14ac:dyDescent="0.3">
      <c r="A453" s="32"/>
      <c r="B453" s="31">
        <v>114</v>
      </c>
      <c r="C453" s="32" t="s">
        <v>214</v>
      </c>
      <c r="D453" s="32" t="s">
        <v>126</v>
      </c>
      <c r="E453" s="33">
        <v>24</v>
      </c>
      <c r="F453" s="30">
        <v>2338000000</v>
      </c>
      <c r="G453" s="31">
        <v>156</v>
      </c>
    </row>
    <row r="454" spans="1:7" ht="105.75" thickBot="1" x14ac:dyDescent="0.3">
      <c r="A454" s="28"/>
      <c r="B454" s="27">
        <v>118</v>
      </c>
      <c r="C454" s="28" t="s">
        <v>218</v>
      </c>
      <c r="D454" s="28" t="s">
        <v>126</v>
      </c>
      <c r="E454" s="29">
        <v>24</v>
      </c>
      <c r="F454" s="30">
        <v>2300000100</v>
      </c>
      <c r="G454" s="27">
        <v>160</v>
      </c>
    </row>
    <row r="455" spans="1:7" ht="105.75" thickBot="1" x14ac:dyDescent="0.3">
      <c r="A455" s="32"/>
      <c r="B455" s="31">
        <v>210</v>
      </c>
      <c r="C455" s="32" t="s">
        <v>300</v>
      </c>
      <c r="D455" s="32" t="s">
        <v>126</v>
      </c>
      <c r="E455" s="33">
        <v>24</v>
      </c>
      <c r="F455" s="30">
        <v>2610000000</v>
      </c>
      <c r="G455" s="31">
        <v>252</v>
      </c>
    </row>
    <row r="456" spans="1:7" ht="105.75" thickBot="1" x14ac:dyDescent="0.3">
      <c r="A456" s="28"/>
      <c r="B456" s="27">
        <v>285</v>
      </c>
      <c r="C456" s="28" t="s">
        <v>679</v>
      </c>
      <c r="D456" s="28" t="s">
        <v>561</v>
      </c>
      <c r="E456" s="29">
        <v>24</v>
      </c>
      <c r="F456" s="30">
        <v>6021777777</v>
      </c>
      <c r="G456" s="27">
        <v>327</v>
      </c>
    </row>
    <row r="457" spans="1:7" ht="105.75" thickBot="1" x14ac:dyDescent="0.3">
      <c r="A457" s="32"/>
      <c r="B457" s="31">
        <v>344</v>
      </c>
      <c r="C457" s="32" t="s">
        <v>714</v>
      </c>
      <c r="D457" s="32" t="s">
        <v>561</v>
      </c>
      <c r="E457" s="33">
        <v>24</v>
      </c>
      <c r="F457" s="30">
        <v>6066550000</v>
      </c>
      <c r="G457" s="31">
        <v>386</v>
      </c>
    </row>
    <row r="458" spans="1:7" ht="105.75" thickBot="1" x14ac:dyDescent="0.3">
      <c r="A458" s="28"/>
      <c r="B458" s="27">
        <v>381</v>
      </c>
      <c r="C458" s="28" t="s">
        <v>540</v>
      </c>
      <c r="D458" s="28" t="s">
        <v>155</v>
      </c>
      <c r="E458" s="29">
        <v>24</v>
      </c>
      <c r="F458" s="30">
        <v>4308900000</v>
      </c>
      <c r="G458" s="27">
        <v>425</v>
      </c>
    </row>
    <row r="459" spans="1:7" ht="75.75" thickBot="1" x14ac:dyDescent="0.3">
      <c r="A459" s="32"/>
      <c r="B459" s="31">
        <v>392</v>
      </c>
      <c r="C459" s="32" t="s">
        <v>631</v>
      </c>
      <c r="D459" s="32" t="s">
        <v>82</v>
      </c>
      <c r="E459" s="33">
        <v>24</v>
      </c>
      <c r="F459" s="30">
        <v>4759999999</v>
      </c>
      <c r="G459" s="31">
        <v>436</v>
      </c>
    </row>
    <row r="460" spans="1:7" ht="105.75" thickBot="1" x14ac:dyDescent="0.3">
      <c r="A460" s="28"/>
      <c r="B460" s="27">
        <v>395</v>
      </c>
      <c r="C460" s="28" t="s">
        <v>529</v>
      </c>
      <c r="D460" s="28" t="s">
        <v>155</v>
      </c>
      <c r="E460" s="29">
        <v>24</v>
      </c>
      <c r="F460" s="30">
        <v>3915141414</v>
      </c>
      <c r="G460" s="27">
        <v>439</v>
      </c>
    </row>
    <row r="461" spans="1:7" ht="90.75" thickBot="1" x14ac:dyDescent="0.3">
      <c r="A461" s="32"/>
      <c r="B461" s="31">
        <v>484</v>
      </c>
      <c r="C461" s="32" t="s">
        <v>434</v>
      </c>
      <c r="D461" s="32" t="s">
        <v>427</v>
      </c>
      <c r="E461" s="33">
        <v>24</v>
      </c>
      <c r="F461" s="30">
        <v>3965051000</v>
      </c>
      <c r="G461" s="31">
        <v>588</v>
      </c>
    </row>
    <row r="462" spans="1:7" ht="105.75" thickBot="1" x14ac:dyDescent="0.3">
      <c r="A462" s="28"/>
      <c r="B462" s="27">
        <v>8</v>
      </c>
      <c r="C462" s="28" t="s">
        <v>324</v>
      </c>
      <c r="D462" s="28" t="s">
        <v>126</v>
      </c>
      <c r="E462" s="29">
        <v>23</v>
      </c>
      <c r="F462" s="30">
        <v>2507777777</v>
      </c>
      <c r="G462" s="27">
        <v>50</v>
      </c>
    </row>
    <row r="463" spans="1:7" ht="105.75" thickBot="1" x14ac:dyDescent="0.3">
      <c r="A463" s="32"/>
      <c r="B463" s="31">
        <v>43</v>
      </c>
      <c r="C463" s="32" t="s">
        <v>358</v>
      </c>
      <c r="D463" s="32" t="s">
        <v>126</v>
      </c>
      <c r="E463" s="33">
        <v>23</v>
      </c>
      <c r="F463" s="30">
        <v>2403000000</v>
      </c>
      <c r="G463" s="31">
        <v>85</v>
      </c>
    </row>
    <row r="464" spans="1:7" ht="105.75" thickBot="1" x14ac:dyDescent="0.3">
      <c r="A464" s="28"/>
      <c r="B464" s="27">
        <v>48</v>
      </c>
      <c r="C464" s="28" t="s">
        <v>363</v>
      </c>
      <c r="D464" s="28" t="s">
        <v>126</v>
      </c>
      <c r="E464" s="29">
        <v>23</v>
      </c>
      <c r="F464" s="30">
        <v>2423000000</v>
      </c>
      <c r="G464" s="27">
        <v>90</v>
      </c>
    </row>
    <row r="465" spans="1:7" ht="105.75" thickBot="1" x14ac:dyDescent="0.3">
      <c r="A465" s="32"/>
      <c r="B465" s="31">
        <v>55</v>
      </c>
      <c r="C465" s="32" t="s">
        <v>370</v>
      </c>
      <c r="D465" s="32" t="s">
        <v>126</v>
      </c>
      <c r="E465" s="33">
        <v>23</v>
      </c>
      <c r="F465" s="30">
        <v>2433000000</v>
      </c>
      <c r="G465" s="31">
        <v>97</v>
      </c>
    </row>
    <row r="466" spans="1:7" ht="105.75" thickBot="1" x14ac:dyDescent="0.3">
      <c r="A466" s="28"/>
      <c r="B466" s="27">
        <v>58</v>
      </c>
      <c r="C466" s="28" t="s">
        <v>161</v>
      </c>
      <c r="D466" s="28" t="s">
        <v>126</v>
      </c>
      <c r="E466" s="29">
        <v>23</v>
      </c>
      <c r="F466" s="30">
        <v>2467999000</v>
      </c>
      <c r="G466" s="27">
        <v>100</v>
      </c>
    </row>
    <row r="467" spans="1:7" ht="105.75" thickBot="1" x14ac:dyDescent="0.3">
      <c r="A467" s="32"/>
      <c r="B467" s="31">
        <v>94</v>
      </c>
      <c r="C467" s="32" t="s">
        <v>194</v>
      </c>
      <c r="D467" s="32" t="s">
        <v>126</v>
      </c>
      <c r="E467" s="33">
        <v>23</v>
      </c>
      <c r="F467" s="30">
        <v>2321000223</v>
      </c>
      <c r="G467" s="31">
        <v>136</v>
      </c>
    </row>
    <row r="468" spans="1:7" ht="105.75" thickBot="1" x14ac:dyDescent="0.3">
      <c r="A468" s="28"/>
      <c r="B468" s="27">
        <v>109</v>
      </c>
      <c r="C468" s="28" t="s">
        <v>209</v>
      </c>
      <c r="D468" s="28" t="s">
        <v>126</v>
      </c>
      <c r="E468" s="29">
        <v>23</v>
      </c>
      <c r="F468" s="30">
        <v>2280000000</v>
      </c>
      <c r="G468" s="27">
        <v>151</v>
      </c>
    </row>
    <row r="469" spans="1:7" ht="105.75" thickBot="1" x14ac:dyDescent="0.3">
      <c r="A469" s="32"/>
      <c r="B469" s="31">
        <v>252</v>
      </c>
      <c r="C469" s="32" t="s">
        <v>477</v>
      </c>
      <c r="D469" s="32" t="s">
        <v>373</v>
      </c>
      <c r="E469" s="33">
        <v>23</v>
      </c>
      <c r="F469" s="30">
        <v>4111000000</v>
      </c>
      <c r="G469" s="31">
        <v>294</v>
      </c>
    </row>
    <row r="470" spans="1:7" ht="105.75" thickBot="1" x14ac:dyDescent="0.3">
      <c r="A470" s="28"/>
      <c r="B470" s="27">
        <v>316</v>
      </c>
      <c r="C470" s="28" t="s">
        <v>591</v>
      </c>
      <c r="D470" s="28" t="s">
        <v>561</v>
      </c>
      <c r="E470" s="29">
        <v>23</v>
      </c>
      <c r="F470" s="30">
        <v>6185050000</v>
      </c>
      <c r="G470" s="27">
        <v>358</v>
      </c>
    </row>
    <row r="471" spans="1:7" ht="75.75" thickBot="1" x14ac:dyDescent="0.3">
      <c r="A471" s="32"/>
      <c r="B471" s="31">
        <v>360</v>
      </c>
      <c r="C471" s="32" t="s">
        <v>661</v>
      </c>
      <c r="D471" s="32" t="s">
        <v>461</v>
      </c>
      <c r="E471" s="33">
        <v>23</v>
      </c>
      <c r="F471" s="30">
        <v>5629999999</v>
      </c>
      <c r="G471" s="31">
        <v>402</v>
      </c>
    </row>
    <row r="472" spans="1:7" ht="75.75" thickBot="1" x14ac:dyDescent="0.3">
      <c r="A472" s="28"/>
      <c r="B472" s="27">
        <v>367</v>
      </c>
      <c r="C472" s="28" t="s">
        <v>621</v>
      </c>
      <c r="D472" s="28" t="s">
        <v>82</v>
      </c>
      <c r="E472" s="29">
        <v>23</v>
      </c>
      <c r="F472" s="30">
        <v>4967999000</v>
      </c>
      <c r="G472" s="27">
        <v>409</v>
      </c>
    </row>
    <row r="473" spans="1:7" ht="105.75" thickBot="1" x14ac:dyDescent="0.3">
      <c r="A473" s="32"/>
      <c r="B473" s="31">
        <v>42</v>
      </c>
      <c r="C473" s="32" t="s">
        <v>357</v>
      </c>
      <c r="D473" s="32" t="s">
        <v>126</v>
      </c>
      <c r="E473" s="33">
        <v>22</v>
      </c>
      <c r="F473" s="30">
        <v>2420000000</v>
      </c>
      <c r="G473" s="31">
        <v>84</v>
      </c>
    </row>
    <row r="474" spans="1:7" ht="105.75" thickBot="1" x14ac:dyDescent="0.3">
      <c r="A474" s="28"/>
      <c r="B474" s="27">
        <v>73</v>
      </c>
      <c r="C474" s="28" t="s">
        <v>176</v>
      </c>
      <c r="D474" s="28" t="s">
        <v>126</v>
      </c>
      <c r="E474" s="29">
        <v>22</v>
      </c>
      <c r="F474" s="30">
        <v>2400055555</v>
      </c>
      <c r="G474" s="27">
        <v>115</v>
      </c>
    </row>
    <row r="475" spans="1:7" ht="105.75" thickBot="1" x14ac:dyDescent="0.3">
      <c r="A475" s="32"/>
      <c r="B475" s="31">
        <v>77</v>
      </c>
      <c r="C475" s="32" t="s">
        <v>180</v>
      </c>
      <c r="D475" s="32" t="s">
        <v>126</v>
      </c>
      <c r="E475" s="33">
        <v>22</v>
      </c>
      <c r="F475" s="30">
        <v>2534876325</v>
      </c>
      <c r="G475" s="31">
        <v>119</v>
      </c>
    </row>
    <row r="476" spans="1:7" ht="105.75" thickBot="1" x14ac:dyDescent="0.3">
      <c r="A476" s="28"/>
      <c r="B476" s="27">
        <v>166</v>
      </c>
      <c r="C476" s="28" t="s">
        <v>259</v>
      </c>
      <c r="D476" s="28" t="s">
        <v>126</v>
      </c>
      <c r="E476" s="29">
        <v>22</v>
      </c>
      <c r="F476" s="30">
        <v>2521000000</v>
      </c>
      <c r="G476" s="27">
        <v>208</v>
      </c>
    </row>
    <row r="477" spans="1:7" ht="105.75" thickBot="1" x14ac:dyDescent="0.3">
      <c r="A477" s="32"/>
      <c r="B477" s="31">
        <v>171</v>
      </c>
      <c r="C477" s="32" t="s">
        <v>264</v>
      </c>
      <c r="D477" s="32" t="s">
        <v>126</v>
      </c>
      <c r="E477" s="33">
        <v>22</v>
      </c>
      <c r="F477" s="30">
        <v>2505000000</v>
      </c>
      <c r="G477" s="31">
        <v>213</v>
      </c>
    </row>
    <row r="478" spans="1:7" ht="105.75" thickBot="1" x14ac:dyDescent="0.3">
      <c r="A478" s="28"/>
      <c r="B478" s="27">
        <v>191</v>
      </c>
      <c r="C478" s="28" t="s">
        <v>282</v>
      </c>
      <c r="D478" s="28" t="s">
        <v>126</v>
      </c>
      <c r="E478" s="29">
        <v>22</v>
      </c>
      <c r="F478" s="30">
        <v>2399999999</v>
      </c>
      <c r="G478" s="27">
        <v>233</v>
      </c>
    </row>
    <row r="479" spans="1:7" ht="90.75" thickBot="1" x14ac:dyDescent="0.3">
      <c r="A479" s="32"/>
      <c r="B479" s="31">
        <v>259</v>
      </c>
      <c r="C479" s="32" t="s">
        <v>551</v>
      </c>
      <c r="D479" s="32" t="s">
        <v>538</v>
      </c>
      <c r="E479" s="33">
        <v>22</v>
      </c>
      <c r="F479" s="30">
        <v>4141111111</v>
      </c>
      <c r="G479" s="31">
        <v>301</v>
      </c>
    </row>
    <row r="480" spans="1:7" ht="105.75" thickBot="1" x14ac:dyDescent="0.3">
      <c r="A480" s="28"/>
      <c r="B480" s="27">
        <v>274</v>
      </c>
      <c r="C480" s="28" t="s">
        <v>709</v>
      </c>
      <c r="D480" s="28" t="s">
        <v>561</v>
      </c>
      <c r="E480" s="29">
        <v>22</v>
      </c>
      <c r="F480" s="30">
        <v>6000000000</v>
      </c>
      <c r="G480" s="27">
        <v>316</v>
      </c>
    </row>
    <row r="481" spans="1:7" ht="105.75" thickBot="1" x14ac:dyDescent="0.3">
      <c r="A481" s="32"/>
      <c r="B481" s="31">
        <v>330</v>
      </c>
      <c r="C481" s="32" t="s">
        <v>697</v>
      </c>
      <c r="D481" s="32" t="s">
        <v>561</v>
      </c>
      <c r="E481" s="33">
        <v>22</v>
      </c>
      <c r="F481" s="30">
        <v>6057777777</v>
      </c>
      <c r="G481" s="31">
        <v>372</v>
      </c>
    </row>
    <row r="482" spans="1:7" ht="105.75" thickBot="1" x14ac:dyDescent="0.3">
      <c r="A482" s="28"/>
      <c r="B482" s="27">
        <v>342</v>
      </c>
      <c r="C482" s="28" t="s">
        <v>689</v>
      </c>
      <c r="D482" s="28" t="s">
        <v>559</v>
      </c>
      <c r="E482" s="29">
        <v>22</v>
      </c>
      <c r="F482" s="30">
        <v>6200111000</v>
      </c>
      <c r="G482" s="27">
        <v>384</v>
      </c>
    </row>
    <row r="483" spans="1:7" ht="75.75" thickBot="1" x14ac:dyDescent="0.3">
      <c r="A483" s="32"/>
      <c r="B483" s="31">
        <v>364</v>
      </c>
      <c r="C483" s="32" t="s">
        <v>517</v>
      </c>
      <c r="D483" s="32" t="s">
        <v>443</v>
      </c>
      <c r="E483" s="33">
        <v>22</v>
      </c>
      <c r="F483" s="30">
        <v>5532190988</v>
      </c>
      <c r="G483" s="31">
        <v>406</v>
      </c>
    </row>
    <row r="484" spans="1:7" ht="105.75" thickBot="1" x14ac:dyDescent="0.3">
      <c r="A484" s="28"/>
      <c r="B484" s="27">
        <v>136</v>
      </c>
      <c r="C484" s="28" t="s">
        <v>232</v>
      </c>
      <c r="D484" s="28" t="s">
        <v>126</v>
      </c>
      <c r="E484" s="29">
        <v>21</v>
      </c>
      <c r="F484" s="30">
        <v>2487999999</v>
      </c>
      <c r="G484" s="27">
        <v>178</v>
      </c>
    </row>
    <row r="485" spans="1:7" ht="105.75" thickBot="1" x14ac:dyDescent="0.3">
      <c r="A485" s="32"/>
      <c r="B485" s="31">
        <v>167</v>
      </c>
      <c r="C485" s="32" t="s">
        <v>260</v>
      </c>
      <c r="D485" s="32" t="s">
        <v>126</v>
      </c>
      <c r="E485" s="33">
        <v>21</v>
      </c>
      <c r="F485" s="30">
        <v>2488000000</v>
      </c>
      <c r="G485" s="31">
        <v>209</v>
      </c>
    </row>
    <row r="486" spans="1:7" ht="105.75" thickBot="1" x14ac:dyDescent="0.3">
      <c r="A486" s="28"/>
      <c r="B486" s="27">
        <v>170</v>
      </c>
      <c r="C486" s="28" t="s">
        <v>263</v>
      </c>
      <c r="D486" s="28" t="s">
        <v>126</v>
      </c>
      <c r="E486" s="29">
        <v>21</v>
      </c>
      <c r="F486" s="30">
        <v>2300999999</v>
      </c>
      <c r="G486" s="27">
        <v>212</v>
      </c>
    </row>
    <row r="487" spans="1:7" ht="90.75" thickBot="1" x14ac:dyDescent="0.3">
      <c r="A487" s="32"/>
      <c r="B487" s="31">
        <v>242</v>
      </c>
      <c r="C487" s="32" t="s">
        <v>536</v>
      </c>
      <c r="D487" s="32" t="s">
        <v>382</v>
      </c>
      <c r="E487" s="33">
        <v>21</v>
      </c>
      <c r="F487" s="30">
        <v>4629750000</v>
      </c>
      <c r="G487" s="31">
        <v>284</v>
      </c>
    </row>
    <row r="488" spans="1:7" ht="75.75" thickBot="1" x14ac:dyDescent="0.3">
      <c r="A488" s="28"/>
      <c r="B488" s="27">
        <v>254</v>
      </c>
      <c r="C488" s="28" t="s">
        <v>473</v>
      </c>
      <c r="D488" s="28" t="s">
        <v>472</v>
      </c>
      <c r="E488" s="29">
        <v>21</v>
      </c>
      <c r="F488" s="30">
        <v>5431000000</v>
      </c>
      <c r="G488" s="27">
        <v>296</v>
      </c>
    </row>
    <row r="489" spans="1:7" ht="105.75" thickBot="1" x14ac:dyDescent="0.3">
      <c r="A489" s="32"/>
      <c r="B489" s="31">
        <v>264</v>
      </c>
      <c r="C489" s="32" t="s">
        <v>548</v>
      </c>
      <c r="D489" s="32" t="s">
        <v>389</v>
      </c>
      <c r="E489" s="33">
        <v>21</v>
      </c>
      <c r="F489" s="30">
        <v>4538600000</v>
      </c>
      <c r="G489" s="31">
        <v>306</v>
      </c>
    </row>
    <row r="490" spans="1:7" ht="105.75" thickBot="1" x14ac:dyDescent="0.3">
      <c r="A490" s="28"/>
      <c r="B490" s="27">
        <v>307</v>
      </c>
      <c r="C490" s="28" t="s">
        <v>597</v>
      </c>
      <c r="D490" s="28" t="s">
        <v>559</v>
      </c>
      <c r="E490" s="29">
        <v>21</v>
      </c>
      <c r="F490" s="30">
        <v>6128888888</v>
      </c>
      <c r="G490" s="27">
        <v>349</v>
      </c>
    </row>
    <row r="491" spans="1:7" ht="75.75" thickBot="1" x14ac:dyDescent="0.3">
      <c r="A491" s="32"/>
      <c r="B491" s="31">
        <v>363</v>
      </c>
      <c r="C491" s="32" t="s">
        <v>671</v>
      </c>
      <c r="D491" s="32" t="s">
        <v>443</v>
      </c>
      <c r="E491" s="33">
        <v>21</v>
      </c>
      <c r="F491" s="30">
        <v>5385555555</v>
      </c>
      <c r="G491" s="31">
        <v>405</v>
      </c>
    </row>
    <row r="492" spans="1:7" ht="75.75" thickBot="1" x14ac:dyDescent="0.3">
      <c r="A492" s="28"/>
      <c r="B492" s="27">
        <v>368</v>
      </c>
      <c r="C492" s="28" t="s">
        <v>666</v>
      </c>
      <c r="D492" s="28" t="s">
        <v>461</v>
      </c>
      <c r="E492" s="29">
        <v>21</v>
      </c>
      <c r="F492" s="30">
        <v>5520009999</v>
      </c>
      <c r="G492" s="27">
        <v>410</v>
      </c>
    </row>
    <row r="493" spans="1:7" ht="75.75" thickBot="1" x14ac:dyDescent="0.3">
      <c r="A493" s="32"/>
      <c r="B493" s="31">
        <v>374</v>
      </c>
      <c r="C493" s="32" t="s">
        <v>474</v>
      </c>
      <c r="D493" s="32" t="s">
        <v>82</v>
      </c>
      <c r="E493" s="33">
        <v>21</v>
      </c>
      <c r="F493" s="30">
        <v>5286800000</v>
      </c>
      <c r="G493" s="31">
        <v>418</v>
      </c>
    </row>
    <row r="494" spans="1:7" ht="60.75" thickBot="1" x14ac:dyDescent="0.3">
      <c r="A494" s="28"/>
      <c r="B494" s="27">
        <v>406</v>
      </c>
      <c r="C494" s="28" t="s">
        <v>512</v>
      </c>
      <c r="D494" s="28" t="s">
        <v>413</v>
      </c>
      <c r="E494" s="29">
        <v>21</v>
      </c>
      <c r="F494" s="30">
        <v>4059999999</v>
      </c>
      <c r="G494" s="27">
        <v>450</v>
      </c>
    </row>
    <row r="495" spans="1:7" ht="90.75" thickBot="1" x14ac:dyDescent="0.3">
      <c r="A495" s="32"/>
      <c r="B495" s="31">
        <v>483</v>
      </c>
      <c r="C495" s="32" t="s">
        <v>433</v>
      </c>
      <c r="D495" s="32" t="s">
        <v>427</v>
      </c>
      <c r="E495" s="33">
        <v>21</v>
      </c>
      <c r="F495" s="30">
        <v>3955010001</v>
      </c>
      <c r="G495" s="31">
        <v>587</v>
      </c>
    </row>
    <row r="496" spans="1:7" ht="105.75" thickBot="1" x14ac:dyDescent="0.3">
      <c r="A496" s="28"/>
      <c r="B496" s="27">
        <v>83</v>
      </c>
      <c r="C496" s="28" t="s">
        <v>184</v>
      </c>
      <c r="D496" s="28" t="s">
        <v>126</v>
      </c>
      <c r="E496" s="29">
        <v>20</v>
      </c>
      <c r="F496" s="30">
        <v>2463999000</v>
      </c>
      <c r="G496" s="27">
        <v>125</v>
      </c>
    </row>
    <row r="497" spans="1:7" ht="105.75" thickBot="1" x14ac:dyDescent="0.3">
      <c r="A497" s="32"/>
      <c r="B497" s="31">
        <v>175</v>
      </c>
      <c r="C497" s="32" t="s">
        <v>268</v>
      </c>
      <c r="D497" s="32" t="s">
        <v>126</v>
      </c>
      <c r="E497" s="33">
        <v>20</v>
      </c>
      <c r="F497" s="30">
        <v>2301743200</v>
      </c>
      <c r="G497" s="31">
        <v>217</v>
      </c>
    </row>
    <row r="498" spans="1:7" ht="60.75" thickBot="1" x14ac:dyDescent="0.3">
      <c r="A498" s="28"/>
      <c r="B498" s="27">
        <v>245</v>
      </c>
      <c r="C498" s="28" t="s">
        <v>645</v>
      </c>
      <c r="D498" s="28" t="s">
        <v>129</v>
      </c>
      <c r="E498" s="29">
        <v>20</v>
      </c>
      <c r="F498" s="30">
        <v>5250000000</v>
      </c>
      <c r="G498" s="27">
        <v>287</v>
      </c>
    </row>
    <row r="499" spans="1:7" ht="105.75" thickBot="1" x14ac:dyDescent="0.3">
      <c r="A499" s="32"/>
      <c r="B499" s="31">
        <v>331</v>
      </c>
      <c r="C499" s="32" t="s">
        <v>705</v>
      </c>
      <c r="D499" s="32" t="s">
        <v>559</v>
      </c>
      <c r="E499" s="33">
        <v>20</v>
      </c>
      <c r="F499" s="30">
        <v>6100111000</v>
      </c>
      <c r="G499" s="31">
        <v>373</v>
      </c>
    </row>
    <row r="500" spans="1:7" ht="105.75" thickBot="1" x14ac:dyDescent="0.3">
      <c r="A500" s="42"/>
      <c r="B500" s="43">
        <v>236</v>
      </c>
      <c r="C500" s="42" t="s">
        <v>727</v>
      </c>
      <c r="D500" s="42" t="s">
        <v>469</v>
      </c>
      <c r="E500" s="44">
        <v>19</v>
      </c>
      <c r="F500" s="38">
        <v>6919999999</v>
      </c>
      <c r="G500" s="43">
        <v>278</v>
      </c>
    </row>
    <row r="501" spans="1:7" ht="105.75" thickBot="1" x14ac:dyDescent="0.3">
      <c r="B501" s="23">
        <v>514</v>
      </c>
      <c r="C501" s="24" t="s">
        <v>601</v>
      </c>
      <c r="D501" s="24" t="s">
        <v>559</v>
      </c>
      <c r="E501" s="25">
        <v>19</v>
      </c>
      <c r="F501" s="26">
        <v>5880000000</v>
      </c>
      <c r="G501" s="23">
        <v>624</v>
      </c>
    </row>
    <row r="502" spans="1:7" ht="105.75" thickBot="1" x14ac:dyDescent="0.3">
      <c r="A502" s="28"/>
      <c r="B502" s="27">
        <v>122</v>
      </c>
      <c r="C502" s="28" t="s">
        <v>221</v>
      </c>
      <c r="D502" s="28" t="s">
        <v>126</v>
      </c>
      <c r="E502" s="29">
        <v>18</v>
      </c>
      <c r="F502" s="30">
        <v>2411999999</v>
      </c>
      <c r="G502" s="27">
        <v>164</v>
      </c>
    </row>
    <row r="503" spans="1:7" ht="105.75" thickBot="1" x14ac:dyDescent="0.3">
      <c r="A503" s="32"/>
      <c r="B503" s="31">
        <v>168</v>
      </c>
      <c r="C503" s="32" t="s">
        <v>261</v>
      </c>
      <c r="D503" s="32" t="s">
        <v>126</v>
      </c>
      <c r="E503" s="33">
        <v>18</v>
      </c>
      <c r="F503" s="30">
        <v>2469000000</v>
      </c>
      <c r="G503" s="31">
        <v>210</v>
      </c>
    </row>
    <row r="504" spans="1:7" ht="60.75" thickBot="1" x14ac:dyDescent="0.3">
      <c r="A504" s="28"/>
      <c r="B504" s="27">
        <v>248</v>
      </c>
      <c r="C504" s="28" t="s">
        <v>648</v>
      </c>
      <c r="D504" s="28" t="s">
        <v>129</v>
      </c>
      <c r="E504" s="29">
        <v>18</v>
      </c>
      <c r="F504" s="30">
        <v>5156758000</v>
      </c>
      <c r="G504" s="27">
        <v>290</v>
      </c>
    </row>
    <row r="505" spans="1:7" ht="135.75" thickBot="1" x14ac:dyDescent="0.3">
      <c r="A505" s="32"/>
      <c r="B505" s="31">
        <v>269</v>
      </c>
      <c r="C505" s="32" t="s">
        <v>552</v>
      </c>
      <c r="D505" s="32" t="s">
        <v>515</v>
      </c>
      <c r="E505" s="33">
        <v>18</v>
      </c>
      <c r="F505" s="30">
        <v>4455550000</v>
      </c>
      <c r="G505" s="31">
        <v>311</v>
      </c>
    </row>
    <row r="506" spans="1:7" ht="75.75" thickBot="1" x14ac:dyDescent="0.3">
      <c r="A506" s="28"/>
      <c r="B506" s="27">
        <v>359</v>
      </c>
      <c r="C506" s="28" t="s">
        <v>518</v>
      </c>
      <c r="D506" s="28" t="s">
        <v>443</v>
      </c>
      <c r="E506" s="29">
        <v>18</v>
      </c>
      <c r="F506" s="30">
        <v>5710000000</v>
      </c>
      <c r="G506" s="27">
        <v>401</v>
      </c>
    </row>
    <row r="507" spans="1:7" ht="105.75" thickBot="1" x14ac:dyDescent="0.3">
      <c r="A507" s="32"/>
      <c r="B507" s="31">
        <v>241</v>
      </c>
      <c r="C507" s="32" t="s">
        <v>497</v>
      </c>
      <c r="D507" s="32" t="s">
        <v>373</v>
      </c>
      <c r="E507" s="33">
        <v>17</v>
      </c>
      <c r="F507" s="30">
        <v>4144444444</v>
      </c>
      <c r="G507" s="31">
        <v>283</v>
      </c>
    </row>
    <row r="508" spans="1:7" ht="105.75" thickBot="1" x14ac:dyDescent="0.3">
      <c r="A508" s="28"/>
      <c r="B508" s="27">
        <v>393</v>
      </c>
      <c r="C508" s="28" t="s">
        <v>488</v>
      </c>
      <c r="D508" s="28" t="s">
        <v>155</v>
      </c>
      <c r="E508" s="29">
        <v>17</v>
      </c>
      <c r="F508" s="34"/>
      <c r="G508" s="27">
        <v>437</v>
      </c>
    </row>
    <row r="509" spans="1:7" ht="105.75" thickBot="1" x14ac:dyDescent="0.3">
      <c r="A509" s="32"/>
      <c r="B509" s="31">
        <v>263</v>
      </c>
      <c r="C509" s="32" t="s">
        <v>509</v>
      </c>
      <c r="D509" s="32" t="s">
        <v>389</v>
      </c>
      <c r="E509" s="33">
        <v>16</v>
      </c>
      <c r="F509" s="30">
        <v>3856666666</v>
      </c>
      <c r="G509" s="31">
        <v>305</v>
      </c>
    </row>
    <row r="510" spans="1:7" ht="75.75" thickBot="1" x14ac:dyDescent="0.3">
      <c r="A510" s="28"/>
      <c r="B510" s="27">
        <v>271</v>
      </c>
      <c r="C510" s="28" t="s">
        <v>600</v>
      </c>
      <c r="D510" s="28" t="s">
        <v>449</v>
      </c>
      <c r="E510" s="29">
        <v>15</v>
      </c>
      <c r="F510" s="30">
        <v>4719999999</v>
      </c>
      <c r="G510" s="27">
        <v>313</v>
      </c>
    </row>
    <row r="511" spans="1:7" ht="105.75" thickBot="1" x14ac:dyDescent="0.3">
      <c r="A511" s="32"/>
      <c r="B511" s="31">
        <v>427</v>
      </c>
      <c r="C511" s="32" t="s">
        <v>137</v>
      </c>
      <c r="D511" s="32" t="s">
        <v>126</v>
      </c>
      <c r="E511" s="33">
        <v>15</v>
      </c>
      <c r="F511" s="30">
        <v>2495222000</v>
      </c>
      <c r="G511" s="31">
        <v>524</v>
      </c>
    </row>
    <row r="512" spans="1:7" ht="60.75" thickBot="1" x14ac:dyDescent="0.3">
      <c r="A512" s="28"/>
      <c r="B512" s="27">
        <v>416</v>
      </c>
      <c r="C512" s="28" t="s">
        <v>391</v>
      </c>
      <c r="D512" s="28" t="s">
        <v>323</v>
      </c>
      <c r="E512" s="29">
        <v>14</v>
      </c>
      <c r="F512" s="30">
        <v>3835001000</v>
      </c>
      <c r="G512" s="27">
        <v>513</v>
      </c>
    </row>
    <row r="513" spans="1:7" ht="105.75" thickBot="1" x14ac:dyDescent="0.3">
      <c r="A513" s="32"/>
      <c r="B513" s="31">
        <v>386</v>
      </c>
      <c r="C513" s="32" t="s">
        <v>541</v>
      </c>
      <c r="D513" s="32" t="s">
        <v>155</v>
      </c>
      <c r="E513" s="33">
        <v>13</v>
      </c>
      <c r="F513" s="30">
        <v>4209660000</v>
      </c>
      <c r="G513" s="31">
        <v>430</v>
      </c>
    </row>
    <row r="514" spans="1:7" ht="75.75" thickBot="1" x14ac:dyDescent="0.3">
      <c r="A514" s="28"/>
      <c r="B514" s="27">
        <v>380</v>
      </c>
      <c r="C514" s="28" t="s">
        <v>603</v>
      </c>
      <c r="D514" s="28" t="s">
        <v>82</v>
      </c>
      <c r="E514" s="29">
        <v>12</v>
      </c>
      <c r="F514" s="34"/>
      <c r="G514" s="27">
        <v>424</v>
      </c>
    </row>
    <row r="515" spans="1:7" ht="105.75" thickBot="1" x14ac:dyDescent="0.3">
      <c r="A515" s="32"/>
      <c r="B515" s="31">
        <v>428</v>
      </c>
      <c r="C515" s="32" t="s">
        <v>138</v>
      </c>
      <c r="D515" s="32" t="s">
        <v>126</v>
      </c>
      <c r="E515" s="33">
        <v>12</v>
      </c>
      <c r="F515" s="30">
        <v>2376777777</v>
      </c>
      <c r="G515" s="31">
        <v>525</v>
      </c>
    </row>
    <row r="516" spans="1:7" ht="90.75" thickBot="1" x14ac:dyDescent="0.3">
      <c r="A516" s="28"/>
      <c r="B516" s="27">
        <v>454</v>
      </c>
      <c r="C516" s="28" t="s">
        <v>146</v>
      </c>
      <c r="D516" s="28" t="s">
        <v>145</v>
      </c>
      <c r="E516" s="29">
        <v>12</v>
      </c>
      <c r="F516" s="30">
        <v>3459000000</v>
      </c>
      <c r="G516" s="27">
        <v>558</v>
      </c>
    </row>
    <row r="517" spans="1:7" ht="90.75" thickBot="1" x14ac:dyDescent="0.3">
      <c r="A517" s="32"/>
      <c r="B517" s="31">
        <v>456</v>
      </c>
      <c r="C517" s="32" t="s">
        <v>392</v>
      </c>
      <c r="D517" s="32" t="s">
        <v>385</v>
      </c>
      <c r="E517" s="33">
        <v>12</v>
      </c>
      <c r="F517" s="30">
        <v>3749000000</v>
      </c>
      <c r="G517" s="31">
        <v>560</v>
      </c>
    </row>
    <row r="518" spans="1:7" ht="105.75" thickBot="1" x14ac:dyDescent="0.3">
      <c r="A518" s="28"/>
      <c r="B518" s="27">
        <v>165</v>
      </c>
      <c r="C518" s="28" t="s">
        <v>158</v>
      </c>
      <c r="D518" s="28" t="s">
        <v>126</v>
      </c>
      <c r="E518" s="29">
        <v>11</v>
      </c>
      <c r="F518" s="30">
        <v>2299111111</v>
      </c>
      <c r="G518" s="27">
        <v>207</v>
      </c>
    </row>
    <row r="519" spans="1:7" ht="105.75" thickBot="1" x14ac:dyDescent="0.3">
      <c r="A519" s="32"/>
      <c r="B519" s="31">
        <v>194</v>
      </c>
      <c r="C519" s="32" t="s">
        <v>285</v>
      </c>
      <c r="D519" s="32" t="s">
        <v>126</v>
      </c>
      <c r="E519" s="33">
        <v>10</v>
      </c>
      <c r="F519" s="30">
        <v>2407777777</v>
      </c>
      <c r="G519" s="31">
        <v>236</v>
      </c>
    </row>
    <row r="520" spans="1:7" ht="105.75" thickBot="1" x14ac:dyDescent="0.3">
      <c r="A520" s="28"/>
      <c r="B520" s="27">
        <v>391</v>
      </c>
      <c r="C520" s="28" t="s">
        <v>530</v>
      </c>
      <c r="D520" s="28" t="s">
        <v>155</v>
      </c>
      <c r="E520" s="29">
        <v>10</v>
      </c>
      <c r="F520" s="30">
        <v>3750000000</v>
      </c>
      <c r="G520" s="27">
        <v>435</v>
      </c>
    </row>
    <row r="521" spans="1:7" ht="105.75" thickBot="1" x14ac:dyDescent="0.3">
      <c r="A521" s="32"/>
      <c r="B521" s="31">
        <v>426</v>
      </c>
      <c r="C521" s="32" t="s">
        <v>136</v>
      </c>
      <c r="D521" s="32" t="s">
        <v>126</v>
      </c>
      <c r="E521" s="33">
        <v>10</v>
      </c>
      <c r="F521" s="30">
        <v>2550999999</v>
      </c>
      <c r="G521" s="31">
        <v>523</v>
      </c>
    </row>
    <row r="522" spans="1:7" ht="105.75" thickBot="1" x14ac:dyDescent="0.3">
      <c r="A522" s="28"/>
      <c r="B522" s="27">
        <v>85</v>
      </c>
      <c r="C522" s="28" t="s">
        <v>186</v>
      </c>
      <c r="D522" s="28" t="s">
        <v>126</v>
      </c>
      <c r="E522" s="29">
        <v>9</v>
      </c>
      <c r="F522" s="30">
        <v>2427999000</v>
      </c>
      <c r="G522" s="27">
        <v>127</v>
      </c>
    </row>
    <row r="523" spans="1:7" ht="105.75" thickBot="1" x14ac:dyDescent="0.3">
      <c r="A523" s="32"/>
      <c r="B523" s="31">
        <v>265</v>
      </c>
      <c r="C523" s="32" t="s">
        <v>421</v>
      </c>
      <c r="D523" s="32" t="s">
        <v>155</v>
      </c>
      <c r="E523" s="33">
        <v>8</v>
      </c>
      <c r="F523" s="30">
        <v>3865959564</v>
      </c>
      <c r="G523" s="31">
        <v>307</v>
      </c>
    </row>
    <row r="524" spans="1:7" ht="75.75" thickBot="1" x14ac:dyDescent="0.3">
      <c r="A524" s="28"/>
      <c r="B524" s="27">
        <v>515</v>
      </c>
      <c r="C524" s="28" t="s">
        <v>117</v>
      </c>
      <c r="D524" s="28" t="s">
        <v>116</v>
      </c>
      <c r="E524" s="29">
        <v>8</v>
      </c>
      <c r="F524" s="30">
        <v>2850000000</v>
      </c>
      <c r="G524" s="27">
        <v>625</v>
      </c>
    </row>
    <row r="525" spans="1:7" ht="75.75" thickBot="1" x14ac:dyDescent="0.3">
      <c r="A525" s="32"/>
      <c r="B525" s="31">
        <v>516</v>
      </c>
      <c r="C525" s="32" t="s">
        <v>121</v>
      </c>
      <c r="D525" s="32" t="s">
        <v>116</v>
      </c>
      <c r="E525" s="33">
        <v>8</v>
      </c>
      <c r="F525" s="30">
        <v>2490000000</v>
      </c>
      <c r="G525" s="31">
        <v>626</v>
      </c>
    </row>
    <row r="526" spans="1:7" ht="90.75" thickBot="1" x14ac:dyDescent="0.3">
      <c r="A526" s="28"/>
      <c r="B526" s="27">
        <v>457</v>
      </c>
      <c r="C526" s="28" t="s">
        <v>388</v>
      </c>
      <c r="D526" s="28" t="s">
        <v>145</v>
      </c>
      <c r="E526" s="29">
        <v>7</v>
      </c>
      <c r="F526" s="30">
        <v>3626777777</v>
      </c>
      <c r="G526" s="27">
        <v>561</v>
      </c>
    </row>
    <row r="527" spans="1:7" ht="105.75" thickBot="1" x14ac:dyDescent="0.3">
      <c r="A527" s="32"/>
      <c r="B527" s="31">
        <v>425</v>
      </c>
      <c r="C527" s="32" t="s">
        <v>135</v>
      </c>
      <c r="D527" s="32" t="s">
        <v>126</v>
      </c>
      <c r="E527" s="33">
        <v>5</v>
      </c>
      <c r="F527" s="30">
        <v>2456000000</v>
      </c>
      <c r="G527" s="31">
        <v>522</v>
      </c>
    </row>
    <row r="528" spans="1:7" ht="75.75" thickBot="1" x14ac:dyDescent="0.3">
      <c r="A528" s="28"/>
      <c r="B528" s="27">
        <v>517</v>
      </c>
      <c r="C528" s="28" t="s">
        <v>125</v>
      </c>
      <c r="D528" s="28" t="s">
        <v>116</v>
      </c>
      <c r="E528" s="29">
        <v>5</v>
      </c>
      <c r="F528" s="30">
        <v>2774563000</v>
      </c>
      <c r="G528" s="27">
        <v>627</v>
      </c>
    </row>
    <row r="529" spans="1:7" ht="75.75" thickBot="1" x14ac:dyDescent="0.3">
      <c r="A529" s="32"/>
      <c r="B529" s="31">
        <v>481</v>
      </c>
      <c r="C529" s="32" t="s">
        <v>376</v>
      </c>
      <c r="D529" s="32" t="s">
        <v>375</v>
      </c>
      <c r="E529" s="33">
        <v>4</v>
      </c>
      <c r="F529" s="30">
        <v>3905000000</v>
      </c>
      <c r="G529" s="31">
        <v>585</v>
      </c>
    </row>
    <row r="530" spans="1:7" ht="75.75" thickBot="1" x14ac:dyDescent="0.3">
      <c r="A530" s="28"/>
      <c r="B530" s="27">
        <v>518</v>
      </c>
      <c r="C530" s="28" t="s">
        <v>783</v>
      </c>
      <c r="D530" s="28" t="s">
        <v>449</v>
      </c>
      <c r="E530" s="29">
        <v>2</v>
      </c>
      <c r="F530" s="30">
        <v>4319999999</v>
      </c>
      <c r="G530" s="27">
        <v>628</v>
      </c>
    </row>
    <row r="531" spans="1:7" ht="75.75" thickBot="1" x14ac:dyDescent="0.3">
      <c r="A531" s="32"/>
      <c r="B531" s="31">
        <v>519</v>
      </c>
      <c r="C531" s="32" t="s">
        <v>471</v>
      </c>
      <c r="D531" s="32" t="s">
        <v>82</v>
      </c>
      <c r="E531" s="33">
        <v>2</v>
      </c>
      <c r="F531" s="30">
        <v>4310500000</v>
      </c>
      <c r="G531" s="31">
        <v>629</v>
      </c>
    </row>
    <row r="532" spans="1:7" ht="15.75" thickBot="1" x14ac:dyDescent="0.3">
      <c r="A532" s="28"/>
    </row>
    <row r="533" spans="1:7" ht="15.75" thickBot="1" x14ac:dyDescent="0.3">
      <c r="A533" s="32"/>
    </row>
    <row r="534" spans="1:7" ht="15.75" thickBot="1" x14ac:dyDescent="0.3">
      <c r="A534" s="28"/>
    </row>
    <row r="535" spans="1:7" ht="15.75" thickBot="1" x14ac:dyDescent="0.3">
      <c r="A535" s="32"/>
    </row>
    <row r="536" spans="1:7" ht="15.75" thickBot="1" x14ac:dyDescent="0.3">
      <c r="A536" s="28"/>
    </row>
    <row r="537" spans="1:7" ht="15.75" thickBot="1" x14ac:dyDescent="0.3">
      <c r="A537" s="32"/>
    </row>
    <row r="538" spans="1:7" ht="15.75" thickBot="1" x14ac:dyDescent="0.3">
      <c r="A538" s="28"/>
    </row>
    <row r="539" spans="1:7" ht="15.75" thickBot="1" x14ac:dyDescent="0.3">
      <c r="A539" s="32"/>
    </row>
    <row r="540" spans="1:7" ht="15.75" thickBot="1" x14ac:dyDescent="0.3">
      <c r="A540" s="28"/>
    </row>
    <row r="541" spans="1:7" ht="15.75" thickBot="1" x14ac:dyDescent="0.3">
      <c r="A541" s="32"/>
    </row>
    <row r="542" spans="1:7" ht="15.75" thickBot="1" x14ac:dyDescent="0.3">
      <c r="A542" s="28"/>
    </row>
    <row r="543" spans="1:7" ht="15.75" thickBot="1" x14ac:dyDescent="0.3">
      <c r="A543" s="32"/>
    </row>
    <row r="544" spans="1:7" ht="15.75" thickBot="1" x14ac:dyDescent="0.3">
      <c r="A544" s="28"/>
    </row>
    <row r="545" spans="1:1" ht="15.75" thickBot="1" x14ac:dyDescent="0.3">
      <c r="A545" s="32"/>
    </row>
    <row r="546" spans="1:1" ht="15.75" thickBot="1" x14ac:dyDescent="0.3">
      <c r="A546" s="28"/>
    </row>
    <row r="547" spans="1:1" ht="15.75" thickBot="1" x14ac:dyDescent="0.3">
      <c r="A547" s="32"/>
    </row>
    <row r="548" spans="1:1" ht="15.75" thickBot="1" x14ac:dyDescent="0.3">
      <c r="A548" s="28"/>
    </row>
    <row r="549" spans="1:1" ht="15.75" thickBot="1" x14ac:dyDescent="0.3">
      <c r="A549" s="32"/>
    </row>
    <row r="550" spans="1:1" ht="15.75" thickBot="1" x14ac:dyDescent="0.3">
      <c r="A550" s="28"/>
    </row>
    <row r="551" spans="1:1" ht="15.75" thickBot="1" x14ac:dyDescent="0.3">
      <c r="A551" s="32"/>
    </row>
    <row r="552" spans="1:1" ht="15.75" thickBot="1" x14ac:dyDescent="0.3">
      <c r="A552" s="28"/>
    </row>
    <row r="553" spans="1:1" ht="15.75" thickBot="1" x14ac:dyDescent="0.3">
      <c r="A553" s="32"/>
    </row>
    <row r="554" spans="1:1" ht="15.75" thickBot="1" x14ac:dyDescent="0.3">
      <c r="A554" s="28"/>
    </row>
    <row r="555" spans="1:1" ht="15.75" thickBot="1" x14ac:dyDescent="0.3">
      <c r="A555" s="32"/>
    </row>
    <row r="556" spans="1:1" ht="15.75" thickBot="1" x14ac:dyDescent="0.3">
      <c r="A556" s="28"/>
    </row>
    <row r="557" spans="1:1" ht="15.75" thickBot="1" x14ac:dyDescent="0.3">
      <c r="A557" s="32"/>
    </row>
    <row r="558" spans="1:1" ht="15.75" thickBot="1" x14ac:dyDescent="0.3">
      <c r="A558" s="28"/>
    </row>
    <row r="559" spans="1:1" ht="15.75" thickBot="1" x14ac:dyDescent="0.3">
      <c r="A559" s="32"/>
    </row>
    <row r="560" spans="1:1" ht="15.75" thickBot="1" x14ac:dyDescent="0.3">
      <c r="A560" s="28"/>
    </row>
    <row r="561" spans="1:1" ht="15.75" thickBot="1" x14ac:dyDescent="0.3">
      <c r="A561" s="32"/>
    </row>
    <row r="562" spans="1:1" ht="15.75" thickBot="1" x14ac:dyDescent="0.3">
      <c r="A562" s="28"/>
    </row>
    <row r="563" spans="1:1" ht="15.75" thickBot="1" x14ac:dyDescent="0.3">
      <c r="A563" s="32"/>
    </row>
    <row r="564" spans="1:1" ht="15.75" thickBot="1" x14ac:dyDescent="0.3">
      <c r="A564" s="28"/>
    </row>
    <row r="565" spans="1:1" ht="15.75" thickBot="1" x14ac:dyDescent="0.3">
      <c r="A565" s="32"/>
    </row>
    <row r="566" spans="1:1" ht="15.75" thickBot="1" x14ac:dyDescent="0.3">
      <c r="A566" s="28"/>
    </row>
    <row r="567" spans="1:1" ht="15.75" thickBot="1" x14ac:dyDescent="0.3">
      <c r="A567" s="32"/>
    </row>
    <row r="568" spans="1:1" ht="15.75" thickBot="1" x14ac:dyDescent="0.3">
      <c r="A568" s="28"/>
    </row>
    <row r="569" spans="1:1" ht="15.75" thickBot="1" x14ac:dyDescent="0.3">
      <c r="A569" s="32"/>
    </row>
    <row r="570" spans="1:1" ht="15.75" thickBot="1" x14ac:dyDescent="0.3">
      <c r="A570" s="28"/>
    </row>
    <row r="571" spans="1:1" ht="15.75" thickBot="1" x14ac:dyDescent="0.3">
      <c r="A571" s="32"/>
    </row>
    <row r="572" spans="1:1" ht="15.75" thickBot="1" x14ac:dyDescent="0.3">
      <c r="A572" s="28"/>
    </row>
    <row r="573" spans="1:1" ht="15.75" thickBot="1" x14ac:dyDescent="0.3">
      <c r="A573" s="32"/>
    </row>
    <row r="574" spans="1:1" ht="15.75" thickBot="1" x14ac:dyDescent="0.3">
      <c r="A574" s="28"/>
    </row>
    <row r="575" spans="1:1" ht="15.75" thickBot="1" x14ac:dyDescent="0.3">
      <c r="A575" s="32"/>
    </row>
    <row r="576" spans="1:1" ht="15.75" thickBot="1" x14ac:dyDescent="0.3">
      <c r="A576" s="28"/>
    </row>
    <row r="577" spans="1:1" ht="15.75" thickBot="1" x14ac:dyDescent="0.3">
      <c r="A577" s="32"/>
    </row>
    <row r="578" spans="1:1" ht="15.75" thickBot="1" x14ac:dyDescent="0.3">
      <c r="A578" s="28"/>
    </row>
    <row r="579" spans="1:1" ht="15.75" thickBot="1" x14ac:dyDescent="0.3">
      <c r="A579" s="32"/>
    </row>
    <row r="580" spans="1:1" ht="15.75" thickBot="1" x14ac:dyDescent="0.3">
      <c r="A580" s="28"/>
    </row>
    <row r="581" spans="1:1" ht="15.75" thickBot="1" x14ac:dyDescent="0.3">
      <c r="A581" s="32"/>
    </row>
    <row r="582" spans="1:1" ht="15.75" thickBot="1" x14ac:dyDescent="0.3">
      <c r="A582" s="28"/>
    </row>
    <row r="583" spans="1:1" ht="15.75" thickBot="1" x14ac:dyDescent="0.3">
      <c r="A583" s="32"/>
    </row>
    <row r="584" spans="1:1" ht="15.75" thickBot="1" x14ac:dyDescent="0.3">
      <c r="A584" s="28"/>
    </row>
    <row r="585" spans="1:1" ht="15.75" thickBot="1" x14ac:dyDescent="0.3">
      <c r="A585" s="32"/>
    </row>
    <row r="586" spans="1:1" ht="15.75" thickBot="1" x14ac:dyDescent="0.3">
      <c r="A586" s="28"/>
    </row>
    <row r="587" spans="1:1" ht="15.75" thickBot="1" x14ac:dyDescent="0.3">
      <c r="A587" s="32"/>
    </row>
    <row r="588" spans="1:1" ht="15.75" thickBot="1" x14ac:dyDescent="0.3">
      <c r="A588" s="28"/>
    </row>
    <row r="589" spans="1:1" ht="15.75" thickBot="1" x14ac:dyDescent="0.3">
      <c r="A589" s="32"/>
    </row>
    <row r="590" spans="1:1" ht="15.75" thickBot="1" x14ac:dyDescent="0.3">
      <c r="A590" s="28"/>
    </row>
    <row r="591" spans="1:1" ht="15.75" thickBot="1" x14ac:dyDescent="0.3">
      <c r="A591" s="32"/>
    </row>
    <row r="592" spans="1:1" ht="15.75" thickBot="1" x14ac:dyDescent="0.3">
      <c r="A592" s="28"/>
    </row>
    <row r="593" spans="1:1" ht="15.75" thickBot="1" x14ac:dyDescent="0.3">
      <c r="A593" s="32"/>
    </row>
    <row r="594" spans="1:1" ht="15.75" thickBot="1" x14ac:dyDescent="0.3">
      <c r="A594" s="28"/>
    </row>
    <row r="595" spans="1:1" ht="15.75" thickBot="1" x14ac:dyDescent="0.3">
      <c r="A595" s="32"/>
    </row>
    <row r="596" spans="1:1" ht="15.75" thickBot="1" x14ac:dyDescent="0.3">
      <c r="A596" s="28"/>
    </row>
    <row r="597" spans="1:1" ht="15.75" thickBot="1" x14ac:dyDescent="0.3">
      <c r="A597" s="32"/>
    </row>
    <row r="598" spans="1:1" ht="15.75" thickBot="1" x14ac:dyDescent="0.3">
      <c r="A598" s="28"/>
    </row>
    <row r="599" spans="1:1" ht="15.75" thickBot="1" x14ac:dyDescent="0.3">
      <c r="A599" s="32"/>
    </row>
    <row r="600" spans="1:1" ht="15.75" thickBot="1" x14ac:dyDescent="0.3">
      <c r="A600" s="42"/>
    </row>
    <row r="601" spans="1:1" ht="15.75" thickBot="1" x14ac:dyDescent="0.3"/>
    <row r="602" spans="1:1" ht="15.75" thickBot="1" x14ac:dyDescent="0.3">
      <c r="A602" s="28"/>
    </row>
    <row r="603" spans="1:1" ht="15.75" thickBot="1" x14ac:dyDescent="0.3">
      <c r="A603" s="32"/>
    </row>
    <row r="604" spans="1:1" ht="15.75" thickBot="1" x14ac:dyDescent="0.3">
      <c r="A604" s="28"/>
    </row>
    <row r="605" spans="1:1" ht="15.75" thickBot="1" x14ac:dyDescent="0.3">
      <c r="A605" s="32"/>
    </row>
    <row r="606" spans="1:1" ht="15.75" thickBot="1" x14ac:dyDescent="0.3">
      <c r="A606" s="28"/>
    </row>
    <row r="607" spans="1:1" ht="15.75" thickBot="1" x14ac:dyDescent="0.3">
      <c r="A607" s="32"/>
    </row>
    <row r="608" spans="1:1" ht="15.75" thickBot="1" x14ac:dyDescent="0.3">
      <c r="A608" s="28"/>
    </row>
    <row r="609" spans="1:1" ht="15.75" thickBot="1" x14ac:dyDescent="0.3">
      <c r="A609" s="32"/>
    </row>
    <row r="610" spans="1:1" ht="15.75" thickBot="1" x14ac:dyDescent="0.3">
      <c r="A610" s="28"/>
    </row>
    <row r="611" spans="1:1" ht="15.75" thickBot="1" x14ac:dyDescent="0.3">
      <c r="A611" s="32"/>
    </row>
    <row r="612" spans="1:1" ht="15.75" thickBot="1" x14ac:dyDescent="0.3">
      <c r="A612" s="28"/>
    </row>
    <row r="613" spans="1:1" ht="15.75" thickBot="1" x14ac:dyDescent="0.3">
      <c r="A613" s="32"/>
    </row>
    <row r="614" spans="1:1" ht="15.75" thickBot="1" x14ac:dyDescent="0.3">
      <c r="A614" s="28"/>
    </row>
    <row r="615" spans="1:1" ht="15.75" thickBot="1" x14ac:dyDescent="0.3">
      <c r="A615" s="32"/>
    </row>
    <row r="616" spans="1:1" ht="15.75" thickBot="1" x14ac:dyDescent="0.3">
      <c r="A616" s="28"/>
    </row>
    <row r="617" spans="1:1" ht="15.75" thickBot="1" x14ac:dyDescent="0.3">
      <c r="A617" s="32"/>
    </row>
    <row r="618" spans="1:1" ht="15.75" thickBot="1" x14ac:dyDescent="0.3">
      <c r="A618" s="28"/>
    </row>
    <row r="619" spans="1:1" ht="15.75" thickBot="1" x14ac:dyDescent="0.3">
      <c r="A619" s="32"/>
    </row>
    <row r="620" spans="1:1" ht="15.75" thickBot="1" x14ac:dyDescent="0.3">
      <c r="A620" s="28"/>
    </row>
    <row r="621" spans="1:1" ht="15.75" thickBot="1" x14ac:dyDescent="0.3">
      <c r="A621" s="32"/>
    </row>
    <row r="622" spans="1:1" ht="15.75" thickBot="1" x14ac:dyDescent="0.3">
      <c r="A622" s="28"/>
    </row>
    <row r="623" spans="1:1" ht="15.75" thickBot="1" x14ac:dyDescent="0.3">
      <c r="A623" s="32"/>
    </row>
    <row r="624" spans="1:1" ht="15.75" thickBot="1" x14ac:dyDescent="0.3">
      <c r="A624" s="28"/>
    </row>
    <row r="625" spans="1:1" ht="15.75" thickBot="1" x14ac:dyDescent="0.3">
      <c r="A625" s="32"/>
    </row>
    <row r="626" spans="1:1" ht="15.75" thickBot="1" x14ac:dyDescent="0.3">
      <c r="A626" s="28"/>
    </row>
    <row r="627" spans="1:1" ht="15.75" thickBot="1" x14ac:dyDescent="0.3">
      <c r="A627" s="32"/>
    </row>
    <row r="628" spans="1:1" ht="15.75" thickBot="1" x14ac:dyDescent="0.3">
      <c r="A628" s="28"/>
    </row>
    <row r="629" spans="1:1" ht="15.75" thickBot="1" x14ac:dyDescent="0.3">
      <c r="A629" s="32"/>
    </row>
    <row r="630" spans="1:1" ht="15.75" thickBot="1" x14ac:dyDescent="0.3">
      <c r="A630" s="28"/>
    </row>
    <row r="631" spans="1:1" ht="15.75" thickBot="1" x14ac:dyDescent="0.3">
      <c r="A631" s="50"/>
    </row>
  </sheetData>
  <hyperlinks>
    <hyperlink ref="C1" r:id="rId1" display="https://auction.ikco.ir/auction/details/34?r=407" xr:uid="{A134C241-A652-4276-B46B-6BB8B4D49D1A}"/>
    <hyperlink ref="D1" r:id="rId2" display="https://auction.ikco.ir/auction/details/34?r=407" xr:uid="{DA8FD754-4E71-4D6B-B5C3-9B843CE722CA}"/>
    <hyperlink ref="A2" r:id="rId3" display="javascript:void(0)" xr:uid="{1E14E708-549D-442C-8737-2E38CD4C4264}"/>
    <hyperlink ref="C2" r:id="rId4" display="https://auction.ikco.ir/auction/details/34?r=411" xr:uid="{2E3EFDC8-A21F-4F36-AB9C-F661F44615F5}"/>
    <hyperlink ref="D2" r:id="rId5" display="https://auction.ikco.ir/auction/details/34?r=411" xr:uid="{1BCBB277-D2B1-4E2B-830D-74960D55F9AB}"/>
    <hyperlink ref="A3" r:id="rId6" display="javascript:void(0)" xr:uid="{F6F4441E-FA28-4FD9-88A5-062D153DFDDD}"/>
    <hyperlink ref="C3" r:id="rId7" display="https://auction.ikco.ir/auction/details/34?r=528" xr:uid="{91D5DCA4-A518-4C59-BC82-2A72D9DFD838}"/>
    <hyperlink ref="D3" r:id="rId8" display="https://auction.ikco.ir/auction/details/34?r=528" xr:uid="{18FC86DA-7E01-4EDC-8868-C041A03C19BA}"/>
    <hyperlink ref="A4" r:id="rId9" display="javascript:void(0)" xr:uid="{533192D2-6431-48AD-92AA-1476C83949E1}"/>
    <hyperlink ref="C4" r:id="rId10" display="https://auction.ikco.ir/auction/details/34?r=413" xr:uid="{E44A45C3-C991-4143-A240-46C3C4DEC022}"/>
    <hyperlink ref="D4" r:id="rId11" display="https://auction.ikco.ir/auction/details/34?r=413" xr:uid="{DC043C65-4F33-4137-AC9D-99694E15B4D7}"/>
    <hyperlink ref="A5" r:id="rId12" display="javascript:void(0)" xr:uid="{7767E0FC-4CCC-4280-8960-5EC57A01590D}"/>
    <hyperlink ref="C5" r:id="rId13" display="https://auction.ikco.ir/auction/details/34?r=431" xr:uid="{5E64F39F-C482-4B4C-A624-A41286117924}"/>
    <hyperlink ref="D5" r:id="rId14" display="https://auction.ikco.ir/auction/details/34?r=431" xr:uid="{444BCCA3-32DC-4248-87CB-158117631DF8}"/>
    <hyperlink ref="A6" r:id="rId15" display="javascript:void(0)" xr:uid="{D4C78F0F-6447-4040-8F62-1637B9BED223}"/>
    <hyperlink ref="C6" r:id="rId16" display="https://auction.ikco.ir/auction/details/34?r=469" xr:uid="{81212E9A-4C94-4249-B708-D2AEB7F02F88}"/>
    <hyperlink ref="D6" r:id="rId17" display="https://auction.ikco.ir/auction/details/34?r=469" xr:uid="{13F74853-47C7-41A5-9861-F0D6A1D61409}"/>
    <hyperlink ref="A7" r:id="rId18" display="javascript:void(0)" xr:uid="{FA72AB4D-2D06-4A22-A7B3-BA73EB561229}"/>
    <hyperlink ref="C7" r:id="rId19" display="https://auction.ikco.ir/auction/details/34?r=510" xr:uid="{75279462-3292-474D-ADBA-210F9011D878}"/>
    <hyperlink ref="D7" r:id="rId20" display="https://auction.ikco.ir/auction/details/34?r=510" xr:uid="{3CD212D8-668C-4759-A877-41007F9A145C}"/>
    <hyperlink ref="A8" r:id="rId21" display="javascript:void(0)" xr:uid="{A1A10A16-6603-4303-95FF-813376B9A641}"/>
    <hyperlink ref="C8" r:id="rId22" display="https://auction.ikco.ir/auction/details/34?r=479" xr:uid="{50DCF5BD-3113-4BFC-8A7C-9C16AF42925E}"/>
    <hyperlink ref="D8" r:id="rId23" display="https://auction.ikco.ir/auction/details/34?r=479" xr:uid="{38EAD71B-1F86-4245-9A90-0AED6F419237}"/>
    <hyperlink ref="A9" r:id="rId24" display="javascript:void(0)" xr:uid="{3796B310-8D2A-4A77-BB67-870963906DE6}"/>
    <hyperlink ref="C9" r:id="rId25" display="https://auction.ikco.ir/auction/details/34?r=480" xr:uid="{21FC56CC-C120-4561-92CF-E4AC5BDFC104}"/>
    <hyperlink ref="D9" r:id="rId26" display="https://auction.ikco.ir/auction/details/34?r=480" xr:uid="{D5517DB0-5DEC-4949-996A-B33D1A0D62AB}"/>
    <hyperlink ref="A10" r:id="rId27" display="javascript:void(0)" xr:uid="{1FEC5AA3-5FD7-4829-BBD9-BF98D39643AA}"/>
    <hyperlink ref="C10" r:id="rId28" display="https://auction.ikco.ir/auction/details/34?r=522" xr:uid="{C6E3E8D0-52A0-41B3-A3D7-29625139BFC2}"/>
    <hyperlink ref="D10" r:id="rId29" display="https://auction.ikco.ir/auction/details/34?r=522" xr:uid="{DF6E5093-1996-4C4B-954D-379F7C41D3AF}"/>
    <hyperlink ref="A11" r:id="rId30" display="javascript:void(0)" xr:uid="{075D60AD-BAB9-4E39-8A78-FA38B3BDD4D1}"/>
    <hyperlink ref="C11" r:id="rId31" display="https://auction.ikco.ir/auction/details/34?r=529" xr:uid="{68FBA4E6-2628-4B5A-9F7C-F23D292803AA}"/>
    <hyperlink ref="D11" r:id="rId32" display="https://auction.ikco.ir/auction/details/34?r=529" xr:uid="{991CC29B-56AB-4B50-8767-77C77DD0D949}"/>
    <hyperlink ref="A12" r:id="rId33" display="javascript:void(0)" xr:uid="{D3958F68-DA44-4B85-A213-10F81263707B}"/>
    <hyperlink ref="C12" r:id="rId34" display="https://auction.ikco.ir/auction/details/34?r=521" xr:uid="{D24860B2-BFD1-4F17-A87A-439199511702}"/>
    <hyperlink ref="D12" r:id="rId35" display="https://auction.ikco.ir/auction/details/34?r=521" xr:uid="{C417DD05-A7F6-43A0-9FA7-8A98DB56A205}"/>
    <hyperlink ref="A13" r:id="rId36" display="javascript:void(0)" xr:uid="{C57417AD-63D0-4561-9A86-79E1D875B4C6}"/>
    <hyperlink ref="C13" r:id="rId37" display="https://auction.ikco.ir/auction/details/34?r=527" xr:uid="{69627D5D-BA34-4FE8-ACEE-CE8454D79A8B}"/>
    <hyperlink ref="D13" r:id="rId38" display="https://auction.ikco.ir/auction/details/34?r=527" xr:uid="{7A823ED1-2815-4E94-9325-AE371711D22B}"/>
    <hyperlink ref="A14" r:id="rId39" display="javascript:void(0)" xr:uid="{AC20EBD6-2175-4138-88CF-6C87DC3B0467}"/>
    <hyperlink ref="C14" r:id="rId40" display="https://auction.ikco.ir/auction/details/34?r=531" xr:uid="{DE3987DC-9C4A-49D5-AC72-B63308BB5C3D}"/>
    <hyperlink ref="D14" r:id="rId41" display="https://auction.ikco.ir/auction/details/34?r=531" xr:uid="{343AF384-C83F-4196-8331-289FDF31C71E}"/>
    <hyperlink ref="A15" r:id="rId42" display="javascript:void(0)" xr:uid="{43154E75-6CF3-4DD4-A503-B043423524A3}"/>
    <hyperlink ref="C15" r:id="rId43" display="https://auction.ikco.ir/auction/details/34?r=525" xr:uid="{E2744B32-479A-455B-855C-B68F2410681C}"/>
    <hyperlink ref="D15" r:id="rId44" display="https://auction.ikco.ir/auction/details/34?r=525" xr:uid="{26E3B22B-8191-4CED-AC4D-447A4514B6B5}"/>
    <hyperlink ref="A16" r:id="rId45" display="javascript:void(0)" xr:uid="{BE7C6ED6-6084-4BAF-AB76-97A7D8E5261F}"/>
    <hyperlink ref="C16" r:id="rId46" display="https://auction.ikco.ir/auction/details/34?r=524" xr:uid="{4073D121-8B5D-4228-A4CB-44902BB110C7}"/>
    <hyperlink ref="D16" r:id="rId47" display="https://auction.ikco.ir/auction/details/34?r=524" xr:uid="{1D047D03-80BB-401D-BEB5-2A4468358DF3}"/>
    <hyperlink ref="A17" r:id="rId48" display="javascript:void(0)" xr:uid="{C0E9341A-444C-4162-8BA7-6FB0E809261D}"/>
    <hyperlink ref="C17" r:id="rId49" display="https://auction.ikco.ir/auction/details/34?r=526" xr:uid="{26082B6F-38CC-4151-8098-81DDFA24307F}"/>
    <hyperlink ref="D17" r:id="rId50" display="https://auction.ikco.ir/auction/details/34?r=526" xr:uid="{827456CA-0CCC-4FDE-95A4-B1C9B6EFCF2A}"/>
    <hyperlink ref="A18" r:id="rId51" display="javascript:void(0)" xr:uid="{9DD1786B-F23C-4389-996C-CF10811D58C6}"/>
    <hyperlink ref="C18" r:id="rId52" display="https://auction.ikco.ir/auction/details/34?r=474" xr:uid="{A803F8CE-8338-4310-8463-830BB0A56BDD}"/>
    <hyperlink ref="D18" r:id="rId53" display="https://auction.ikco.ir/auction/details/34?r=474" xr:uid="{949503D8-750A-424E-B78F-AF8650AC9A79}"/>
    <hyperlink ref="A19" r:id="rId54" display="javascript:void(0)" xr:uid="{4FE2E425-ADD0-4DA8-A052-AC3AFDA65759}"/>
    <hyperlink ref="C19" r:id="rId55" display="https://auction.ikco.ir/auction/details/34?r=530" xr:uid="{9BE92068-0E81-4EE0-A941-9C64489382A5}"/>
    <hyperlink ref="D19" r:id="rId56" display="https://auction.ikco.ir/auction/details/34?r=530" xr:uid="{3B08BF58-177C-4069-9F53-B2711567DFE5}"/>
    <hyperlink ref="A20" r:id="rId57" display="javascript:void(0)" xr:uid="{B1A05A56-47DB-41BC-ACF1-AC707120125F}"/>
    <hyperlink ref="C20" r:id="rId58" display="https://auction.ikco.ir/auction/details/34?r=478" xr:uid="{767BF9FD-A0CF-49D2-90EE-BF6264ABB404}"/>
    <hyperlink ref="D20" r:id="rId59" display="https://auction.ikco.ir/auction/details/34?r=478" xr:uid="{06BDBB49-81FE-4B82-BE36-4BA0D7081AB0}"/>
    <hyperlink ref="A21" r:id="rId60" display="javascript:void(0)" xr:uid="{01646841-4D67-4E12-8FEB-D785A8F36480}"/>
    <hyperlink ref="C21" r:id="rId61" display="https://auction.ikco.ir/auction/details/34?r=523" xr:uid="{6293D3DA-51E6-42D6-BB14-6A830BCBA9B6}"/>
    <hyperlink ref="D21" r:id="rId62" display="https://auction.ikco.ir/auction/details/34?r=523" xr:uid="{383E21D8-FFC8-4B65-95F3-81408F2CDAAF}"/>
    <hyperlink ref="A22" r:id="rId63" display="javascript:void(0)" xr:uid="{96EB1C06-397D-4A87-A86F-3BF4FC89D402}"/>
    <hyperlink ref="C22" r:id="rId64" display="https://auction.ikco.ir/auction/details/34?r=451" xr:uid="{76AC8EB1-462A-4FD4-9216-5E51FE3E1A46}"/>
    <hyperlink ref="D22" r:id="rId65" display="https://auction.ikco.ir/auction/details/34?r=451" xr:uid="{E3B56026-3E01-4639-999B-1F48F68FDA36}"/>
    <hyperlink ref="A23" r:id="rId66" display="javascript:void(0)" xr:uid="{A8753944-6E55-4ACD-BFB9-415FBB3F56C7}"/>
    <hyperlink ref="C23" r:id="rId67" display="https://auction.ikco.ir/auction/details/34?r=442" xr:uid="{F30FE9D8-9F50-4A2F-9C0E-D5F9E6349613}"/>
    <hyperlink ref="D23" r:id="rId68" display="https://auction.ikco.ir/auction/details/34?r=442" xr:uid="{EBC74CDA-E7C0-44C7-80DB-38C7983AA022}"/>
    <hyperlink ref="A24" r:id="rId69" display="javascript:void(0)" xr:uid="{18C031AE-88E1-4BA2-9AED-67F81DD98188}"/>
    <hyperlink ref="C24" r:id="rId70" display="https://auction.ikco.ir/auction/details/34?r=477" xr:uid="{226EA649-5B27-430D-8707-980554DC96EC}"/>
    <hyperlink ref="D24" r:id="rId71" display="https://auction.ikco.ir/auction/details/34?r=477" xr:uid="{C164F3C1-847C-4311-B55B-EBB3EE4545E5}"/>
    <hyperlink ref="A25" r:id="rId72" display="javascript:void(0)" xr:uid="{EA603D8E-D316-464C-B5C8-EB54350C1FBC}"/>
    <hyperlink ref="C25" r:id="rId73" display="https://auction.ikco.ir/auction/details/34?r=438" xr:uid="{0C86056C-2C9D-4FAC-B405-3FDD601CFDA9}"/>
    <hyperlink ref="D25" r:id="rId74" display="https://auction.ikco.ir/auction/details/34?r=438" xr:uid="{EC7985A3-9FF6-418C-8622-5328379D6561}"/>
    <hyperlink ref="A26" r:id="rId75" display="javascript:void(0)" xr:uid="{B32EBDBC-CA32-47FE-9219-E4237E5492F8}"/>
    <hyperlink ref="C26" r:id="rId76" display="https://auction.ikco.ir/auction/details/34?r=444" xr:uid="{365BDA3C-1A30-4491-BF4C-E99B6C172763}"/>
    <hyperlink ref="D26" r:id="rId77" display="https://auction.ikco.ir/auction/details/34?r=444" xr:uid="{CF321D67-4DAB-4225-B4D7-37C7D0C96CAE}"/>
    <hyperlink ref="A27" r:id="rId78" display="javascript:void(0)" xr:uid="{977710CA-6937-42AA-B0A4-2D8A54D2DF2E}"/>
    <hyperlink ref="C27" r:id="rId79" display="https://auction.ikco.ir/auction/details/34?r=418" xr:uid="{024C4ADB-C542-474D-88C0-1F246A290B52}"/>
    <hyperlink ref="D27" r:id="rId80" display="https://auction.ikco.ir/auction/details/34?r=418" xr:uid="{A7A9EE5A-D4EE-4CE7-AE32-477EFB70FC29}"/>
    <hyperlink ref="A28" r:id="rId81" display="javascript:void(0)" xr:uid="{63AD0018-70AD-46D5-B4E5-4144E8472CC8}"/>
    <hyperlink ref="C28" r:id="rId82" display="https://auction.ikco.ir/auction/details/34?r=452" xr:uid="{3CF63C81-BDEE-4C82-B35F-C341AD2BF43B}"/>
    <hyperlink ref="D28" r:id="rId83" display="https://auction.ikco.ir/auction/details/34?r=452" xr:uid="{E64A55EA-6A31-4DED-98D2-914D9901EEB2}"/>
    <hyperlink ref="A29" r:id="rId84" display="javascript:void(0)" xr:uid="{80E3E868-58DB-4493-BB93-95772F4E8C03}"/>
    <hyperlink ref="C29" r:id="rId85" display="https://auction.ikco.ir/auction/details/34?r=432" xr:uid="{CA686855-EF29-4ACD-8982-F5FE173F4EF0}"/>
    <hyperlink ref="D29" r:id="rId86" display="https://auction.ikco.ir/auction/details/34?r=432" xr:uid="{D13B54DA-7FC3-4372-9496-EE960C67A3FF}"/>
    <hyperlink ref="A30" r:id="rId87" display="javascript:void(0)" xr:uid="{81465B58-ED9B-4C26-9C7A-F6CA60941153}"/>
    <hyperlink ref="C30" r:id="rId88" display="https://auction.ikco.ir/auction/details/34?r=476" xr:uid="{9EBF102A-0ABD-4EEE-8AC9-42DA1CDD73C6}"/>
    <hyperlink ref="D30" r:id="rId89" display="https://auction.ikco.ir/auction/details/34?r=476" xr:uid="{DE428242-B123-4894-928D-52DDD3EE4FD7}"/>
    <hyperlink ref="A31" r:id="rId90" display="javascript:void(0)" xr:uid="{AFBC710E-3370-4E5F-8139-D0FF6F97C779}"/>
    <hyperlink ref="C31" r:id="rId91" display="https://auction.ikco.ir/auction/details/34?r=430" xr:uid="{98204874-1D2A-4BE0-AA38-8D528847CE0E}"/>
    <hyperlink ref="D31" r:id="rId92" display="https://auction.ikco.ir/auction/details/34?r=430" xr:uid="{99EC138F-B67C-4443-AA24-706333075A4E}"/>
    <hyperlink ref="A32" r:id="rId93" display="javascript:void(0)" xr:uid="{DAE245D0-1D37-4E13-A5A1-911284A1EF3A}"/>
    <hyperlink ref="C32" r:id="rId94" display="https://auction.ikco.ir/auction/details/34?r=433" xr:uid="{2538952B-A88B-42AC-8684-C8B1A9BB366D}"/>
    <hyperlink ref="D32" r:id="rId95" display="https://auction.ikco.ir/auction/details/34?r=433" xr:uid="{0DF85DB4-B2C9-4ABE-854E-1787834326E7}"/>
    <hyperlink ref="A33" r:id="rId96" display="javascript:void(0)" xr:uid="{F403806F-DE64-4A2A-AE77-CA81460BC638}"/>
    <hyperlink ref="C33" r:id="rId97" display="https://auction.ikco.ir/auction/details/34?r=462" xr:uid="{D77E4259-773A-4BC5-B656-147A3C73C69E}"/>
    <hyperlink ref="D33" r:id="rId98" display="https://auction.ikco.ir/auction/details/34?r=462" xr:uid="{BCA211F8-92FA-4823-8351-59C1B634C796}"/>
    <hyperlink ref="A34" r:id="rId99" display="javascript:void(0)" xr:uid="{0E6D1F32-8F6B-4F96-98F5-63C7EBDA4C89}"/>
    <hyperlink ref="C34" r:id="rId100" display="https://auction.ikco.ir/auction/details/34?r=435" xr:uid="{631B85C6-5903-40E1-821D-9535FE864B71}"/>
    <hyperlink ref="D34" r:id="rId101" display="https://auction.ikco.ir/auction/details/34?r=435" xr:uid="{8445F0EF-FC9A-4195-8F5C-491351049709}"/>
    <hyperlink ref="A35" r:id="rId102" display="javascript:void(0)" xr:uid="{8FC6CCA0-C584-4A7D-9CD7-1C79BEFF4BBA}"/>
    <hyperlink ref="C35" r:id="rId103" display="https://auction.ikco.ir/auction/details/34?r=491" xr:uid="{B53BB2B2-F5BD-46AC-9B4C-431CA924C04C}"/>
    <hyperlink ref="D35" r:id="rId104" display="https://auction.ikco.ir/auction/details/34?r=491" xr:uid="{D5068B9C-4B0C-43C4-BEE3-876F2217F834}"/>
    <hyperlink ref="A36" r:id="rId105" display="javascript:void(0)" xr:uid="{446485E7-4B05-4C90-8A16-D6C65C3B1119}"/>
    <hyperlink ref="C36" r:id="rId106" display="https://auction.ikco.ir/auction/details/34?r=440" xr:uid="{A83C8219-8E54-4846-A05B-89505D13A1AB}"/>
    <hyperlink ref="D36" r:id="rId107" display="https://auction.ikco.ir/auction/details/34?r=440" xr:uid="{1672C628-6D41-4DC2-8DDF-E86D569C93A3}"/>
    <hyperlink ref="A37" r:id="rId108" display="javascript:void(0)" xr:uid="{70E1E211-65EB-4E6A-A945-67215DC6371C}"/>
    <hyperlink ref="C37" r:id="rId109" display="https://auction.ikco.ir/auction/details/34?r=492" xr:uid="{889488E5-3BE4-41D7-A0C3-B66824998F6E}"/>
    <hyperlink ref="D37" r:id="rId110" display="https://auction.ikco.ir/auction/details/34?r=492" xr:uid="{3539A843-D6A9-4A74-822D-B62A56D56B7C}"/>
    <hyperlink ref="A38" r:id="rId111" display="javascript:void(0)" xr:uid="{9AF13ED7-AE74-447B-AD0E-25F868478910}"/>
    <hyperlink ref="C38" r:id="rId112" display="https://auction.ikco.ir/auction/details/34?r=429" xr:uid="{02A283DD-3307-4EB6-83F7-FA10F31C24E0}"/>
    <hyperlink ref="D38" r:id="rId113" display="https://auction.ikco.ir/auction/details/34?r=429" xr:uid="{3A337116-AA5C-436B-AAED-AAEE794C8B34}"/>
    <hyperlink ref="A39" r:id="rId114" display="javascript:void(0)" xr:uid="{E9F26A85-F064-4813-8BA8-BD3A7D1B7590}"/>
    <hyperlink ref="C39" r:id="rId115" display="https://auction.ikco.ir/auction/details/34?r=410" xr:uid="{24AC3564-AAD8-4AB6-B6E5-084F686A8E78}"/>
    <hyperlink ref="D39" r:id="rId116" display="https://auction.ikco.ir/auction/details/34?r=410" xr:uid="{F5DA77CA-9FF1-4BB2-9E26-F93F17F3D230}"/>
    <hyperlink ref="A40" r:id="rId117" display="javascript:void(0)" xr:uid="{E20DDF96-609C-47D6-859C-7A339AEE4659}"/>
    <hyperlink ref="C40" r:id="rId118" display="https://auction.ikco.ir/auction/details/34?r=412" xr:uid="{D0F0E365-A5C0-46A0-85A3-E14216833F21}"/>
    <hyperlink ref="D40" r:id="rId119" display="https://auction.ikco.ir/auction/details/34?r=412" xr:uid="{8A5D57A5-25E3-48CD-91BE-2CD70D4C6CC3}"/>
    <hyperlink ref="A41" r:id="rId120" display="javascript:void(0)" xr:uid="{4CB24DCB-1A8D-47EA-B490-42F064E2EE5F}"/>
    <hyperlink ref="C41" r:id="rId121" display="https://auction.ikco.ir/auction/details/34?r=475" xr:uid="{E097BDAB-A2BE-4755-891D-2B1757CA8AA5}"/>
    <hyperlink ref="D41" r:id="rId122" display="https://auction.ikco.ir/auction/details/34?r=475" xr:uid="{3977547C-3CDB-4558-9D73-D01822F661D6}"/>
    <hyperlink ref="A42" r:id="rId123" display="javascript:void(0)" xr:uid="{745CC55C-D37E-4409-A007-51982E501BFB}"/>
    <hyperlink ref="C42" r:id="rId124" display="https://auction.ikco.ir/auction/details/34?r=453" xr:uid="{11A2C518-C19E-490E-8D23-090EA4B55D8D}"/>
    <hyperlink ref="D42" r:id="rId125" display="https://auction.ikco.ir/auction/details/34?r=453" xr:uid="{6EC04E4A-2B7C-4839-AEA7-D1D7E2C12F9B}"/>
    <hyperlink ref="A43" r:id="rId126" display="javascript:void(0)" xr:uid="{6E21775D-DF7B-4E01-9DF6-BFB009BED1C6}"/>
    <hyperlink ref="C43" r:id="rId127" display="https://auction.ikco.ir/auction/details/34?r=473" xr:uid="{9FA6FEF2-984E-455A-B3B2-7A323631D7E6}"/>
    <hyperlink ref="D43" r:id="rId128" display="https://auction.ikco.ir/auction/details/34?r=473" xr:uid="{469CA927-03B2-4E7A-ADF2-718B3929201D}"/>
    <hyperlink ref="A44" r:id="rId129" display="javascript:void(0)" xr:uid="{8D6524F1-9ADA-4643-B725-D56ED09EF26B}"/>
    <hyperlink ref="C44" r:id="rId130" display="https://auction.ikco.ir/auction/details/34?r=439" xr:uid="{2178DAD2-A8B3-4195-BC29-C7C62AD086B8}"/>
    <hyperlink ref="D44" r:id="rId131" display="https://auction.ikco.ir/auction/details/34?r=439" xr:uid="{6D78523D-E781-42EA-A033-40AE9CEA5C57}"/>
    <hyperlink ref="A45" r:id="rId132" display="javascript:void(0)" xr:uid="{835F8456-634D-4179-B549-5CED03B8F3F1}"/>
    <hyperlink ref="C45" r:id="rId133" display="https://auction.ikco.ir/auction/details/34?r=408" xr:uid="{55049457-E05C-4E4F-AF4C-43791609B6D1}"/>
    <hyperlink ref="D45" r:id="rId134" display="https://auction.ikco.ir/auction/details/34?r=408" xr:uid="{7428B95E-7732-49F2-A026-8ECEC42DFD0A}"/>
    <hyperlink ref="A46" r:id="rId135" display="javascript:void(0)" xr:uid="{3FEB56CB-C035-4695-9418-6A8C8C159BFA}"/>
    <hyperlink ref="C46" r:id="rId136" display="https://auction.ikco.ir/auction/details/34?r=421" xr:uid="{447BBDB0-FF44-46CF-838B-A18F7AD2ABB7}"/>
    <hyperlink ref="D46" r:id="rId137" display="https://auction.ikco.ir/auction/details/34?r=421" xr:uid="{8EAFE3F4-D006-4201-B3F4-25BF64EA56A8}"/>
    <hyperlink ref="A47" r:id="rId138" display="javascript:void(0)" xr:uid="{31148D5E-1B50-4A2C-9003-84B27E49CC83}"/>
    <hyperlink ref="C47" r:id="rId139" display="https://auction.ikco.ir/auction/details/34?r=472" xr:uid="{7691CCAE-7EB4-4FDC-A7D1-BF74324412C8}"/>
    <hyperlink ref="D47" r:id="rId140" display="https://auction.ikco.ir/auction/details/34?r=472" xr:uid="{89C445A0-5F46-45EE-8E1A-2AEFD40130CD}"/>
    <hyperlink ref="A48" r:id="rId141" display="javascript:void(0)" xr:uid="{DC99961A-4066-4311-8E0E-C7EA01A238A5}"/>
    <hyperlink ref="C48" r:id="rId142" display="https://auction.ikco.ir/auction/details/34?r=445" xr:uid="{91349F40-608B-404C-9E54-31D952ED45CD}"/>
    <hyperlink ref="D48" r:id="rId143" display="https://auction.ikco.ir/auction/details/34?r=445" xr:uid="{514D63B2-921B-472F-BA0E-DC113732CFFD}"/>
    <hyperlink ref="A49" r:id="rId144" display="javascript:void(0)" xr:uid="{1DC649FC-8576-4745-AB85-C86CBA05825F}"/>
    <hyperlink ref="C49" r:id="rId145" display="https://auction.ikco.ir/auction/details/34?r=446" xr:uid="{761D74D9-EDE2-4E58-BDEA-02CBEEA69637}"/>
    <hyperlink ref="D49" r:id="rId146" display="https://auction.ikco.ir/auction/details/34?r=446" xr:uid="{5916457E-9A18-4F15-93D9-833B2FC4416B}"/>
    <hyperlink ref="A50" r:id="rId147" display="javascript:void(0)" xr:uid="{C6BF333D-55DC-40F6-873C-AD68317E5A6D}"/>
    <hyperlink ref="C50" r:id="rId148" display="https://auction.ikco.ir/auction/details/34?r=513" xr:uid="{BE308EAB-C969-45E0-8B97-3317D08DB2BD}"/>
    <hyperlink ref="D50" r:id="rId149" display="https://auction.ikco.ir/auction/details/34?r=513" xr:uid="{8D5401C6-2BED-46D6-A97C-8E1E3E5E73B3}"/>
    <hyperlink ref="A51" r:id="rId150" display="javascript:void(0)" xr:uid="{4803A2B7-358A-450D-AAF7-9D0C102F3CAA}"/>
    <hyperlink ref="C51" r:id="rId151" display="https://auction.ikco.ir/auction/details/34?r=436" xr:uid="{BCB51431-97F8-46C6-A47B-86A93C5135B5}"/>
    <hyperlink ref="D51" r:id="rId152" display="https://auction.ikco.ir/auction/details/34?r=436" xr:uid="{44FDC208-48D6-42AE-94C1-E4F8B26C636C}"/>
    <hyperlink ref="A52" r:id="rId153" display="javascript:void(0)" xr:uid="{3F0B845B-BC3B-4A51-BEC7-0D8B8DFAB2FC}"/>
    <hyperlink ref="C52" r:id="rId154" display="https://auction.ikco.ir/auction/details/34?r=415" xr:uid="{A2ADDA16-860C-45B3-B4F8-EC6983336D61}"/>
    <hyperlink ref="D52" r:id="rId155" display="https://auction.ikco.ir/auction/details/34?r=415" xr:uid="{3FA43B2A-7549-4015-A885-BFC8752E5460}"/>
    <hyperlink ref="A53" r:id="rId156" display="javascript:void(0)" xr:uid="{05280296-66C1-454D-8256-CA1ACCCB5477}"/>
    <hyperlink ref="C53" r:id="rId157" display="https://auction.ikco.ir/auction/details/34?r=447" xr:uid="{EB2B1958-7DC5-41AB-B784-9D331E821D98}"/>
    <hyperlink ref="D53" r:id="rId158" display="https://auction.ikco.ir/auction/details/34?r=447" xr:uid="{2066D98E-DBE9-4452-B120-4F5955CCF770}"/>
    <hyperlink ref="A54" r:id="rId159" display="javascript:void(0)" xr:uid="{B4077269-F13C-4019-869E-01BE5D961F89}"/>
    <hyperlink ref="C54" r:id="rId160" display="https://auction.ikco.ir/auction/details/34?r=471" xr:uid="{ACAF01B1-1B04-47CE-9ED9-5AC34C4AFD9F}"/>
    <hyperlink ref="D54" r:id="rId161" display="https://auction.ikco.ir/auction/details/34?r=471" xr:uid="{C5A38D3C-B1A3-4D10-B907-4C6D3905F4D8}"/>
    <hyperlink ref="A55" r:id="rId162" display="javascript:void(0)" xr:uid="{906BF57B-1560-41F2-9C8E-45C0349EFD95}"/>
    <hyperlink ref="C55" r:id="rId163" display="https://auction.ikco.ir/auction/details/34?r=420" xr:uid="{2954D108-A5EA-4B18-BD0E-1A23DA7D668E}"/>
    <hyperlink ref="D55" r:id="rId164" display="https://auction.ikco.ir/auction/details/34?r=420" xr:uid="{745C13D7-58A1-48E3-8D5D-0BB9047C9D08}"/>
    <hyperlink ref="A56" r:id="rId165" display="javascript:void(0)" xr:uid="{A2D22CA6-6D46-4224-9E90-5B60429BCC3C}"/>
    <hyperlink ref="C56" r:id="rId166" display="https://auction.ikco.ir/auction/details/34?r=449" xr:uid="{EE057B6F-A3C9-43F3-8353-4BB6D598B1C7}"/>
    <hyperlink ref="D56" r:id="rId167" display="https://auction.ikco.ir/auction/details/34?r=449" xr:uid="{F5B1B809-8092-43DC-8F7A-85F9E005B5F3}"/>
    <hyperlink ref="A57" r:id="rId168" display="javascript:void(0)" xr:uid="{A7A0FAE0-6C78-4E2D-B602-3F6EB92B87BB}"/>
    <hyperlink ref="C57" r:id="rId169" display="https://auction.ikco.ir/auction/details/34?r=443" xr:uid="{2D76F882-B96A-4BD5-85B9-99DC0EBBD91C}"/>
    <hyperlink ref="D57" r:id="rId170" display="https://auction.ikco.ir/auction/details/34?r=443" xr:uid="{72878B62-31AF-4EFA-9034-C9D5FCBAA542}"/>
    <hyperlink ref="A58" r:id="rId171" display="javascript:void(0)" xr:uid="{6224F480-3908-498B-8E66-836D293688C2}"/>
    <hyperlink ref="C58" r:id="rId172" display="https://auction.ikco.ir/auction/details/34?r=417" xr:uid="{B89AFE1B-47CF-4BCC-AD31-553F7779E46B}"/>
    <hyperlink ref="D58" r:id="rId173" display="https://auction.ikco.ir/auction/details/34?r=417" xr:uid="{F1248A2B-72E4-4CE8-9953-EBB233BE79A3}"/>
    <hyperlink ref="A59" r:id="rId174" display="javascript:void(0)" xr:uid="{BE64BEF8-C0BF-452D-B743-9BC7994C8457}"/>
    <hyperlink ref="C59" r:id="rId175" display="https://auction.ikco.ir/auction/details/34?r=422" xr:uid="{EBBF88BF-C74C-42C7-92E4-C21C45E79799}"/>
    <hyperlink ref="D59" r:id="rId176" display="https://auction.ikco.ir/auction/details/34?r=422" xr:uid="{62937B25-CA24-4716-99C8-0C1FC8BD0166}"/>
    <hyperlink ref="A60" r:id="rId177" display="javascript:void(0)" xr:uid="{22902B52-A1EB-461E-A485-6E179FB4D18F}"/>
    <hyperlink ref="C60" r:id="rId178" display="https://auction.ikco.ir/auction/details/34?r=437" xr:uid="{68DA958E-A4C8-4B6A-902B-73F9A5F10767}"/>
    <hyperlink ref="D60" r:id="rId179" display="https://auction.ikco.ir/auction/details/34?r=437" xr:uid="{3B2AB301-A07E-4ABE-888A-F0B507BF6399}"/>
    <hyperlink ref="A61" r:id="rId180" display="javascript:void(0)" xr:uid="{DC69FEAB-4AB3-49F0-8E16-DF4DD312CB49}"/>
    <hyperlink ref="C61" r:id="rId181" display="https://auction.ikco.ir/auction/details/34?r=470" xr:uid="{55AF45D4-B79E-4767-8630-80BA03BD4E3F}"/>
    <hyperlink ref="D61" r:id="rId182" display="https://auction.ikco.ir/auction/details/34?r=470" xr:uid="{0FC0F6C3-C11C-4F20-A5DD-1A136B2F15A0}"/>
    <hyperlink ref="A62" r:id="rId183" display="javascript:void(0)" xr:uid="{4D3C0CC0-2EF5-4977-8AD6-20033F0E1DCF}"/>
    <hyperlink ref="C62" r:id="rId184" display="https://auction.ikco.ir/auction/details/34?r=409" xr:uid="{939BDB77-D561-4D4C-A629-FE10F851EA38}"/>
    <hyperlink ref="D62" r:id="rId185" display="https://auction.ikco.ir/auction/details/34?r=409" xr:uid="{244A60F5-19FA-418E-8B5D-5038ADC13D2B}"/>
    <hyperlink ref="A63" r:id="rId186" display="javascript:void(0)" xr:uid="{BD5A9085-1398-4E0F-83A8-6995A75ABD3E}"/>
    <hyperlink ref="C63" r:id="rId187" display="https://auction.ikco.ir/auction/details/34?r=228" xr:uid="{A7860A9A-A43E-4942-B4E4-F1840E2C42DE}"/>
    <hyperlink ref="D63" r:id="rId188" display="https://auction.ikco.ir/auction/details/34?r=228" xr:uid="{A648EF2B-92BA-42BE-92BE-CDFF2A79A1CC}"/>
    <hyperlink ref="A64" r:id="rId189" display="javascript:void(0)" xr:uid="{D0190221-A326-47F7-96F7-768D60D08275}"/>
    <hyperlink ref="C64" r:id="rId190" display="https://auction.ikco.ir/auction/details/34?r=488" xr:uid="{362C0464-7DF7-4069-A655-C30560B1BAEA}"/>
    <hyperlink ref="D64" r:id="rId191" display="https://auction.ikco.ir/auction/details/34?r=488" xr:uid="{092A9DFD-B689-45F4-ABB9-AFC181FC360E}"/>
    <hyperlink ref="A65" r:id="rId192" display="javascript:void(0)" xr:uid="{44D7A1C7-0058-49E3-9606-039DF00391B0}"/>
    <hyperlink ref="C65" r:id="rId193" display="https://auction.ikco.ir/auction/details/34?r=370" xr:uid="{83963D4D-EF9A-437E-B3C1-11C95225B678}"/>
    <hyperlink ref="D65" r:id="rId194" display="https://auction.ikco.ir/auction/details/34?r=370" xr:uid="{14B0C03A-73C1-497D-8002-9446745902CB}"/>
    <hyperlink ref="A66" r:id="rId195" display="javascript:void(0)" xr:uid="{657CCB6E-6C22-4539-8D65-3C5DE197909B}"/>
    <hyperlink ref="C66" r:id="rId196" display="https://auction.ikco.ir/auction/details/34?r=487" xr:uid="{A16499E3-D1B3-4747-B5F5-6DA61B451B8A}"/>
    <hyperlink ref="D66" r:id="rId197" display="https://auction.ikco.ir/auction/details/34?r=487" xr:uid="{4CE4DD0A-ED3F-4D69-A119-5CD488FF3D11}"/>
    <hyperlink ref="A67" r:id="rId198" display="javascript:void(0)" xr:uid="{192314C6-A4D6-40AB-A751-EFE7EB0BD415}"/>
    <hyperlink ref="C67" r:id="rId199" display="https://auction.ikco.ir/auction/details/34?r=461" xr:uid="{DB7161C4-8FFD-4104-ADD0-202A8AA9B3A4}"/>
    <hyperlink ref="D67" r:id="rId200" display="https://auction.ikco.ir/auction/details/34?r=461" xr:uid="{E0CE6774-70DF-4F00-A6ED-41EC70F07A90}"/>
    <hyperlink ref="A68" r:id="rId201" display="javascript:void(0)" xr:uid="{7D61DE62-8D2B-4AA9-85FD-97E61D4F437E}"/>
    <hyperlink ref="C68" r:id="rId202" display="https://auction.ikco.ir/auction/details/34?r=464" xr:uid="{CDD681B0-5C03-4D58-ADC6-22B95E348472}"/>
    <hyperlink ref="D68" r:id="rId203" display="https://auction.ikco.ir/auction/details/34?r=464" xr:uid="{50B77CBB-3D7F-4323-8874-EB7B7A63EAD0}"/>
    <hyperlink ref="A69" r:id="rId204" display="javascript:void(0)" xr:uid="{DBBE4F04-3C82-4E9A-A249-18F34077EEA2}"/>
    <hyperlink ref="C69" r:id="rId205" display="https://auction.ikco.ir/auction/details/34?r=463" xr:uid="{59904D0D-B065-41C8-ACFC-008FD829EE43}"/>
    <hyperlink ref="D69" r:id="rId206" display="https://auction.ikco.ir/auction/details/34?r=463" xr:uid="{ABFD7AEC-EB85-4D0D-BD2D-5643E9D931F9}"/>
    <hyperlink ref="A70" r:id="rId207" display="javascript:void(0)" xr:uid="{06ECA094-AD2D-4F4B-B746-63C27B74C5D3}"/>
    <hyperlink ref="C70" r:id="rId208" display="https://auction.ikco.ir/auction/details/34?r=403" xr:uid="{287531B9-DD98-4EC2-9108-4440AFC468B1}"/>
    <hyperlink ref="D70" r:id="rId209" display="https://auction.ikco.ir/auction/details/34?r=403" xr:uid="{F9AAD592-820B-4B33-8D51-1F3A0CA8F6B5}"/>
    <hyperlink ref="A71" r:id="rId210" display="javascript:void(0)" xr:uid="{4869E7A2-5006-4377-8737-B1C359018FF3}"/>
    <hyperlink ref="C71" r:id="rId211" display="https://auction.ikco.ir/auction/details/34?r=376" xr:uid="{087280AF-89AB-45B4-A5EF-1FEDC04FE8C2}"/>
    <hyperlink ref="D71" r:id="rId212" display="https://auction.ikco.ir/auction/details/34?r=376" xr:uid="{1880A81B-DBDE-49B4-8ADF-AFE6341B505D}"/>
    <hyperlink ref="A72" r:id="rId213" display="javascript:void(0)" xr:uid="{BEDA4852-5E06-4C3C-917F-9EE92E4B695B}"/>
    <hyperlink ref="C72" r:id="rId214" display="https://auction.ikco.ir/auction/details/34?r=357" xr:uid="{FBEB3746-DB5B-418F-AA73-4E6275E5F3F4}"/>
    <hyperlink ref="D72" r:id="rId215" display="https://auction.ikco.ir/auction/details/34?r=357" xr:uid="{24140AD6-C103-42B0-9ECB-3C3CA140B1D6}"/>
    <hyperlink ref="A73" r:id="rId216" display="javascript:void(0)" xr:uid="{29E5078F-3E72-4B7E-9D60-B16E46B692D3}"/>
    <hyperlink ref="C73" r:id="rId217" display="https://auction.ikco.ir/auction/details/34?r=511" xr:uid="{09EB2C34-881F-4B52-A977-B8C8B5396EF0}"/>
    <hyperlink ref="D73" r:id="rId218" display="https://auction.ikco.ir/auction/details/34?r=511" xr:uid="{39DFD397-D2BF-4F60-B23F-FF7D3C95B2A6}"/>
    <hyperlink ref="A74" r:id="rId219" display="javascript:void(0)" xr:uid="{7F252E49-4C5B-4B58-8A40-1321F48BE05A}"/>
    <hyperlink ref="C74" r:id="rId220" display="https://auction.ikco.ir/auction/details/34?r=383" xr:uid="{A3C11372-9232-44DD-96A6-1FFCAAFFE3FB}"/>
    <hyperlink ref="D74" r:id="rId221" display="https://auction.ikco.ir/auction/details/34?r=383" xr:uid="{BEB7461B-E65B-47AC-AAC3-05A2AA1D4CEB}"/>
    <hyperlink ref="A75" r:id="rId222" display="javascript:void(0)" xr:uid="{01ED0B4D-6A96-44B6-A7AB-C9955B620578}"/>
    <hyperlink ref="C75" r:id="rId223" display="https://auction.ikco.ir/auction/details/34?r=424" xr:uid="{271E8EA4-9E6E-40BE-A809-9F4DB64B2727}"/>
    <hyperlink ref="D75" r:id="rId224" display="https://auction.ikco.ir/auction/details/34?r=424" xr:uid="{873B8985-8139-4670-B0A5-B748822B16B4}"/>
    <hyperlink ref="A76" r:id="rId225" display="javascript:void(0)" xr:uid="{300FE5A1-1B73-45B9-A519-400852E78DAF}"/>
    <hyperlink ref="C76" r:id="rId226" display="https://auction.ikco.ir/auction/details/34?r=450" xr:uid="{04C8DE80-3937-4699-AFF7-2B6B4A2C6B7B}"/>
    <hyperlink ref="D76" r:id="rId227" display="https://auction.ikco.ir/auction/details/34?r=450" xr:uid="{B26BD0B5-D7C8-4BCF-83FB-04DB2ADB9DC9}"/>
    <hyperlink ref="A77" r:id="rId228" display="javascript:void(0)" xr:uid="{A61CFB64-13DA-4859-954F-EDC0C326C1C3}"/>
    <hyperlink ref="C77" r:id="rId229" display="https://auction.ikco.ir/auction/details/34?r=396" xr:uid="{0E0225D2-A552-445E-9952-9A6B29D4FB5A}"/>
    <hyperlink ref="D77" r:id="rId230" display="https://auction.ikco.ir/auction/details/34?r=396" xr:uid="{6CE9BB60-8A81-49E0-8B86-3F34D46D5DEC}"/>
    <hyperlink ref="A78" r:id="rId231" display="javascript:void(0)" xr:uid="{EBBB9E47-14AC-4C18-BA61-AA0559E72521}"/>
    <hyperlink ref="C78" r:id="rId232" display="https://auction.ikco.ir/auction/details/34?r=441" xr:uid="{E3217B0B-55A6-4362-B058-0D3C6FA5393D}"/>
    <hyperlink ref="D78" r:id="rId233" display="https://auction.ikco.ir/auction/details/34?r=441" xr:uid="{B169B5A8-61EA-4B07-B9CF-91C3C95D76C0}"/>
    <hyperlink ref="A79" r:id="rId234" display="javascript:void(0)" xr:uid="{AB31ED6D-0202-4AAA-B3F1-6421B4AFD4F7}"/>
    <hyperlink ref="C79" r:id="rId235" display="https://auction.ikco.ir/auction/details/34?r=448" xr:uid="{8C4D9924-0587-419A-ADE6-92038F2E56CB}"/>
    <hyperlink ref="D79" r:id="rId236" display="https://auction.ikco.ir/auction/details/34?r=448" xr:uid="{021EBE62-F76A-4498-854E-C4D48D5FB26D}"/>
    <hyperlink ref="A80" r:id="rId237" display="javascript:void(0)" xr:uid="{345D27AE-AB9B-40B5-A0F0-4BA61372E07E}"/>
    <hyperlink ref="C80" r:id="rId238" display="https://auction.ikco.ir/auction/details/34?r=398" xr:uid="{25C0AEDD-4F97-4CE8-82EE-BC60E1D9D17F}"/>
    <hyperlink ref="D80" r:id="rId239" display="https://auction.ikco.ir/auction/details/34?r=398" xr:uid="{C6D0B389-8BD6-4E62-837F-CD60588D79B2}"/>
    <hyperlink ref="A81" r:id="rId240" display="javascript:void(0)" xr:uid="{D3B0A45A-620A-474F-A3F4-3CB810FA138B}"/>
    <hyperlink ref="C81" r:id="rId241" display="https://auction.ikco.ir/auction/details/34?r=414" xr:uid="{02862677-89BE-44CD-B307-EBE87966C8FE}"/>
    <hyperlink ref="D81" r:id="rId242" display="https://auction.ikco.ir/auction/details/34?r=414" xr:uid="{2AB8AA66-2C91-4770-A34B-E5351EBB5D88}"/>
    <hyperlink ref="A82" r:id="rId243" display="javascript:void(0)" xr:uid="{B5E864FD-8E0E-4C5C-9B2B-A890B3F9527A}"/>
    <hyperlink ref="C82" r:id="rId244" display="https://auction.ikco.ir/auction/details/34?r=256" xr:uid="{BD39B71B-0F47-4068-9755-9D6A571D0EEF}"/>
    <hyperlink ref="D82" r:id="rId245" display="https://auction.ikco.ir/auction/details/34?r=256" xr:uid="{D03FB455-5F43-4551-9A3C-95CA9305BC88}"/>
    <hyperlink ref="A83" r:id="rId246" display="javascript:void(0)" xr:uid="{B5BD6A4A-2DAA-40CF-AC57-239E59584A02}"/>
    <hyperlink ref="C83" r:id="rId247" display="https://auction.ikco.ir/auction/details/34?r=404" xr:uid="{B540A8DA-6C47-4985-8DCC-4213A5678DF7}"/>
    <hyperlink ref="D83" r:id="rId248" display="https://auction.ikco.ir/auction/details/34?r=404" xr:uid="{ADA162F7-12B7-4BAB-9F82-5601B0E28E3C}"/>
    <hyperlink ref="A84" r:id="rId249" display="javascript:void(0)" xr:uid="{CC1EECC1-8475-4031-AD74-1A549747D500}"/>
    <hyperlink ref="C84" r:id="rId250" display="https://auction.ikco.ir/auction/details/34?r=399" xr:uid="{531E1C3B-6E0E-46DB-8876-7967668A49C7}"/>
    <hyperlink ref="D84" r:id="rId251" display="https://auction.ikco.ir/auction/details/34?r=399" xr:uid="{DE0E133A-A854-4D05-A6EA-5A984DB5BC25}"/>
    <hyperlink ref="A85" r:id="rId252" display="javascript:void(0)" xr:uid="{C8A59AAE-2683-4ADF-B848-0A17D4265B73}"/>
    <hyperlink ref="C85" r:id="rId253" display="https://auction.ikco.ir/auction/details/34?r=400" xr:uid="{095CF1AB-977B-4B95-BF7E-9BE69B1383F7}"/>
    <hyperlink ref="D85" r:id="rId254" display="https://auction.ikco.ir/auction/details/34?r=400" xr:uid="{7E7DB72D-F39F-4F7E-8311-217C07FDECC6}"/>
    <hyperlink ref="A86" r:id="rId255" display="javascript:void(0)" xr:uid="{70E66648-FB55-4D16-B502-5F3D79147A82}"/>
    <hyperlink ref="C86" r:id="rId256" display="https://auction.ikco.ir/auction/details/34?r=466" xr:uid="{C876D1E2-5141-4738-BAFF-D6F86E9A04E0}"/>
    <hyperlink ref="D86" r:id="rId257" display="https://auction.ikco.ir/auction/details/34?r=466" xr:uid="{E9A89943-6C35-47CE-A816-7018F14913DD}"/>
    <hyperlink ref="A87" r:id="rId258" display="javascript:void(0)" xr:uid="{87D07997-2A13-4E36-95FE-B18769C1BC73}"/>
    <hyperlink ref="C87" r:id="rId259" display="https://auction.ikco.ir/auction/details/34?r=489" xr:uid="{A14B5D53-870C-4542-AD9A-7C8551ECB515}"/>
    <hyperlink ref="D87" r:id="rId260" display="https://auction.ikco.ir/auction/details/34?r=489" xr:uid="{7539DECB-BE27-4371-A243-DCB8AF6F3576}"/>
    <hyperlink ref="A88" r:id="rId261" display="javascript:void(0)" xr:uid="{41FBCFC1-EE37-4EC0-A6B9-B815356082A6}"/>
    <hyperlink ref="C88" r:id="rId262" display="https://auction.ikco.ir/auction/details/34?r=401" xr:uid="{8BFA0F2A-8F6C-47BB-9C45-57299DE838F3}"/>
    <hyperlink ref="D88" r:id="rId263" display="https://auction.ikco.ir/auction/details/34?r=401" xr:uid="{59F206A5-02CF-4724-B811-E63419A7EEFD}"/>
    <hyperlink ref="A89" r:id="rId264" display="javascript:void(0)" xr:uid="{73E7B3CD-7329-47B5-97E5-0D7E99DBA8C4}"/>
    <hyperlink ref="C89" r:id="rId265" display="https://auction.ikco.ir/auction/details/34?r=384" xr:uid="{598FDFCA-B6DC-4DAA-A65D-DFF276A49113}"/>
    <hyperlink ref="D89" r:id="rId266" display="https://auction.ikco.ir/auction/details/34?r=384" xr:uid="{6C75F451-F026-4E8A-A2CE-A104C4B1CD39}"/>
    <hyperlink ref="A90" r:id="rId267" display="javascript:void(0)" xr:uid="{C8EC988E-5297-4B30-B72E-F22F3FF7A631}"/>
    <hyperlink ref="C90" r:id="rId268" display="https://auction.ikco.ir/auction/details/34?r=485" xr:uid="{12962AD7-B7A8-44F8-833D-27FA4E35DA63}"/>
    <hyperlink ref="D90" r:id="rId269" display="https://auction.ikco.ir/auction/details/34?r=485" xr:uid="{D4A8AAD9-33BE-4391-9838-375EA6B473CA}"/>
    <hyperlink ref="A91" r:id="rId270" display="javascript:void(0)" xr:uid="{F2149D17-3FF2-4C11-8988-59D1F45B1D82}"/>
    <hyperlink ref="C91" r:id="rId271" display="https://auction.ikco.ir/auction/details/34?r=324" xr:uid="{B13ADE85-99D7-42D6-890B-26555F5D83C7}"/>
    <hyperlink ref="D91" r:id="rId272" display="https://auction.ikco.ir/auction/details/34?r=324" xr:uid="{44B1CD5F-A76F-4773-AB32-0E58FFE5E165}"/>
    <hyperlink ref="A92" r:id="rId273" display="javascript:void(0)" xr:uid="{4FCE7D7E-DD8C-4C04-9F83-B964FE7D865F}"/>
    <hyperlink ref="C92" r:id="rId274" display="https://auction.ikco.ir/auction/details/34?r=317" xr:uid="{125752CD-4A3C-4D35-A70B-191897F84433}"/>
    <hyperlink ref="D92" r:id="rId275" display="https://auction.ikco.ir/auction/details/34?r=317" xr:uid="{135442D3-268B-48C0-9693-F31227A3F3BE}"/>
    <hyperlink ref="A93" r:id="rId276" display="javascript:void(0)" xr:uid="{21683D46-AED8-48F1-8CCD-62DE3F87E723}"/>
    <hyperlink ref="C93" r:id="rId277" display="https://auction.ikco.ir/auction/details/34?r=354" xr:uid="{D2A2B4E3-43DA-4D6D-B5CE-1E28596139E5}"/>
    <hyperlink ref="D93" r:id="rId278" display="https://auction.ikco.ir/auction/details/34?r=354" xr:uid="{93F167A0-7610-4740-8175-F3D22790D639}"/>
    <hyperlink ref="A94" r:id="rId279" display="javascript:void(0)" xr:uid="{7DD68B39-B53B-4006-9FB0-B9286E8F5B63}"/>
    <hyperlink ref="C94" r:id="rId280" display="https://auction.ikco.ir/auction/details/34?r=486" xr:uid="{9E78D1C3-7126-4274-A430-E341DAE0B827}"/>
    <hyperlink ref="D94" r:id="rId281" display="https://auction.ikco.ir/auction/details/34?r=486" xr:uid="{359FD3B2-C5B8-4454-9F37-5091E051C175}"/>
    <hyperlink ref="A95" r:id="rId282" display="javascript:void(0)" xr:uid="{A9617CAB-E5DB-4BFE-9803-96599BFF8866}"/>
    <hyperlink ref="C95" r:id="rId283" display="https://auction.ikco.ir/auction/details/34?r=313" xr:uid="{CAEED538-C7E5-4A22-A261-7B7D3AE3DEE3}"/>
    <hyperlink ref="D95" r:id="rId284" display="https://auction.ikco.ir/auction/details/34?r=313" xr:uid="{F5A8F4CE-51EE-4E33-A420-285D9645171F}"/>
    <hyperlink ref="A96" r:id="rId285" display="javascript:void(0)" xr:uid="{61E60259-9EF6-4AB8-A3A1-77076AB869CB}"/>
    <hyperlink ref="C96" r:id="rId286" display="https://auction.ikco.ir/auction/details/34?r=251" xr:uid="{8A47CF19-065A-4233-85A7-F992C78F34E8}"/>
    <hyperlink ref="D96" r:id="rId287" display="https://auction.ikco.ir/auction/details/34?r=251" xr:uid="{70110495-4ABD-4CF9-8A4B-C778D930CE7A}"/>
    <hyperlink ref="A97" r:id="rId288" display="javascript:void(0)" xr:uid="{C0AA903F-91C1-4153-B436-B911A3AA8CB8}"/>
    <hyperlink ref="C97" r:id="rId289" display="https://auction.ikco.ir/auction/details/34?r=300" xr:uid="{4EB23DF2-7DE3-458E-8CC0-F90A195DC2D2}"/>
    <hyperlink ref="D97" r:id="rId290" display="https://auction.ikco.ir/auction/details/34?r=300" xr:uid="{BB8F82B0-733E-4FCA-8B06-583307061B3B}"/>
    <hyperlink ref="A98" r:id="rId291" display="javascript:void(0)" xr:uid="{A21FF904-2F2D-4635-B8D7-24811CB799C5}"/>
    <hyperlink ref="C98" r:id="rId292" display="https://auction.ikco.ir/auction/details/34?r=390" xr:uid="{A9FD5C7F-5461-4A87-B094-64632E369912}"/>
    <hyperlink ref="D98" r:id="rId293" display="https://auction.ikco.ir/auction/details/34?r=390" xr:uid="{839BC1AF-A883-45F1-B531-896AB8082C1C}"/>
    <hyperlink ref="A99" r:id="rId294" display="javascript:void(0)" xr:uid="{001F6ED8-4F33-4A17-8C7A-33A3AF15BD8C}"/>
    <hyperlink ref="C99" r:id="rId295" display="https://auction.ikco.ir/auction/details/34?r=482" xr:uid="{1CF34724-2175-4A03-9AB8-009BA12BE140}"/>
    <hyperlink ref="D99" r:id="rId296" display="https://auction.ikco.ir/auction/details/34?r=482" xr:uid="{D31C19E9-6298-42C1-99C8-61D2EBF7B05B}"/>
    <hyperlink ref="A100" r:id="rId297" display="javascript:void(0)" xr:uid="{3FB8A08E-0C8A-48AE-80F1-F7AEBCDCAD3A}"/>
    <hyperlink ref="C100" r:id="rId298" display="https://auction.ikco.ir/auction/details/34?r=394" xr:uid="{EF497394-83A5-49E2-8AA4-7A9648C46C9A}"/>
    <hyperlink ref="D100" r:id="rId299" display="https://auction.ikco.ir/auction/details/34?r=394" xr:uid="{E2A844A2-0A39-4235-9303-D534D84BE18F}"/>
    <hyperlink ref="C101" r:id="rId300" display="https://auction.ikco.ir/auction/details/34?r=261" xr:uid="{A24E6F04-2FB2-4710-87F9-6BF49AC0126B}"/>
    <hyperlink ref="D101" r:id="rId301" display="https://auction.ikco.ir/auction/details/34?r=261" xr:uid="{C8EC8645-8942-4770-BC7A-9A6029C42737}"/>
    <hyperlink ref="A102" r:id="rId302" display="javascript:void(0)" xr:uid="{D0793E8B-C961-43C0-A7A4-10706514E1C3}"/>
    <hyperlink ref="C102" r:id="rId303" display="https://auction.ikco.ir/auction/details/34?r=387" xr:uid="{23309345-5CBA-4BB0-9D7F-BE5C09C9D64E}"/>
    <hyperlink ref="D102" r:id="rId304" display="https://auction.ikco.ir/auction/details/34?r=387" xr:uid="{5A5E68EB-88B5-42C7-A0B7-C166CF61FD54}"/>
    <hyperlink ref="A103" r:id="rId305" display="javascript:void(0)" xr:uid="{6A7C5EA5-B4C0-4FDE-919B-BFA262B71C55}"/>
    <hyperlink ref="C103" r:id="rId306" display="https://auction.ikco.ir/auction/details/34?r=270" xr:uid="{944CE191-78A4-4500-A452-25279934A02B}"/>
    <hyperlink ref="D103" r:id="rId307" display="https://auction.ikco.ir/auction/details/34?r=270" xr:uid="{FE73B415-11BA-41AB-BBA8-4F4E3836019F}"/>
    <hyperlink ref="A104" r:id="rId308" display="javascript:void(0)" xr:uid="{7CBF0418-0E34-4486-8FC4-EEB8890ACD35}"/>
    <hyperlink ref="C104" r:id="rId309" display="https://auction.ikco.ir/auction/details/34?r=382" xr:uid="{B30F13F2-629D-48C9-9C0D-04E36A10F089}"/>
    <hyperlink ref="D104" r:id="rId310" display="https://auction.ikco.ir/auction/details/34?r=382" xr:uid="{BBFD0C4F-7F3C-4EF0-9E81-ED5957C2394B}"/>
    <hyperlink ref="A105" r:id="rId311" display="javascript:void(0)" xr:uid="{67C3C1C6-906A-4FFF-9388-FA110802A656}"/>
    <hyperlink ref="C105" r:id="rId312" display="https://auction.ikco.ir/auction/details/34?r=378" xr:uid="{06C648E0-1024-4AFC-AEBA-84A45FD692A7}"/>
    <hyperlink ref="D105" r:id="rId313" display="https://auction.ikco.ir/auction/details/34?r=378" xr:uid="{BBF0935C-CD45-4842-8E47-BC54784D45C5}"/>
    <hyperlink ref="A106" r:id="rId314" display="javascript:void(0)" xr:uid="{7165863A-B84A-4F5B-823B-291B68D90FF1}"/>
    <hyperlink ref="C106" r:id="rId315" display="https://auction.ikco.ir/auction/details/34?r=332" xr:uid="{8DCBE8E7-7AB5-49CF-B86A-7725DED0E45E}"/>
    <hyperlink ref="D106" r:id="rId316" display="https://auction.ikco.ir/auction/details/34?r=332" xr:uid="{2AAC9C37-47CC-4085-B232-517C6F45E61D}"/>
    <hyperlink ref="A107" r:id="rId317" display="javascript:void(0)" xr:uid="{6380DD29-8F13-4C84-BA59-B6056B5CF57B}"/>
    <hyperlink ref="C107" r:id="rId318" display="https://auction.ikco.ir/auction/details/34?r=314" xr:uid="{2BDE1840-0D1D-4992-8FC5-0C2E164E90C6}"/>
    <hyperlink ref="D107" r:id="rId319" display="https://auction.ikco.ir/auction/details/34?r=314" xr:uid="{70D0446D-FF92-40CB-A94D-B4AA95805AC9}"/>
    <hyperlink ref="A108" r:id="rId320" display="javascript:void(0)" xr:uid="{CEE0A777-D444-46D2-A020-C8DE44A325B1}"/>
    <hyperlink ref="C108" r:id="rId321" display="https://auction.ikco.ir/auction/details/34?r=311" xr:uid="{B78DCC4B-CD43-4EC1-9872-E071C5E1346B}"/>
    <hyperlink ref="D108" r:id="rId322" display="https://auction.ikco.ir/auction/details/34?r=311" xr:uid="{5A94F500-D11D-458C-8E15-BB432A864AAB}"/>
    <hyperlink ref="A109" r:id="rId323" display="javascript:void(0)" xr:uid="{6171B504-F908-4681-88D0-9A2D119D30AB}"/>
    <hyperlink ref="C109" r:id="rId324" display="https://auction.ikco.ir/auction/details/34?r=512" xr:uid="{B99DB5A1-BF2F-4A04-93AB-986CBECE38B9}"/>
    <hyperlink ref="D109" r:id="rId325" display="https://auction.ikco.ir/auction/details/34?r=512" xr:uid="{AF1193B7-082A-4FB7-B113-66B741CBBE90}"/>
    <hyperlink ref="A110" r:id="rId326" display="javascript:void(0)" xr:uid="{97AE5BAC-8F56-4480-B436-3E3B69F749E0}"/>
    <hyperlink ref="C110" r:id="rId327" display="https://auction.ikco.ir/auction/details/34?r=295" xr:uid="{6098B378-7B0D-4256-9DF2-E6FA0CBC0C73}"/>
    <hyperlink ref="D110" r:id="rId328" display="https://auction.ikco.ir/auction/details/34?r=295" xr:uid="{70C8EDEB-8E68-4ABB-83C1-21E8099265DC}"/>
    <hyperlink ref="A111" r:id="rId329" display="javascript:void(0)" xr:uid="{C7EA4727-3CCE-4561-B8AA-2286ADCEE01C}"/>
    <hyperlink ref="C111" r:id="rId330" display="https://auction.ikco.ir/auction/details/34?r=490" xr:uid="{A49FEFDC-87D4-4502-8F51-C739EFF60CB4}"/>
    <hyperlink ref="D111" r:id="rId331" display="https://auction.ikco.ir/auction/details/34?r=490" xr:uid="{C33B1FBB-EF83-46A6-88CE-144244716671}"/>
    <hyperlink ref="A112" r:id="rId332" display="javascript:void(0)" xr:uid="{5AC5BB12-BB9E-4413-AF65-D16546A33BD3}"/>
    <hyperlink ref="C112" r:id="rId333" display="https://auction.ikco.ir/auction/details/34?r=388" xr:uid="{12DCF813-98AF-4EBE-9DB5-145CFA79CB11}"/>
    <hyperlink ref="D112" r:id="rId334" display="https://auction.ikco.ir/auction/details/34?r=388" xr:uid="{AB923942-51FD-488F-9C23-FBAEE783057D}"/>
    <hyperlink ref="A113" r:id="rId335" display="javascript:void(0)" xr:uid="{BE6C694E-132A-4634-A3FD-906E0D850129}"/>
    <hyperlink ref="C113" r:id="rId336" display="https://auction.ikco.ir/auction/details/34?r=468" xr:uid="{3134CD7D-EC54-421F-B0C0-0C41F3E8D363}"/>
    <hyperlink ref="D113" r:id="rId337" display="https://auction.ikco.ir/auction/details/34?r=468" xr:uid="{AAE53074-FBA8-4AD7-8F42-4856D8BEA960}"/>
    <hyperlink ref="A114" r:id="rId338" display="javascript:void(0)" xr:uid="{8A7372C3-965B-4AB1-B255-5F7FC539E477}"/>
    <hyperlink ref="C114" r:id="rId339" display="https://auction.ikco.ir/auction/details/34?r=249" xr:uid="{EB5D4F3D-A1AD-4685-8FB5-3C0238EDA01F}"/>
    <hyperlink ref="D114" r:id="rId340" display="https://auction.ikco.ir/auction/details/34?r=249" xr:uid="{4F618DF9-CC7C-477F-9316-F403359C952B}"/>
    <hyperlink ref="A115" r:id="rId341" display="javascript:void(0)" xr:uid="{D9414CF4-D00C-41D6-A693-24BF93108B07}"/>
    <hyperlink ref="C115" r:id="rId342" display="https://auction.ikco.ir/auction/details/34?r=120" xr:uid="{90262764-31D4-4BAD-AA6D-695D2FD61C5F}"/>
    <hyperlink ref="D115" r:id="rId343" display="https://auction.ikco.ir/auction/details/34?r=120" xr:uid="{4913D433-A0E6-46BA-93A9-8E4FBB98C9EF}"/>
    <hyperlink ref="A116" r:id="rId344" display="javascript:void(0)" xr:uid="{04869938-B14D-4E87-B860-2932DC4E368A}"/>
    <hyperlink ref="C116" r:id="rId345" display="https://auction.ikco.ir/auction/details/34?r=318" xr:uid="{691AA7DF-090A-45AF-A5C7-5494A453012A}"/>
    <hyperlink ref="D116" r:id="rId346" display="https://auction.ikco.ir/auction/details/34?r=318" xr:uid="{092D9A75-076F-4BB7-BA71-C4908650FEFF}"/>
    <hyperlink ref="A117" r:id="rId347" display="javascript:void(0)" xr:uid="{510BB7F5-6235-4F4B-9017-F780BC26243F}"/>
    <hyperlink ref="C117" r:id="rId348" display="https://auction.ikco.ir/auction/details/34?r=520" xr:uid="{BCC74A30-8DAD-4C40-8DDF-3FF1AAA19158}"/>
    <hyperlink ref="D117" r:id="rId349" display="https://auction.ikco.ir/auction/details/34?r=520" xr:uid="{648E17D1-4684-4A1A-BC8B-B413A75519D1}"/>
    <hyperlink ref="A118" r:id="rId350" display="javascript:void(0)" xr:uid="{9EFC0B16-A08C-4DCD-A571-C8095342E3BE}"/>
    <hyperlink ref="C118" r:id="rId351" display="https://auction.ikco.ir/auction/details/34?r=296" xr:uid="{A58BD731-EAE2-4E02-851A-0EA9CE20338B}"/>
    <hyperlink ref="D118" r:id="rId352" display="https://auction.ikco.ir/auction/details/34?r=296" xr:uid="{E3729386-63A3-4334-B620-110D47FF4291}"/>
    <hyperlink ref="A119" r:id="rId353" display="javascript:void(0)" xr:uid="{F9F931A0-1448-42C2-AF59-7A3B5B8A0CDC}"/>
    <hyperlink ref="C119" r:id="rId354" display="https://auction.ikco.ir/auction/details/34?r=434" xr:uid="{F19B0608-BC92-4ACD-BB59-AC939C95D27E}"/>
    <hyperlink ref="D119" r:id="rId355" display="https://auction.ikco.ir/auction/details/34?r=434" xr:uid="{73327EBD-FAE8-42DF-B0AB-161834A762C0}"/>
    <hyperlink ref="A120" r:id="rId356" display="javascript:void(0)" xr:uid="{62605CE2-66C4-4AEA-906A-A8E7BDAB6908}"/>
    <hyperlink ref="C120" r:id="rId357" display="https://auction.ikco.ir/auction/details/34?r=348" xr:uid="{0B07B51C-CE14-44F3-B8B9-FB15EE3BC313}"/>
    <hyperlink ref="D120" r:id="rId358" display="https://auction.ikco.ir/auction/details/34?r=348" xr:uid="{07E47897-6DB2-4F9B-BA29-1C2E873B1D36}"/>
    <hyperlink ref="A121" r:id="rId359" display="javascript:void(0)" xr:uid="{837B3713-7A32-46F6-B0E7-7EB4342716F9}"/>
    <hyperlink ref="C121" r:id="rId360" display="https://auction.ikco.ir/auction/details/34?r=343" xr:uid="{D10E3B4C-41FD-4EE9-A978-0907417BA3A4}"/>
    <hyperlink ref="D121" r:id="rId361" display="https://auction.ikco.ir/auction/details/34?r=343" xr:uid="{743B2223-DB9C-485E-9E12-87A5B0BE8748}"/>
    <hyperlink ref="A122" r:id="rId362" display="javascript:void(0)" xr:uid="{DF16B3C9-CC2D-4930-A361-2E76F202160E}"/>
    <hyperlink ref="C122" r:id="rId363" display="https://auction.ikco.ir/auction/details/34?r=341" xr:uid="{1D73E715-49D4-47B5-9A25-7CCC470AC64C}"/>
    <hyperlink ref="D122" r:id="rId364" display="https://auction.ikco.ir/auction/details/34?r=341" xr:uid="{0AD8A344-8EA4-4E86-9205-0E94C735AAFC}"/>
    <hyperlink ref="A123" r:id="rId365" display="javascript:void(0)" xr:uid="{13078EAA-70B1-49E1-B20C-7E86DC838888}"/>
    <hyperlink ref="C123" r:id="rId366" display="https://auction.ikco.ir/auction/details/34?r=345" xr:uid="{49CE8101-6D8B-42EA-BACB-7B8FE3089B59}"/>
    <hyperlink ref="D123" r:id="rId367" display="https://auction.ikco.ir/auction/details/34?r=345" xr:uid="{1D874BB1-17EE-4625-9C81-472636914900}"/>
    <hyperlink ref="A124" r:id="rId368" display="javascript:void(0)" xr:uid="{DFBB02AB-42D3-486E-B47A-3DF0E8D627ED}"/>
    <hyperlink ref="C124" r:id="rId369" display="https://auction.ikco.ir/auction/details/34?r=355" xr:uid="{F4DC165A-0A86-416B-BF88-EDB1746055A3}"/>
    <hyperlink ref="D124" r:id="rId370" display="https://auction.ikco.ir/auction/details/34?r=355" xr:uid="{3CB87938-F499-4A0C-A532-F28B587633F4}"/>
    <hyperlink ref="A125" r:id="rId371" display="javascript:void(0)" xr:uid="{4B9F0225-87D9-4BB8-8C71-7272B2354FC5}"/>
    <hyperlink ref="C125" r:id="rId372" display="https://auction.ikco.ir/auction/details/34?r=460" xr:uid="{B25877FE-0345-464B-9A20-1CC5454F6A68}"/>
    <hyperlink ref="D125" r:id="rId373" display="https://auction.ikco.ir/auction/details/34?r=460" xr:uid="{C6B27A44-95AD-4CF4-BBBA-B42A717EAE7A}"/>
    <hyperlink ref="A126" r:id="rId374" display="javascript:void(0)" xr:uid="{9202403D-AC71-4C02-B444-9D62EC3DEDC5}"/>
    <hyperlink ref="C126" r:id="rId375" display="https://auction.ikco.ir/auction/details/34?r=372" xr:uid="{8D178F70-2501-4FAC-A479-C5201410B072}"/>
    <hyperlink ref="D126" r:id="rId376" display="https://auction.ikco.ir/auction/details/34?r=372" xr:uid="{99CF1121-8DE4-4811-93D4-17B3378345B0}"/>
    <hyperlink ref="A127" r:id="rId377" display="javascript:void(0)" xr:uid="{8C45C891-B4D4-4E30-A3DD-8E444B15EFD8}"/>
    <hyperlink ref="C127" r:id="rId378" display="https://auction.ikco.ir/auction/details/34?r=455" xr:uid="{ACEE833E-9DED-40A9-B993-D8D0922E32DC}"/>
    <hyperlink ref="D127" r:id="rId379" display="https://auction.ikco.ir/auction/details/34?r=455" xr:uid="{1839C40B-4202-4E85-B390-2F2852358787}"/>
    <hyperlink ref="A128" r:id="rId380" display="javascript:void(0)" xr:uid="{56C61961-5618-43C9-A2F1-28B17077A2C0}"/>
    <hyperlink ref="C128" r:id="rId381" display="https://auction.ikco.ir/auction/details/34?r=465" xr:uid="{CDEAE21E-D3FB-4263-83E7-DF9DCC824564}"/>
    <hyperlink ref="D128" r:id="rId382" display="https://auction.ikco.ir/auction/details/34?r=465" xr:uid="{FCC11C3F-ABFB-407B-83C2-92A6BD23FAD7}"/>
    <hyperlink ref="A129" r:id="rId383" display="javascript:void(0)" xr:uid="{9873CA39-E1FB-4FF7-958A-13ADC3C01934}"/>
    <hyperlink ref="C129" r:id="rId384" display="https://auction.ikco.ir/auction/details/34?r=284" xr:uid="{0439DBAA-A0BD-446C-BF44-F9ACEE54367C}"/>
    <hyperlink ref="D129" r:id="rId385" display="https://auction.ikco.ir/auction/details/34?r=284" xr:uid="{88350F29-E762-4BE1-A1EA-70ED705F38E5}"/>
    <hyperlink ref="A130" r:id="rId386" display="javascript:void(0)" xr:uid="{56456DB0-F629-47CC-85F6-4E747A6057E9}"/>
    <hyperlink ref="C130" r:id="rId387" display="https://auction.ikco.ir/auction/details/34?r=340" xr:uid="{BA5D4CF8-21DA-435A-9EF9-7A89683C26FF}"/>
    <hyperlink ref="D130" r:id="rId388" display="https://auction.ikco.ir/auction/details/34?r=340" xr:uid="{7A93D216-5DD7-4D54-BD13-4064523AF09E}"/>
    <hyperlink ref="A131" r:id="rId389" display="javascript:void(0)" xr:uid="{EE11780F-2F46-40E0-9921-F35E6A7BDFE5}"/>
    <hyperlink ref="C131" r:id="rId390" display="https://auction.ikco.ir/auction/details/34?r=154" xr:uid="{8C2DA531-DB7C-4D77-BEEC-B7C7D6605709}"/>
    <hyperlink ref="D131" r:id="rId391" display="https://auction.ikco.ir/auction/details/34?r=154" xr:uid="{F2200CEF-DA9B-4B0B-95E9-4D3808B5B499}"/>
    <hyperlink ref="A132" r:id="rId392" display="javascript:void(0)" xr:uid="{94FF2002-229B-4B09-992B-C8CAF59D5539}"/>
    <hyperlink ref="C132" r:id="rId393" display="https://auction.ikco.ir/auction/details/34?r=505" xr:uid="{9455E127-3D33-4915-A2ED-3308E5B1342B}"/>
    <hyperlink ref="D132" r:id="rId394" display="https://auction.ikco.ir/auction/details/34?r=505" xr:uid="{4E8ECDC0-F4B6-4B3C-90A1-1BFBAB444FFB}"/>
    <hyperlink ref="A133" r:id="rId395" display="javascript:void(0)" xr:uid="{90A0F426-2D3B-4B5D-ABA4-1059E64D81CE}"/>
    <hyperlink ref="C133" r:id="rId396" display="https://auction.ikco.ir/auction/details/34?r=290" xr:uid="{C8E4DE7C-55CD-4364-848D-5F81B79D8AC7}"/>
    <hyperlink ref="D133" r:id="rId397" display="https://auction.ikco.ir/auction/details/34?r=290" xr:uid="{E5199F24-CAFD-462E-B23F-832F0CAB2D8B}"/>
    <hyperlink ref="A134" r:id="rId398" display="javascript:void(0)" xr:uid="{8D0E9E3D-5210-47C2-9D63-ED8CA52821CA}"/>
    <hyperlink ref="C134" r:id="rId399" display="https://auction.ikco.ir/auction/details/34?r=244" xr:uid="{9BA05533-FDC7-4A31-9F34-B0DCB8B301F1}"/>
    <hyperlink ref="D134" r:id="rId400" display="https://auction.ikco.ir/auction/details/34?r=244" xr:uid="{819F4058-BBDF-4B8E-8C65-0BF027B32B8B}"/>
    <hyperlink ref="A135" r:id="rId401" display="javascript:void(0)" xr:uid="{EB2A948C-B483-4807-8201-36CB8811894D}"/>
    <hyperlink ref="C135" r:id="rId402" display="https://auction.ikco.ir/auction/details/34?r=278" xr:uid="{F68B65F6-3AEF-44A8-8E3C-BCA4EE147984}"/>
    <hyperlink ref="D135" r:id="rId403" display="https://auction.ikco.ir/auction/details/34?r=278" xr:uid="{CA26AB35-3FAD-4093-94AA-8E45E6526A46}"/>
    <hyperlink ref="A136" r:id="rId404" display="javascript:void(0)" xr:uid="{B17FFE9F-1D4D-444A-87CF-F7E218B0FFFA}"/>
    <hyperlink ref="C136" r:id="rId405" display="https://auction.ikco.ir/auction/details/34?r=459" xr:uid="{7FFC7317-0CA1-4B86-9007-564783E8CDBD}"/>
    <hyperlink ref="D136" r:id="rId406" display="https://auction.ikco.ir/auction/details/34?r=459" xr:uid="{0B25B7A0-F9DD-4D2C-9C15-99DC31DF5B1E}"/>
    <hyperlink ref="A137" r:id="rId407" display="javascript:void(0)" xr:uid="{262A4963-B49C-405A-9009-C80BD7C99FF3}"/>
    <hyperlink ref="C137" r:id="rId408" display="https://auction.ikco.ir/auction/details/34?r=257" xr:uid="{360EBF8A-4142-471D-876D-9BC94A81B35D}"/>
    <hyperlink ref="D137" r:id="rId409" display="https://auction.ikco.ir/auction/details/34?r=257" xr:uid="{45B0D404-9C9B-43C1-8E8A-D69E83F3F040}"/>
    <hyperlink ref="A138" r:id="rId410" display="javascript:void(0)" xr:uid="{60231565-23C8-4912-B4E9-7D25CD5FFA22}"/>
    <hyperlink ref="C138" r:id="rId411" display="https://auction.ikco.ir/auction/details/34?r=498" xr:uid="{E8961ABE-225D-4CF5-8646-6E73B585A7DF}"/>
    <hyperlink ref="D138" r:id="rId412" display="https://auction.ikco.ir/auction/details/34?r=498" xr:uid="{5A0CC0A1-52B3-49E0-8266-BDC35ECEEE64}"/>
    <hyperlink ref="A139" r:id="rId413" display="javascript:void(0)" xr:uid="{0FB63B27-E9F0-4824-9666-EF19E4AAB546}"/>
    <hyperlink ref="C139" r:id="rId414" display="https://auction.ikco.ir/auction/details/34?r=273" xr:uid="{69B9C390-ABB8-4A1F-98A1-67724C9E8C95}"/>
    <hyperlink ref="D139" r:id="rId415" display="https://auction.ikco.ir/auction/details/34?r=273" xr:uid="{2201E9E6-3908-46DC-871C-3FA99972D097}"/>
    <hyperlink ref="A140" r:id="rId416" display="javascript:void(0)" xr:uid="{CB622918-C000-4F61-9811-C3DE07885743}"/>
    <hyperlink ref="C140" r:id="rId417" display="https://auction.ikco.ir/auction/details/34?r=66" xr:uid="{762C120E-68D7-4282-8107-FECB8DB019E0}"/>
    <hyperlink ref="D140" r:id="rId418" display="https://auction.ikco.ir/auction/details/34?r=66" xr:uid="{7E2DF701-DC80-4C98-8BA0-DAFC0F05A131}"/>
    <hyperlink ref="A141" r:id="rId419" display="javascript:void(0)" xr:uid="{80D5B1FB-EBD0-4535-97A0-39964D99D62B}"/>
    <hyperlink ref="C141" r:id="rId420" display="https://auction.ikco.ir/auction/details/34?r=346" xr:uid="{1128739D-B254-4A11-97D4-2E647E87FC30}"/>
    <hyperlink ref="D141" r:id="rId421" display="https://auction.ikco.ir/auction/details/34?r=346" xr:uid="{12CB3E14-9540-4A75-B5E0-3CAB6403C059}"/>
    <hyperlink ref="A142" r:id="rId422" display="javascript:void(0)" xr:uid="{6159D77A-27E7-408A-8586-39C9CA92BB92}"/>
    <hyperlink ref="C142" r:id="rId423" display="https://auction.ikco.ir/auction/details/34?r=303" xr:uid="{5A34E2C2-81A4-4613-82F7-1C55E0460A88}"/>
    <hyperlink ref="D142" r:id="rId424" display="https://auction.ikco.ir/auction/details/34?r=303" xr:uid="{698C8C69-1117-48BD-8F81-057EFDE5209E}"/>
    <hyperlink ref="A143" r:id="rId425" display="javascript:void(0)" xr:uid="{33D592CA-0DD5-46B1-BEA4-22FBB2B853F3}"/>
    <hyperlink ref="C143" r:id="rId426" display="https://auction.ikco.ir/auction/details/34?r=309" xr:uid="{C85DE96B-685C-41D4-A11B-AC63B686960C}"/>
    <hyperlink ref="D143" r:id="rId427" display="https://auction.ikco.ir/auction/details/34?r=309" xr:uid="{D24E98F4-2D23-4293-B5AE-B103BECF9982}"/>
    <hyperlink ref="A144" r:id="rId428" display="javascript:void(0)" xr:uid="{747874C8-D410-4F91-9E22-060350A12047}"/>
    <hyperlink ref="C144" r:id="rId429" display="https://auction.ikco.ir/auction/details/34?r=286" xr:uid="{48A1C54B-7197-4725-A7D0-C0710FE1342D}"/>
    <hyperlink ref="D144" r:id="rId430" display="https://auction.ikco.ir/auction/details/34?r=286" xr:uid="{38A9A693-CA81-4770-AFFE-7B5B2D75377E}"/>
    <hyperlink ref="A145" r:id="rId431" display="javascript:void(0)" xr:uid="{151647CD-982E-44A3-83BD-724A7244D8BA}"/>
    <hyperlink ref="C145" r:id="rId432" display="https://auction.ikco.ir/auction/details/34?r=495" xr:uid="{8EC4EFF4-2F77-4847-8D1D-4B54D359DA9C}"/>
    <hyperlink ref="D145" r:id="rId433" display="https://auction.ikco.ir/auction/details/34?r=495" xr:uid="{2CA33B88-9296-4F83-9453-7857A2488BA2}"/>
    <hyperlink ref="A146" r:id="rId434" display="javascript:void(0)" xr:uid="{ED30ABB2-262A-4144-A7B0-B70B9B24C12B}"/>
    <hyperlink ref="C146" r:id="rId435" display="https://auction.ikco.ir/auction/details/34?r=61" xr:uid="{BFAA997F-51FA-4A5C-A32F-82A88EFF76FA}"/>
    <hyperlink ref="D146" r:id="rId436" display="https://auction.ikco.ir/auction/details/34?r=61" xr:uid="{35E2D219-0859-4469-A011-FC1E068F7BAE}"/>
    <hyperlink ref="A147" r:id="rId437" display="javascript:void(0)" xr:uid="{D75A2396-0D30-4657-BF31-882995C0B224}"/>
    <hyperlink ref="C147" r:id="rId438" display="https://auction.ikco.ir/auction/details/34?r=467" xr:uid="{7E266F0C-BC70-4710-A24B-E45F54B33DFF}"/>
    <hyperlink ref="D147" r:id="rId439" display="https://auction.ikco.ir/auction/details/34?r=467" xr:uid="{8492107D-4EBD-4229-A6C3-FED26BB8C853}"/>
    <hyperlink ref="A148" r:id="rId440" display="javascript:void(0)" xr:uid="{80D9686E-9672-4FBF-AF70-9C18336C4BA0}"/>
    <hyperlink ref="C148" r:id="rId441" display="https://auction.ikco.ir/auction/details/34?r=319" xr:uid="{FEE3FE9E-44A1-4BDC-B295-20432D761E53}"/>
    <hyperlink ref="D148" r:id="rId442" display="https://auction.ikco.ir/auction/details/34?r=319" xr:uid="{ADB0BC75-EC7D-4970-BD47-F36856F36A0A}"/>
    <hyperlink ref="A149" r:id="rId443" display="javascript:void(0)" xr:uid="{D55B63DE-29E3-4D5D-8319-663BCF5BC135}"/>
    <hyperlink ref="C149" r:id="rId444" display="https://auction.ikco.ir/auction/details/34?r=293" xr:uid="{1B88CDE7-C399-48DC-91D5-41172F85FFF7}"/>
    <hyperlink ref="D149" r:id="rId445" display="https://auction.ikco.ir/auction/details/34?r=293" xr:uid="{377A7072-3AD8-418C-B67F-EE43F66056A2}"/>
    <hyperlink ref="A150" r:id="rId446" display="javascript:void(0)" xr:uid="{6610F415-E92A-4A4E-96C7-2CA8836C9652}"/>
    <hyperlink ref="C150" r:id="rId447" display="https://auction.ikco.ir/auction/details/34?r=500" xr:uid="{8C28B9A7-D4B9-436F-BCFF-4AB33D8B45F5}"/>
    <hyperlink ref="D150" r:id="rId448" display="https://auction.ikco.ir/auction/details/34?r=500" xr:uid="{735A1733-EE3A-4D3C-B3DE-8D339E1F4B9F}"/>
    <hyperlink ref="A151" r:id="rId449" display="javascript:void(0)" xr:uid="{FF6861A9-B651-4ED5-A582-ADE039C7AAF8}"/>
    <hyperlink ref="C151" r:id="rId450" display="https://auction.ikco.ir/auction/details/34?r=275" xr:uid="{F18F03A5-FCCE-4726-8DBC-82154C2BF161}"/>
    <hyperlink ref="D151" r:id="rId451" display="https://auction.ikco.ir/auction/details/34?r=275" xr:uid="{08C3E5A1-DC27-4BB6-9277-B034E0A9B1A4}"/>
    <hyperlink ref="A152" r:id="rId452" display="javascript:void(0)" xr:uid="{4B52CF4C-7FA8-44C4-95ED-21F7AB8631AB}"/>
    <hyperlink ref="C152" r:id="rId453" display="https://auction.ikco.ir/auction/details/34?r=137" xr:uid="{42184B22-8E1D-4272-B660-6AF996A65623}"/>
    <hyperlink ref="D152" r:id="rId454" display="https://auction.ikco.ir/auction/details/34?r=137" xr:uid="{6E0226A8-9FA5-4066-89DB-A4CF9F3362B0}"/>
    <hyperlink ref="A153" r:id="rId455" display="javascript:void(0)" xr:uid="{D5A27C7A-83C1-4D90-B1FE-E55D95C18202}"/>
    <hyperlink ref="C153" r:id="rId456" display="https://auction.ikco.ir/auction/details/34?r=350" xr:uid="{4DEA67B8-E805-42A7-9B6A-5ADE50ACF93A}"/>
    <hyperlink ref="D153" r:id="rId457" display="https://auction.ikco.ir/auction/details/34?r=350" xr:uid="{A0477000-E241-429A-8B3B-606C43D60CE1}"/>
    <hyperlink ref="A154" r:id="rId458" display="javascript:void(0)" xr:uid="{AB8E5663-25EF-478B-B104-2A0D5ADD1372}"/>
    <hyperlink ref="C154" r:id="rId459" display="https://auction.ikco.ir/auction/details/34?r=358" xr:uid="{5C897D5A-5918-486A-A64D-D3E299EAB415}"/>
    <hyperlink ref="D154" r:id="rId460" display="https://auction.ikco.ir/auction/details/34?r=358" xr:uid="{CAA082CB-D939-44CA-AE00-03BDBC97618F}"/>
    <hyperlink ref="A155" r:id="rId461" display="javascript:void(0)" xr:uid="{25AEA27D-1474-45B9-A56E-458EAE49DCAC}"/>
    <hyperlink ref="C155" r:id="rId462" display="https://auction.ikco.ir/auction/details/34?r=496" xr:uid="{CC04E2DC-D4D1-4E74-8A0F-A16DF810ED69}"/>
    <hyperlink ref="D155" r:id="rId463" display="https://auction.ikco.ir/auction/details/34?r=496" xr:uid="{94DFF598-EC2F-42C7-BA26-FFEAE41A2992}"/>
    <hyperlink ref="A156" r:id="rId464" display="javascript:void(0)" xr:uid="{8E7B72A2-0112-4284-B5BE-6C78AE863A97}"/>
    <hyperlink ref="C156" r:id="rId465" display="https://auction.ikco.ir/auction/details/34?r=23" xr:uid="{BD0A62AD-B011-49BB-A088-4C312DD567B0}"/>
    <hyperlink ref="D156" r:id="rId466" display="https://auction.ikco.ir/auction/details/34?r=23" xr:uid="{BD798641-9B4F-4181-8FA9-20EAF52557A1}"/>
    <hyperlink ref="A157" r:id="rId467" display="javascript:void(0)" xr:uid="{46B61BA8-6B83-4C48-93B8-B8FC1B1ECC74}"/>
    <hyperlink ref="C157" r:id="rId468" display="https://auction.ikco.ir/auction/details/34?r=253" xr:uid="{44321D8D-ED6D-4D54-8519-22D3B6876AF0}"/>
    <hyperlink ref="D157" r:id="rId469" display="https://auction.ikco.ir/auction/details/34?r=253" xr:uid="{7CD24241-50E8-4811-A72D-F0755237EC22}"/>
    <hyperlink ref="A158" r:id="rId470" display="javascript:void(0)" xr:uid="{5594D20F-0D44-4D21-AED1-B01AC54A10AD}"/>
    <hyperlink ref="C158" r:id="rId471" display="https://auction.ikco.ir/auction/details/34?r=326" xr:uid="{33AF2BB3-6650-49DE-9627-70105B710B09}"/>
    <hyperlink ref="D158" r:id="rId472" display="https://auction.ikco.ir/auction/details/34?r=326" xr:uid="{EFD91E8D-CF57-43B1-B6F5-602E3C08AF89}"/>
    <hyperlink ref="A159" r:id="rId473" display="javascript:void(0)" xr:uid="{7C60F4BE-DC51-4B02-80F8-A8A181C32137}"/>
    <hyperlink ref="C159" r:id="rId474" display="https://auction.ikco.ir/auction/details/34?r=507" xr:uid="{6D38A75D-202F-4754-8075-A493C9CF5BD0}"/>
    <hyperlink ref="D159" r:id="rId475" display="https://auction.ikco.ir/auction/details/34?r=507" xr:uid="{BCB3F550-9CFB-4599-8374-61F905BD9F67}"/>
    <hyperlink ref="A160" r:id="rId476" display="javascript:void(0)" xr:uid="{2DD89664-69C3-497E-BC1F-B9FA8DA19F45}"/>
    <hyperlink ref="C160" r:id="rId477" display="https://auction.ikco.ir/auction/details/34?r=502" xr:uid="{4168867B-2B85-4C3F-BBFD-7CF5FF2962E4}"/>
    <hyperlink ref="D160" r:id="rId478" display="https://auction.ikco.ir/auction/details/34?r=502" xr:uid="{600DDE87-9AFC-4EC1-83C4-4AFD5965BA06}"/>
    <hyperlink ref="A161" r:id="rId479" display="javascript:void(0)" xr:uid="{A1B7B147-0191-471A-95AF-3C470B085F63}"/>
    <hyperlink ref="C161" r:id="rId480" display="https://auction.ikco.ir/auction/details/34?r=281" xr:uid="{0C435F39-3D4B-44E6-8665-53E1AE8ED54F}"/>
    <hyperlink ref="D161" r:id="rId481" display="https://auction.ikco.ir/auction/details/34?r=281" xr:uid="{8BB96C68-2CF5-4584-B97C-BA841A380CE2}"/>
    <hyperlink ref="A162" r:id="rId482" display="javascript:void(0)" xr:uid="{8941162A-9ED1-45F1-BDA8-CD3B071CA8D8}"/>
    <hyperlink ref="C162" r:id="rId483" display="https://auction.ikco.ir/auction/details/34?r=276" xr:uid="{6E23FF6B-B062-4F5D-8FB6-F6B517D06C25}"/>
    <hyperlink ref="D162" r:id="rId484" display="https://auction.ikco.ir/auction/details/34?r=276" xr:uid="{D461A43C-3640-4163-A369-F2ED9B9FAB66}"/>
    <hyperlink ref="A163" r:id="rId485" display="javascript:void(0)" xr:uid="{7FF7DE2A-2FD0-40B2-8FEF-164F269608B9}"/>
    <hyperlink ref="C163" r:id="rId486" display="https://auction.ikco.ir/auction/details/34?r=504" xr:uid="{4EFF5D39-6C4C-48AE-9CEB-778B30BF4882}"/>
    <hyperlink ref="D163" r:id="rId487" display="https://auction.ikco.ir/auction/details/34?r=504" xr:uid="{20D4EA7B-94F9-48C8-8C67-14C30730176C}"/>
    <hyperlink ref="A164" r:id="rId488" display="javascript:void(0)" xr:uid="{02BEF809-5382-42AB-A741-37B40EA958C2}"/>
    <hyperlink ref="C164" r:id="rId489" display="https://auction.ikco.ir/auction/details/34?r=501" xr:uid="{396CABB7-BEB1-4C45-B79F-FFC1A5A83ABF}"/>
    <hyperlink ref="D164" r:id="rId490" display="https://auction.ikco.ir/auction/details/34?r=501" xr:uid="{F9B27B2A-24F3-4BD7-BEFC-0D0C33DDEE9A}"/>
    <hyperlink ref="A165" r:id="rId491" display="javascript:void(0)" xr:uid="{37031417-C4F3-45BD-B8DC-D1BF16BC0118}"/>
    <hyperlink ref="C165" r:id="rId492" display="https://auction.ikco.ir/auction/details/34?r=497" xr:uid="{279DC218-2C83-488D-B587-70D3DFD5E7F9}"/>
    <hyperlink ref="D165" r:id="rId493" display="https://auction.ikco.ir/auction/details/34?r=497" xr:uid="{1AEBE638-419A-4AAA-A4D5-325A29A2E98A}"/>
    <hyperlink ref="A166" r:id="rId494" display="javascript:void(0)" xr:uid="{E29AE677-3501-43F8-B215-B2219C72F105}"/>
    <hyperlink ref="C166" r:id="rId495" display="https://auction.ikco.ir/auction/details/34?r=310" xr:uid="{5E6698F5-11AF-483F-96AE-A3FF96F93557}"/>
    <hyperlink ref="D166" r:id="rId496" display="https://auction.ikco.ir/auction/details/34?r=310" xr:uid="{808D00B8-45BC-436A-9127-A39020CDC7D9}"/>
    <hyperlink ref="A167" r:id="rId497" display="javascript:void(0)" xr:uid="{7935DADD-B9E4-4111-AB54-7D08800713D0}"/>
    <hyperlink ref="C167" r:id="rId498" display="https://auction.ikco.ir/auction/details/34?r=499" xr:uid="{B5180F29-256F-4E3C-A1E6-E5F74714FA02}"/>
    <hyperlink ref="D167" r:id="rId499" display="https://auction.ikco.ir/auction/details/34?r=499" xr:uid="{9ABA046D-459B-4428-9B9C-1C6FDE4A180E}"/>
    <hyperlink ref="A168" r:id="rId500" display="javascript:void(0)" xr:uid="{641CD7D3-0A04-4CDF-BC80-A9FD6883B19F}"/>
    <hyperlink ref="C168" r:id="rId501" display="https://auction.ikco.ir/auction/details/34?r=347" xr:uid="{B63095C6-832A-42A8-B6A1-2CCE236F0321}"/>
    <hyperlink ref="D168" r:id="rId502" display="https://auction.ikco.ir/auction/details/34?r=347" xr:uid="{B36D0AF8-4AFA-465D-AA81-324BDC6FDB1B}"/>
    <hyperlink ref="A169" r:id="rId503" display="javascript:void(0)" xr:uid="{DA102A34-490F-49AA-9B7D-35DA621F96CB}"/>
    <hyperlink ref="C169" r:id="rId504" display="https://auction.ikco.ir/auction/details/34?r=277" xr:uid="{67C54FCA-78EC-4643-A498-32AEB8AD3EF9}"/>
    <hyperlink ref="D169" r:id="rId505" display="https://auction.ikco.ir/auction/details/34?r=277" xr:uid="{08C71784-3F85-49C2-8FF5-5ADE5332CD3A}"/>
    <hyperlink ref="A170" r:id="rId506" display="javascript:void(0)" xr:uid="{EFEDA73C-5B88-4541-BD34-FD91C7EDB944}"/>
    <hyperlink ref="C170" r:id="rId507" display="https://auction.ikco.ir/auction/details/34?r=315" xr:uid="{C2D36B69-47B2-447A-AB5C-F59AC36C8609}"/>
    <hyperlink ref="D170" r:id="rId508" display="https://auction.ikco.ir/auction/details/34?r=315" xr:uid="{2467D92A-A317-49D5-8DD9-7EAD44BF695B}"/>
    <hyperlink ref="A171" r:id="rId509" display="javascript:void(0)" xr:uid="{31FEEC96-5A18-49ED-9C05-258EF2259781}"/>
    <hyperlink ref="C171" r:id="rId510" display="https://auction.ikco.ir/auction/details/34?r=493" xr:uid="{B1B00123-8B19-44C2-B9CB-34DE641E0092}"/>
    <hyperlink ref="D171" r:id="rId511" display="https://auction.ikco.ir/auction/details/34?r=493" xr:uid="{AA0EC094-FF3C-49A0-8F72-DD60CF13984A}"/>
    <hyperlink ref="A172" r:id="rId512" display="javascript:void(0)" xr:uid="{D7AD6EA4-1FD7-480C-8FBB-D797150D5064}"/>
    <hyperlink ref="C172" r:id="rId513" display="https://auction.ikco.ir/auction/details/34?r=329" xr:uid="{C21C2485-B539-4AAD-A35E-1EF36ABCF16E}"/>
    <hyperlink ref="D172" r:id="rId514" display="https://auction.ikco.ir/auction/details/34?r=329" xr:uid="{B0560DC6-BFE5-4725-9A15-F24600D98BDE}"/>
    <hyperlink ref="A173" r:id="rId515" display="javascript:void(0)" xr:uid="{AD9E07FE-3C69-4B8A-A813-DAB9E9FE7A8C}"/>
    <hyperlink ref="C173" r:id="rId516" display="https://auction.ikco.ir/auction/details/34?r=503" xr:uid="{E066BA0E-7B1F-4A1C-B827-6767C1B8492B}"/>
    <hyperlink ref="D173" r:id="rId517" display="https://auction.ikco.ir/auction/details/34?r=503" xr:uid="{B44AF6E8-90C5-46D0-9333-88F6D77CD743}"/>
    <hyperlink ref="A174" r:id="rId518" display="javascript:void(0)" xr:uid="{849D62AF-9212-470A-9F0F-6C0FE5503A16}"/>
    <hyperlink ref="C174" r:id="rId519" display="https://auction.ikco.ir/auction/details/34?r=294" xr:uid="{5F9E7602-CECE-4DCD-97C4-51702A79E9DF}"/>
    <hyperlink ref="D174" r:id="rId520" display="https://auction.ikco.ir/auction/details/34?r=294" xr:uid="{60D29906-A0EE-4CD7-8147-88DB67D3C709}"/>
    <hyperlink ref="A175" r:id="rId521" display="javascript:void(0)" xr:uid="{52928C18-B510-4764-8BBB-AE5938084B9C}"/>
    <hyperlink ref="C175" r:id="rId522" display="https://auction.ikco.ir/auction/details/34?r=30" xr:uid="{2255CD7E-9D6C-4E8B-82BB-2C615C83D8FA}"/>
    <hyperlink ref="D175" r:id="rId523" display="https://auction.ikco.ir/auction/details/34?r=30" xr:uid="{FE25EB6B-2CE6-4AD6-AA2C-3A5CB0D08452}"/>
    <hyperlink ref="A176" r:id="rId524" display="javascript:void(0)" xr:uid="{222E2A1F-13E1-47E2-8B12-2C948B383DEA}"/>
    <hyperlink ref="C176" r:id="rId525" display="https://auction.ikco.ir/auction/details/34?r=56" xr:uid="{F44DB011-7F72-4657-9426-55A6BDBE689F}"/>
    <hyperlink ref="D176" r:id="rId526" display="https://auction.ikco.ir/auction/details/34?r=56" xr:uid="{5B2CF0B6-1FF2-4B9F-8C9B-9A372247A3C1}"/>
    <hyperlink ref="A177" r:id="rId527" display="javascript:void(0)" xr:uid="{029ECD83-2FC0-4165-93F2-0E908D3EDD7F}"/>
    <hyperlink ref="C177" r:id="rId528" display="https://auction.ikco.ir/auction/details/34?r=508" xr:uid="{FBB5C703-C72C-419B-91A4-D14F6071DBBF}"/>
    <hyperlink ref="D177" r:id="rId529" display="https://auction.ikco.ir/auction/details/34?r=508" xr:uid="{0CBF4E13-116E-4FDB-B32E-868951D33EB3}"/>
    <hyperlink ref="A178" r:id="rId530" display="javascript:void(0)" xr:uid="{B0045C0D-CCC6-47E2-8199-C849FA899250}"/>
    <hyperlink ref="C178" r:id="rId531" display="https://auction.ikco.ir/auction/details/34?r=247" xr:uid="{91A4C6E8-75E6-4EF9-A09A-961D7C83524D}"/>
    <hyperlink ref="D178" r:id="rId532" display="https://auction.ikco.ir/auction/details/34?r=247" xr:uid="{D648CA6D-736E-4172-B516-9334CABA6E08}"/>
    <hyperlink ref="A179" r:id="rId533" display="javascript:void(0)" xr:uid="{AB75A433-59B8-4E59-9644-B7E0E4AC7C94}"/>
    <hyperlink ref="C179" r:id="rId534" display="https://auction.ikco.ir/auction/details/34?r=288" xr:uid="{8B685A53-238D-43D2-8937-2FE918E42602}"/>
    <hyperlink ref="D179" r:id="rId535" display="https://auction.ikco.ir/auction/details/34?r=288" xr:uid="{4FAA0D7D-154E-45F3-86EA-A24F0FDD333A}"/>
    <hyperlink ref="A180" r:id="rId536" display="javascript:void(0)" xr:uid="{FFEFA2DF-DB2E-41DC-9089-5E8FAC949FB2}"/>
    <hyperlink ref="C180" r:id="rId537" display="https://auction.ikco.ir/auction/details/34?r=336" xr:uid="{E05E35F4-FC95-429C-8262-EC8FACE2BEB0}"/>
    <hyperlink ref="D180" r:id="rId538" display="https://auction.ikco.ir/auction/details/34?r=336" xr:uid="{2097A1B5-0EC7-41F8-B26C-ADE5D82F8C7F}"/>
    <hyperlink ref="A181" r:id="rId539" display="javascript:void(0)" xr:uid="{FF4C74D5-5591-4D40-B3F9-8A2EEB3B715B}"/>
    <hyperlink ref="C181" r:id="rId540" display="https://auction.ikco.ir/auction/details/34?r=328" xr:uid="{04B0A1BD-A8EE-459C-B9FA-A285F34C4B7B}"/>
    <hyperlink ref="D181" r:id="rId541" display="https://auction.ikco.ir/auction/details/34?r=328" xr:uid="{80DBEFA5-3182-4D8A-BBA0-6C296162AE57}"/>
    <hyperlink ref="A182" r:id="rId542" display="javascript:void(0)" xr:uid="{DD8A5443-B1B7-48BC-8115-CE9BCAEA4A47}"/>
    <hyperlink ref="C182" r:id="rId543" display="https://auction.ikco.ir/auction/details/34?r=458" xr:uid="{88799D36-0CB9-458A-A436-B1703D7542F6}"/>
    <hyperlink ref="D182" r:id="rId544" display="https://auction.ikco.ir/auction/details/34?r=458" xr:uid="{C1904727-B12D-49D5-AAA7-0299AEFD02E8}"/>
    <hyperlink ref="A183" r:id="rId545" display="javascript:void(0)" xr:uid="{CD7B711B-B1B8-4DA7-82D0-6E773C46A25D}"/>
    <hyperlink ref="C183" r:id="rId546" display="https://auction.ikco.ir/auction/details/34?r=369" xr:uid="{23C89C77-4316-4AC8-81F5-3818DE5ED31F}"/>
    <hyperlink ref="D183" r:id="rId547" display="https://auction.ikco.ir/auction/details/34?r=369" xr:uid="{7288C953-B076-4CB6-AF8E-EF51A0A4DD19}"/>
    <hyperlink ref="A184" r:id="rId548" display="javascript:void(0)" xr:uid="{09D6D31F-AF78-42DC-B364-1939EFC0119B}"/>
    <hyperlink ref="C184" r:id="rId549" display="https://auction.ikco.ir/auction/details/34?r=402" xr:uid="{47C0F59A-935A-4D98-849A-8DB615AEAFF1}"/>
    <hyperlink ref="D184" r:id="rId550" display="https://auction.ikco.ir/auction/details/34?r=402" xr:uid="{D36E8DB3-D522-4F8E-847B-05A9D7F89EA6}"/>
    <hyperlink ref="A185" r:id="rId551" display="javascript:void(0)" xr:uid="{792A6E02-597B-40AD-A687-7F770BAB920A}"/>
    <hyperlink ref="C185" r:id="rId552" display="https://auction.ikco.ir/auction/details/34?r=180" xr:uid="{1BC555EB-196B-45D7-8934-CC31E96A69D2}"/>
    <hyperlink ref="D185" r:id="rId553" display="https://auction.ikco.ir/auction/details/34?r=180" xr:uid="{D669FB90-7E62-4267-BDE3-53589561C7D2}"/>
    <hyperlink ref="A186" r:id="rId554" display="javascript:void(0)" xr:uid="{67373FE7-6DAE-48F1-A629-B691B3099037}"/>
    <hyperlink ref="C186" r:id="rId555" display="https://auction.ikco.ir/auction/details/34?r=291" xr:uid="{FA4E56FB-1D2E-49E7-BFBB-38F6DF1B0A24}"/>
    <hyperlink ref="D186" r:id="rId556" display="https://auction.ikco.ir/auction/details/34?r=291" xr:uid="{A7568230-0768-4DA6-8693-8F4E331B3DE8}"/>
    <hyperlink ref="A187" r:id="rId557" display="javascript:void(0)" xr:uid="{C51C0B52-3D74-4CDC-9B75-FA82DA5978A2}"/>
    <hyperlink ref="C187" r:id="rId558" display="https://auction.ikco.ir/auction/details/34?r=323" xr:uid="{ED57AE44-A347-4BF0-B8B0-2FA9F8C8EB9D}"/>
    <hyperlink ref="D187" r:id="rId559" display="https://auction.ikco.ir/auction/details/34?r=323" xr:uid="{022E4402-71A4-4ABF-AF9F-89EFD9CCF266}"/>
    <hyperlink ref="A188" r:id="rId560" display="javascript:void(0)" xr:uid="{066A9925-77E5-45C6-83FF-B5D6E0EAF52A}"/>
    <hyperlink ref="C188" r:id="rId561" display="https://auction.ikco.ir/auction/details/34?r=337" xr:uid="{20A3EBBB-B40F-4688-BE67-4E23148A26EF}"/>
    <hyperlink ref="D188" r:id="rId562" display="https://auction.ikco.ir/auction/details/34?r=337" xr:uid="{BD967A32-EF90-42C8-B164-45C1EEBF94C1}"/>
    <hyperlink ref="A189" r:id="rId563" display="javascript:void(0)" xr:uid="{6F992D20-86F3-4606-9257-61BF0C15628A}"/>
    <hyperlink ref="C189" r:id="rId564" display="https://auction.ikco.ir/auction/details/34?r=494" xr:uid="{7365424A-65D8-48F1-8988-F4F478D83889}"/>
    <hyperlink ref="D189" r:id="rId565" display="https://auction.ikco.ir/auction/details/34?r=494" xr:uid="{CAD65FA4-192D-419D-B74E-A6422F186378}"/>
    <hyperlink ref="A190" r:id="rId566" display="javascript:void(0)" xr:uid="{FE5BB6C5-436A-408A-9906-12EA542A6FDC}"/>
    <hyperlink ref="C190" r:id="rId567" display="https://auction.ikco.ir/auction/details/34?r=258" xr:uid="{2AA3C9D4-5335-4237-A0F5-CB300938CB86}"/>
    <hyperlink ref="D190" r:id="rId568" display="https://auction.ikco.ir/auction/details/34?r=258" xr:uid="{783C814A-3CF9-4DD2-9916-8EAA54D2F096}"/>
    <hyperlink ref="A191" r:id="rId569" display="javascript:void(0)" xr:uid="{E0C9332E-B693-4736-A76B-A8E4BA08CFB8}"/>
    <hyperlink ref="C191" r:id="rId570" display="https://auction.ikco.ir/auction/details/34?r=232" xr:uid="{DE07D6AA-6CEE-4F88-9C93-672C8209FEB5}"/>
    <hyperlink ref="D191" r:id="rId571" display="https://auction.ikco.ir/auction/details/34?r=232" xr:uid="{3E20EAAD-28D4-44A0-86A9-EADD26F6F1E6}"/>
    <hyperlink ref="A192" r:id="rId572" display="javascript:void(0)" xr:uid="{62A27B2D-5180-41F2-9BEE-D6C73C7F2C15}"/>
    <hyperlink ref="C192" r:id="rId573" display="https://auction.ikco.ir/auction/details/34?r=119" xr:uid="{3C04A150-2B91-4076-8247-CF0DA468DE83}"/>
    <hyperlink ref="D192" r:id="rId574" display="https://auction.ikco.ir/auction/details/34?r=119" xr:uid="{E92D0599-2ED1-47D8-A122-9230534691E2}"/>
    <hyperlink ref="A193" r:id="rId575" display="javascript:void(0)" xr:uid="{60B85EEA-BF3E-42A3-9AEE-AECF29945002}"/>
    <hyperlink ref="C193" r:id="rId576" display="https://auction.ikco.ir/auction/details/34?r=148" xr:uid="{9F726E4A-B474-4AD4-B7FE-527852475437}"/>
    <hyperlink ref="D193" r:id="rId577" display="https://auction.ikco.ir/auction/details/34?r=148" xr:uid="{E286D630-256D-49E6-BACA-FEE34AC887BC}"/>
    <hyperlink ref="A194" r:id="rId578" display="javascript:void(0)" xr:uid="{711FA1CE-8883-4AC1-9A73-6CF2E6458D93}"/>
    <hyperlink ref="C194" r:id="rId579" display="https://auction.ikco.ir/auction/details/34?r=177" xr:uid="{B4756CAF-6FBA-49A1-A6B7-BA9CCFFA45C7}"/>
    <hyperlink ref="D194" r:id="rId580" display="https://auction.ikco.ir/auction/details/34?r=177" xr:uid="{A889481F-29C1-47A5-85DE-02CCDE23EC27}"/>
    <hyperlink ref="A195" r:id="rId581" display="javascript:void(0)" xr:uid="{89321B34-2DA3-4BDD-97F6-084EBCD77C27}"/>
    <hyperlink ref="C195" r:id="rId582" display="https://auction.ikco.ir/auction/details/34?r=351" xr:uid="{CC70DA7C-61BD-4AB1-A854-5D6DA4F02D42}"/>
    <hyperlink ref="D195" r:id="rId583" display="https://auction.ikco.ir/auction/details/34?r=351" xr:uid="{9961A406-3385-4AD9-9124-ED426C919C4C}"/>
    <hyperlink ref="A196" r:id="rId584" display="javascript:void(0)" xr:uid="{6CD2FA95-69F3-4F24-8B12-6849E7C143B8}"/>
    <hyperlink ref="C196" r:id="rId585" display="https://auction.ikco.ir/auction/details/34?r=255" xr:uid="{58E0CFDC-4892-4B69-8472-2490DCCEB54F}"/>
    <hyperlink ref="D196" r:id="rId586" display="https://auction.ikco.ir/auction/details/34?r=255" xr:uid="{1B7EF08E-E723-4214-BC7B-BBC2D215F1CF}"/>
    <hyperlink ref="A197" r:id="rId587" display="javascript:void(0)" xr:uid="{BAD6A9A6-4207-457C-A1D7-86D819435759}"/>
    <hyperlink ref="C197" r:id="rId588" display="https://auction.ikco.ir/auction/details/34?r=235" xr:uid="{B54C5ECC-1B52-4D98-AD39-61E9424E95CF}"/>
    <hyperlink ref="D197" r:id="rId589" display="https://auction.ikco.ir/auction/details/34?r=235" xr:uid="{BCDDDAF4-567D-48BF-B8DF-51993B753DF2}"/>
    <hyperlink ref="A198" r:id="rId590" display="javascript:void(0)" xr:uid="{753525DB-4525-4487-8E51-848EF37BD6AA}"/>
    <hyperlink ref="C198" r:id="rId591" display="https://auction.ikco.ir/auction/details/34?r=243" xr:uid="{274550CA-9B51-476C-94CD-7D1039F9A1F1}"/>
    <hyperlink ref="D198" r:id="rId592" display="https://auction.ikco.ir/auction/details/34?r=243" xr:uid="{F928CFE1-59A9-4FD2-8DFA-31F4DB5642A6}"/>
    <hyperlink ref="A199" r:id="rId593" display="javascript:void(0)" xr:uid="{E54E371F-4D6D-4496-9C3A-A68102961FEF}"/>
    <hyperlink ref="C199" r:id="rId594" display="https://auction.ikco.ir/auction/details/34?r=302" xr:uid="{B4779B3B-F940-40DD-AF44-D31CACD3E915}"/>
    <hyperlink ref="D199" r:id="rId595" display="https://auction.ikco.ir/auction/details/34?r=302" xr:uid="{9E488247-8CBA-42B6-AC24-9229C1A9407A}"/>
    <hyperlink ref="A200" r:id="rId596" display="javascript:void(0)" xr:uid="{F12096C3-B3CD-4F47-9CAB-BEA3AB113F8C}"/>
    <hyperlink ref="C200" r:id="rId597" display="https://auction.ikco.ir/auction/details/34?r=10" xr:uid="{75C9DE1D-F75B-425E-B683-B3664932CA9A}"/>
    <hyperlink ref="D200" r:id="rId598" display="https://auction.ikco.ir/auction/details/34?r=10" xr:uid="{339359E9-3D97-4BD5-A003-53FB634067D9}"/>
    <hyperlink ref="A202" r:id="rId599" display="javascript:void(0)" xr:uid="{AA74393E-E3DA-4F42-B52B-CDB63F0C9EEA}"/>
    <hyperlink ref="A203" r:id="rId600" display="javascript:void(0)" xr:uid="{5E9FAF0F-FD41-4E92-89AB-DC293260F5D0}"/>
    <hyperlink ref="A204" r:id="rId601" display="javascript:void(0)" xr:uid="{F97F7CF8-AB45-42CE-80C5-57E31F28B750}"/>
    <hyperlink ref="A205" r:id="rId602" display="javascript:void(0)" xr:uid="{461B53C0-0D84-4323-86C7-E184725529BA}"/>
    <hyperlink ref="A206" r:id="rId603" display="javascript:void(0)" xr:uid="{AD7DFDB0-93B3-4EBC-8990-D1D43178C0C4}"/>
    <hyperlink ref="A207" r:id="rId604" display="javascript:void(0)" xr:uid="{560ABE60-3334-4E18-B91D-F9907BF2AC64}"/>
    <hyperlink ref="A208" r:id="rId605" display="javascript:void(0)" xr:uid="{A9251DEB-6897-44A7-B2ED-D94ED2F987D7}"/>
    <hyperlink ref="A209" r:id="rId606" display="javascript:void(0)" xr:uid="{3045F61D-AD5C-466A-BBC6-AEAAD28604CB}"/>
    <hyperlink ref="A210" r:id="rId607" display="javascript:void(0)" xr:uid="{82FFEC85-BF27-45EF-BC8F-471DCBCE7D81}"/>
    <hyperlink ref="A211" r:id="rId608" display="javascript:void(0)" xr:uid="{504E3DA0-3D26-4A8A-8964-469485921AE9}"/>
    <hyperlink ref="A212" r:id="rId609" display="javascript:void(0)" xr:uid="{3ECF0F1C-D0D2-439D-BCD6-65D3A3F975DA}"/>
    <hyperlink ref="A213" r:id="rId610" display="javascript:void(0)" xr:uid="{58863E28-B253-4062-9487-4C1B9EB2926D}"/>
    <hyperlink ref="A214" r:id="rId611" display="javascript:void(0)" xr:uid="{DD4BE666-CF1B-49E3-ADE3-90F7F31803EA}"/>
    <hyperlink ref="A215" r:id="rId612" display="javascript:void(0)" xr:uid="{185C2370-D8CC-49B3-9E8E-5CE6F1366D1C}"/>
    <hyperlink ref="A216" r:id="rId613" display="javascript:void(0)" xr:uid="{2EABC07F-F13E-4A34-93A0-9B285F5B631B}"/>
    <hyperlink ref="A217" r:id="rId614" display="javascript:void(0)" xr:uid="{605CB28E-84DC-4D87-B9B5-7A20C94578C8}"/>
    <hyperlink ref="A218" r:id="rId615" display="javascript:void(0)" xr:uid="{1D8CCB5C-6C6D-4451-8D1E-9F8D9DE1AE97}"/>
    <hyperlink ref="A219" r:id="rId616" display="javascript:void(0)" xr:uid="{AC8C0A85-B891-4451-8E32-A1B6DE86F252}"/>
    <hyperlink ref="A220" r:id="rId617" display="javascript:void(0)" xr:uid="{F893B391-A479-4D6D-B435-2110210497A7}"/>
    <hyperlink ref="A221" r:id="rId618" display="javascript:void(0)" xr:uid="{7011E1C3-5516-4CA3-8310-7D9771825870}"/>
    <hyperlink ref="A222" r:id="rId619" display="javascript:void(0)" xr:uid="{968ECC4D-187D-4609-A20B-E833D7D604C3}"/>
    <hyperlink ref="A223" r:id="rId620" display="javascript:void(0)" xr:uid="{D5355C09-C967-4426-A298-34B33FD51312}"/>
    <hyperlink ref="A224" r:id="rId621" display="javascript:void(0)" xr:uid="{6D8C2279-098A-4E06-B6ED-5451F64A5879}"/>
    <hyperlink ref="A225" r:id="rId622" display="javascript:void(0)" xr:uid="{F4F1B82F-B09D-4BF6-AC10-83736B3E34F4}"/>
    <hyperlink ref="A226" r:id="rId623" display="javascript:void(0)" xr:uid="{CA29FE9E-6688-4529-8BF0-03EE5699D87A}"/>
    <hyperlink ref="A227" r:id="rId624" display="javascript:void(0)" xr:uid="{4270F809-645D-4DEC-BEDC-2515D234851A}"/>
    <hyperlink ref="A228" r:id="rId625" display="javascript:void(0)" xr:uid="{5400E5A4-0B4B-4886-B069-4DFA6D9E20D9}"/>
    <hyperlink ref="A229" r:id="rId626" display="javascript:void(0)" xr:uid="{EBBC4B22-2486-4377-AEE9-AF1F0E70E40C}"/>
    <hyperlink ref="A230" r:id="rId627" display="javascript:void(0)" xr:uid="{0FE1BA1F-F8E7-45EF-8E12-4AA6C04E9DB4}"/>
    <hyperlink ref="A231" r:id="rId628" display="javascript:void(0)" xr:uid="{99FB32F9-4A08-4E3C-B295-C416783D860C}"/>
    <hyperlink ref="A232" r:id="rId629" display="javascript:void(0)" xr:uid="{C0F19DD6-76FC-4951-AB48-D99DB7C411AC}"/>
    <hyperlink ref="A233" r:id="rId630" display="javascript:void(0)" xr:uid="{25F86E78-7EF1-4DAA-AD7A-1CF6A6D64162}"/>
    <hyperlink ref="A234" r:id="rId631" display="javascript:void(0)" xr:uid="{BF4CEE4A-2738-4DA2-9E97-5F579515A585}"/>
    <hyperlink ref="A235" r:id="rId632" display="javascript:void(0)" xr:uid="{3774719D-3BB6-455C-96E1-0A7348225D33}"/>
    <hyperlink ref="A236" r:id="rId633" display="javascript:void(0)" xr:uid="{D13761EF-F067-451E-8459-502DF2CE08F8}"/>
    <hyperlink ref="A237" r:id="rId634" display="javascript:void(0)" xr:uid="{FD2ED3F5-5547-4927-8EDF-98D3F2018308}"/>
    <hyperlink ref="A238" r:id="rId635" display="javascript:void(0)" xr:uid="{D4A67966-4FBA-43B8-8AA7-0138E8F5D77B}"/>
    <hyperlink ref="A239" r:id="rId636" display="javascript:void(0)" xr:uid="{818FF67E-E1C8-4D58-9D23-A6A8F9A616A1}"/>
    <hyperlink ref="A240" r:id="rId637" display="javascript:void(0)" xr:uid="{66C287F0-E05A-4129-8A08-2521001A85FD}"/>
    <hyperlink ref="A241" r:id="rId638" display="javascript:void(0)" xr:uid="{3E4483C5-0926-45B6-A7EA-E9EC229ACF0A}"/>
    <hyperlink ref="A242" r:id="rId639" display="javascript:void(0)" xr:uid="{1E162395-AE84-4976-AC73-34EE2517C23C}"/>
    <hyperlink ref="A243" r:id="rId640" display="javascript:void(0)" xr:uid="{9DE67B15-3E30-4C51-9718-A83B50741DB9}"/>
    <hyperlink ref="A244" r:id="rId641" display="javascript:void(0)" xr:uid="{8E22C35A-5C39-4301-926C-DAF0B6F06747}"/>
    <hyperlink ref="A245" r:id="rId642" display="javascript:void(0)" xr:uid="{876BF259-3DC5-4EF1-A848-0CDA15060455}"/>
    <hyperlink ref="A246" r:id="rId643" display="javascript:void(0)" xr:uid="{16CB843B-498B-41C4-9EE7-45B5B69D5DD0}"/>
    <hyperlink ref="A247" r:id="rId644" display="javascript:void(0)" xr:uid="{B4453F88-1528-4732-9BDC-D14A8EC9B55B}"/>
    <hyperlink ref="A248" r:id="rId645" display="javascript:void(0)" xr:uid="{50D0C048-6319-4FB3-8842-10EB2FF4C6C6}"/>
    <hyperlink ref="A249" r:id="rId646" display="javascript:void(0)" xr:uid="{478932EC-F769-4CCD-910A-A38C2D249C90}"/>
    <hyperlink ref="A250" r:id="rId647" display="javascript:void(0)" xr:uid="{824DDDA3-0F10-4E72-8D23-CC3E6EBF784D}"/>
    <hyperlink ref="A251" r:id="rId648" display="javascript:void(0)" xr:uid="{641B7B8B-0BD0-4FEE-893A-D1A3ABA0C1A7}"/>
    <hyperlink ref="A252" r:id="rId649" display="javascript:void(0)" xr:uid="{98DD9AE2-5328-49B4-B9CC-79BF5B881CE7}"/>
    <hyperlink ref="A253" r:id="rId650" display="javascript:void(0)" xr:uid="{C021551D-A1D0-4F1A-8C40-A31571D22BC4}"/>
    <hyperlink ref="A254" r:id="rId651" display="javascript:void(0)" xr:uid="{D856B12F-3700-416F-9C8E-7F1529D30A80}"/>
    <hyperlink ref="A255" r:id="rId652" display="javascript:void(0)" xr:uid="{C79B0766-20D4-4E0D-BCBC-71FA02ACC439}"/>
    <hyperlink ref="A256" r:id="rId653" display="javascript:void(0)" xr:uid="{8975DA67-A0E5-49B9-BB7C-D55AC4321A78}"/>
    <hyperlink ref="A257" r:id="rId654" display="javascript:void(0)" xr:uid="{E8B03E38-7E18-4421-8665-7CD2C32A1136}"/>
    <hyperlink ref="A258" r:id="rId655" display="javascript:void(0)" xr:uid="{23392C47-234C-4400-BC47-F0385211BBC7}"/>
    <hyperlink ref="A259" r:id="rId656" display="javascript:void(0)" xr:uid="{8D18F172-9A38-43E3-A83F-EE2167C74DA1}"/>
    <hyperlink ref="A260" r:id="rId657" display="javascript:void(0)" xr:uid="{55B04AAD-C808-4711-82B2-5CD8A7252ECC}"/>
    <hyperlink ref="A261" r:id="rId658" display="javascript:void(0)" xr:uid="{EF18769E-DE06-4EB1-B4F1-F5DD5DD07FAF}"/>
    <hyperlink ref="A262" r:id="rId659" display="javascript:void(0)" xr:uid="{286319FB-984B-4ACC-9D36-7DED829C118F}"/>
    <hyperlink ref="A263" r:id="rId660" display="javascript:void(0)" xr:uid="{25E516AA-A94F-42E7-9F2F-D68A93D09584}"/>
    <hyperlink ref="A264" r:id="rId661" display="javascript:void(0)" xr:uid="{88BA50D4-B8E6-4463-BE60-C5200D888226}"/>
    <hyperlink ref="A265" r:id="rId662" display="javascript:void(0)" xr:uid="{364D6FBA-69F2-4B24-BF53-A3466E97E5EB}"/>
    <hyperlink ref="A266" r:id="rId663" display="javascript:void(0)" xr:uid="{14DF2991-1228-49E8-B7A8-E0C832996D86}"/>
    <hyperlink ref="A267" r:id="rId664" display="javascript:void(0)" xr:uid="{A8843642-03C2-4F51-A3DF-B6B8152AD74B}"/>
    <hyperlink ref="A268" r:id="rId665" display="javascript:void(0)" xr:uid="{D6AD4FA2-9B6F-4D56-9902-C38CF8DFD90A}"/>
    <hyperlink ref="A269" r:id="rId666" display="javascript:void(0)" xr:uid="{BD6ABB34-B3DB-41A7-93D9-590BCAA6F944}"/>
    <hyperlink ref="A270" r:id="rId667" display="javascript:void(0)" xr:uid="{E7BAA7E8-98FC-43C6-B9C9-5A765DB0AF6D}"/>
    <hyperlink ref="A271" r:id="rId668" display="javascript:void(0)" xr:uid="{77ECDAF6-7387-48D5-999B-6888628BD989}"/>
    <hyperlink ref="A272" r:id="rId669" display="javascript:void(0)" xr:uid="{A1E5885C-8B5B-4D69-BDB8-686593BA5352}"/>
    <hyperlink ref="A273" r:id="rId670" display="javascript:void(0)" xr:uid="{E4C6EE2E-D642-4E42-910C-6AB93289BEDA}"/>
    <hyperlink ref="A274" r:id="rId671" display="javascript:void(0)" xr:uid="{637AFA28-4378-41B7-8D9C-67F9FD15CC1A}"/>
    <hyperlink ref="A275" r:id="rId672" display="javascript:void(0)" xr:uid="{E6F923F7-7203-458C-86EF-9103525DDD9D}"/>
    <hyperlink ref="A276" r:id="rId673" display="javascript:void(0)" xr:uid="{20B3BB20-FEF2-4F51-87C7-9BCAAE637813}"/>
    <hyperlink ref="A277" r:id="rId674" display="javascript:void(0)" xr:uid="{7CBFA100-77A6-4C9E-B483-06F4522B4B06}"/>
    <hyperlink ref="A278" r:id="rId675" display="javascript:void(0)" xr:uid="{D3FCAC08-1F09-4481-84E7-1E0BE3DDF2FF}"/>
    <hyperlink ref="A279" r:id="rId676" display="javascript:void(0)" xr:uid="{05D2A32C-83AA-424B-B508-64E6D4E21532}"/>
    <hyperlink ref="A280" r:id="rId677" display="javascript:void(0)" xr:uid="{FB736208-ADC9-48F1-8257-6A171DA6EFB3}"/>
    <hyperlink ref="A281" r:id="rId678" display="javascript:void(0)" xr:uid="{38AE7C71-A9BA-4F78-AEF2-EFE437912798}"/>
    <hyperlink ref="A282" r:id="rId679" display="javascript:void(0)" xr:uid="{4FE7281B-C237-4538-B452-DDC7406862AD}"/>
    <hyperlink ref="A283" r:id="rId680" display="javascript:void(0)" xr:uid="{296FEBE8-0794-41CE-BED7-6928A64352DD}"/>
    <hyperlink ref="A284" r:id="rId681" display="javascript:void(0)" xr:uid="{B8D20A57-334E-4F90-AEB1-6C304C3EF926}"/>
    <hyperlink ref="A285" r:id="rId682" display="javascript:void(0)" xr:uid="{6518DF86-48D6-4592-AC56-BED82CB2CE9D}"/>
    <hyperlink ref="A286" r:id="rId683" display="javascript:void(0)" xr:uid="{D14C7E70-F84A-49DD-B88D-9022B6E62B82}"/>
    <hyperlink ref="A287" r:id="rId684" display="javascript:void(0)" xr:uid="{C277419B-EB74-4D42-AB3C-C1DEDC1468DF}"/>
    <hyperlink ref="A288" r:id="rId685" display="javascript:void(0)" xr:uid="{2CF235BB-0E39-44ED-ACC7-FB4A5D92126C}"/>
    <hyperlink ref="A289" r:id="rId686" display="javascript:void(0)" xr:uid="{3A2FD733-6F95-456F-BEB2-0549C9C2B6D0}"/>
    <hyperlink ref="A290" r:id="rId687" display="javascript:void(0)" xr:uid="{DD09F1C2-E596-47DB-9ED4-8566DFD4D5F3}"/>
    <hyperlink ref="A291" r:id="rId688" display="javascript:void(0)" xr:uid="{FF495EA0-9DDE-4E95-B86B-A05D26C0EDDF}"/>
    <hyperlink ref="A292" r:id="rId689" display="javascript:void(0)" xr:uid="{BF5D863B-137A-4008-9890-027738571B8E}"/>
    <hyperlink ref="A293" r:id="rId690" display="javascript:void(0)" xr:uid="{1BEEF129-4CBE-44EC-91A7-F583CF468994}"/>
    <hyperlink ref="A294" r:id="rId691" display="javascript:void(0)" xr:uid="{1093C8D8-2438-40F7-90A1-A388EA545751}"/>
    <hyperlink ref="A295" r:id="rId692" display="javascript:void(0)" xr:uid="{7D1A6D77-3861-4C7A-A662-123CC2BEB833}"/>
    <hyperlink ref="A296" r:id="rId693" display="javascript:void(0)" xr:uid="{5CDA807A-C1A8-4E43-ABEC-251DB6A6C0BF}"/>
    <hyperlink ref="A297" r:id="rId694" display="javascript:void(0)" xr:uid="{A1FBE1E1-FAEE-4732-A243-D6FAC40CE08F}"/>
    <hyperlink ref="A298" r:id="rId695" display="javascript:void(0)" xr:uid="{8B96FA4D-154A-4571-865E-60FCC5F24C4F}"/>
    <hyperlink ref="A299" r:id="rId696" display="javascript:void(0)" xr:uid="{542BB6FB-DD3F-44B4-A47E-DC0FC42DB3CA}"/>
    <hyperlink ref="A300" r:id="rId697" display="javascript:void(0)" xr:uid="{C64C985D-6F75-4E92-96CD-A48467B6E1F7}"/>
    <hyperlink ref="C201" r:id="rId698" display="https://auction.ikco.ir/auction/details/34?r=4" xr:uid="{E77C9C57-91E7-45C7-9279-09E8145F01B9}"/>
    <hyperlink ref="D201" r:id="rId699" display="https://auction.ikco.ir/auction/details/34?r=4" xr:uid="{DCD2F275-A14B-45D2-A564-EEC60222CF0A}"/>
    <hyperlink ref="A302" r:id="rId700" display="javascript:void(0)" xr:uid="{99E3C337-000B-4256-8F02-00EB1044CBB5}"/>
    <hyperlink ref="C202" r:id="rId701" display="https://auction.ikco.ir/auction/details/34?r=308" xr:uid="{97613E59-CA74-4DE3-AE2B-8501B2B39A94}"/>
    <hyperlink ref="D202" r:id="rId702" display="https://auction.ikco.ir/auction/details/34?r=308" xr:uid="{04CBF097-1B61-4FB8-9DB1-509FD27E283A}"/>
    <hyperlink ref="A303" r:id="rId703" display="javascript:void(0)" xr:uid="{855D7E92-FB16-4822-971F-8E1E525907F4}"/>
    <hyperlink ref="C203" r:id="rId704" display="https://auction.ikco.ir/auction/details/34?r=26" xr:uid="{DDDCF608-4332-4149-AD7D-7E4553AF5A63}"/>
    <hyperlink ref="D203" r:id="rId705" display="https://auction.ikco.ir/auction/details/34?r=26" xr:uid="{3C5F2C7B-7D32-443B-BDB8-36CE388884DB}"/>
    <hyperlink ref="A304" r:id="rId706" display="javascript:void(0)" xr:uid="{69F232FB-9F30-490A-8BC8-686015BB5EC3}"/>
    <hyperlink ref="C204" r:id="rId707" display="https://auction.ikco.ir/auction/details/34?r=157" xr:uid="{726B1EB6-933E-4BFA-A11F-3D64A56E9E48}"/>
    <hyperlink ref="D204" r:id="rId708" display="https://auction.ikco.ir/auction/details/34?r=157" xr:uid="{D8DF8389-2BBF-487F-9481-03FF3BE5D036}"/>
    <hyperlink ref="A305" r:id="rId709" display="javascript:void(0)" xr:uid="{4FFAE684-84A3-4346-8B4F-6D16BBFBD025}"/>
    <hyperlink ref="C205" r:id="rId710" display="https://auction.ikco.ir/auction/details/34?r=292" xr:uid="{40E735BA-2EEE-486E-87B0-0D4CF6573E0B}"/>
    <hyperlink ref="D205" r:id="rId711" display="https://auction.ikco.ir/auction/details/34?r=292" xr:uid="{9DC0724A-3E88-430F-9DF3-7F965DD96EBA}"/>
    <hyperlink ref="A306" r:id="rId712" display="javascript:void(0)" xr:uid="{200D626A-5EDB-4B35-B489-7AD3034637DD}"/>
    <hyperlink ref="C206" r:id="rId713" display="https://auction.ikco.ir/auction/details/34?r=305" xr:uid="{01C91799-B9FC-416B-9DB4-2C8CC27A08E8}"/>
    <hyperlink ref="D206" r:id="rId714" display="https://auction.ikco.ir/auction/details/34?r=305" xr:uid="{5C2277A0-9EA6-4823-B758-94F99BD2889B}"/>
    <hyperlink ref="A307" r:id="rId715" display="javascript:void(0)" xr:uid="{5F923266-A2D9-422D-AB1D-5748D4A7879E}"/>
    <hyperlink ref="C207" r:id="rId716" display="https://auction.ikco.ir/auction/details/34?r=84" xr:uid="{D9F87EC6-F1DC-4E92-B005-537645B6CF71}"/>
    <hyperlink ref="D207" r:id="rId717" display="https://auction.ikco.ir/auction/details/34?r=84" xr:uid="{4E82C2E1-139B-4F71-BD38-3117F1ACE35F}"/>
    <hyperlink ref="A308" r:id="rId718" display="javascript:void(0)" xr:uid="{93F68B9E-34A1-4F87-A519-3D9A74263B92}"/>
    <hyperlink ref="C208" r:id="rId719" display="https://auction.ikco.ir/auction/details/34?r=419" xr:uid="{00383553-C2B5-4BDE-BE5C-457F22A2C9F7}"/>
    <hyperlink ref="D208" r:id="rId720" display="https://auction.ikco.ir/auction/details/34?r=419" xr:uid="{EA905078-FAB3-4B7D-A449-1D5E447D4177}"/>
    <hyperlink ref="A309" r:id="rId721" display="javascript:void(0)" xr:uid="{1D0CD31B-7520-4603-B874-11573A5F40B2}"/>
    <hyperlink ref="C209" r:id="rId722" display="https://auction.ikco.ir/auction/details/34?r=11" xr:uid="{3FA485D3-B479-4A09-AC60-7303B950C24A}"/>
    <hyperlink ref="D209" r:id="rId723" display="https://auction.ikco.ir/auction/details/34?r=11" xr:uid="{DE523823-D3A0-4567-926C-7C9795CE5AF6}"/>
    <hyperlink ref="A310" r:id="rId724" display="javascript:void(0)" xr:uid="{89566B0A-38B4-46F0-BD7D-C770DBAF41A6}"/>
    <hyperlink ref="C210" r:id="rId725" display="https://auction.ikco.ir/auction/details/34?r=18" xr:uid="{5C6B9AD2-A026-420E-8223-B305BADAE065}"/>
    <hyperlink ref="D210" r:id="rId726" display="https://auction.ikco.ir/auction/details/34?r=18" xr:uid="{DB5AE1BF-4171-4F93-AD94-EEB1AD3E9FA8}"/>
    <hyperlink ref="A311" r:id="rId727" display="javascript:void(0)" xr:uid="{46B0D132-6101-4015-8D74-5E3F1C851199}"/>
    <hyperlink ref="C211" r:id="rId728" display="https://auction.ikco.ir/auction/details/34?r=179" xr:uid="{CF51B13E-F84E-4B32-960A-61AC7410A948}"/>
    <hyperlink ref="D211" r:id="rId729" display="https://auction.ikco.ir/auction/details/34?r=179" xr:uid="{EA248420-63F1-4CE4-992E-2DE40D2D62D5}"/>
    <hyperlink ref="A312" r:id="rId730" display="javascript:void(0)" xr:uid="{6A367852-DBD8-4C81-B8CF-FC32F0095E8C}"/>
    <hyperlink ref="C212" r:id="rId731" display="https://auction.ikco.ir/auction/details/34?r=67" xr:uid="{EEA05A49-5820-45D9-9280-1DA21CE0827F}"/>
    <hyperlink ref="D212" r:id="rId732" display="https://auction.ikco.ir/auction/details/34?r=67" xr:uid="{4109184B-2BCC-4D59-937D-C5FA2094511A}"/>
    <hyperlink ref="A313" r:id="rId733" display="javascript:void(0)" xr:uid="{D5EB267E-EFD7-4C87-AB5D-F307B223FACC}"/>
    <hyperlink ref="C213" r:id="rId734" display="https://auction.ikco.ir/auction/details/34?r=132" xr:uid="{4E5EB19C-8DA5-49F9-B459-F83C57C903F5}"/>
    <hyperlink ref="D213" r:id="rId735" display="https://auction.ikco.ir/auction/details/34?r=132" xr:uid="{1A70B1C9-E3D8-4F31-A71A-EAAC0D218CA9}"/>
    <hyperlink ref="A314" r:id="rId736" display="javascript:void(0)" xr:uid="{4EE05598-721B-4E2B-97B8-F05B99235DA1}"/>
    <hyperlink ref="C214" r:id="rId737" display="https://auction.ikco.ir/auction/details/34?r=143" xr:uid="{0BC96641-BAB7-462D-84CC-3C592E50C829}"/>
    <hyperlink ref="D214" r:id="rId738" display="https://auction.ikco.ir/auction/details/34?r=143" xr:uid="{14BA0AA1-4FD0-467B-8859-022F9D603E89}"/>
    <hyperlink ref="A315" r:id="rId739" display="javascript:void(0)" xr:uid="{641B4CD2-76BE-4674-90B5-DDE4118C8F83}"/>
    <hyperlink ref="C215" r:id="rId740" display="https://auction.ikco.ir/auction/details/34?r=176" xr:uid="{8912E7AF-AE23-4F95-9763-B294E6EC4D92}"/>
    <hyperlink ref="D215" r:id="rId741" display="https://auction.ikco.ir/auction/details/34?r=176" xr:uid="{6B1D9E2E-E987-4E31-AACA-BECA94F72FF8}"/>
    <hyperlink ref="A316" r:id="rId742" display="javascript:void(0)" xr:uid="{7F5E2654-8B21-4007-8255-989F8D62845A}"/>
    <hyperlink ref="C216" r:id="rId743" display="https://auction.ikco.ir/auction/details/34?r=190" xr:uid="{4799C024-61C1-4E8B-9205-0C61C9FFCDDB}"/>
    <hyperlink ref="D216" r:id="rId744" display="https://auction.ikco.ir/auction/details/34?r=190" xr:uid="{6BEA78C2-F4BA-4E7D-BE74-53CFB03CE021}"/>
    <hyperlink ref="A317" r:id="rId745" display="javascript:void(0)" xr:uid="{D6BAA5D8-B70F-4367-86D1-473700C170D7}"/>
    <hyperlink ref="C217" r:id="rId746" display="https://auction.ikco.ir/auction/details/34?r=192" xr:uid="{E730244C-4ACF-48E1-8EF0-532A9B7F003B}"/>
    <hyperlink ref="D217" r:id="rId747" display="https://auction.ikco.ir/auction/details/34?r=192" xr:uid="{0908592E-6C02-45B2-A9CD-7F56D6035DC2}"/>
    <hyperlink ref="A318" r:id="rId748" display="javascript:void(0)" xr:uid="{C3791A42-329C-4553-8FF4-154C69DD7DC7}"/>
    <hyperlink ref="C218" r:id="rId749" display="https://auction.ikco.ir/auction/details/34?r=231" xr:uid="{A3B33BFA-C664-42D2-8C70-5E6EDEE8BB86}"/>
    <hyperlink ref="D218" r:id="rId750" display="https://auction.ikco.ir/auction/details/34?r=231" xr:uid="{B30049A4-F45D-4B96-94DB-3C8E25B48340}"/>
    <hyperlink ref="A319" r:id="rId751" display="javascript:void(0)" xr:uid="{4B8E243C-355D-48CC-8BC0-819BC4F1A4C2}"/>
    <hyperlink ref="C219" r:id="rId752" display="https://auction.ikco.ir/auction/details/34?r=279" xr:uid="{A2649F62-D950-4093-909F-4EDEA5E71EA9}"/>
    <hyperlink ref="D219" r:id="rId753" display="https://auction.ikco.ir/auction/details/34?r=279" xr:uid="{BD202652-0F76-4EC2-A4F8-D16441E15B67}"/>
    <hyperlink ref="A320" r:id="rId754" display="javascript:void(0)" xr:uid="{EEA77CF8-5A68-4CBE-8349-C0CC4A6E64BD}"/>
    <hyperlink ref="C220" r:id="rId755" display="https://auction.ikco.ir/auction/details/34?r=287" xr:uid="{9BB4ED7A-3D00-4524-B299-CF3AA0DBA7FA}"/>
    <hyperlink ref="D220" r:id="rId756" display="https://auction.ikco.ir/auction/details/34?r=287" xr:uid="{9CF71043-693F-4714-B539-22DBF3808D9B}"/>
    <hyperlink ref="A321" r:id="rId757" display="javascript:void(0)" xr:uid="{5F8DEA7F-D201-4122-8A1A-1A23460B84BC}"/>
    <hyperlink ref="C221" r:id="rId758" display="https://auction.ikco.ir/auction/details/34?r=321" xr:uid="{B4C6B96D-FE80-4A08-B0EA-B86E76917D7C}"/>
    <hyperlink ref="D221" r:id="rId759" display="https://auction.ikco.ir/auction/details/34?r=321" xr:uid="{0D78B993-4859-4384-B16E-47D3A8FBAD07}"/>
    <hyperlink ref="A322" r:id="rId760" display="javascript:void(0)" xr:uid="{BB398671-D11C-428E-A0B8-A32987672286}"/>
    <hyperlink ref="C222" r:id="rId761" display="https://auction.ikco.ir/auction/details/34?r=339" xr:uid="{D33E9E64-059C-447B-A7AA-E36713401C9A}"/>
    <hyperlink ref="D222" r:id="rId762" display="https://auction.ikco.ir/auction/details/34?r=339" xr:uid="{6BE166CF-038D-4B6E-AA89-937E110F4716}"/>
    <hyperlink ref="A323" r:id="rId763" display="javascript:void(0)" xr:uid="{2FC82867-C677-4023-A9CE-52596F2768AA}"/>
    <hyperlink ref="C223" r:id="rId764" display="https://auction.ikco.ir/auction/details/34?r=423" xr:uid="{CDB08A27-7C04-41AD-8526-311F886AB9F9}"/>
    <hyperlink ref="D223" r:id="rId765" display="https://auction.ikco.ir/auction/details/34?r=423" xr:uid="{103D7065-31F1-488F-B85A-A04BB57ED6BA}"/>
    <hyperlink ref="A324" r:id="rId766" display="javascript:void(0)" xr:uid="{EDDCBE22-6FCD-4C37-A50D-CF28357E9824}"/>
    <hyperlink ref="C224" r:id="rId767" display="https://auction.ikco.ir/auction/details/34?r=17" xr:uid="{513FEBE4-4AF2-4019-ADD9-69DD0E58EB48}"/>
    <hyperlink ref="D224" r:id="rId768" display="https://auction.ikco.ir/auction/details/34?r=17" xr:uid="{A7A6F46D-D635-4C81-93A7-5D7D8ED218B6}"/>
    <hyperlink ref="A325" r:id="rId769" display="javascript:void(0)" xr:uid="{9C436279-0EFC-423C-A5E1-467A56FDA737}"/>
    <hyperlink ref="C225" r:id="rId770" display="https://auction.ikco.ir/auction/details/34?r=135" xr:uid="{B06C22F8-390D-4E40-A74D-12A36D352B95}"/>
    <hyperlink ref="D225" r:id="rId771" display="https://auction.ikco.ir/auction/details/34?r=135" xr:uid="{8B572FA1-B2DD-4C80-92A3-AB74BEE8DF1C}"/>
    <hyperlink ref="A326" r:id="rId772" display="javascript:void(0)" xr:uid="{093A0C86-FDD7-4750-A94D-61E837B10AB9}"/>
    <hyperlink ref="C226" r:id="rId773" display="https://auction.ikco.ir/auction/details/34?r=199" xr:uid="{B6E330CE-5416-49E9-8616-C450D71ED254}"/>
    <hyperlink ref="D226" r:id="rId774" display="https://auction.ikco.ir/auction/details/34?r=199" xr:uid="{510DF1B1-CF9E-4561-A6A8-7368FCF659D5}"/>
    <hyperlink ref="A327" r:id="rId775" display="javascript:void(0)" xr:uid="{BACC8BA0-295E-4C1E-A9D7-9D2173415B10}"/>
    <hyperlink ref="C227" r:id="rId776" display="https://auction.ikco.ir/auction/details/34?r=212" xr:uid="{BA6A68F0-7925-45B3-A02C-20A6D39673AF}"/>
    <hyperlink ref="D227" r:id="rId777" display="https://auction.ikco.ir/auction/details/34?r=212" xr:uid="{29FA42B8-AC24-4082-AE2A-BB7A58EA0CE1}"/>
    <hyperlink ref="A328" r:id="rId778" display="javascript:void(0)" xr:uid="{E3FBE549-EE03-42AB-8271-F4EDD8F2CC88}"/>
    <hyperlink ref="C228" r:id="rId779" display="https://auction.ikco.ir/auction/details/34?r=238" xr:uid="{EE3A78FB-4F81-4397-B6A6-2651A12369FC}"/>
    <hyperlink ref="D228" r:id="rId780" display="https://auction.ikco.ir/auction/details/34?r=238" xr:uid="{1EEC42F4-D210-4575-9A84-D75AB564C4C7}"/>
    <hyperlink ref="A329" r:id="rId781" display="javascript:void(0)" xr:uid="{1F4B3B89-AB2C-4D74-9638-DBBC56565636}"/>
    <hyperlink ref="C229" r:id="rId782" display="https://auction.ikco.ir/auction/details/34?r=72" xr:uid="{342C8CD4-DCA6-4889-BEA1-785C785290C7}"/>
    <hyperlink ref="D229" r:id="rId783" display="https://auction.ikco.ir/auction/details/34?r=72" xr:uid="{6801C400-83DF-476D-AA76-9DB680A60533}"/>
    <hyperlink ref="A330" r:id="rId784" display="javascript:void(0)" xr:uid="{8525D3BA-F514-4786-9AEE-8932A1A1BEA5}"/>
    <hyperlink ref="C230" r:id="rId785" display="https://auction.ikco.ir/auction/details/34?r=82" xr:uid="{0F9ECDF5-498A-4692-8820-7A80FED137DA}"/>
    <hyperlink ref="D230" r:id="rId786" display="https://auction.ikco.ir/auction/details/34?r=82" xr:uid="{F81363BB-2996-4680-9F60-2FAD4F256953}"/>
    <hyperlink ref="A331" r:id="rId787" display="javascript:void(0)" xr:uid="{3935E162-3DDE-4A9E-A547-84D4082DB68E}"/>
    <hyperlink ref="C231" r:id="rId788" display="https://auction.ikco.ir/auction/details/34?r=158" xr:uid="{88E05329-7E93-4A30-999C-A52B0E86ED47}"/>
    <hyperlink ref="D231" r:id="rId789" display="https://auction.ikco.ir/auction/details/34?r=158" xr:uid="{B6D110A5-BC3B-449B-AC45-C634B23B0E70}"/>
    <hyperlink ref="A332" r:id="rId790" display="javascript:void(0)" xr:uid="{0D088321-DD5E-40B8-B424-C460B7271846}"/>
    <hyperlink ref="C232" r:id="rId791" display="https://auction.ikco.ir/auction/details/34?r=187" xr:uid="{D9D62B1F-8A02-4703-BBC1-E4805A457546}"/>
    <hyperlink ref="D232" r:id="rId792" display="https://auction.ikco.ir/auction/details/34?r=187" xr:uid="{AA9AAB0F-DCD3-4B23-A7D7-66B60437D74C}"/>
    <hyperlink ref="A333" r:id="rId793" display="javascript:void(0)" xr:uid="{6FC9F027-B238-4FB3-90D9-32EBE4ABA0E6}"/>
    <hyperlink ref="C233" r:id="rId794" display="https://auction.ikco.ir/auction/details/34?r=289" xr:uid="{F893D352-DFA9-40CE-B8AD-9451DAEA4423}"/>
    <hyperlink ref="D233" r:id="rId795" display="https://auction.ikco.ir/auction/details/34?r=289" xr:uid="{F895A153-5D51-444F-977E-C7C8AAF062DC}"/>
    <hyperlink ref="A334" r:id="rId796" display="javascript:void(0)" xr:uid="{36A17AD8-E694-4CBB-9370-9A6C71E6D3C6}"/>
    <hyperlink ref="C234" r:id="rId797" display="https://auction.ikco.ir/auction/details/34?r=322" xr:uid="{ADF3C4A2-7D5D-4322-B31F-3D803CEAEA23}"/>
    <hyperlink ref="D234" r:id="rId798" display="https://auction.ikco.ir/auction/details/34?r=322" xr:uid="{7422D9A2-F319-4186-9408-2BAFC1A1B2DF}"/>
    <hyperlink ref="A335" r:id="rId799" display="javascript:void(0)" xr:uid="{2EC68513-5EA9-46FA-9524-483E69C6B7AB}"/>
    <hyperlink ref="C235" r:id="rId800" display="https://auction.ikco.ir/auction/details/34?r=377" xr:uid="{4057617B-B174-44D4-89E9-8C6F640C4C60}"/>
    <hyperlink ref="D235" r:id="rId801" display="https://auction.ikco.ir/auction/details/34?r=377" xr:uid="{06C53930-370B-4E34-AF9E-C50D261ABA06}"/>
    <hyperlink ref="A336" r:id="rId802" display="javascript:void(0)" xr:uid="{921EF525-7625-4712-BAFD-C86AB3EC8B41}"/>
    <hyperlink ref="C236" r:id="rId803" display="https://auction.ikco.ir/auction/details/34?r=36" xr:uid="{B9B54E92-128A-492F-9A43-403149389D06}"/>
    <hyperlink ref="D236" r:id="rId804" display="https://auction.ikco.ir/auction/details/34?r=36" xr:uid="{84D5BB19-199B-42A3-B034-959BA83F756A}"/>
    <hyperlink ref="A337" r:id="rId805" display="javascript:void(0)" xr:uid="{C6E54BB1-E6A4-4FB5-AD50-4354E910D597}"/>
    <hyperlink ref="C237" r:id="rId806" display="https://auction.ikco.ir/auction/details/34?r=44" xr:uid="{BFC88E9A-6F6F-4E7D-84A7-246CEAD7B38A}"/>
    <hyperlink ref="D237" r:id="rId807" display="https://auction.ikco.ir/auction/details/34?r=44" xr:uid="{9A5A24BD-4352-41EA-A867-EDF67C80AE76}"/>
    <hyperlink ref="A338" r:id="rId808" display="javascript:void(0)" xr:uid="{A4A867A1-F92A-4126-BA00-C75D70B4875B}"/>
    <hyperlink ref="C238" r:id="rId809" display="https://auction.ikco.ir/auction/details/34?r=102" xr:uid="{4DEBA1CD-A0CF-455D-B189-3EBD3F5F79E3}"/>
    <hyperlink ref="D238" r:id="rId810" display="https://auction.ikco.ir/auction/details/34?r=102" xr:uid="{C4D553C2-477C-43DE-B577-F2C4143DEBE5}"/>
    <hyperlink ref="A339" r:id="rId811" display="javascript:void(0)" xr:uid="{7F0398BA-F62D-4866-BB10-0945DFF19F67}"/>
    <hyperlink ref="C239" r:id="rId812" display="https://auction.ikco.ir/auction/details/34?r=124" xr:uid="{0516F3BF-39CF-48B7-A5E7-DCAF73683656}"/>
    <hyperlink ref="D239" r:id="rId813" display="https://auction.ikco.ir/auction/details/34?r=124" xr:uid="{257EEB24-B24D-4261-887C-3E9BE4F4ADD0}"/>
    <hyperlink ref="A340" r:id="rId814" display="javascript:void(0)" xr:uid="{E51900B3-2EFF-4FD0-AD50-11C50AD94070}"/>
    <hyperlink ref="C240" r:id="rId815" display="https://auction.ikco.ir/auction/details/34?r=149" xr:uid="{FFE3C1C4-D4AE-4CB9-AFE7-F42D3D029C17}"/>
    <hyperlink ref="D240" r:id="rId816" display="https://auction.ikco.ir/auction/details/34?r=149" xr:uid="{0E0E4C9A-9C27-4E78-9593-52712FED9DF1}"/>
    <hyperlink ref="A341" r:id="rId817" display="javascript:void(0)" xr:uid="{F03815EC-D059-4E78-BB5B-0038B39AD98B}"/>
    <hyperlink ref="C241" r:id="rId818" display="https://auction.ikco.ir/auction/details/34?r=150" xr:uid="{B04ED09A-31F8-49A5-81FC-81886FCF6874}"/>
    <hyperlink ref="D241" r:id="rId819" display="https://auction.ikco.ir/auction/details/34?r=150" xr:uid="{BA48C4EA-D994-44C0-9517-8A5134F5B803}"/>
    <hyperlink ref="A342" r:id="rId820" display="javascript:void(0)" xr:uid="{8F17778D-4172-4734-8208-C8E8859EF0F9}"/>
    <hyperlink ref="C242" r:id="rId821" display="https://auction.ikco.ir/auction/details/34?r=151" xr:uid="{0BD935A4-1AB7-403C-AFED-5C9078028894}"/>
    <hyperlink ref="D242" r:id="rId822" display="https://auction.ikco.ir/auction/details/34?r=151" xr:uid="{315E6002-A741-4172-B676-F142305E098D}"/>
    <hyperlink ref="A343" r:id="rId823" display="javascript:void(0)" xr:uid="{34E4F930-C200-4E15-A101-01328BF034DB}"/>
    <hyperlink ref="C243" r:id="rId824" display="https://auction.ikco.ir/auction/details/34?r=155" xr:uid="{6C02A395-C632-455F-83A9-A29F7B15B969}"/>
    <hyperlink ref="D243" r:id="rId825" display="https://auction.ikco.ir/auction/details/34?r=155" xr:uid="{EDB37A04-3637-4362-BA16-6121311B5895}"/>
    <hyperlink ref="A344" r:id="rId826" display="javascript:void(0)" xr:uid="{1BBB3BEB-05D2-430E-B61B-B285602C9F20}"/>
    <hyperlink ref="C244" r:id="rId827" display="https://auction.ikco.ir/auction/details/34?r=161" xr:uid="{AAD9B18B-D3FF-4814-BCA0-0385B6129A45}"/>
    <hyperlink ref="D244" r:id="rId828" display="https://auction.ikco.ir/auction/details/34?r=161" xr:uid="{870CF4E3-03C2-4B2A-86FF-813716DC919C}"/>
    <hyperlink ref="A345" r:id="rId829" display="javascript:void(0)" xr:uid="{BD586601-A4CE-4586-8B03-3A15046CD3FC}"/>
    <hyperlink ref="C245" r:id="rId830" display="https://auction.ikco.ir/auction/details/34?r=183" xr:uid="{D0E7242F-9423-4B1E-8388-E32E9C3FC073}"/>
    <hyperlink ref="D245" r:id="rId831" display="https://auction.ikco.ir/auction/details/34?r=183" xr:uid="{05947AFE-6900-42D1-A81D-712A205953C7}"/>
    <hyperlink ref="A346" r:id="rId832" display="javascript:void(0)" xr:uid="{0C93ABFE-8AEF-4D9C-8B98-F12FFCB63984}"/>
    <hyperlink ref="C246" r:id="rId833" display="https://auction.ikco.ir/auction/details/34?r=206" xr:uid="{77C12EE7-300A-4D7F-B446-542E642EDAB1}"/>
    <hyperlink ref="D246" r:id="rId834" display="https://auction.ikco.ir/auction/details/34?r=206" xr:uid="{A9C4FD25-5D72-45EC-9E33-65201513839D}"/>
    <hyperlink ref="A347" r:id="rId835" display="javascript:void(0)" xr:uid="{B49F69DB-E224-48B7-BC43-7125201B2EC1}"/>
    <hyperlink ref="C247" r:id="rId836" display="https://auction.ikco.ir/auction/details/34?r=280" xr:uid="{4153059B-4EC0-47FE-AE06-0905D01C8E40}"/>
    <hyperlink ref="D247" r:id="rId837" display="https://auction.ikco.ir/auction/details/34?r=280" xr:uid="{79EB2526-B0F1-4D89-BC27-949BF8074AB9}"/>
    <hyperlink ref="A348" r:id="rId838" display="javascript:void(0)" xr:uid="{3993DDDF-8DD0-4551-9C05-E5F50D85E200}"/>
    <hyperlink ref="C248" r:id="rId839" display="https://auction.ikco.ir/auction/details/34?r=352" xr:uid="{1DF89ACA-EEAC-4AC1-95CB-20417F486702}"/>
    <hyperlink ref="D248" r:id="rId840" display="https://auction.ikco.ir/auction/details/34?r=352" xr:uid="{A8645F81-0E54-417F-8771-8896DB5FB17A}"/>
    <hyperlink ref="A349" r:id="rId841" display="javascript:void(0)" xr:uid="{00775336-4FAF-4466-A1BE-0B31D94B8CF8}"/>
    <hyperlink ref="C249" r:id="rId842" display="https://auction.ikco.ir/auction/details/34?r=12" xr:uid="{03480D4C-D4AE-43B5-89E2-CE1DD490E72E}"/>
    <hyperlink ref="D249" r:id="rId843" display="https://auction.ikco.ir/auction/details/34?r=12" xr:uid="{C515F448-03E2-4F25-9CF4-D006419A7195}"/>
    <hyperlink ref="A350" r:id="rId844" display="javascript:void(0)" xr:uid="{D5C4CE7B-45A0-4B33-A8BC-5B6D0286F55F}"/>
    <hyperlink ref="C250" r:id="rId845" display="https://auction.ikco.ir/auction/details/34?r=13" xr:uid="{4CDBEE8B-FCB9-4351-ADB6-9B4627E88588}"/>
    <hyperlink ref="D250" r:id="rId846" display="https://auction.ikco.ir/auction/details/34?r=13" xr:uid="{89120985-B5E5-4612-A739-B1FF9DCA7C07}"/>
    <hyperlink ref="A351" r:id="rId847" display="javascript:void(0)" xr:uid="{C3BA443C-CC77-4AB1-B86A-658837BE01AE}"/>
    <hyperlink ref="C251" r:id="rId848" display="https://auction.ikco.ir/auction/details/34?r=107" xr:uid="{71CAFB47-45DB-4C53-A883-A624B6FD546A}"/>
    <hyperlink ref="D251" r:id="rId849" display="https://auction.ikco.ir/auction/details/34?r=107" xr:uid="{A831EF9A-0E1B-4FD5-A98C-49BB190045C0}"/>
    <hyperlink ref="A352" r:id="rId850" display="javascript:void(0)" xr:uid="{88AF5C5E-FBE9-4F78-96E0-1CC01131206B}"/>
    <hyperlink ref="C252" r:id="rId851" display="https://auction.ikco.ir/auction/details/34?r=110" xr:uid="{F0CB7E7F-4F68-4A5B-8F2C-784E8B1B1D5B}"/>
    <hyperlink ref="D252" r:id="rId852" display="https://auction.ikco.ir/auction/details/34?r=110" xr:uid="{54EB887D-EAED-4AFC-BCD1-566AB9AEA256}"/>
    <hyperlink ref="A353" r:id="rId853" display="javascript:void(0)" xr:uid="{D7ED18C3-9002-497C-9C3A-516C6DD9F8E6}"/>
    <hyperlink ref="C253" r:id="rId854" display="https://auction.ikco.ir/auction/details/34?r=156" xr:uid="{9A55149A-AE52-443C-A37D-1F9267ABD004}"/>
    <hyperlink ref="D253" r:id="rId855" display="https://auction.ikco.ir/auction/details/34?r=156" xr:uid="{3EB830A8-BD01-428C-9606-18FE75BE1297}"/>
    <hyperlink ref="A354" r:id="rId856" display="javascript:void(0)" xr:uid="{EDF05E67-8E4F-470C-BEE5-8D042A5D6A1A}"/>
    <hyperlink ref="C254" r:id="rId857" display="https://auction.ikco.ir/auction/details/34?r=182" xr:uid="{358A3D13-CC19-40EF-AAEF-CBE47CB4F21C}"/>
    <hyperlink ref="D254" r:id="rId858" display="https://auction.ikco.ir/auction/details/34?r=182" xr:uid="{8F798B27-75A2-4E3A-8031-47CFE798E875}"/>
    <hyperlink ref="A355" r:id="rId859" display="javascript:void(0)" xr:uid="{56C4CE9A-1CF8-416D-A2B9-EBD6E08CB8C5}"/>
    <hyperlink ref="C255" r:id="rId860" display="https://auction.ikco.ir/auction/details/34?r=184" xr:uid="{B7003C68-7C62-4AD0-BBCB-96A79EE153AA}"/>
    <hyperlink ref="D255" r:id="rId861" display="https://auction.ikco.ir/auction/details/34?r=184" xr:uid="{86442E48-5B4B-4C4F-BB02-6D411B4D747A}"/>
    <hyperlink ref="A356" r:id="rId862" display="javascript:void(0)" xr:uid="{21198771-FE07-4221-9139-64B315BD3ADB}"/>
    <hyperlink ref="C256" r:id="rId863" display="https://auction.ikco.ir/auction/details/34?r=196" xr:uid="{5C119F9B-E7E7-4050-94EF-04B7C507D330}"/>
    <hyperlink ref="D256" r:id="rId864" display="https://auction.ikco.ir/auction/details/34?r=196" xr:uid="{B4C1B26C-38CD-4298-8A2F-5821F6C29C0E}"/>
    <hyperlink ref="A357" r:id="rId865" display="javascript:void(0)" xr:uid="{876DE5AA-7384-4D54-8E9C-56A376AE5B7F}"/>
    <hyperlink ref="C257" r:id="rId866" display="https://auction.ikco.ir/auction/details/34?r=208" xr:uid="{F182EA6C-B4B0-4D5B-BDDC-42AC8DFFF36D}"/>
    <hyperlink ref="D257" r:id="rId867" display="https://auction.ikco.ir/auction/details/34?r=208" xr:uid="{0966E3C1-CDED-45B1-9715-A9CDC62C1C58}"/>
    <hyperlink ref="A358" r:id="rId868" display="javascript:void(0)" xr:uid="{69EB5B9A-BF3A-466D-B770-F91E7C496B62}"/>
    <hyperlink ref="C258" r:id="rId869" display="https://auction.ikco.ir/auction/details/34?r=233" xr:uid="{FBFD2F11-AE6C-4E77-AF4C-012F2BC334E8}"/>
    <hyperlink ref="D258" r:id="rId870" display="https://auction.ikco.ir/auction/details/34?r=233" xr:uid="{EA4D18B7-43D3-47A8-9E1F-183BEEDDA20D}"/>
    <hyperlink ref="A359" r:id="rId871" display="javascript:void(0)" xr:uid="{449ACCFF-C122-4FD5-BAFE-9CA46401E70D}"/>
    <hyperlink ref="C259" r:id="rId872" display="https://auction.ikco.ir/auction/details/34?r=327" xr:uid="{D84F34E1-19A5-439B-98E9-96253BFB149D}"/>
    <hyperlink ref="D259" r:id="rId873" display="https://auction.ikco.ir/auction/details/34?r=327" xr:uid="{2497F6F5-B497-4DDC-A4B1-8999487158E8}"/>
    <hyperlink ref="A360" r:id="rId874" display="javascript:void(0)" xr:uid="{4EB82923-6F89-45DF-9DAE-F002BCD571A8}"/>
    <hyperlink ref="C260" r:id="rId875" display="https://auction.ikco.ir/auction/details/34?r=16" xr:uid="{112633B7-F36A-42E5-96F4-25710C32EA11}"/>
    <hyperlink ref="D260" r:id="rId876" display="https://auction.ikco.ir/auction/details/34?r=16" xr:uid="{69291DDB-7F48-4219-8154-7F766E265732}"/>
    <hyperlink ref="A361" r:id="rId877" display="javascript:void(0)" xr:uid="{8B2DAC72-B9E1-4EDA-9B75-84466531F47D}"/>
    <hyperlink ref="C261" r:id="rId878" display="https://auction.ikco.ir/auction/details/34?r=21" xr:uid="{45F57221-A8F9-4C5D-B790-9334B2212F90}"/>
    <hyperlink ref="D261" r:id="rId879" display="https://auction.ikco.ir/auction/details/34?r=21" xr:uid="{2BBDC12C-D969-461C-B79E-D43B7145AA88}"/>
    <hyperlink ref="A362" r:id="rId880" display="javascript:void(0)" xr:uid="{F4F8CFC1-CCC6-47E2-B78D-69DC1CC0043D}"/>
    <hyperlink ref="C262" r:id="rId881" display="https://auction.ikco.ir/auction/details/34?r=64" xr:uid="{6097B01E-DE80-49EB-B41B-8082A734B968}"/>
    <hyperlink ref="D262" r:id="rId882" display="https://auction.ikco.ir/auction/details/34?r=64" xr:uid="{32E1BEED-0FD4-47DF-868A-BDB5702158A7}"/>
    <hyperlink ref="A363" r:id="rId883" display="javascript:void(0)" xr:uid="{47C2C941-F5F0-4C91-B350-1F54704EF11E}"/>
    <hyperlink ref="C263" r:id="rId884" display="https://auction.ikco.ir/auction/details/34?r=79" xr:uid="{8EE7EF62-F80D-4A86-8675-F3048969B4A4}"/>
    <hyperlink ref="D263" r:id="rId885" display="https://auction.ikco.ir/auction/details/34?r=79" xr:uid="{176E181B-3E49-417D-9B57-1D35ED7F16D8}"/>
    <hyperlink ref="A364" r:id="rId886" display="javascript:void(0)" xr:uid="{6347577E-BD3D-49D2-8918-BB3EFA764993}"/>
    <hyperlink ref="C264" r:id="rId887" display="https://auction.ikco.ir/auction/details/34?r=104" xr:uid="{D6C20BC6-647A-4702-9BEE-EEF81EAEF1A9}"/>
    <hyperlink ref="D264" r:id="rId888" display="https://auction.ikco.ir/auction/details/34?r=104" xr:uid="{7EECE4DA-7750-45D4-BB41-E055EB2F3932}"/>
    <hyperlink ref="A365" r:id="rId889" display="javascript:void(0)" xr:uid="{B8A3F126-1E71-47FB-A92B-75A4B68B4A5B}"/>
    <hyperlink ref="C265" r:id="rId890" display="https://auction.ikco.ir/auction/details/34?r=169" xr:uid="{86FD98D0-0FF7-4A39-A07F-D91817DF57A3}"/>
    <hyperlink ref="D265" r:id="rId891" display="https://auction.ikco.ir/auction/details/34?r=169" xr:uid="{DE0E00CF-553F-441E-8CBA-B964681EAE25}"/>
    <hyperlink ref="A366" r:id="rId892" display="javascript:void(0)" xr:uid="{157AE4DB-294B-49CE-8CD5-CC897C63AFBA}"/>
    <hyperlink ref="C266" r:id="rId893" display="https://auction.ikco.ir/auction/details/34?r=214" xr:uid="{47F999F9-E2EF-42FF-9434-A73724C7CE7C}"/>
    <hyperlink ref="D266" r:id="rId894" display="https://auction.ikco.ir/auction/details/34?r=214" xr:uid="{0451E9A5-98A9-40C3-8977-63DEFFAED6B4}"/>
    <hyperlink ref="A367" r:id="rId895" display="javascript:void(0)" xr:uid="{1AD8A331-F1CE-4870-9F30-4BA5316C7578}"/>
    <hyperlink ref="C267" r:id="rId896" display="https://auction.ikco.ir/auction/details/34?r=230" xr:uid="{0FE44083-F590-41DD-BDE6-DD0391AF3941}"/>
    <hyperlink ref="D267" r:id="rId897" display="https://auction.ikco.ir/auction/details/34?r=230" xr:uid="{C533F63E-293F-4159-969A-CFD968E62781}"/>
    <hyperlink ref="A368" r:id="rId898" display="javascript:void(0)" xr:uid="{5B520012-F887-42C6-ACCB-F23F9E49C7F0}"/>
    <hyperlink ref="C268" r:id="rId899" display="https://auction.ikco.ir/auction/details/34?r=306" xr:uid="{78EE5601-828E-4638-9CDB-28673ACC1A35}"/>
    <hyperlink ref="D268" r:id="rId900" display="https://auction.ikco.ir/auction/details/34?r=306" xr:uid="{310AFA7F-EA43-4C57-872F-8603A6304578}"/>
    <hyperlink ref="A369" r:id="rId901" display="javascript:void(0)" xr:uid="{04921DAB-F691-45A7-BD22-1022B77BAA89}"/>
    <hyperlink ref="C269" r:id="rId902" display="https://auction.ikco.ir/auction/details/34?r=338" xr:uid="{EAE35FE4-7EE5-4E1F-9F0B-6853D4F29884}"/>
    <hyperlink ref="D269" r:id="rId903" display="https://auction.ikco.ir/auction/details/34?r=338" xr:uid="{C7F06AFD-83F8-4497-AE57-D87050BFA2C4}"/>
    <hyperlink ref="A370" r:id="rId904" display="javascript:void(0)" xr:uid="{93CA8BD7-46AF-4CDE-A42C-4C11AE422BB4}"/>
    <hyperlink ref="C270" r:id="rId905" display="https://auction.ikco.ir/auction/details/34?r=506" xr:uid="{D6FCCF06-9740-4B12-8A93-FDF52419A9DF}"/>
    <hyperlink ref="D270" r:id="rId906" display="https://auction.ikco.ir/auction/details/34?r=506" xr:uid="{609B2B0F-F5B5-4C11-9595-D2D9EDDEDFCC}"/>
    <hyperlink ref="A371" r:id="rId907" display="javascript:void(0)" xr:uid="{1B5F27B5-C430-44D6-AADE-F467BCF3A100}"/>
    <hyperlink ref="C271" r:id="rId908" display="https://auction.ikco.ir/auction/details/34?r=5" xr:uid="{42CF68A3-0358-4967-ACA4-F5C393DFA310}"/>
    <hyperlink ref="D271" r:id="rId909" display="https://auction.ikco.ir/auction/details/34?r=5" xr:uid="{A94DD534-362D-45D0-9121-8D2EDB374A70}"/>
    <hyperlink ref="A372" r:id="rId910" display="javascript:void(0)" xr:uid="{4E24E29E-0F24-408E-B939-3A2AADC421A3}"/>
    <hyperlink ref="C272" r:id="rId911" display="https://auction.ikco.ir/auction/details/34?r=34" xr:uid="{9A0A4D41-9A09-46B4-A1AA-399138B1A081}"/>
    <hyperlink ref="D272" r:id="rId912" display="https://auction.ikco.ir/auction/details/34?r=34" xr:uid="{35C1D544-EC76-42DF-B6C9-7D56771E88F4}"/>
    <hyperlink ref="A373" r:id="rId913" display="javascript:void(0)" xr:uid="{E23AF440-9450-429E-A6A8-2DE476839606}"/>
    <hyperlink ref="C273" r:id="rId914" display="https://auction.ikco.ir/auction/details/34?r=98" xr:uid="{CA4678FD-E073-40C4-A27D-427D3252EB26}"/>
    <hyperlink ref="D273" r:id="rId915" display="https://auction.ikco.ir/auction/details/34?r=98" xr:uid="{EAB2D0DF-3ED8-49CB-A42D-E5BD4612A80F}"/>
    <hyperlink ref="A374" r:id="rId916" display="javascript:void(0)" xr:uid="{A7774512-696D-415E-961E-70D52B6B2490}"/>
    <hyperlink ref="C274" r:id="rId917" display="https://auction.ikco.ir/auction/details/34?r=115" xr:uid="{86B24FBE-E207-43DB-9813-D3225A8D3B87}"/>
    <hyperlink ref="D274" r:id="rId918" display="https://auction.ikco.ir/auction/details/34?r=115" xr:uid="{B53BD565-695E-4C52-943E-B7E28BFDACED}"/>
    <hyperlink ref="A375" r:id="rId919" display="javascript:void(0)" xr:uid="{15CF2FD4-1C2D-4504-AFCC-618F7A4DC495}"/>
    <hyperlink ref="C275" r:id="rId920" display="https://auction.ikco.ir/auction/details/34?r=117" xr:uid="{21F88EED-51D5-4883-8A07-23F91CEF7481}"/>
    <hyperlink ref="D275" r:id="rId921" display="https://auction.ikco.ir/auction/details/34?r=117" xr:uid="{9C2BE619-04FE-4EFF-8CB7-9D71BAF7D99D}"/>
    <hyperlink ref="A376" r:id="rId922" display="javascript:void(0)" xr:uid="{61F73CF5-35F8-4564-8532-B9F6D6C117F6}"/>
    <hyperlink ref="C276" r:id="rId923" display="https://auction.ikco.ir/auction/details/34?r=126" xr:uid="{BB5D4BDC-008C-4849-AE76-BB48BED91AF5}"/>
    <hyperlink ref="D276" r:id="rId924" display="https://auction.ikco.ir/auction/details/34?r=126" xr:uid="{8D9CF2F3-5392-4324-994B-05BA9E2B6CD6}"/>
    <hyperlink ref="A377" r:id="rId925" display="javascript:void(0)" xr:uid="{243585DD-FF1E-4A7A-A9F6-A1E431698EEE}"/>
    <hyperlink ref="C277" r:id="rId926" display="https://auction.ikco.ir/auction/details/34?r=140" xr:uid="{BF286377-2A05-4789-9999-86474D6FD8D2}"/>
    <hyperlink ref="D277" r:id="rId927" display="https://auction.ikco.ir/auction/details/34?r=140" xr:uid="{201697F4-B9AD-49DE-845F-01575FC89954}"/>
    <hyperlink ref="A378" r:id="rId928" display="javascript:void(0)" xr:uid="{0FAD678D-1DBE-4448-8976-74FDA9D4B48A}"/>
    <hyperlink ref="C278" r:id="rId929" display="https://auction.ikco.ir/auction/details/34?r=159" xr:uid="{F5376A17-0B16-4CF2-9A20-450AD41850B6}"/>
    <hyperlink ref="D278" r:id="rId930" display="https://auction.ikco.ir/auction/details/34?r=159" xr:uid="{7D4C17EE-66A7-49A3-BB1B-9852B64801D3}"/>
    <hyperlink ref="A379" r:id="rId931" display="javascript:void(0)" xr:uid="{80FE1181-530F-4AFB-BB82-1C241123A47E}"/>
    <hyperlink ref="C279" r:id="rId932" display="https://auction.ikco.ir/auction/details/34?r=188" xr:uid="{C967BCA0-83B1-4961-AA10-E63BF94B1118}"/>
    <hyperlink ref="D279" r:id="rId933" display="https://auction.ikco.ir/auction/details/34?r=188" xr:uid="{90ADF1B3-682E-4E9F-90CA-806DED7A1FDB}"/>
    <hyperlink ref="A380" r:id="rId934" display="javascript:void(0)" xr:uid="{6CAFE4E4-5827-4ABB-9629-E5BEA93E27F1}"/>
    <hyperlink ref="C280" r:id="rId935" display="https://auction.ikco.ir/auction/details/34?r=220" xr:uid="{70D5A2D6-8A2C-4323-9D4D-FF629C0C4539}"/>
    <hyperlink ref="D280" r:id="rId936" display="https://auction.ikco.ir/auction/details/34?r=220" xr:uid="{A638352F-FDE8-4646-8E18-96C3EAABAC1D}"/>
    <hyperlink ref="A381" r:id="rId937" display="javascript:void(0)" xr:uid="{B2F01DA2-E459-4C46-8CAB-B1CB7BF364E5}"/>
    <hyperlink ref="C281" r:id="rId938" display="https://auction.ikco.ir/auction/details/34?r=226" xr:uid="{46317C07-6966-4044-B6EB-BA580ABCFD74}"/>
    <hyperlink ref="D281" r:id="rId939" display="https://auction.ikco.ir/auction/details/34?r=226" xr:uid="{410A7D61-7297-4537-B02D-8B89484D6626}"/>
    <hyperlink ref="A382" r:id="rId940" display="javascript:void(0)" xr:uid="{88797040-B771-4F17-AB8B-A6088A29A100}"/>
    <hyperlink ref="C282" r:id="rId941" display="https://auction.ikco.ir/auction/details/34?r=250" xr:uid="{01BE485A-2518-4FCF-95E1-81226AA7E2D6}"/>
    <hyperlink ref="D282" r:id="rId942" display="https://auction.ikco.ir/auction/details/34?r=250" xr:uid="{40CD87AC-A777-4CA2-A701-22DE07DB015E}"/>
    <hyperlink ref="A383" r:id="rId943" display="javascript:void(0)" xr:uid="{DDC445A4-BE18-4D39-81E5-2F4614D6CBC2}"/>
    <hyperlink ref="C283" r:id="rId944" display="https://auction.ikco.ir/auction/details/34?r=260" xr:uid="{5FDF5E05-339C-4A95-A30D-06F066B667DF}"/>
    <hyperlink ref="D283" r:id="rId945" display="https://auction.ikco.ir/auction/details/34?r=260" xr:uid="{E0F46D82-AE67-46B4-B2F9-FC919DEDEBF3}"/>
    <hyperlink ref="A384" r:id="rId946" display="javascript:void(0)" xr:uid="{A793F3E4-14AF-42D8-ACF0-C231CB5CB4E1}"/>
    <hyperlink ref="C284" r:id="rId947" display="https://auction.ikco.ir/auction/details/34?r=349" xr:uid="{E4FD0546-3BB7-4FA6-B2B3-B043E7E78CD7}"/>
    <hyperlink ref="D284" r:id="rId948" display="https://auction.ikco.ir/auction/details/34?r=349" xr:uid="{56D19DF0-2614-4707-9625-210BF76BFDB2}"/>
    <hyperlink ref="A385" r:id="rId949" display="javascript:void(0)" xr:uid="{6F5FAB94-4E13-4359-942D-13BABED9D55A}"/>
    <hyperlink ref="C285" r:id="rId950" display="https://auction.ikco.ir/auction/details/34?r=397" xr:uid="{53C16250-7F68-478A-86A2-69935F010110}"/>
    <hyperlink ref="D285" r:id="rId951" display="https://auction.ikco.ir/auction/details/34?r=397" xr:uid="{A8E62C45-CB24-4283-8B13-19DE4DAB0A1F}"/>
    <hyperlink ref="A386" r:id="rId952" display="javascript:void(0)" xr:uid="{96BE839E-341B-457E-B0B6-BF2AF6D030DB}"/>
    <hyperlink ref="C286" r:id="rId953" display="https://auction.ikco.ir/auction/details/34?r=509" xr:uid="{85FDC768-550B-4427-856F-4534FB1EC2D9}"/>
    <hyperlink ref="D286" r:id="rId954" display="https://auction.ikco.ir/auction/details/34?r=509" xr:uid="{AC4350DF-74EF-4089-A675-7611BD7AC07B}"/>
    <hyperlink ref="A387" r:id="rId955" display="javascript:void(0)" xr:uid="{90DC9BB1-1EF2-411E-9C7F-9C1CAE566610}"/>
    <hyperlink ref="C287" r:id="rId956" display="https://auction.ikco.ir/auction/details/34?r=49" xr:uid="{6DB6DE1D-6DA2-4BF6-A79E-730CB99429F6}"/>
    <hyperlink ref="D287" r:id="rId957" display="https://auction.ikco.ir/auction/details/34?r=49" xr:uid="{D9F99E0F-2706-443A-8495-2D5E3CC8B4FC}"/>
    <hyperlink ref="A388" r:id="rId958" display="javascript:void(0)" xr:uid="{9E63C64B-CC84-496D-B4A2-C020A52AD10A}"/>
    <hyperlink ref="C288" r:id="rId959" display="https://auction.ikco.ir/auction/details/34?r=51" xr:uid="{7A35A3CE-1333-4CB5-B358-F7D1300A4212}"/>
    <hyperlink ref="D288" r:id="rId960" display="https://auction.ikco.ir/auction/details/34?r=51" xr:uid="{05EED171-5D98-4412-9B22-15A7EE6FB6DD}"/>
    <hyperlink ref="A389" r:id="rId961" display="javascript:void(0)" xr:uid="{0399ACFF-6432-416F-BE32-E64252ACD105}"/>
    <hyperlink ref="C289" r:id="rId962" display="https://auction.ikco.ir/auction/details/34?r=54" xr:uid="{4F028A66-8B42-4F4E-8ACF-8976EC4C7C2A}"/>
    <hyperlink ref="D289" r:id="rId963" display="https://auction.ikco.ir/auction/details/34?r=54" xr:uid="{6EB309CE-03BA-4F8E-AD85-B0E93B9D4EB4}"/>
    <hyperlink ref="A390" r:id="rId964" display="javascript:void(0)" xr:uid="{A18B09D9-FFAB-4C08-8262-1C6E5BCEC343}"/>
    <hyperlink ref="C290" r:id="rId965" display="https://auction.ikco.ir/auction/details/34?r=63" xr:uid="{0B79C709-DCAA-4E19-AE74-5A8039CD21CD}"/>
    <hyperlink ref="D290" r:id="rId966" display="https://auction.ikco.ir/auction/details/34?r=63" xr:uid="{C7E20520-0534-4606-80D3-D26EE10A21FE}"/>
    <hyperlink ref="A391" r:id="rId967" display="javascript:void(0)" xr:uid="{89FD8189-1A2A-46CB-A404-C5A6B7D078D0}"/>
    <hyperlink ref="C291" r:id="rId968" display="https://auction.ikco.ir/auction/details/34?r=76" xr:uid="{03C0C043-0FE3-4047-B5BF-241FFC62B8C7}"/>
    <hyperlink ref="D291" r:id="rId969" display="https://auction.ikco.ir/auction/details/34?r=76" xr:uid="{B3F6165D-B8A5-4A46-A489-693106DEBCCC}"/>
    <hyperlink ref="A392" r:id="rId970" display="javascript:void(0)" xr:uid="{6802E333-1EF6-46A3-B9E8-DB49B4825B82}"/>
    <hyperlink ref="C292" r:id="rId971" display="https://auction.ikco.ir/auction/details/34?r=162" xr:uid="{CF220947-B879-49D8-BEB8-2F4C8F4B9707}"/>
    <hyperlink ref="D292" r:id="rId972" display="https://auction.ikco.ir/auction/details/34?r=162" xr:uid="{C4D2387E-C6AE-46C6-BB54-798806157B27}"/>
    <hyperlink ref="A393" r:id="rId973" display="javascript:void(0)" xr:uid="{2C7E69A3-9A08-4DEA-8CB4-6B37359047D3}"/>
    <hyperlink ref="C293" r:id="rId974" display="https://auction.ikco.ir/auction/details/34?r=213" xr:uid="{B0A00862-E1FA-483C-8F3D-DDDE10907731}"/>
    <hyperlink ref="D293" r:id="rId975" display="https://auction.ikco.ir/auction/details/34?r=213" xr:uid="{6C2294D7-A979-45C7-A197-17F92DD04DE3}"/>
    <hyperlink ref="A394" r:id="rId976" display="javascript:void(0)" xr:uid="{C5D2AE6E-0612-449D-A93A-D2BF0F35659D}"/>
    <hyperlink ref="C294" r:id="rId977" display="https://auction.ikco.ir/auction/details/34?r=239" xr:uid="{F1EBA6DC-BA4F-402D-8BC0-A53025BCF722}"/>
    <hyperlink ref="D294" r:id="rId978" display="https://auction.ikco.ir/auction/details/34?r=239" xr:uid="{3BC7EEC9-3610-4C08-9670-764A45566870}"/>
    <hyperlink ref="A395" r:id="rId979" display="javascript:void(0)" xr:uid="{DE997146-3161-4FAF-A8D2-0E8BE0816ECE}"/>
    <hyperlink ref="C295" r:id="rId980" display="https://auction.ikco.ir/auction/details/34?r=267" xr:uid="{448BFB7A-3900-47CB-8024-7CD3B55D24C5}"/>
    <hyperlink ref="D295" r:id="rId981" display="https://auction.ikco.ir/auction/details/34?r=267" xr:uid="{80EC54A9-5EA6-4439-9069-B174BEC598E7}"/>
    <hyperlink ref="A396" r:id="rId982" display="javascript:void(0)" xr:uid="{712911DD-110A-49CF-86E4-81EA2DCEA956}"/>
    <hyperlink ref="C296" r:id="rId983" display="https://auction.ikco.ir/auction/details/34?r=268" xr:uid="{9FEDA5F6-2779-451A-B43C-2974F9F269ED}"/>
    <hyperlink ref="D296" r:id="rId984" display="https://auction.ikco.ir/auction/details/34?r=268" xr:uid="{73B8286F-782E-4A48-9054-15696B91306C}"/>
    <hyperlink ref="A397" r:id="rId985" display="javascript:void(0)" xr:uid="{EAE0AA8F-41F9-4322-B1F5-9B1C08A32414}"/>
    <hyperlink ref="C297" r:id="rId986" display="https://auction.ikco.ir/auction/details/34?r=361" xr:uid="{ABFA5905-D704-48A5-8368-7A68F99BD394}"/>
    <hyperlink ref="D297" r:id="rId987" display="https://auction.ikco.ir/auction/details/34?r=361" xr:uid="{FC03FF1E-894B-4224-879B-29781C453BFF}"/>
    <hyperlink ref="A398" r:id="rId988" display="javascript:void(0)" xr:uid="{04B9F478-4C9E-4FDD-B0BC-FBC743CB3B51}"/>
    <hyperlink ref="C298" r:id="rId989" display="https://auction.ikco.ir/auction/details/34?r=57" xr:uid="{D8ABE60F-0D0B-46C9-9DB4-125D9B620712}"/>
    <hyperlink ref="D298" r:id="rId990" display="https://auction.ikco.ir/auction/details/34?r=57" xr:uid="{0EC098BE-B9B6-40DE-B47B-2A8B77F0C67D}"/>
    <hyperlink ref="A399" r:id="rId991" display="javascript:void(0)" xr:uid="{255D5E73-24AA-4834-8B47-654894CD8AA0}"/>
    <hyperlink ref="C299" r:id="rId992" display="https://auction.ikco.ir/auction/details/34?r=70" xr:uid="{FFE0117B-A698-4FBB-98AD-FD69960E0B36}"/>
    <hyperlink ref="D299" r:id="rId993" display="https://auction.ikco.ir/auction/details/34?r=70" xr:uid="{74267396-598E-4534-BA68-8432F0804099}"/>
    <hyperlink ref="A400" r:id="rId994" display="javascript:void(0)" xr:uid="{0CBDE39D-C70C-4823-A652-73C846EC6BCE}"/>
    <hyperlink ref="C300" r:id="rId995" display="https://auction.ikco.ir/auction/details/34?r=71" xr:uid="{62F1A19C-15B2-4052-93E8-E96A75B1374B}"/>
    <hyperlink ref="D300" r:id="rId996" display="https://auction.ikco.ir/auction/details/34?r=71" xr:uid="{6B3A0432-9D66-4F54-A8DC-8397278B61E2}"/>
    <hyperlink ref="C301" r:id="rId997" display="https://auction.ikco.ir/auction/details/34?r=81" xr:uid="{B8B36385-DBB3-4648-ABBB-3EBC05E45613}"/>
    <hyperlink ref="D301" r:id="rId998" display="https://auction.ikco.ir/auction/details/34?r=81" xr:uid="{8A949972-2B73-4496-945E-27738C937673}"/>
    <hyperlink ref="A402" r:id="rId999" display="javascript:void(0)" xr:uid="{A86B59D9-C403-4E81-807F-C91C2FB7616C}"/>
    <hyperlink ref="C302" r:id="rId1000" display="https://auction.ikco.ir/auction/details/34?r=90" xr:uid="{85C04553-1B73-4F57-8CEE-42650D409A90}"/>
    <hyperlink ref="D302" r:id="rId1001" display="https://auction.ikco.ir/auction/details/34?r=90" xr:uid="{E4121112-14FD-4E3D-9925-D9AB8B398E81}"/>
    <hyperlink ref="A403" r:id="rId1002" display="javascript:void(0)" xr:uid="{338D1F66-D151-4C2E-A34E-C0A2ABF70C73}"/>
    <hyperlink ref="C303" r:id="rId1003" display="https://auction.ikco.ir/auction/details/34?r=92" xr:uid="{3DC91C14-7334-49AC-9E70-6AA386252F00}"/>
    <hyperlink ref="D303" r:id="rId1004" display="https://auction.ikco.ir/auction/details/34?r=92" xr:uid="{74BB824A-2BA8-4DE5-9279-FD5D781BE139}"/>
    <hyperlink ref="A404" r:id="rId1005" display="javascript:void(0)" xr:uid="{3E4D0093-D513-409E-A316-5EE6321DCDF8}"/>
    <hyperlink ref="C304" r:id="rId1006" display="https://auction.ikco.ir/auction/details/34?r=111" xr:uid="{7D14821A-4612-438F-9AF2-1441638DC55E}"/>
    <hyperlink ref="D304" r:id="rId1007" display="https://auction.ikco.ir/auction/details/34?r=111" xr:uid="{86E50D8D-4E45-4183-9C86-1C16230C6D69}"/>
    <hyperlink ref="A405" r:id="rId1008" display="javascript:void(0)" xr:uid="{B03EF460-742C-4DAA-A293-FC28865ED2E2}"/>
    <hyperlink ref="C305" r:id="rId1009" display="https://auction.ikco.ir/auction/details/34?r=123" xr:uid="{DE879826-995D-4335-8B50-A48CE6F0BE34}"/>
    <hyperlink ref="D305" r:id="rId1010" display="https://auction.ikco.ir/auction/details/34?r=123" xr:uid="{73219186-3DA1-44E2-8708-587FEDA4FAC2}"/>
    <hyperlink ref="A406" r:id="rId1011" display="javascript:void(0)" xr:uid="{927C5E62-EEA8-44D5-B27D-8BFBA50CCC15}"/>
    <hyperlink ref="C306" r:id="rId1012" display="https://auction.ikco.ir/auction/details/34?r=144" xr:uid="{A706B8BF-C1AA-4C54-A110-4C5C75867424}"/>
    <hyperlink ref="D306" r:id="rId1013" display="https://auction.ikco.ir/auction/details/34?r=144" xr:uid="{7D6AD856-2218-4933-80C7-0A4CFAB84A91}"/>
    <hyperlink ref="A407" r:id="rId1014" display="javascript:void(0)" xr:uid="{E07AE38C-C722-4BFD-AB9D-B7480A792273}"/>
    <hyperlink ref="C307" r:id="rId1015" display="https://auction.ikco.ir/auction/details/34?r=146" xr:uid="{445EA083-60F5-49BC-BB39-C63BEC99030B}"/>
    <hyperlink ref="D307" r:id="rId1016" display="https://auction.ikco.ir/auction/details/34?r=146" xr:uid="{A334827A-82B8-4FB6-A6B8-28E4BFA9B81F}"/>
    <hyperlink ref="A408" r:id="rId1017" display="javascript:void(0)" xr:uid="{7A19FB16-3D21-405B-8012-DEDC53CC9E74}"/>
    <hyperlink ref="C308" r:id="rId1018" display="https://auction.ikco.ir/auction/details/34?r=147" xr:uid="{3AE435FD-2E01-4439-BED3-456DD52D132E}"/>
    <hyperlink ref="D308" r:id="rId1019" display="https://auction.ikco.ir/auction/details/34?r=147" xr:uid="{377FA616-19AC-4677-9E23-7A53D28D5FDD}"/>
    <hyperlink ref="A409" r:id="rId1020" display="javascript:void(0)" xr:uid="{DCFFFE84-498A-4A7E-BFC5-4B7E1E47C43F}"/>
    <hyperlink ref="C309" r:id="rId1021" display="https://auction.ikco.ir/auction/details/34?r=181" xr:uid="{0730CEE2-6FEA-4955-8B5A-CE0A977FCFB6}"/>
    <hyperlink ref="D309" r:id="rId1022" display="https://auction.ikco.ir/auction/details/34?r=181" xr:uid="{92E7EFA3-CFF3-4B52-A92B-5BCEBBA727D7}"/>
    <hyperlink ref="A410" r:id="rId1023" display="javascript:void(0)" xr:uid="{16367533-71A6-47DF-AC2D-E7298D22C851}"/>
    <hyperlink ref="C310" r:id="rId1024" display="https://auction.ikco.ir/auction/details/34?r=201" xr:uid="{B908F2EF-C11B-479A-B2C8-8E4DD685E355}"/>
    <hyperlink ref="D310" r:id="rId1025" display="https://auction.ikco.ir/auction/details/34?r=201" xr:uid="{22C3A83D-E986-43F0-8D83-E6B902A23F69}"/>
    <hyperlink ref="A411" r:id="rId1026" display="javascript:void(0)" xr:uid="{F6B8ADB6-7B18-48DF-A858-F453ABCC92ED}"/>
    <hyperlink ref="C311" r:id="rId1027" display="https://auction.ikco.ir/auction/details/34?r=211" xr:uid="{74B18F1C-0ED3-469E-8F96-0AA16AD4409E}"/>
    <hyperlink ref="D311" r:id="rId1028" display="https://auction.ikco.ir/auction/details/34?r=211" xr:uid="{5B6A231C-B9C1-4CBF-8D9F-F14991678133}"/>
    <hyperlink ref="A412" r:id="rId1029" display="javascript:void(0)" xr:uid="{8E05AFE4-31B0-4F8A-A6D3-E8C0B53237E4}"/>
    <hyperlink ref="C312" r:id="rId1030" display="https://auction.ikco.ir/auction/details/34?r=215" xr:uid="{24A57F38-7E28-4AD3-A64E-BF7B500B861A}"/>
    <hyperlink ref="D312" r:id="rId1031" display="https://auction.ikco.ir/auction/details/34?r=215" xr:uid="{C61FB13C-02AF-4721-B40D-0F651E8C1051}"/>
    <hyperlink ref="A413" r:id="rId1032" display="javascript:void(0)" xr:uid="{7F043C24-B639-41C6-9EBB-271591801B62}"/>
    <hyperlink ref="C313" r:id="rId1033" display="https://auction.ikco.ir/auction/details/34?r=219" xr:uid="{BB195F02-0FF5-4621-9997-77F52740F922}"/>
    <hyperlink ref="D313" r:id="rId1034" display="https://auction.ikco.ir/auction/details/34?r=219" xr:uid="{D7DCC564-4F71-43F8-97CD-BCF3407F9CDB}"/>
    <hyperlink ref="A414" r:id="rId1035" display="javascript:void(0)" xr:uid="{F4D6D96D-6C2F-4A09-B58E-78191B3B50B6}"/>
    <hyperlink ref="C314" r:id="rId1036" display="https://auction.ikco.ir/auction/details/34?r=222" xr:uid="{FA41CD93-8E79-485F-8A87-1A1A7F1071DD}"/>
    <hyperlink ref="D314" r:id="rId1037" display="https://auction.ikco.ir/auction/details/34?r=222" xr:uid="{13CF674B-346F-4A76-B02E-94B9077FE353}"/>
    <hyperlink ref="A415" r:id="rId1038" display="javascript:void(0)" xr:uid="{E9C8B87E-1078-4758-A500-A8B208EDF630}"/>
    <hyperlink ref="C315" r:id="rId1039" display="https://auction.ikco.ir/auction/details/34?r=234" xr:uid="{EC13AD3D-68B1-432C-AF83-5DEBD7CCC4D8}"/>
    <hyperlink ref="D315" r:id="rId1040" display="https://auction.ikco.ir/auction/details/34?r=234" xr:uid="{7EF5A824-EE7C-4A1B-B391-75FD3B353D1D}"/>
    <hyperlink ref="A416" r:id="rId1041" display="javascript:void(0)" xr:uid="{5918E4AC-BD7D-43D0-8362-668FE3403D11}"/>
    <hyperlink ref="C316" r:id="rId1042" display="https://auction.ikco.ir/auction/details/34?r=353" xr:uid="{3798D501-945B-47C5-ADC6-8254558FC4F6}"/>
    <hyperlink ref="D316" r:id="rId1043" display="https://auction.ikco.ir/auction/details/34?r=353" xr:uid="{87D0D36F-7C33-4F13-833B-4790E4B824A1}"/>
    <hyperlink ref="A417" r:id="rId1044" display="javascript:void(0)" xr:uid="{3ED56E33-6797-42D8-984B-E18C8901718E}"/>
    <hyperlink ref="C317" r:id="rId1045" display="https://auction.ikco.ir/auction/details/34?r=375" xr:uid="{B8B94A12-93ED-4B5C-9462-C2218CB47C4E}"/>
    <hyperlink ref="D317" r:id="rId1046" display="https://auction.ikco.ir/auction/details/34?r=375" xr:uid="{E05D16D9-9812-4ED0-AB12-08515564E698}"/>
    <hyperlink ref="A418" r:id="rId1047" display="javascript:void(0)" xr:uid="{2F424FF0-9230-407F-BA38-7575AF43239F}"/>
    <hyperlink ref="C318" r:id="rId1048" display="https://auction.ikco.ir/auction/details/34?r=15" xr:uid="{B99C4EFA-AD61-4F67-862F-296177F719EC}"/>
    <hyperlink ref="D318" r:id="rId1049" display="https://auction.ikco.ir/auction/details/34?r=15" xr:uid="{1D6E5D02-6E46-47F6-BFC3-E94E5B677B73}"/>
    <hyperlink ref="A419" r:id="rId1050" display="javascript:void(0)" xr:uid="{4F4DCF6D-9F93-420C-82A6-2056BE2E03F1}"/>
    <hyperlink ref="C319" r:id="rId1051" display="https://auction.ikco.ir/auction/details/34?r=20" xr:uid="{D4AFB2E1-CE2E-4C6D-9841-863267CB5B8E}"/>
    <hyperlink ref="D319" r:id="rId1052" display="https://auction.ikco.ir/auction/details/34?r=20" xr:uid="{9FC8B56C-D162-41D3-9A1A-AEAA6767D57B}"/>
    <hyperlink ref="A420" r:id="rId1053" display="javascript:void(0)" xr:uid="{44F6F724-2070-4C2A-A9F2-ED7D400B84C3}"/>
    <hyperlink ref="C320" r:id="rId1054" display="https://auction.ikco.ir/auction/details/34?r=41" xr:uid="{950122C1-D45A-4CA3-A635-363B914507C3}"/>
    <hyperlink ref="D320" r:id="rId1055" display="https://auction.ikco.ir/auction/details/34?r=41" xr:uid="{D9EF3817-029E-4FF8-8824-D62624B4372A}"/>
    <hyperlink ref="A421" r:id="rId1056" display="javascript:void(0)" xr:uid="{1C72F187-23C0-4C8A-8E7F-D75CC96050AC}"/>
    <hyperlink ref="C321" r:id="rId1057" display="https://auction.ikco.ir/auction/details/34?r=86" xr:uid="{FCB22570-ECDB-408F-8DB5-A51A9B1E2D71}"/>
    <hyperlink ref="D321" r:id="rId1058" display="https://auction.ikco.ir/auction/details/34?r=86" xr:uid="{B20BD570-CE2D-4C20-B8C9-2A50B402CEE2}"/>
    <hyperlink ref="A422" r:id="rId1059" display="javascript:void(0)" xr:uid="{3DB09FD8-6B7E-4606-B1F9-50A5BE0984CC}"/>
    <hyperlink ref="C322" r:id="rId1060" display="https://auction.ikco.ir/auction/details/34?r=97" xr:uid="{93F41A3F-B885-493D-98FE-4739A93A094B}"/>
    <hyperlink ref="D322" r:id="rId1061" display="https://auction.ikco.ir/auction/details/34?r=97" xr:uid="{E308D557-60AB-4A17-B2FA-30F313A70575}"/>
    <hyperlink ref="A423" r:id="rId1062" display="javascript:void(0)" xr:uid="{14E9751B-1C00-4C74-A50F-222AF7BB79DD}"/>
    <hyperlink ref="C323" r:id="rId1063" display="https://auction.ikco.ir/auction/details/34?r=100" xr:uid="{65737A92-224C-48B6-B61F-04B5F8D90A36}"/>
    <hyperlink ref="D323" r:id="rId1064" display="https://auction.ikco.ir/auction/details/34?r=100" xr:uid="{7CDF6AF2-E75D-470D-8B20-82FF60B9C8D3}"/>
    <hyperlink ref="A424" r:id="rId1065" display="javascript:void(0)" xr:uid="{EBD4BE50-9C72-4C23-BF6E-E3A56F0558D5}"/>
    <hyperlink ref="C324" r:id="rId1066" display="https://auction.ikco.ir/auction/details/34?r=101" xr:uid="{2BAD001F-BED7-4916-B458-1858E8EB7DEC}"/>
    <hyperlink ref="D324" r:id="rId1067" display="https://auction.ikco.ir/auction/details/34?r=101" xr:uid="{0EEA0479-5497-4C49-BF75-99066144AF8F}"/>
    <hyperlink ref="A425" r:id="rId1068" display="javascript:void(0)" xr:uid="{56BD197F-E619-4877-8777-F9FDFD0FE20C}"/>
    <hyperlink ref="C325" r:id="rId1069" display="https://auction.ikco.ir/auction/details/34?r=105" xr:uid="{01C7D8F1-D570-4DB5-92FB-282139DEACDE}"/>
    <hyperlink ref="D325" r:id="rId1070" display="https://auction.ikco.ir/auction/details/34?r=105" xr:uid="{A1F26EB1-31ED-4552-94A8-1E879C0CE957}"/>
    <hyperlink ref="A426" r:id="rId1071" display="javascript:void(0)" xr:uid="{66DBF687-40E4-49D1-B834-73F98E54B066}"/>
    <hyperlink ref="C326" r:id="rId1072" display="https://auction.ikco.ir/auction/details/34?r=129" xr:uid="{3BB3BF34-905C-404A-A67B-776657F44947}"/>
    <hyperlink ref="D326" r:id="rId1073" display="https://auction.ikco.ir/auction/details/34?r=129" xr:uid="{35725563-59B6-44CF-A685-8762F265532E}"/>
    <hyperlink ref="A427" r:id="rId1074" display="javascript:void(0)" xr:uid="{5CA25328-899E-4F31-88CA-59E370F3BA92}"/>
    <hyperlink ref="C327" r:id="rId1075" display="https://auction.ikco.ir/auction/details/34?r=142" xr:uid="{472E4F1E-8AB4-4CE9-A982-8DF7A1BBDE33}"/>
    <hyperlink ref="D327" r:id="rId1076" display="https://auction.ikco.ir/auction/details/34?r=142" xr:uid="{B19454B5-510B-4C0A-B3FD-F60F9BC961F1}"/>
    <hyperlink ref="A428" r:id="rId1077" display="javascript:void(0)" xr:uid="{B0246CEE-8001-49EB-B656-55DF47713ED9}"/>
    <hyperlink ref="C328" r:id="rId1078" display="https://auction.ikco.ir/auction/details/34?r=172" xr:uid="{76E9C455-5365-416D-B57D-943453F26345}"/>
    <hyperlink ref="D328" r:id="rId1079" display="https://auction.ikco.ir/auction/details/34?r=172" xr:uid="{25E7E094-40F5-4770-91DB-CFFBABBF509F}"/>
    <hyperlink ref="A429" r:id="rId1080" display="javascript:void(0)" xr:uid="{15E34AC2-64C5-403A-8811-253D7388EE12}"/>
    <hyperlink ref="C329" r:id="rId1081" display="https://auction.ikco.ir/auction/details/34?r=173" xr:uid="{D627A051-C28B-4740-8BB4-97E84653E1F8}"/>
    <hyperlink ref="D329" r:id="rId1082" display="https://auction.ikco.ir/auction/details/34?r=173" xr:uid="{FD3FB93A-B68A-4D6C-92BC-75A357EA4063}"/>
    <hyperlink ref="A430" r:id="rId1083" display="javascript:void(0)" xr:uid="{8024217F-383D-4CC1-BE87-D2F98EAD748B}"/>
    <hyperlink ref="C330" r:id="rId1084" display="https://auction.ikco.ir/auction/details/34?r=193" xr:uid="{9EE30B0B-589E-4655-A315-9D75A3EEED52}"/>
    <hyperlink ref="D330" r:id="rId1085" display="https://auction.ikco.ir/auction/details/34?r=193" xr:uid="{E3007B3F-1D03-4DED-AA23-F51C2EAFFAC2}"/>
    <hyperlink ref="A431" r:id="rId1086" display="javascript:void(0)" xr:uid="{3D8D8175-AE21-4783-ABF3-E88CEC2DEF69}"/>
    <hyperlink ref="C331" r:id="rId1087" display="https://auction.ikco.ir/auction/details/34?r=223" xr:uid="{37C6DFB7-22C1-49DA-B333-45DA8E799F2A}"/>
    <hyperlink ref="D331" r:id="rId1088" display="https://auction.ikco.ir/auction/details/34?r=223" xr:uid="{95974D8D-391C-473E-80F7-7C141A946C93}"/>
    <hyperlink ref="A432" r:id="rId1089" display="javascript:void(0)" xr:uid="{62EBE344-55E2-497C-B7F8-7D3A73C82931}"/>
    <hyperlink ref="C332" r:id="rId1090" display="https://auction.ikco.ir/auction/details/34?r=299" xr:uid="{6BE0324B-DCBF-42D0-AFBA-E8D4E78979E9}"/>
    <hyperlink ref="D332" r:id="rId1091" display="https://auction.ikco.ir/auction/details/34?r=299" xr:uid="{C86CE1B2-AEDA-44D1-BF0F-4618D6226CD7}"/>
    <hyperlink ref="A433" r:id="rId1092" display="javascript:void(0)" xr:uid="{55A0BDAD-827E-45AD-981B-DD5BAB9D6095}"/>
    <hyperlink ref="C333" r:id="rId1093" display="https://auction.ikco.ir/auction/details/34?r=362" xr:uid="{48518FCE-F649-4E45-88B3-8E92E88BB1DD}"/>
    <hyperlink ref="D333" r:id="rId1094" display="https://auction.ikco.ir/auction/details/34?r=362" xr:uid="{261C2BB7-768C-424E-87FF-7364C8F1C10B}"/>
    <hyperlink ref="A434" r:id="rId1095" display="javascript:void(0)" xr:uid="{666E4608-B6FB-475A-81DF-F65B553DFC97}"/>
    <hyperlink ref="C334" r:id="rId1096" display="https://auction.ikco.ir/auction/details/34?r=371" xr:uid="{E7907537-D192-4543-B098-373108625D4A}"/>
    <hyperlink ref="D334" r:id="rId1097" display="https://auction.ikco.ir/auction/details/34?r=371" xr:uid="{02ADC50E-8BF0-4A6E-9CB7-ED933B860A95}"/>
    <hyperlink ref="A435" r:id="rId1098" display="javascript:void(0)" xr:uid="{7A3402FA-6F0A-4927-8DC1-EB2907E64217}"/>
    <hyperlink ref="C335" r:id="rId1099" display="https://auction.ikco.ir/auction/details/34?r=373" xr:uid="{4E12ACBB-C4DF-41EB-9684-E7CE81EA5969}"/>
    <hyperlink ref="D335" r:id="rId1100" display="https://auction.ikco.ir/auction/details/34?r=373" xr:uid="{0A558D5F-DA8F-454A-A383-8076639B7BAD}"/>
    <hyperlink ref="A436" r:id="rId1101" display="javascript:void(0)" xr:uid="{8E0325D3-783F-4EC7-84C0-507FB3DF796B}"/>
    <hyperlink ref="C336" r:id="rId1102" display="https://auction.ikco.ir/auction/details/34?r=2" xr:uid="{2FD53103-1B4E-4B04-A55A-3FD803AE0001}"/>
    <hyperlink ref="D336" r:id="rId1103" display="https://auction.ikco.ir/auction/details/34?r=2" xr:uid="{E247A79A-649D-42F9-A27C-001447CCA643}"/>
    <hyperlink ref="A437" r:id="rId1104" display="javascript:void(0)" xr:uid="{F731F397-E61A-4FD5-8BCA-D6DFF21E6366}"/>
    <hyperlink ref="C337" r:id="rId1105" display="https://auction.ikco.ir/auction/details/34?r=28" xr:uid="{C12CD72E-DA1C-492F-B67F-5C50D21E6F7B}"/>
    <hyperlink ref="D337" r:id="rId1106" display="https://auction.ikco.ir/auction/details/34?r=28" xr:uid="{B766C062-CB5E-4FB1-8B39-8694D79EC676}"/>
    <hyperlink ref="A438" r:id="rId1107" display="javascript:void(0)" xr:uid="{964F7130-7579-458C-AEC8-5E57CA8E908E}"/>
    <hyperlink ref="C338" r:id="rId1108" display="https://auction.ikco.ir/auction/details/34?r=40" xr:uid="{EF8BC561-9E2C-4586-9C76-5E6AE7CB7A40}"/>
    <hyperlink ref="D338" r:id="rId1109" display="https://auction.ikco.ir/auction/details/34?r=40" xr:uid="{810162E6-8B2C-4165-A4D3-2049D80737B5}"/>
    <hyperlink ref="A439" r:id="rId1110" display="javascript:void(0)" xr:uid="{781E792C-52DE-463E-8043-CCA815EC69D3}"/>
    <hyperlink ref="C339" r:id="rId1111" display="https://auction.ikco.ir/auction/details/34?r=46" xr:uid="{B5A81195-C1CE-441D-B0D8-135CD7DFA8F1}"/>
    <hyperlink ref="D339" r:id="rId1112" display="https://auction.ikco.ir/auction/details/34?r=46" xr:uid="{E5F10121-D2B1-4B8C-8936-604C5C067020}"/>
    <hyperlink ref="A440" r:id="rId1113" display="javascript:void(0)" xr:uid="{3786385D-B492-4464-9221-DC502FF28FB6}"/>
    <hyperlink ref="C340" r:id="rId1114" display="https://auction.ikco.ir/auction/details/34?r=80" xr:uid="{5B8CDA04-C20C-48AB-AF5D-551DE392DBC9}"/>
    <hyperlink ref="D340" r:id="rId1115" display="https://auction.ikco.ir/auction/details/34?r=80" xr:uid="{09FC8B05-3FB1-4E01-97F3-3EB3D551F9CC}"/>
    <hyperlink ref="A441" r:id="rId1116" display="javascript:void(0)" xr:uid="{D6E3ACFA-B7F8-445F-BCC6-6B6D8AD4914E}"/>
    <hyperlink ref="C341" r:id="rId1117" display="https://auction.ikco.ir/auction/details/34?r=87" xr:uid="{8788E3F1-A881-44A7-AA29-629FF091A8E2}"/>
    <hyperlink ref="D341" r:id="rId1118" display="https://auction.ikco.ir/auction/details/34?r=87" xr:uid="{B8D1D0C6-DEBE-42CF-97D9-F508BE362FD7}"/>
    <hyperlink ref="A442" r:id="rId1119" display="javascript:void(0)" xr:uid="{3A4F9F8B-81F2-43AF-A819-AAE1A1086E0C}"/>
    <hyperlink ref="C342" r:id="rId1120" display="https://auction.ikco.ir/auction/details/34?r=91" xr:uid="{EBAD14B2-DC5A-4647-8E6F-4074C7A98F3C}"/>
    <hyperlink ref="D342" r:id="rId1121" display="https://auction.ikco.ir/auction/details/34?r=91" xr:uid="{481323A6-B8FA-4DEB-B883-51B11EFB003B}"/>
    <hyperlink ref="A443" r:id="rId1122" display="javascript:void(0)" xr:uid="{E40EA357-5F2D-48D1-A95A-C4E87FCED3CB}"/>
    <hyperlink ref="C343" r:id="rId1123" display="https://auction.ikco.ir/auction/details/34?r=93" xr:uid="{3DACC378-16C1-4C48-8957-534768C92A84}"/>
    <hyperlink ref="D343" r:id="rId1124" display="https://auction.ikco.ir/auction/details/34?r=93" xr:uid="{41FC45CE-C1F1-4E88-8391-0C4A173C3186}"/>
    <hyperlink ref="A444" r:id="rId1125" display="javascript:void(0)" xr:uid="{1099D17F-9A87-472D-A4BF-FE3F322F8EA8}"/>
    <hyperlink ref="C344" r:id="rId1126" display="https://auction.ikco.ir/auction/details/34?r=125" xr:uid="{78DE73EA-1937-4CE8-ABB8-5E0F21619DE0}"/>
    <hyperlink ref="D344" r:id="rId1127" display="https://auction.ikco.ir/auction/details/34?r=125" xr:uid="{32FB47B6-D324-42B2-B405-65A5AB65EC55}"/>
    <hyperlink ref="A445" r:id="rId1128" display="javascript:void(0)" xr:uid="{EF01179D-0106-4672-8ACF-A74A871D9A56}"/>
    <hyperlink ref="C345" r:id="rId1129" display="https://auction.ikco.ir/auction/details/34?r=138" xr:uid="{85AAA9CF-0EAC-41AE-82EE-B80E42652AE9}"/>
    <hyperlink ref="D345" r:id="rId1130" display="https://auction.ikco.ir/auction/details/34?r=138" xr:uid="{C967F3CA-BDA7-4D3D-BA06-6B7BD5D1B1DC}"/>
    <hyperlink ref="A446" r:id="rId1131" display="javascript:void(0)" xr:uid="{87197B4E-20FD-4949-852A-342102A74E5C}"/>
    <hyperlink ref="C346" r:id="rId1132" display="https://auction.ikco.ir/auction/details/34?r=152" xr:uid="{DDDFD3D5-F89E-44EA-A7AE-8A5F307ABCC1}"/>
    <hyperlink ref="D346" r:id="rId1133" display="https://auction.ikco.ir/auction/details/34?r=152" xr:uid="{F0BBD04B-E0DC-403B-9DF3-769461603D33}"/>
    <hyperlink ref="A447" r:id="rId1134" display="javascript:void(0)" xr:uid="{FA138E83-E76A-4481-9B77-0134F3D5EAAC}"/>
    <hyperlink ref="C347" r:id="rId1135" display="https://auction.ikco.ir/auction/details/34?r=153" xr:uid="{E5DBD393-84A1-4CA4-A71B-B3B36ACE9927}"/>
    <hyperlink ref="D347" r:id="rId1136" display="https://auction.ikco.ir/auction/details/34?r=153" xr:uid="{BD30ECE2-ECCF-4378-88C6-00471065B28B}"/>
    <hyperlink ref="A448" r:id="rId1137" display="javascript:void(0)" xr:uid="{5EC316F2-42E8-4BD3-88EF-A1F5C4961D16}"/>
    <hyperlink ref="C348" r:id="rId1138" display="https://auction.ikco.ir/auction/details/34?r=178" xr:uid="{4FB8CD6B-7B68-470E-8044-D1EBED85CED9}"/>
    <hyperlink ref="D348" r:id="rId1139" display="https://auction.ikco.ir/auction/details/34?r=178" xr:uid="{ECD6D70C-E6FE-4AA9-92A9-1261AD5DA310}"/>
    <hyperlink ref="A449" r:id="rId1140" display="javascript:void(0)" xr:uid="{D52E710A-7683-4D6D-BCAC-74D95348406D}"/>
    <hyperlink ref="C349" r:id="rId1141" display="https://auction.ikco.ir/auction/details/34?r=185" xr:uid="{664CE5A1-DCCC-48BE-BA35-9FC02AC84A50}"/>
    <hyperlink ref="D349" r:id="rId1142" display="https://auction.ikco.ir/auction/details/34?r=185" xr:uid="{FF6816AD-BD63-40FA-9F2D-DB06DE8D8279}"/>
    <hyperlink ref="A450" r:id="rId1143" display="javascript:void(0)" xr:uid="{4B003FC3-BB37-4CEF-B07B-F18A815027BA}"/>
    <hyperlink ref="C350" r:id="rId1144" display="https://auction.ikco.ir/auction/details/34?r=218" xr:uid="{1E64F097-2432-4B76-840C-4E21F8E81C33}"/>
    <hyperlink ref="D350" r:id="rId1145" display="https://auction.ikco.ir/auction/details/34?r=218" xr:uid="{E26CFFB6-E8FD-46CD-AA56-3073981BD44D}"/>
    <hyperlink ref="A451" r:id="rId1146" display="javascript:void(0)" xr:uid="{B4364CFB-F619-48FA-B94A-7C378DB74BD6}"/>
    <hyperlink ref="C351" r:id="rId1147" display="https://auction.ikco.ir/auction/details/34?r=221" xr:uid="{A6621B83-AADB-4430-A018-30611A041868}"/>
    <hyperlink ref="D351" r:id="rId1148" display="https://auction.ikco.ir/auction/details/34?r=221" xr:uid="{9EB35429-9D98-459D-BBC0-D516BA4E9F03}"/>
    <hyperlink ref="A452" r:id="rId1149" display="javascript:void(0)" xr:uid="{E9269361-7F30-4103-A83E-8727DAD2DCC4}"/>
    <hyperlink ref="C352" r:id="rId1150" display="https://auction.ikco.ir/auction/details/34?r=224" xr:uid="{99D2FF9F-5905-474C-A021-8D979F37FC81}"/>
    <hyperlink ref="D352" r:id="rId1151" display="https://auction.ikco.ir/auction/details/34?r=224" xr:uid="{FE9D5E0B-279E-4276-AAF1-B9924604D142}"/>
    <hyperlink ref="A453" r:id="rId1152" display="javascript:void(0)" xr:uid="{DB15EE37-E790-42E2-9E39-C0696D90F9D1}"/>
    <hyperlink ref="C353" r:id="rId1153" display="https://auction.ikco.ir/auction/details/34?r=225" xr:uid="{5FAE47E9-2775-4E90-B517-854A18945B78}"/>
    <hyperlink ref="D353" r:id="rId1154" display="https://auction.ikco.ir/auction/details/34?r=225" xr:uid="{13DB38F4-6C98-4CF2-AAFD-B94B4624612F}"/>
    <hyperlink ref="A454" r:id="rId1155" display="javascript:void(0)" xr:uid="{57D0DF92-A02B-4A46-9325-4D9917AC9910}"/>
    <hyperlink ref="C354" r:id="rId1156" display="https://auction.ikco.ir/auction/details/34?r=240" xr:uid="{BCC47782-320E-44A0-B628-471568AA0DC3}"/>
    <hyperlink ref="D354" r:id="rId1157" display="https://auction.ikco.ir/auction/details/34?r=240" xr:uid="{349E496F-0892-42F3-BC40-D50DE7ABFA67}"/>
    <hyperlink ref="A455" r:id="rId1158" display="javascript:void(0)" xr:uid="{927FDC64-970D-40C7-AFCD-24BFAD76BF4E}"/>
    <hyperlink ref="C355" r:id="rId1159" display="https://auction.ikco.ir/auction/details/34?r=298" xr:uid="{7BE14652-85F6-43B2-942D-7A04A9374532}"/>
    <hyperlink ref="D355" r:id="rId1160" display="https://auction.ikco.ir/auction/details/34?r=298" xr:uid="{0174D538-A643-4F29-8A81-BBE5BD852CD4}"/>
    <hyperlink ref="A456" r:id="rId1161" display="javascript:void(0)" xr:uid="{A767D3B9-69BF-488F-BDE5-7F831C4C86BF}"/>
    <hyperlink ref="C356" r:id="rId1162" display="https://auction.ikco.ir/auction/details/34?r=366" xr:uid="{53A800A7-C4C0-4773-B387-CD1EA4916C7B}"/>
    <hyperlink ref="D356" r:id="rId1163" display="https://auction.ikco.ir/auction/details/34?r=366" xr:uid="{DEDFAD92-A9C2-4856-AF89-2248DC365E13}"/>
    <hyperlink ref="A457" r:id="rId1164" display="javascript:void(0)" xr:uid="{B212F3E8-F952-41C2-BA38-46A9116A19B1}"/>
    <hyperlink ref="C357" r:id="rId1165" display="https://auction.ikco.ir/auction/details/34?r=405" xr:uid="{7395C6DC-6B98-448E-B11D-8A0A993516F7}"/>
    <hyperlink ref="D357" r:id="rId1166" display="https://auction.ikco.ir/auction/details/34?r=405" xr:uid="{7F4D942A-2240-4C8D-8C9A-313AA5B78753}"/>
    <hyperlink ref="A458" r:id="rId1167" display="javascript:void(0)" xr:uid="{4DB033F3-E1F3-4D73-A18B-1E609B43BFF9}"/>
    <hyperlink ref="C358" r:id="rId1168" display="https://auction.ikco.ir/auction/details/34?r=47" xr:uid="{3BC778AE-423C-43BA-8EB6-EDF901AEF38C}"/>
    <hyperlink ref="D358" r:id="rId1169" display="https://auction.ikco.ir/auction/details/34?r=47" xr:uid="{DAAA3FDD-D309-4E6F-B639-51B2E84DC969}"/>
    <hyperlink ref="A459" r:id="rId1170" display="javascript:void(0)" xr:uid="{4F57159E-F369-40BC-A2C7-B963A4AE9364}"/>
    <hyperlink ref="C359" r:id="rId1171" display="https://auction.ikco.ir/auction/details/34?r=59" xr:uid="{3F99CDC5-37A7-4FE4-8936-793DED865710}"/>
    <hyperlink ref="D359" r:id="rId1172" display="https://auction.ikco.ir/auction/details/34?r=59" xr:uid="{54F615A8-D6CC-4D96-A245-A14A88820335}"/>
    <hyperlink ref="A460" r:id="rId1173" display="javascript:void(0)" xr:uid="{DED0B096-0BAA-49E6-8D44-2BFC32038F89}"/>
    <hyperlink ref="C360" r:id="rId1174" display="https://auction.ikco.ir/auction/details/34?r=74" xr:uid="{C4CBC42D-E42D-4C4D-BB0E-08D62F8328E7}"/>
    <hyperlink ref="D360" r:id="rId1175" display="https://auction.ikco.ir/auction/details/34?r=74" xr:uid="{F9540B1D-3698-43D2-961A-C4E6C81F2BBB}"/>
    <hyperlink ref="A461" r:id="rId1176" display="javascript:void(0)" xr:uid="{F1B4F9A8-E144-4C56-A56B-38FF5418EE09}"/>
    <hyperlink ref="C361" r:id="rId1177" display="https://auction.ikco.ir/auction/details/34?r=75" xr:uid="{EFD8E490-1827-48FB-9C7F-FB6A45D4D659}"/>
    <hyperlink ref="D361" r:id="rId1178" display="https://auction.ikco.ir/auction/details/34?r=75" xr:uid="{F28AEE99-9651-4178-90E0-6717E7ED29FA}"/>
    <hyperlink ref="A462" r:id="rId1179" display="javascript:void(0)" xr:uid="{0E888018-CA3A-4F87-9AB8-0DC7F3DFDEB2}"/>
    <hyperlink ref="C362" r:id="rId1180" display="https://auction.ikco.ir/auction/details/34?r=88" xr:uid="{0FE69020-7347-4D0B-A0D8-62DD21896A11}"/>
    <hyperlink ref="D362" r:id="rId1181" display="https://auction.ikco.ir/auction/details/34?r=88" xr:uid="{34764B39-FD76-46D0-B60C-BE9A722941B4}"/>
    <hyperlink ref="A463" r:id="rId1182" display="javascript:void(0)" xr:uid="{AAB17A60-42AA-473C-8C5C-CA2A7C656807}"/>
    <hyperlink ref="C363" r:id="rId1183" display="https://auction.ikco.ir/auction/details/34?r=113" xr:uid="{2688BD72-781C-4B22-AF3C-FBE78E0A30B3}"/>
    <hyperlink ref="D363" r:id="rId1184" display="https://auction.ikco.ir/auction/details/34?r=113" xr:uid="{DBF65537-B5FE-45C6-91C1-0AA60730711E}"/>
    <hyperlink ref="A464" r:id="rId1185" display="javascript:void(0)" xr:uid="{AC483B1B-8317-4857-8E66-09C5BB1CBEFB}"/>
    <hyperlink ref="C364" r:id="rId1186" display="https://auction.ikco.ir/auction/details/34?r=163" xr:uid="{98BB8B48-0811-4F94-8147-223B42856D54}"/>
    <hyperlink ref="D364" r:id="rId1187" display="https://auction.ikco.ir/auction/details/34?r=163" xr:uid="{FCD0C7DE-04C3-46BB-A23D-22A024114F8C}"/>
    <hyperlink ref="A465" r:id="rId1188" display="javascript:void(0)" xr:uid="{300D532D-6997-4B01-BDEF-BAA18C179694}"/>
    <hyperlink ref="C365" r:id="rId1189" display="https://auction.ikco.ir/auction/details/34?r=189" xr:uid="{FE7CAE82-1A12-4082-A917-9F275C73F7CB}"/>
    <hyperlink ref="D365" r:id="rId1190" display="https://auction.ikco.ir/auction/details/34?r=189" xr:uid="{26A4C39B-9EE4-4839-8371-C6284CBE3FC4}"/>
    <hyperlink ref="A466" r:id="rId1191" display="javascript:void(0)" xr:uid="{DA0B8468-E4B1-44DB-A4BF-861A5CAA77C8}"/>
    <hyperlink ref="C366" r:id="rId1192" display="https://auction.ikco.ir/auction/details/34?r=195" xr:uid="{B841EE62-03CF-48D0-9030-A41BEE187271}"/>
    <hyperlink ref="D366" r:id="rId1193" display="https://auction.ikco.ir/auction/details/34?r=195" xr:uid="{2F092E6B-2F8E-4D47-8672-A07A96B81C9B}"/>
    <hyperlink ref="A467" r:id="rId1194" display="javascript:void(0)" xr:uid="{D338BEDC-DBA0-4CBD-96A6-A298D0BA456D}"/>
    <hyperlink ref="C367" r:id="rId1195" display="https://auction.ikco.ir/auction/details/34?r=237" xr:uid="{87FC3018-641E-4CCE-9116-E8C2EC57D635}"/>
    <hyperlink ref="D367" r:id="rId1196" display="https://auction.ikco.ir/auction/details/34?r=237" xr:uid="{683E4D63-7290-4DB0-9393-9593998A4056}"/>
    <hyperlink ref="A468" r:id="rId1197" display="javascript:void(0)" xr:uid="{F4212E1B-A7CF-410B-9131-0E5CBBBC4F46}"/>
    <hyperlink ref="C368" r:id="rId1198" display="https://auction.ikco.ir/auction/details/34?r=266" xr:uid="{AB214336-D6A9-4E75-B204-4A23B2BF6F57}"/>
    <hyperlink ref="D368" r:id="rId1199" display="https://auction.ikco.ir/auction/details/34?r=266" xr:uid="{CAEF30CD-741E-4D4E-ADE8-F3A130EB7AC9}"/>
    <hyperlink ref="A469" r:id="rId1200" display="javascript:void(0)" xr:uid="{E800E313-AC34-482E-A368-D37D92534D76}"/>
    <hyperlink ref="C369" r:id="rId1201" display="https://auction.ikco.ir/auction/details/34?r=283" xr:uid="{255B34BB-CBEE-4747-9070-25C6F0560B0A}"/>
    <hyperlink ref="D369" r:id="rId1202" display="https://auction.ikco.ir/auction/details/34?r=283" xr:uid="{1482B997-6E0B-4D69-B2AB-654C8187C5C2}"/>
    <hyperlink ref="A470" r:id="rId1203" display="javascript:void(0)" xr:uid="{F70FE6D7-0F37-4271-B771-015A41F22E10}"/>
    <hyperlink ref="C370" r:id="rId1204" display="https://auction.ikco.ir/auction/details/34?r=297" xr:uid="{A6C80D2A-BDEF-4879-BDC1-E756B278DC3C}"/>
    <hyperlink ref="D370" r:id="rId1205" display="https://auction.ikco.ir/auction/details/34?r=297" xr:uid="{521E5696-F51D-4134-B1EB-0A01F61C3B7D}"/>
    <hyperlink ref="A471" r:id="rId1206" display="javascript:void(0)" xr:uid="{0024BB5E-2778-4F34-A806-4FBD4CE9543B}"/>
    <hyperlink ref="C371" r:id="rId1207" display="https://auction.ikco.ir/auction/details/34?r=304" xr:uid="{CD298E69-1583-4D7B-98BA-90FE87F10099}"/>
    <hyperlink ref="D371" r:id="rId1208" display="https://auction.ikco.ir/auction/details/34?r=304" xr:uid="{442C3857-AFB4-4540-85FC-179DEA1A14F3}"/>
    <hyperlink ref="A472" r:id="rId1209" display="javascript:void(0)" xr:uid="{9CE4C76B-5C9F-4C79-B90C-73AEBA2E817C}"/>
    <hyperlink ref="C372" r:id="rId1210" display="https://auction.ikco.ir/auction/details/34?r=325" xr:uid="{48E81601-6A44-4657-91BE-0141C49BB49D}"/>
    <hyperlink ref="D372" r:id="rId1211" display="https://auction.ikco.ir/auction/details/34?r=325" xr:uid="{5F24211A-9454-40DD-8A6D-93D2CFE4E795}"/>
    <hyperlink ref="A473" r:id="rId1212" display="javascript:void(0)" xr:uid="{4D2ED0A8-4985-41A1-A1EA-A126028874BF}"/>
    <hyperlink ref="C373" r:id="rId1213" display="https://auction.ikco.ir/auction/details/34?r=333" xr:uid="{6904E7EF-D4E6-4418-90CA-7135E5AB7A89}"/>
    <hyperlink ref="D373" r:id="rId1214" display="https://auction.ikco.ir/auction/details/34?r=333" xr:uid="{EDBA8C29-2A47-408A-94C5-4361261513D4}"/>
    <hyperlink ref="A474" r:id="rId1215" display="javascript:void(0)" xr:uid="{3331391C-7832-4AFB-862F-4019C32F60AB}"/>
    <hyperlink ref="C374" r:id="rId1216" display="https://auction.ikco.ir/auction/details/34?r=1" xr:uid="{E5EB9A20-9AD7-478E-BBB3-8DCBC1B00A6C}"/>
    <hyperlink ref="D374" r:id="rId1217" display="https://auction.ikco.ir/auction/details/34?r=1" xr:uid="{FFB48118-F5AF-4837-ADF1-37B60CAC1ABE}"/>
    <hyperlink ref="A475" r:id="rId1218" display="javascript:void(0)" xr:uid="{2F6C78EF-7EFB-412D-B1B1-F701030C7E28}"/>
    <hyperlink ref="C375" r:id="rId1219" display="https://auction.ikco.ir/auction/details/34?r=6" xr:uid="{1D4E1C76-1C3F-49AF-AADF-D42A7EEA3B98}"/>
    <hyperlink ref="D375" r:id="rId1220" display="https://auction.ikco.ir/auction/details/34?r=6" xr:uid="{A8DD66A9-8682-4B7D-A75C-83D1715AEE99}"/>
    <hyperlink ref="A476" r:id="rId1221" display="javascript:void(0)" xr:uid="{872543E5-37BC-4EFB-AF5E-71CF73137701}"/>
    <hyperlink ref="C376" r:id="rId1222" display="https://auction.ikco.ir/auction/details/34?r=7" xr:uid="{DB61EBEC-C3AD-413D-807B-D2B05FE6CB28}"/>
    <hyperlink ref="D376" r:id="rId1223" display="https://auction.ikco.ir/auction/details/34?r=7" xr:uid="{4A28C28F-CE59-4E63-8BF1-E3B3D1B6DA93}"/>
    <hyperlink ref="A477" r:id="rId1224" display="javascript:void(0)" xr:uid="{7EF7B96D-F04D-44B4-AE64-B86646C05CB6}"/>
    <hyperlink ref="C377" r:id="rId1225" display="https://auction.ikco.ir/auction/details/34?r=22" xr:uid="{AED13400-4519-4AD7-BAB6-602D5422625A}"/>
    <hyperlink ref="D377" r:id="rId1226" display="https://auction.ikco.ir/auction/details/34?r=22" xr:uid="{32626C00-0308-4238-8F18-E94AEBCCD6EC}"/>
    <hyperlink ref="A478" r:id="rId1227" display="javascript:void(0)" xr:uid="{0E64122A-5FED-48AD-98D2-E22B7BC59C00}"/>
    <hyperlink ref="C378" r:id="rId1228" display="https://auction.ikco.ir/auction/details/34?r=24" xr:uid="{08B17390-1F76-40A6-8F92-F48B8E0A1152}"/>
    <hyperlink ref="D378" r:id="rId1229" display="https://auction.ikco.ir/auction/details/34?r=24" xr:uid="{F37B453D-98EE-4E26-8B11-EE3563816023}"/>
    <hyperlink ref="A479" r:id="rId1230" display="javascript:void(0)" xr:uid="{4DD5C2C5-6B98-4906-B5B2-A39FA36A3BE8}"/>
    <hyperlink ref="C379" r:id="rId1231" display="https://auction.ikco.ir/auction/details/34?r=25" xr:uid="{58F08968-6BCC-489B-AB2F-C92432F07918}"/>
    <hyperlink ref="D379" r:id="rId1232" display="https://auction.ikco.ir/auction/details/34?r=25" xr:uid="{A6FB8B77-B115-4EC4-992E-7909BFC48210}"/>
    <hyperlink ref="A480" r:id="rId1233" display="javascript:void(0)" xr:uid="{11DA1372-834B-415A-B169-07ACA06BA971}"/>
    <hyperlink ref="C380" r:id="rId1234" display="https://auction.ikco.ir/auction/details/34?r=27" xr:uid="{EB25E5BA-728A-473E-B57A-CF6F038E5D6D}"/>
    <hyperlink ref="D380" r:id="rId1235" display="https://auction.ikco.ir/auction/details/34?r=27" xr:uid="{A7B13EAB-8BEB-49F1-9F46-2FE261472A0C}"/>
    <hyperlink ref="A481" r:id="rId1236" display="javascript:void(0)" xr:uid="{D94815FC-B439-44C7-A903-4395566A547F}"/>
    <hyperlink ref="C381" r:id="rId1237" display="https://auction.ikco.ir/auction/details/34?r=31" xr:uid="{04F5116E-0A5A-44EC-A350-940727700627}"/>
    <hyperlink ref="D381" r:id="rId1238" display="https://auction.ikco.ir/auction/details/34?r=31" xr:uid="{FC43B6D0-B359-43A5-BFAA-C8A8D8658849}"/>
    <hyperlink ref="A482" r:id="rId1239" display="javascript:void(0)" xr:uid="{3C97A17E-4A9E-43B4-A2C2-2F722AE4D923}"/>
    <hyperlink ref="C382" r:id="rId1240" display="https://auction.ikco.ir/auction/details/34?r=33" xr:uid="{092D05FD-33C8-4BDA-98CD-9F92F92C57DB}"/>
    <hyperlink ref="D382" r:id="rId1241" display="https://auction.ikco.ir/auction/details/34?r=33" xr:uid="{A6B506E8-DB87-425C-9BB9-0716E77C1F13}"/>
    <hyperlink ref="A483" r:id="rId1242" display="javascript:void(0)" xr:uid="{E47A98D9-8DE7-4B1F-A6FA-9FA892DE693B}"/>
    <hyperlink ref="C383" r:id="rId1243" display="https://auction.ikco.ir/auction/details/34?r=35" xr:uid="{3E4B0300-E891-4C9A-859A-FE1612BA6B3C}"/>
    <hyperlink ref="D383" r:id="rId1244" display="https://auction.ikco.ir/auction/details/34?r=35" xr:uid="{0C68D96A-1076-4BD8-9377-479CC716A419}"/>
    <hyperlink ref="A484" r:id="rId1245" display="javascript:void(0)" xr:uid="{AC7E4B3D-E4A6-421F-84DC-6AB483427EDE}"/>
    <hyperlink ref="C384" r:id="rId1246" display="https://auction.ikco.ir/auction/details/34?r=38" xr:uid="{442B528A-2741-4CCE-9865-3CB9D5DB760E}"/>
    <hyperlink ref="D384" r:id="rId1247" display="https://auction.ikco.ir/auction/details/34?r=38" xr:uid="{68A089D5-8096-4890-9E4A-791CA6A6F7DB}"/>
    <hyperlink ref="A485" r:id="rId1248" display="javascript:void(0)" xr:uid="{49B9C633-3191-436B-AA01-623865E8FF9D}"/>
    <hyperlink ref="C385" r:id="rId1249" display="https://auction.ikco.ir/auction/details/34?r=39" xr:uid="{1740532C-434B-4443-9897-3A913308AD8A}"/>
    <hyperlink ref="D385" r:id="rId1250" display="https://auction.ikco.ir/auction/details/34?r=39" xr:uid="{68A9AB38-BA06-42FC-9D7E-6E2E79504E99}"/>
    <hyperlink ref="A486" r:id="rId1251" display="javascript:void(0)" xr:uid="{AA6C797A-D344-4DC0-BC86-71A926797B66}"/>
    <hyperlink ref="C386" r:id="rId1252" display="https://auction.ikco.ir/auction/details/34?r=53" xr:uid="{2CE17235-C506-492A-BCAD-E3A5B34615D1}"/>
    <hyperlink ref="D386" r:id="rId1253" display="https://auction.ikco.ir/auction/details/34?r=53" xr:uid="{B4CE0087-F7B9-483A-AD8F-75CCF9243277}"/>
    <hyperlink ref="A487" r:id="rId1254" display="javascript:void(0)" xr:uid="{059AAF85-3333-4FBA-A220-7AD42250BC9E}"/>
    <hyperlink ref="C387" r:id="rId1255" display="https://auction.ikco.ir/auction/details/34?r=60" xr:uid="{0E867D28-4680-4E26-ABBD-929793E268C2}"/>
    <hyperlink ref="D387" r:id="rId1256" display="https://auction.ikco.ir/auction/details/34?r=60" xr:uid="{47BA0612-4399-4A55-8BE3-D81379DEE7D0}"/>
    <hyperlink ref="A488" r:id="rId1257" display="javascript:void(0)" xr:uid="{157FD797-3B36-48C0-B7AC-674EBEA74D77}"/>
    <hyperlink ref="C388" r:id="rId1258" display="https://auction.ikco.ir/auction/details/34?r=62" xr:uid="{41763E52-4EE3-4FC2-9413-1E4A1D7FF9D5}"/>
    <hyperlink ref="D388" r:id="rId1259" display="https://auction.ikco.ir/auction/details/34?r=62" xr:uid="{5D25A8F9-AF50-49DB-83D4-F6B2ABD18F8E}"/>
    <hyperlink ref="A489" r:id="rId1260" display="javascript:void(0)" xr:uid="{26E01FED-F719-47B8-9EF4-16414C897BD2}"/>
    <hyperlink ref="C389" r:id="rId1261" display="https://auction.ikco.ir/auction/details/34?r=68" xr:uid="{458EB763-49EA-4008-8235-A053A5715A0B}"/>
    <hyperlink ref="D389" r:id="rId1262" display="https://auction.ikco.ir/auction/details/34?r=68" xr:uid="{786390E3-ECB7-4A5B-AFA7-561D34873313}"/>
    <hyperlink ref="A490" r:id="rId1263" display="javascript:void(0)" xr:uid="{3D773779-69C9-463E-AF08-9AD14A778349}"/>
    <hyperlink ref="C390" r:id="rId1264" display="https://auction.ikco.ir/auction/details/34?r=69" xr:uid="{455465EA-96AD-4415-A15A-EA40BC597368}"/>
    <hyperlink ref="D390" r:id="rId1265" display="https://auction.ikco.ir/auction/details/34?r=69" xr:uid="{EB8AF033-8293-4F2B-B1A1-AF61E2FAF6D2}"/>
    <hyperlink ref="A491" r:id="rId1266" display="javascript:void(0)" xr:uid="{2932D028-E63C-4EDC-ABAB-C2ED2832CAE0}"/>
    <hyperlink ref="C391" r:id="rId1267" display="https://auction.ikco.ir/auction/details/34?r=89" xr:uid="{9B53C09F-ECF9-457D-92F6-23ADF3EDDEBA}"/>
    <hyperlink ref="D391" r:id="rId1268" display="https://auction.ikco.ir/auction/details/34?r=89" xr:uid="{FF64D34E-CC63-4824-B4B8-524AC258081C}"/>
    <hyperlink ref="A492" r:id="rId1269" display="javascript:void(0)" xr:uid="{F060F1F9-C607-40DE-8BC8-C849ECF2358A}"/>
    <hyperlink ref="C392" r:id="rId1270" display="https://auction.ikco.ir/auction/details/34?r=96" xr:uid="{C4F7347D-4944-43D5-B2A2-91302058275B}"/>
    <hyperlink ref="D392" r:id="rId1271" display="https://auction.ikco.ir/auction/details/34?r=96" xr:uid="{BDFE0AD5-32D8-4230-A5F8-676BED7952FB}"/>
    <hyperlink ref="A493" r:id="rId1272" display="javascript:void(0)" xr:uid="{456E7501-4F26-46E1-87CD-0DEC9B065B64}"/>
    <hyperlink ref="C393" r:id="rId1273" display="https://auction.ikco.ir/auction/details/34?r=99" xr:uid="{B5B84DE6-9454-43FB-AE89-50BC5F85622D}"/>
    <hyperlink ref="D393" r:id="rId1274" display="https://auction.ikco.ir/auction/details/34?r=99" xr:uid="{47B87D8C-33B4-4754-B735-D69DE702250D}"/>
    <hyperlink ref="A494" r:id="rId1275" display="javascript:void(0)" xr:uid="{2E6C76F8-A41B-4DA3-884F-38576F7F9A73}"/>
    <hyperlink ref="C394" r:id="rId1276" display="https://auction.ikco.ir/auction/details/34?r=108" xr:uid="{4B724455-4496-48B6-BC1E-6286D9EC98C7}"/>
    <hyperlink ref="D394" r:id="rId1277" display="https://auction.ikco.ir/auction/details/34?r=108" xr:uid="{E8A5FB5A-7937-4B80-8CAB-09DC5F9C1D9A}"/>
    <hyperlink ref="A495" r:id="rId1278" display="javascript:void(0)" xr:uid="{77C49898-3AD2-478D-89F6-09E68921E5EA}"/>
    <hyperlink ref="C395" r:id="rId1279" display="https://auction.ikco.ir/auction/details/34?r=116" xr:uid="{43FEE8C7-3F7C-46DD-A135-A373986CD148}"/>
    <hyperlink ref="D395" r:id="rId1280" display="https://auction.ikco.ir/auction/details/34?r=116" xr:uid="{2F7C79FF-0850-4E1F-A89E-944CC61D051D}"/>
    <hyperlink ref="A496" r:id="rId1281" display="javascript:void(0)" xr:uid="{2D50BBF3-C5E5-438C-8391-1D72BC3789EB}"/>
    <hyperlink ref="C396" r:id="rId1282" display="https://auction.ikco.ir/auction/details/34?r=127" xr:uid="{95730E11-9E11-4190-9E13-0D29A22739C6}"/>
    <hyperlink ref="D396" r:id="rId1283" display="https://auction.ikco.ir/auction/details/34?r=127" xr:uid="{89FDBD22-8855-4AF4-9818-3A233FB81070}"/>
    <hyperlink ref="A497" r:id="rId1284" display="javascript:void(0)" xr:uid="{B31CC092-0E14-45A0-A592-E0FB1AEAC5C0}"/>
    <hyperlink ref="C397" r:id="rId1285" display="https://auction.ikco.ir/auction/details/34?r=130" xr:uid="{FBD02B38-AFE2-4E2C-BB16-C3A9500593CD}"/>
    <hyperlink ref="D397" r:id="rId1286" display="https://auction.ikco.ir/auction/details/34?r=130" xr:uid="{FC8B8711-25F5-401D-9AF5-0EDEFD0DD7A3}"/>
    <hyperlink ref="A498" r:id="rId1287" display="javascript:void(0)" xr:uid="{98AAF104-9F2F-4399-8E35-4CBC73614FD1}"/>
    <hyperlink ref="C398" r:id="rId1288" display="https://auction.ikco.ir/auction/details/34?r=131" xr:uid="{DCD8B867-DB78-42E7-90AE-3AD5754B145E}"/>
    <hyperlink ref="D398" r:id="rId1289" display="https://auction.ikco.ir/auction/details/34?r=131" xr:uid="{497C01F1-4FF7-45E8-B9C4-9D6D9A8F94AE}"/>
    <hyperlink ref="A499" r:id="rId1290" display="javascript:void(0)" xr:uid="{004AB171-8637-42F3-A5D1-DF2D3DADF8B5}"/>
    <hyperlink ref="C399" r:id="rId1291" display="https://auction.ikco.ir/auction/details/34?r=133" xr:uid="{DC3ADF45-53B1-41CA-8886-64105D0F6129}"/>
    <hyperlink ref="D399" r:id="rId1292" display="https://auction.ikco.ir/auction/details/34?r=133" xr:uid="{112FB57F-4C2C-42BF-AC60-F77C048EB155}"/>
    <hyperlink ref="A500" r:id="rId1293" display="javascript:void(0)" xr:uid="{74FF82BA-4E12-44D4-9853-678E44EF5A13}"/>
    <hyperlink ref="C400" r:id="rId1294" display="https://auction.ikco.ir/auction/details/34?r=141" xr:uid="{6F0F6283-4879-4DC3-8E36-8866815DF52E}"/>
    <hyperlink ref="D400" r:id="rId1295" display="https://auction.ikco.ir/auction/details/34?r=141" xr:uid="{62C063C3-0568-44D9-B8E2-0B9A4A62A626}"/>
    <hyperlink ref="C401" r:id="rId1296" display="https://auction.ikco.ir/auction/details/34?r=186" xr:uid="{B656D5EC-9887-4826-9EA1-48166857E586}"/>
    <hyperlink ref="D401" r:id="rId1297" display="https://auction.ikco.ir/auction/details/34?r=186" xr:uid="{AAB19795-C098-4E99-9CDD-66033E233348}"/>
    <hyperlink ref="A502" r:id="rId1298" display="javascript:void(0)" xr:uid="{E06BFED2-3632-4CCE-A752-C29FA89A889E}"/>
    <hyperlink ref="C402" r:id="rId1299" display="https://auction.ikco.ir/auction/details/34?r=203" xr:uid="{9110801D-4BA7-4C55-B703-7491691C0F82}"/>
    <hyperlink ref="D402" r:id="rId1300" display="https://auction.ikco.ir/auction/details/34?r=203" xr:uid="{B2ACB2BF-FE77-475C-9348-6D5DB9879106}"/>
    <hyperlink ref="A503" r:id="rId1301" display="javascript:void(0)" xr:uid="{7141F9D7-B00F-4808-8972-82B819065603}"/>
    <hyperlink ref="C403" r:id="rId1302" display="https://auction.ikco.ir/auction/details/34?r=205" xr:uid="{A718B285-BA5B-4274-9C18-37C37B0BEC13}"/>
    <hyperlink ref="D403" r:id="rId1303" display="https://auction.ikco.ir/auction/details/34?r=205" xr:uid="{B9074D52-CEF8-4632-ADA3-CD42581770CB}"/>
    <hyperlink ref="A504" r:id="rId1304" display="javascript:void(0)" xr:uid="{1167B34A-9182-4622-88A4-15B69FC972DA}"/>
    <hyperlink ref="C404" r:id="rId1305" display="https://auction.ikco.ir/auction/details/34?r=209" xr:uid="{22442761-57FE-425F-A0D2-135DB90BA9D4}"/>
    <hyperlink ref="D404" r:id="rId1306" display="https://auction.ikco.ir/auction/details/34?r=209" xr:uid="{CF2B8627-B476-4135-BB24-D8999118F431}"/>
    <hyperlink ref="A505" r:id="rId1307" display="javascript:void(0)" xr:uid="{6A2433CA-C0C8-48A6-8D76-2B29C5231A9F}"/>
    <hyperlink ref="C405" r:id="rId1308" display="https://auction.ikco.ir/auction/details/34?r=385" xr:uid="{37FCD0AD-CA20-4AA8-97C0-EF28A9796398}"/>
    <hyperlink ref="D405" r:id="rId1309" display="https://auction.ikco.ir/auction/details/34?r=385" xr:uid="{2E005939-373B-48E8-92B1-CF4D9E864D04}"/>
    <hyperlink ref="A506" r:id="rId1310" display="javascript:void(0)" xr:uid="{08337FBF-D27B-454B-80B2-1DFB2A3F4D44}"/>
    <hyperlink ref="C406" r:id="rId1311" display="https://auction.ikco.ir/auction/details/34?r=389" xr:uid="{AB8A8C9B-569C-4BC9-8DE6-86A8DFADC74C}"/>
    <hyperlink ref="D406" r:id="rId1312" display="https://auction.ikco.ir/auction/details/34?r=389" xr:uid="{E3441EA2-4626-4AC2-83C7-CF617905C5B0}"/>
    <hyperlink ref="A507" r:id="rId1313" display="javascript:void(0)" xr:uid="{A279BA8C-4C64-45FF-8A0D-CDE0F9799C78}"/>
    <hyperlink ref="C407" r:id="rId1314" display="https://auction.ikco.ir/auction/details/34?r=3" xr:uid="{1580EE34-4FF1-4B79-8AF0-987981D02859}"/>
    <hyperlink ref="D407" r:id="rId1315" display="https://auction.ikco.ir/auction/details/34?r=3" xr:uid="{F7E81FE9-B66B-4492-9658-7AB853AF8594}"/>
    <hyperlink ref="A508" r:id="rId1316" display="javascript:void(0)" xr:uid="{A07C2977-843B-4E57-957E-195D742F17C2}"/>
    <hyperlink ref="C408" r:id="rId1317" display="https://auction.ikco.ir/auction/details/34?r=65" xr:uid="{8F975FCB-589F-4EA4-8AB8-DBBB1FBFD62F}"/>
    <hyperlink ref="D408" r:id="rId1318" display="https://auction.ikco.ir/auction/details/34?r=65" xr:uid="{DAC9E5D5-D148-41A1-9027-83A02D886CFB}"/>
    <hyperlink ref="A509" r:id="rId1319" display="javascript:void(0)" xr:uid="{A2DD735D-B674-46CE-B14F-792F6DF611F5}"/>
    <hyperlink ref="C409" r:id="rId1320" display="https://auction.ikco.ir/auction/details/34?r=95" xr:uid="{1B344E1C-48B1-47EE-9E93-2F23B9BB6C23}"/>
    <hyperlink ref="D409" r:id="rId1321" display="https://auction.ikco.ir/auction/details/34?r=95" xr:uid="{DE088C67-8CAA-4993-B9A4-CB34C9157D64}"/>
    <hyperlink ref="A510" r:id="rId1322" display="javascript:void(0)" xr:uid="{85A7380F-E27C-49FC-BDC8-7C91E0BFC3B5}"/>
    <hyperlink ref="C410" r:id="rId1323" display="https://auction.ikco.ir/auction/details/34?r=106" xr:uid="{B9B175B6-43A7-46D4-B137-1C9D947AEDB2}"/>
    <hyperlink ref="D410" r:id="rId1324" display="https://auction.ikco.ir/auction/details/34?r=106" xr:uid="{34E9479F-1F6B-48F1-A320-09FC3D49C8C2}"/>
    <hyperlink ref="A511" r:id="rId1325" display="javascript:void(0)" xr:uid="{85B7E168-8FE1-4443-8A11-84235055A080}"/>
    <hyperlink ref="C411" r:id="rId1326" display="https://auction.ikco.ir/auction/details/34?r=112" xr:uid="{59D866E4-2B03-42D2-8774-9086C6D96D11}"/>
    <hyperlink ref="D411" r:id="rId1327" display="https://auction.ikco.ir/auction/details/34?r=112" xr:uid="{1E2D7035-52B6-4806-B07D-294ADC4D776A}"/>
    <hyperlink ref="A512" r:id="rId1328" display="javascript:void(0)" xr:uid="{A6514502-0949-4E4F-93B1-1D763855E620}"/>
    <hyperlink ref="C412" r:id="rId1329" display="https://auction.ikco.ir/auction/details/34?r=128" xr:uid="{83B40650-CB6E-4272-A3D5-B075407D5A0C}"/>
    <hyperlink ref="D412" r:id="rId1330" display="https://auction.ikco.ir/auction/details/34?r=128" xr:uid="{33C66FA6-5860-41F2-9A14-AB439739AC09}"/>
    <hyperlink ref="A513" r:id="rId1331" display="javascript:void(0)" xr:uid="{4BB1E1E4-DA14-4B0E-B4B8-E572FFFF2589}"/>
    <hyperlink ref="C413" r:id="rId1332" display="https://auction.ikco.ir/auction/details/34?r=134" xr:uid="{B8E0652B-0786-4264-B032-8EAB798A3FFC}"/>
    <hyperlink ref="D413" r:id="rId1333" display="https://auction.ikco.ir/auction/details/34?r=134" xr:uid="{526B7830-CDD4-49F0-BB77-266785DDEE18}"/>
    <hyperlink ref="A514" r:id="rId1334" display="javascript:void(0)" xr:uid="{2F507B80-6ED3-4813-9221-CE067C548902}"/>
    <hyperlink ref="C414" r:id="rId1335" display="https://auction.ikco.ir/auction/details/34?r=145" xr:uid="{55CA3703-E063-4DE5-B654-10862BEBE10C}"/>
    <hyperlink ref="D414" r:id="rId1336" display="https://auction.ikco.ir/auction/details/34?r=145" xr:uid="{17FC3AD4-5EE1-4F96-84F6-51126E3F9D62}"/>
    <hyperlink ref="A515" r:id="rId1337" display="javascript:void(0)" xr:uid="{3A3BA092-9A76-4F64-9013-CDCF71BC5621}"/>
    <hyperlink ref="C415" r:id="rId1338" display="https://auction.ikco.ir/auction/details/34?r=174" xr:uid="{8782B8E5-6D25-4D47-BEC5-18E3A829E609}"/>
    <hyperlink ref="D415" r:id="rId1339" display="https://auction.ikco.ir/auction/details/34?r=174" xr:uid="{E2F87597-2507-4AC7-AB41-409F5FD71EEF}"/>
    <hyperlink ref="A516" r:id="rId1340" display="javascript:void(0)" xr:uid="{876411F2-E09A-45C3-9138-A1DC24282786}"/>
    <hyperlink ref="C416" r:id="rId1341" display="https://auction.ikco.ir/auction/details/34?r=200" xr:uid="{40BEE4D1-CCD6-486B-BD3B-4E7681D5551E}"/>
    <hyperlink ref="D416" r:id="rId1342" display="https://auction.ikco.ir/auction/details/34?r=200" xr:uid="{476B5137-7E3E-4F7E-88E9-BDA21015CA5A}"/>
    <hyperlink ref="A517" r:id="rId1343" display="javascript:void(0)" xr:uid="{D81771AD-F163-4AEE-BB07-724DAA132A14}"/>
    <hyperlink ref="C417" r:id="rId1344" display="https://auction.ikco.ir/auction/details/34?r=207" xr:uid="{8277A950-962F-46E3-AF49-0BA7D7F31397}"/>
    <hyperlink ref="D417" r:id="rId1345" display="https://auction.ikco.ir/auction/details/34?r=207" xr:uid="{98A0788C-E854-4DC6-A266-24D5787409CA}"/>
    <hyperlink ref="A518" r:id="rId1346" display="javascript:void(0)" xr:uid="{B6F41CAB-27FD-43E2-8943-C7B53B536B5D}"/>
    <hyperlink ref="C418" r:id="rId1347" display="https://auction.ikco.ir/auction/details/34?r=227" xr:uid="{99854508-22C7-4A29-B5C5-4068E6D99765}"/>
    <hyperlink ref="D418" r:id="rId1348" display="https://auction.ikco.ir/auction/details/34?r=227" xr:uid="{BE6AAC53-96C3-4F04-A7EE-C06467FAE8C4}"/>
    <hyperlink ref="A519" r:id="rId1349" display="javascript:void(0)" xr:uid="{46FD554F-4A40-49E5-9563-7051FC2E432E}"/>
    <hyperlink ref="C419" r:id="rId1350" display="https://auction.ikco.ir/auction/details/34?r=246" xr:uid="{D24BD278-F919-4523-A7AB-3719B98CCBE5}"/>
    <hyperlink ref="D419" r:id="rId1351" display="https://auction.ikco.ir/auction/details/34?r=246" xr:uid="{B9D8D769-1F8C-4C12-B2C4-322086371A4E}"/>
    <hyperlink ref="A520" r:id="rId1352" display="javascript:void(0)" xr:uid="{06A8D6CC-719D-4E05-9764-47FCD2361ECF}"/>
    <hyperlink ref="C420" r:id="rId1353" display="https://auction.ikco.ir/auction/details/34?r=272" xr:uid="{AEB7C36C-9D13-4B78-9BA8-E3D389344749}"/>
    <hyperlink ref="D420" r:id="rId1354" display="https://auction.ikco.ir/auction/details/34?r=272" xr:uid="{09322D35-C541-4EAD-B161-FB9301018808}"/>
    <hyperlink ref="A521" r:id="rId1355" display="javascript:void(0)" xr:uid="{6C3DCF71-F8A2-4B87-807D-372D5C942032}"/>
    <hyperlink ref="C421" r:id="rId1356" display="https://auction.ikco.ir/auction/details/34?r=312" xr:uid="{BD5ECF5C-6625-414C-B6E1-346427D6AB3F}"/>
    <hyperlink ref="D421" r:id="rId1357" display="https://auction.ikco.ir/auction/details/34?r=312" xr:uid="{AF11E2C6-AC6B-4E25-B5EE-A54ADF193C4B}"/>
    <hyperlink ref="A522" r:id="rId1358" display="javascript:void(0)" xr:uid="{EB0FD6F8-93C1-40D0-878E-C3C0B5536F62}"/>
    <hyperlink ref="C422" r:id="rId1359" display="https://auction.ikco.ir/auction/details/34?r=334" xr:uid="{45DD1C13-206C-4FF9-8221-3CDF28782136}"/>
    <hyperlink ref="D422" r:id="rId1360" display="https://auction.ikco.ir/auction/details/34?r=334" xr:uid="{E2B9D9EE-5BA8-4A6D-A223-2F63112025AC}"/>
    <hyperlink ref="A523" r:id="rId1361" display="javascript:void(0)" xr:uid="{4F826083-52ED-42B8-AE61-BCFC98251F89}"/>
    <hyperlink ref="C423" r:id="rId1362" display="https://auction.ikco.ir/auction/details/34?r=9" xr:uid="{ACC4301E-1710-4134-BF00-BB2BE4173537}"/>
    <hyperlink ref="D423" r:id="rId1363" display="https://auction.ikco.ir/auction/details/34?r=9" xr:uid="{E5A2C8F8-866B-40CB-9921-D3C7788436C9}"/>
    <hyperlink ref="A524" r:id="rId1364" display="javascript:void(0)" xr:uid="{DA4A2B81-DBEB-4638-BADD-E1AA3074337A}"/>
    <hyperlink ref="C424" r:id="rId1365" display="https://auction.ikco.ir/auction/details/34?r=19" xr:uid="{8AA2E545-5026-4B2F-9264-3307E47FF360}"/>
    <hyperlink ref="D424" r:id="rId1366" display="https://auction.ikco.ir/auction/details/34?r=19" xr:uid="{221FF869-1B01-4EEF-B864-587125CEA387}"/>
    <hyperlink ref="A525" r:id="rId1367" display="javascript:void(0)" xr:uid="{C85BDA5F-A0BC-4809-AB24-841AEAE33317}"/>
    <hyperlink ref="C425" r:id="rId1368" display="https://auction.ikco.ir/auction/details/34?r=29" xr:uid="{BEEE27B9-C1C6-4E1C-977C-1621C353986E}"/>
    <hyperlink ref="D425" r:id="rId1369" display="https://auction.ikco.ir/auction/details/34?r=29" xr:uid="{8AABF33A-174E-451B-83E8-B9ACDD00DB4D}"/>
    <hyperlink ref="A526" r:id="rId1370" display="javascript:void(0)" xr:uid="{D867A3DD-3921-44B5-8C54-3406AE465EB6}"/>
    <hyperlink ref="C426" r:id="rId1371" display="https://auction.ikco.ir/auction/details/34?r=32" xr:uid="{9BEC6160-0C70-4586-80D8-3E909CF0A530}"/>
    <hyperlink ref="D426" r:id="rId1372" display="https://auction.ikco.ir/auction/details/34?r=32" xr:uid="{FF90664A-4293-4891-98A2-B27EFF163DC1}"/>
    <hyperlink ref="A527" r:id="rId1373" display="javascript:void(0)" xr:uid="{5315F9A1-CBCA-40A3-A13D-6765AB6B8024}"/>
    <hyperlink ref="C427" r:id="rId1374" display="https://auction.ikco.ir/auction/details/34?r=37" xr:uid="{A88E237E-9756-43AF-9756-AE3DD99A32E8}"/>
    <hyperlink ref="D427" r:id="rId1375" display="https://auction.ikco.ir/auction/details/34?r=37" xr:uid="{4774B9B5-FD4F-4847-975F-093AD5F63749}"/>
    <hyperlink ref="A528" r:id="rId1376" display="javascript:void(0)" xr:uid="{5A81AF64-47F6-4D17-BEBD-BA6AB04785A9}"/>
    <hyperlink ref="C428" r:id="rId1377" display="https://auction.ikco.ir/auction/details/34?r=45" xr:uid="{F4D0668F-B59F-41D5-90CE-825A4C23E6DD}"/>
    <hyperlink ref="D428" r:id="rId1378" display="https://auction.ikco.ir/auction/details/34?r=45" xr:uid="{94D19B2C-D51C-42C8-8942-9E2BD285FFE6}"/>
    <hyperlink ref="A529" r:id="rId1379" display="javascript:void(0)" xr:uid="{2A437EE1-C05E-4AA1-BC7B-0B8ECBAE6ED7}"/>
    <hyperlink ref="C429" r:id="rId1380" display="https://auction.ikco.ir/auction/details/34?r=50" xr:uid="{4C477CCA-9622-4E42-86EB-273BDDD4CDAB}"/>
    <hyperlink ref="D429" r:id="rId1381" display="https://auction.ikco.ir/auction/details/34?r=50" xr:uid="{9B1949AC-1C3E-4754-87A3-597B03BED4C5}"/>
    <hyperlink ref="A530" r:id="rId1382" display="javascript:void(0)" xr:uid="{A3E6B665-C6CF-41DB-B33A-DDAD0D4D2337}"/>
    <hyperlink ref="C430" r:id="rId1383" display="https://auction.ikco.ir/auction/details/34?r=52" xr:uid="{CBA6E90C-E1D9-4408-A985-CCEE49D2A1D8}"/>
    <hyperlink ref="D430" r:id="rId1384" display="https://auction.ikco.ir/auction/details/34?r=52" xr:uid="{E7DE7222-4D06-48DE-90CA-48B11C9994CB}"/>
    <hyperlink ref="A531" r:id="rId1385" display="javascript:void(0)" xr:uid="{6B638B23-8910-4C6C-BDA7-404FDBF0D105}"/>
    <hyperlink ref="C431" r:id="rId1386" display="https://auction.ikco.ir/auction/details/34?r=103" xr:uid="{3076A407-3595-4229-998B-8305290B6D6B}"/>
    <hyperlink ref="D431" r:id="rId1387" display="https://auction.ikco.ir/auction/details/34?r=103" xr:uid="{C461CE1A-07D2-4373-B1DD-B76B8009A6BD}"/>
    <hyperlink ref="A532" r:id="rId1388" display="javascript:void(0)" xr:uid="{3FD3029B-C93F-4E4F-AF44-550B889BAAFD}"/>
    <hyperlink ref="C432" r:id="rId1389" display="https://auction.ikco.ir/auction/details/34?r=121" xr:uid="{DB7AF459-3C20-444D-A3F2-4F20269AE7A7}"/>
    <hyperlink ref="D432" r:id="rId1390" display="https://auction.ikco.ir/auction/details/34?r=121" xr:uid="{6E783004-02FE-4279-AB0F-9F3AD9D7AD37}"/>
    <hyperlink ref="A533" r:id="rId1391" display="javascript:void(0)" xr:uid="{C7D00B5C-1160-4322-9961-26C2734EE8B3}"/>
    <hyperlink ref="C433" r:id="rId1392" display="https://auction.ikco.ir/auction/details/34?r=139" xr:uid="{B31830E7-12E4-48E3-91B2-946BA4EA7FFC}"/>
    <hyperlink ref="D433" r:id="rId1393" display="https://auction.ikco.ir/auction/details/34?r=139" xr:uid="{76B4567A-655B-406D-9326-75C68079098B}"/>
    <hyperlink ref="A534" r:id="rId1394" display="javascript:void(0)" xr:uid="{D812DD69-DBE6-48BA-81E2-DDD6C95E8592}"/>
    <hyperlink ref="C434" r:id="rId1395" display="https://auction.ikco.ir/auction/details/34?r=160" xr:uid="{307C11CC-64B9-413F-831C-D28D757F4360}"/>
    <hyperlink ref="D434" r:id="rId1396" display="https://auction.ikco.ir/auction/details/34?r=160" xr:uid="{D560DC08-A8CB-4489-9053-8AAE141122BD}"/>
    <hyperlink ref="A535" r:id="rId1397" display="javascript:void(0)" xr:uid="{6821BA77-2D04-48D6-BD9B-3ADC43DDB4A3}"/>
    <hyperlink ref="C435" r:id="rId1398" display="https://auction.ikco.ir/auction/details/34?r=164" xr:uid="{AF21F507-689F-4960-A008-CAADCF2EDD8E}"/>
    <hyperlink ref="D435" r:id="rId1399" display="https://auction.ikco.ir/auction/details/34?r=164" xr:uid="{BB4E4B34-6A4E-471F-A29E-A7D057650D5C}"/>
    <hyperlink ref="A536" r:id="rId1400" display="javascript:void(0)" xr:uid="{14C6C517-A5E9-4438-8B51-C4FD65BF8F06}"/>
    <hyperlink ref="C436" r:id="rId1401" display="https://auction.ikco.ir/auction/details/34?r=197" xr:uid="{5AAE1EA3-D58F-485B-B943-78681C95DE4A}"/>
    <hyperlink ref="D436" r:id="rId1402" display="https://auction.ikco.ir/auction/details/34?r=197" xr:uid="{EFA6EB42-FB3B-40AF-B388-6BB987EB81D5}"/>
    <hyperlink ref="A537" r:id="rId1403" display="javascript:void(0)" xr:uid="{5D840D48-406E-45BA-BBC3-7DA429167B8E}"/>
    <hyperlink ref="C437" r:id="rId1404" display="https://auction.ikco.ir/auction/details/34?r=198" xr:uid="{FBBF2DB8-A2EC-414C-8916-0A6198D83226}"/>
    <hyperlink ref="D437" r:id="rId1405" display="https://auction.ikco.ir/auction/details/34?r=198" xr:uid="{D2017898-D68D-4CEE-AFC0-F6E4D7C5A7B3}"/>
    <hyperlink ref="A538" r:id="rId1406" display="javascript:void(0)" xr:uid="{FF624FFD-F728-4B6A-BAA1-42636A372F60}"/>
    <hyperlink ref="C438" r:id="rId1407" display="https://auction.ikco.ir/auction/details/34?r=202" xr:uid="{A5F2146D-2AB4-4316-A0DC-80BA3D27D2D7}"/>
    <hyperlink ref="D438" r:id="rId1408" display="https://auction.ikco.ir/auction/details/34?r=202" xr:uid="{1A6195F1-C4B5-463B-8819-26EECD5B13F8}"/>
    <hyperlink ref="A539" r:id="rId1409" display="javascript:void(0)" xr:uid="{E9E97626-A95C-4BE0-AEA9-0CF813F12D50}"/>
    <hyperlink ref="C439" r:id="rId1410" display="https://auction.ikco.ir/auction/details/34?r=204" xr:uid="{028B08BA-3003-40FE-9D8D-C00739FF8B31}"/>
    <hyperlink ref="D439" r:id="rId1411" display="https://auction.ikco.ir/auction/details/34?r=204" xr:uid="{C6D5FE6E-362F-4FED-883C-E5E1C8F755D1}"/>
    <hyperlink ref="A540" r:id="rId1412" display="javascript:void(0)" xr:uid="{39ED9E32-82DB-459A-870B-16F4D3496910}"/>
    <hyperlink ref="C440" r:id="rId1413" display="https://auction.ikco.ir/auction/details/34?r=216" xr:uid="{2389A151-A9DB-4BE8-94D0-A9F9418B6A8A}"/>
    <hyperlink ref="D440" r:id="rId1414" display="https://auction.ikco.ir/auction/details/34?r=216" xr:uid="{64CE7310-19EA-40FB-9617-271D40037A51}"/>
    <hyperlink ref="A541" r:id="rId1415" display="javascript:void(0)" xr:uid="{84B5034C-E70D-4E8B-8E70-3221F480B5F4}"/>
    <hyperlink ref="C441" r:id="rId1416" display="https://auction.ikco.ir/auction/details/34?r=217" xr:uid="{52261263-40B5-4A70-AF69-42D6BA76BEA0}"/>
    <hyperlink ref="D441" r:id="rId1417" display="https://auction.ikco.ir/auction/details/34?r=217" xr:uid="{1061E821-8DD0-4D10-B1E9-D94502DC823B}"/>
    <hyperlink ref="A542" r:id="rId1418" display="javascript:void(0)" xr:uid="{10FF9634-C112-480D-846B-BAC02AD7EB20}"/>
    <hyperlink ref="C442" r:id="rId1419" display="https://auction.ikco.ir/auction/details/34?r=229" xr:uid="{BE02E82C-C665-40A7-9EB3-0B779247BA32}"/>
    <hyperlink ref="D442" r:id="rId1420" display="https://auction.ikco.ir/auction/details/34?r=229" xr:uid="{852D7DD2-A8D5-4210-98BD-EAF83FF6F60E}"/>
    <hyperlink ref="A543" r:id="rId1421" display="javascript:void(0)" xr:uid="{2991143F-085C-4BF6-90A6-0FA61C6AFACA}"/>
    <hyperlink ref="C443" r:id="rId1422" display="https://auction.ikco.ir/auction/details/34?r=262" xr:uid="{D60A518C-AE3A-44CE-9CFB-474A6634B28F}"/>
    <hyperlink ref="D443" r:id="rId1423" display="https://auction.ikco.ir/auction/details/34?r=262" xr:uid="{2B0E42D7-72BC-4DFC-8D74-C26FF90695B2}"/>
    <hyperlink ref="A544" r:id="rId1424" display="javascript:void(0)" xr:uid="{4B0FB7C0-BD1F-455B-ACDB-5F3E7C05F7A1}"/>
    <hyperlink ref="C444" r:id="rId1425" display="https://auction.ikco.ir/auction/details/34?r=282" xr:uid="{A28FBBB1-D7A4-4D19-BF08-14055F4D4D58}"/>
    <hyperlink ref="D444" r:id="rId1426" display="https://auction.ikco.ir/auction/details/34?r=282" xr:uid="{795C9C0E-1C36-4DF6-95B1-11ADB4E477D5}"/>
    <hyperlink ref="A545" r:id="rId1427" display="javascript:void(0)" xr:uid="{0DED9794-07F2-45A8-87AF-EBA018569EED}"/>
    <hyperlink ref="C445" r:id="rId1428" display="https://auction.ikco.ir/auction/details/34?r=301" xr:uid="{48A8F0D3-168B-4D4C-8B9A-FC61094DF48E}"/>
    <hyperlink ref="D445" r:id="rId1429" display="https://auction.ikco.ir/auction/details/34?r=301" xr:uid="{6C5B6D64-A800-4905-830E-976CCF7355C8}"/>
    <hyperlink ref="A546" r:id="rId1430" display="javascript:void(0)" xr:uid="{1CC4D196-7703-46C6-A770-CD1C40DE2BF9}"/>
    <hyperlink ref="C446" r:id="rId1431" display="https://auction.ikco.ir/auction/details/34?r=320" xr:uid="{D4B0F181-ECF5-4AB3-8655-8D736F90318C}"/>
    <hyperlink ref="D446" r:id="rId1432" display="https://auction.ikco.ir/auction/details/34?r=320" xr:uid="{50111E63-D6E0-42E1-A215-7CFB28F0E6D9}"/>
    <hyperlink ref="A547" r:id="rId1433" display="javascript:void(0)" xr:uid="{0FB50432-E153-42EC-BB94-666D816E56BF}"/>
    <hyperlink ref="C447" r:id="rId1434" display="https://auction.ikco.ir/auction/details/34?r=335" xr:uid="{09DCB5DF-52D7-4E8B-9671-203D111B8B61}"/>
    <hyperlink ref="D447" r:id="rId1435" display="https://auction.ikco.ir/auction/details/34?r=335" xr:uid="{B39F2241-B304-43CB-A882-7A5A4E995616}"/>
    <hyperlink ref="A548" r:id="rId1436" display="javascript:void(0)" xr:uid="{08E475B7-F0DD-443F-9B84-C9D9B76313BE}"/>
    <hyperlink ref="C448" r:id="rId1437" display="https://auction.ikco.ir/auction/details/34?r=356" xr:uid="{5E165CFB-202C-4723-91E0-42EAFEA760DE}"/>
    <hyperlink ref="D448" r:id="rId1438" display="https://auction.ikco.ir/auction/details/34?r=356" xr:uid="{849AE791-E8AD-4EDA-9EF5-AFB96A12C1EE}"/>
    <hyperlink ref="A549" r:id="rId1439" display="javascript:void(0)" xr:uid="{AB4861D2-C393-4EBC-8E92-F4D5E51A4979}"/>
    <hyperlink ref="C449" r:id="rId1440" display="https://auction.ikco.ir/auction/details/34?r=365" xr:uid="{024ED798-83CF-4AB8-9B05-899BB974F306}"/>
    <hyperlink ref="D449" r:id="rId1441" display="https://auction.ikco.ir/auction/details/34?r=365" xr:uid="{15E9F392-F1C2-49A1-AE7B-C1F9DEA4D406}"/>
    <hyperlink ref="A550" r:id="rId1442" display="javascript:void(0)" xr:uid="{CB90996B-CBCF-4EAA-9EE7-EA6F380C48E8}"/>
    <hyperlink ref="C450" r:id="rId1443" display="https://auction.ikco.ir/auction/details/34?r=379" xr:uid="{6DFFE034-6705-440F-AD16-EC76AD77A650}"/>
    <hyperlink ref="D450" r:id="rId1444" display="https://auction.ikco.ir/auction/details/34?r=379" xr:uid="{89FE1859-09DE-4057-878C-7D8D0A567929}"/>
    <hyperlink ref="A551" r:id="rId1445" display="javascript:void(0)" xr:uid="{52345FA6-0632-412D-8C25-B33E5412A9CB}"/>
    <hyperlink ref="C451" r:id="rId1446" display="https://auction.ikco.ir/auction/details/34?r=14" xr:uid="{AE389D49-C797-42BE-9158-076D75495DB4}"/>
    <hyperlink ref="D451" r:id="rId1447" display="https://auction.ikco.ir/auction/details/34?r=14" xr:uid="{C863107C-171E-42C6-85AD-86B271CE61BC}"/>
    <hyperlink ref="A552" r:id="rId1448" display="javascript:void(0)" xr:uid="{94A324EF-B470-4C8F-A4FF-77E37B23D813}"/>
    <hyperlink ref="C452" r:id="rId1449" display="https://auction.ikco.ir/auction/details/34?r=78" xr:uid="{E972042A-BC69-4E3C-A7C5-8ED8F4997948}"/>
    <hyperlink ref="D452" r:id="rId1450" display="https://auction.ikco.ir/auction/details/34?r=78" xr:uid="{F8459FF9-CE79-418B-9970-1A91ECEC35E2}"/>
    <hyperlink ref="A553" r:id="rId1451" display="javascript:void(0)" xr:uid="{79D571A7-AF3C-4904-B1F6-FF70F266D00E}"/>
    <hyperlink ref="C453" r:id="rId1452" display="https://auction.ikco.ir/auction/details/34?r=114" xr:uid="{093379DC-839C-4028-A71D-DD859B0FFE2F}"/>
    <hyperlink ref="D453" r:id="rId1453" display="https://auction.ikco.ir/auction/details/34?r=114" xr:uid="{509C5C39-F292-4FF9-A95A-C3C25C222A0A}"/>
    <hyperlink ref="A554" r:id="rId1454" display="javascript:void(0)" xr:uid="{B9F1574F-80BC-48A5-86B4-C70134CA7375}"/>
    <hyperlink ref="C454" r:id="rId1455" display="https://auction.ikco.ir/auction/details/34?r=118" xr:uid="{389EAAD7-63A4-4284-9B51-AF2DB8108E36}"/>
    <hyperlink ref="D454" r:id="rId1456" display="https://auction.ikco.ir/auction/details/34?r=118" xr:uid="{CA975AE5-5729-4533-A2B9-04DC9F2626AF}"/>
    <hyperlink ref="A555" r:id="rId1457" display="javascript:void(0)" xr:uid="{93640892-477D-42E1-977B-7F8A9EEF11B5}"/>
    <hyperlink ref="C455" r:id="rId1458" display="https://auction.ikco.ir/auction/details/34?r=210" xr:uid="{6890234E-8C88-4EFB-B4FB-4616076DBD1C}"/>
    <hyperlink ref="D455" r:id="rId1459" display="https://auction.ikco.ir/auction/details/34?r=210" xr:uid="{44CAB646-BE33-41E7-A2E7-636C2D7C04C0}"/>
    <hyperlink ref="A556" r:id="rId1460" display="javascript:void(0)" xr:uid="{EC396A20-34C8-44DA-B8B8-940DAA42C688}"/>
    <hyperlink ref="C456" r:id="rId1461" display="https://auction.ikco.ir/auction/details/34?r=285" xr:uid="{E498BDE1-08B4-42D0-A3C4-A202B253F792}"/>
    <hyperlink ref="D456" r:id="rId1462" display="https://auction.ikco.ir/auction/details/34?r=285" xr:uid="{D7F70DDD-5C25-4667-8899-F59A05A92881}"/>
    <hyperlink ref="A557" r:id="rId1463" display="javascript:void(0)" xr:uid="{6BE9E783-8E49-4008-9433-7284A44CCFC8}"/>
    <hyperlink ref="C457" r:id="rId1464" display="https://auction.ikco.ir/auction/details/34?r=344" xr:uid="{D39173F0-4936-435A-B83E-04E0AABDC0CA}"/>
    <hyperlink ref="D457" r:id="rId1465" display="https://auction.ikco.ir/auction/details/34?r=344" xr:uid="{7D8F1675-B33D-47AC-854D-E1226F07B6EC}"/>
    <hyperlink ref="A558" r:id="rId1466" display="javascript:void(0)" xr:uid="{A9BE466A-4627-48AF-8BBE-61DCA4D2F21E}"/>
    <hyperlink ref="C458" r:id="rId1467" display="https://auction.ikco.ir/auction/details/34?r=381" xr:uid="{63FBE9F8-9C0B-44D8-8654-298CA029A1F0}"/>
    <hyperlink ref="D458" r:id="rId1468" display="https://auction.ikco.ir/auction/details/34?r=381" xr:uid="{53F305F8-BAE8-4E8E-BC5B-D4161512E434}"/>
    <hyperlink ref="A559" r:id="rId1469" display="javascript:void(0)" xr:uid="{68AC5C72-D776-4CA1-B2C0-2A014DB583FC}"/>
    <hyperlink ref="C459" r:id="rId1470" display="https://auction.ikco.ir/auction/details/34?r=392" xr:uid="{F4596622-9DE0-44EE-B386-C7A8E56AD947}"/>
    <hyperlink ref="D459" r:id="rId1471" display="https://auction.ikco.ir/auction/details/34?r=392" xr:uid="{80EEC773-AE33-4F83-B746-48D9B65B5B32}"/>
    <hyperlink ref="A560" r:id="rId1472" display="javascript:void(0)" xr:uid="{CAF77F06-BF21-463B-986F-3156C1DF262A}"/>
    <hyperlink ref="C460" r:id="rId1473" display="https://auction.ikco.ir/auction/details/34?r=395" xr:uid="{73840E83-29F3-4EE4-93A6-14FABCACDF15}"/>
    <hyperlink ref="D460" r:id="rId1474" display="https://auction.ikco.ir/auction/details/34?r=395" xr:uid="{532BD085-523A-4649-9771-CF18AD050CCA}"/>
    <hyperlink ref="A561" r:id="rId1475" display="javascript:void(0)" xr:uid="{FC5F6126-085A-485E-972B-200D6F663D14}"/>
    <hyperlink ref="C461" r:id="rId1476" display="https://auction.ikco.ir/auction/details/34?r=484" xr:uid="{FD9FE7C6-63D5-4752-AA21-4F7BCADB882C}"/>
    <hyperlink ref="D461" r:id="rId1477" display="https://auction.ikco.ir/auction/details/34?r=484" xr:uid="{3F94B513-CF6B-475D-BD7F-3B3C49336670}"/>
    <hyperlink ref="A562" r:id="rId1478" display="javascript:void(0)" xr:uid="{CDBA1407-ADA1-441B-8773-B035C97D7A5E}"/>
    <hyperlink ref="C462" r:id="rId1479" display="https://auction.ikco.ir/auction/details/34?r=8" xr:uid="{0098353B-71AB-4C01-9F95-5630D505654D}"/>
    <hyperlink ref="D462" r:id="rId1480" display="https://auction.ikco.ir/auction/details/34?r=8" xr:uid="{52615E72-69FB-4B13-9707-E9D2C0E72811}"/>
    <hyperlink ref="A563" r:id="rId1481" display="javascript:void(0)" xr:uid="{71756752-255A-4F85-9218-E332E85CC83D}"/>
    <hyperlink ref="C463" r:id="rId1482" display="https://auction.ikco.ir/auction/details/34?r=43" xr:uid="{1DB22F05-3204-4E62-9D87-0C4ED6F60A7C}"/>
    <hyperlink ref="D463" r:id="rId1483" display="https://auction.ikco.ir/auction/details/34?r=43" xr:uid="{94B28665-A311-4253-885E-1000A7DDF664}"/>
    <hyperlink ref="A564" r:id="rId1484" display="javascript:void(0)" xr:uid="{43C1008E-A08E-478D-88C2-98474C45E672}"/>
    <hyperlink ref="C464" r:id="rId1485" display="https://auction.ikco.ir/auction/details/34?r=48" xr:uid="{ED70C06C-38AC-4F19-B213-3CFC9D2A49E0}"/>
    <hyperlink ref="D464" r:id="rId1486" display="https://auction.ikco.ir/auction/details/34?r=48" xr:uid="{CC7597C1-1E73-4F5D-9EE5-19C7E67DDBB6}"/>
    <hyperlink ref="A565" r:id="rId1487" display="javascript:void(0)" xr:uid="{908E1225-849F-433B-B93E-A4AD4809738F}"/>
    <hyperlink ref="C465" r:id="rId1488" display="https://auction.ikco.ir/auction/details/34?r=55" xr:uid="{66A4B7E1-EB3C-4B32-B31B-E7B793AE0697}"/>
    <hyperlink ref="D465" r:id="rId1489" display="https://auction.ikco.ir/auction/details/34?r=55" xr:uid="{880F2B3A-C820-45F8-9837-9BFFE7A351D9}"/>
    <hyperlink ref="A566" r:id="rId1490" display="javascript:void(0)" xr:uid="{2EE9862B-CF10-408A-9271-DF20557DEBCF}"/>
    <hyperlink ref="C466" r:id="rId1491" display="https://auction.ikco.ir/auction/details/34?r=58" xr:uid="{2415377D-1731-44B0-82A8-94D4C3F9ECA7}"/>
    <hyperlink ref="D466" r:id="rId1492" display="https://auction.ikco.ir/auction/details/34?r=58" xr:uid="{784713D8-E048-4F04-AC1D-3050FA4F8A11}"/>
    <hyperlink ref="A567" r:id="rId1493" display="javascript:void(0)" xr:uid="{DEDDA4A2-461B-4A8E-8C80-23D1DCF49D90}"/>
    <hyperlink ref="C467" r:id="rId1494" display="https://auction.ikco.ir/auction/details/34?r=94" xr:uid="{AA1A064A-6DD5-45F7-8033-A0BD09A733F8}"/>
    <hyperlink ref="D467" r:id="rId1495" display="https://auction.ikco.ir/auction/details/34?r=94" xr:uid="{E82179EC-7384-450D-9FA4-0A7FD9B966B9}"/>
    <hyperlink ref="A568" r:id="rId1496" display="javascript:void(0)" xr:uid="{8EF348BE-9931-4216-94A2-4B9998C132FE}"/>
    <hyperlink ref="C468" r:id="rId1497" display="https://auction.ikco.ir/auction/details/34?r=109" xr:uid="{B6EADB36-50C7-4B87-9B0C-727B6ED54016}"/>
    <hyperlink ref="D468" r:id="rId1498" display="https://auction.ikco.ir/auction/details/34?r=109" xr:uid="{554108C1-0E7D-47E3-A56F-D1543EC48342}"/>
    <hyperlink ref="A569" r:id="rId1499" display="javascript:void(0)" xr:uid="{40FFEF55-04F0-4A75-B6C7-2D6E22317C6C}"/>
    <hyperlink ref="C469" r:id="rId1500" display="https://auction.ikco.ir/auction/details/34?r=252" xr:uid="{C7AF8A91-4663-4FD7-968F-B872D9D5259E}"/>
    <hyperlink ref="D469" r:id="rId1501" display="https://auction.ikco.ir/auction/details/34?r=252" xr:uid="{102FAB25-45F5-406A-8C87-D867A975A59C}"/>
    <hyperlink ref="A570" r:id="rId1502" display="javascript:void(0)" xr:uid="{56B6708E-3EAE-4645-BAD8-1E3C63CD9617}"/>
    <hyperlink ref="C470" r:id="rId1503" display="https://auction.ikco.ir/auction/details/34?r=316" xr:uid="{248F5AE3-C181-4A0B-93E1-3A6952A7A424}"/>
    <hyperlink ref="D470" r:id="rId1504" display="https://auction.ikco.ir/auction/details/34?r=316" xr:uid="{2DC9B587-7D7D-4921-BEE6-7C4E55D33AB6}"/>
    <hyperlink ref="A571" r:id="rId1505" display="javascript:void(0)" xr:uid="{74B82661-081F-4652-B8B6-E5F8D34A66FA}"/>
    <hyperlink ref="C471" r:id="rId1506" display="https://auction.ikco.ir/auction/details/34?r=360" xr:uid="{093B0155-3C44-4523-8BC2-197D8CB25E14}"/>
    <hyperlink ref="D471" r:id="rId1507" display="https://auction.ikco.ir/auction/details/34?r=360" xr:uid="{20C8C175-9AD8-4DD7-9A6D-F9498E1BEDA5}"/>
    <hyperlink ref="A572" r:id="rId1508" display="javascript:void(0)" xr:uid="{5DCC4DEA-043B-4729-999C-3C70FD90A043}"/>
    <hyperlink ref="C472" r:id="rId1509" display="https://auction.ikco.ir/auction/details/34?r=367" xr:uid="{19B713D6-0CF6-4A87-979B-7C80935D2294}"/>
    <hyperlink ref="D472" r:id="rId1510" display="https://auction.ikco.ir/auction/details/34?r=367" xr:uid="{9BAF180F-C040-4030-B5FF-F0EA81544BDD}"/>
    <hyperlink ref="A573" r:id="rId1511" display="javascript:void(0)" xr:uid="{5677C98E-48B6-46D3-9A87-1A9EED6D5F33}"/>
    <hyperlink ref="C473" r:id="rId1512" display="https://auction.ikco.ir/auction/details/34?r=42" xr:uid="{587F5946-331E-44CC-9211-1486C905CFCE}"/>
    <hyperlink ref="D473" r:id="rId1513" display="https://auction.ikco.ir/auction/details/34?r=42" xr:uid="{CA1C6193-D771-4444-A435-C6364C781F70}"/>
    <hyperlink ref="A574" r:id="rId1514" display="javascript:void(0)" xr:uid="{823B810E-D664-4F8A-A7A5-A4DEFF5F7E42}"/>
    <hyperlink ref="C474" r:id="rId1515" display="https://auction.ikco.ir/auction/details/34?r=73" xr:uid="{C2FC7CA0-88B1-486F-8494-36F1CD630243}"/>
    <hyperlink ref="D474" r:id="rId1516" display="https://auction.ikco.ir/auction/details/34?r=73" xr:uid="{6345AE91-49CB-4757-8373-97EDA41FD754}"/>
    <hyperlink ref="A575" r:id="rId1517" display="javascript:void(0)" xr:uid="{6C8067B7-32DC-42CA-9BC3-83BBC7D8A01C}"/>
    <hyperlink ref="C475" r:id="rId1518" display="https://auction.ikco.ir/auction/details/34?r=77" xr:uid="{911D24E1-CAD9-426D-8DC6-1D7D1CC6F2C0}"/>
    <hyperlink ref="D475" r:id="rId1519" display="https://auction.ikco.ir/auction/details/34?r=77" xr:uid="{1E161C1C-6127-4CD7-ABEB-69ADB2F5190F}"/>
    <hyperlink ref="A576" r:id="rId1520" display="javascript:void(0)" xr:uid="{244174C5-719A-420B-BB7E-87DCA3B31A89}"/>
    <hyperlink ref="C476" r:id="rId1521" display="https://auction.ikco.ir/auction/details/34?r=166" xr:uid="{022939FB-4BC1-48C0-AC5C-2E731DEA8EED}"/>
    <hyperlink ref="D476" r:id="rId1522" display="https://auction.ikco.ir/auction/details/34?r=166" xr:uid="{10A5F5E1-0BF1-457A-8771-EFA5535F830F}"/>
    <hyperlink ref="A577" r:id="rId1523" display="javascript:void(0)" xr:uid="{96F4EDE7-C00D-4456-ACD5-6DDD45E4BB88}"/>
    <hyperlink ref="C477" r:id="rId1524" display="https://auction.ikco.ir/auction/details/34?r=171" xr:uid="{D7BF3D82-986C-4029-9EF1-45C030A6B7A6}"/>
    <hyperlink ref="D477" r:id="rId1525" display="https://auction.ikco.ir/auction/details/34?r=171" xr:uid="{EE2017A5-A2FA-45DD-A181-4B6F1D553E07}"/>
    <hyperlink ref="A578" r:id="rId1526" display="javascript:void(0)" xr:uid="{C118AA55-0289-4F22-952E-1CB21FFF22F3}"/>
    <hyperlink ref="C478" r:id="rId1527" display="https://auction.ikco.ir/auction/details/34?r=191" xr:uid="{B81C22E8-247D-47EF-9514-CD19E5CBB498}"/>
    <hyperlink ref="D478" r:id="rId1528" display="https://auction.ikco.ir/auction/details/34?r=191" xr:uid="{A95C2C6F-15BD-491F-AF4B-5BBAB4AE2B47}"/>
    <hyperlink ref="A579" r:id="rId1529" display="javascript:void(0)" xr:uid="{0823D7E6-4D88-4CC7-ADBC-333A539374B6}"/>
    <hyperlink ref="C479" r:id="rId1530" display="https://auction.ikco.ir/auction/details/34?r=259" xr:uid="{D5870F0B-80DA-4176-B815-32B91F137F29}"/>
    <hyperlink ref="D479" r:id="rId1531" display="https://auction.ikco.ir/auction/details/34?r=259" xr:uid="{75214244-0CA4-444D-AAAB-6AC2D78CFCF5}"/>
    <hyperlink ref="A580" r:id="rId1532" display="javascript:void(0)" xr:uid="{4A045914-6F2E-4B5F-91BE-F33FC52BD0A4}"/>
    <hyperlink ref="C480" r:id="rId1533" display="https://auction.ikco.ir/auction/details/34?r=274" xr:uid="{D87AC1C6-F2AD-4F48-91C6-8CACA22D1664}"/>
    <hyperlink ref="D480" r:id="rId1534" display="https://auction.ikco.ir/auction/details/34?r=274" xr:uid="{0DEC363C-0EE5-4261-848F-64CD0604CA30}"/>
    <hyperlink ref="A581" r:id="rId1535" display="javascript:void(0)" xr:uid="{FA689765-0CFD-47F7-974A-129CB6415A7C}"/>
    <hyperlink ref="C481" r:id="rId1536" display="https://auction.ikco.ir/auction/details/34?r=330" xr:uid="{2661DDA9-9173-469B-A770-982409F778CE}"/>
    <hyperlink ref="D481" r:id="rId1537" display="https://auction.ikco.ir/auction/details/34?r=330" xr:uid="{67C2A8B7-33EB-4568-9E68-3D22C16A9AC1}"/>
    <hyperlink ref="A582" r:id="rId1538" display="javascript:void(0)" xr:uid="{7D9B8ADC-A423-4B5B-ADB4-BC4380B4A48B}"/>
    <hyperlink ref="C482" r:id="rId1539" display="https://auction.ikco.ir/auction/details/34?r=342" xr:uid="{E1199D05-BE25-4096-9C18-EB25BAC824A5}"/>
    <hyperlink ref="D482" r:id="rId1540" display="https://auction.ikco.ir/auction/details/34?r=342" xr:uid="{B2A1EF74-0C94-4DB7-B074-9E1956C746C4}"/>
    <hyperlink ref="A583" r:id="rId1541" display="javascript:void(0)" xr:uid="{45E6127B-26FB-43DC-AF3E-554E5A784CC9}"/>
    <hyperlink ref="C483" r:id="rId1542" display="https://auction.ikco.ir/auction/details/34?r=364" xr:uid="{F4EF1C45-0842-4670-9B91-0A40C167D659}"/>
    <hyperlink ref="D483" r:id="rId1543" display="https://auction.ikco.ir/auction/details/34?r=364" xr:uid="{B796FEC7-D9A9-4297-995B-B409F23A37BB}"/>
    <hyperlink ref="A584" r:id="rId1544" display="javascript:void(0)" xr:uid="{5EBADA57-8006-4C62-B420-746D21FD33E5}"/>
    <hyperlink ref="C484" r:id="rId1545" display="https://auction.ikco.ir/auction/details/34?r=136" xr:uid="{A0B7E82F-054B-48B6-A52D-04B5B3370385}"/>
    <hyperlink ref="D484" r:id="rId1546" display="https://auction.ikco.ir/auction/details/34?r=136" xr:uid="{F1E0B6C9-D570-42A3-BABF-1BEDC98B1B6A}"/>
    <hyperlink ref="A585" r:id="rId1547" display="javascript:void(0)" xr:uid="{3CDE1E67-F6A0-499F-9A8F-8F639225F528}"/>
    <hyperlink ref="C485" r:id="rId1548" display="https://auction.ikco.ir/auction/details/34?r=167" xr:uid="{DD191E04-57CA-4BED-B65D-B2D3D12B41D7}"/>
    <hyperlink ref="D485" r:id="rId1549" display="https://auction.ikco.ir/auction/details/34?r=167" xr:uid="{239CC4DE-3C79-4429-B658-ED76431803F8}"/>
    <hyperlink ref="A586" r:id="rId1550" display="javascript:void(0)" xr:uid="{A7C9AD76-E461-41D1-B62F-9570602498E2}"/>
    <hyperlink ref="C486" r:id="rId1551" display="https://auction.ikco.ir/auction/details/34?r=170" xr:uid="{5EFF3581-5C86-4C24-8D67-29736B6D3F80}"/>
    <hyperlink ref="D486" r:id="rId1552" display="https://auction.ikco.ir/auction/details/34?r=170" xr:uid="{73DC1ED9-FCA4-4C9C-9C0C-011B0B9F3B99}"/>
    <hyperlink ref="A587" r:id="rId1553" display="javascript:void(0)" xr:uid="{24DCE508-7945-4FAA-B521-3452FE797BA2}"/>
    <hyperlink ref="C487" r:id="rId1554" display="https://auction.ikco.ir/auction/details/34?r=242" xr:uid="{97F56987-8767-4EE5-8A04-C3CCDC97D9DF}"/>
    <hyperlink ref="D487" r:id="rId1555" display="https://auction.ikco.ir/auction/details/34?r=242" xr:uid="{4BAD7E1C-08A3-485D-AD23-7CECC85AF9FE}"/>
    <hyperlink ref="A588" r:id="rId1556" display="javascript:void(0)" xr:uid="{4BE860E5-1229-4D16-865C-49EB5FC9DEDA}"/>
    <hyperlink ref="C488" r:id="rId1557" display="https://auction.ikco.ir/auction/details/34?r=254" xr:uid="{7C18FED9-9DEC-4A3B-B73E-CD8A9EAF17B1}"/>
    <hyperlink ref="D488" r:id="rId1558" display="https://auction.ikco.ir/auction/details/34?r=254" xr:uid="{32FE9F4A-7FCD-4450-B23D-01D8A1EF41D6}"/>
    <hyperlink ref="A589" r:id="rId1559" display="javascript:void(0)" xr:uid="{74AF2A93-5F54-43DB-B5B2-3BBA67777519}"/>
    <hyperlink ref="C489" r:id="rId1560" display="https://auction.ikco.ir/auction/details/34?r=264" xr:uid="{24BA3573-5157-46A8-BC5F-2668435DCB6B}"/>
    <hyperlink ref="D489" r:id="rId1561" display="https://auction.ikco.ir/auction/details/34?r=264" xr:uid="{BC7FAE5F-4B66-4181-88C9-D287F0B28360}"/>
    <hyperlink ref="A590" r:id="rId1562" display="javascript:void(0)" xr:uid="{E6C59CD4-0540-495E-9ED2-7985E27126CF}"/>
    <hyperlink ref="C490" r:id="rId1563" display="https://auction.ikco.ir/auction/details/34?r=307" xr:uid="{C0230215-43DF-4303-A013-90D4B95A8162}"/>
    <hyperlink ref="D490" r:id="rId1564" display="https://auction.ikco.ir/auction/details/34?r=307" xr:uid="{7973BEEE-AC74-44A6-827D-09D0D490460D}"/>
    <hyperlink ref="A591" r:id="rId1565" display="javascript:void(0)" xr:uid="{394446A3-340F-42C5-B163-9351A39DF2CE}"/>
    <hyperlink ref="C491" r:id="rId1566" display="https://auction.ikco.ir/auction/details/34?r=363" xr:uid="{F8A4BBBB-C9AC-4627-AA5E-9A2889942872}"/>
    <hyperlink ref="D491" r:id="rId1567" display="https://auction.ikco.ir/auction/details/34?r=363" xr:uid="{6733E644-1C76-4CC8-B05C-037BFC47066A}"/>
    <hyperlink ref="A592" r:id="rId1568" display="javascript:void(0)" xr:uid="{054D2756-A79F-46AC-B44B-B6E76B63C64A}"/>
    <hyperlink ref="C492" r:id="rId1569" display="https://auction.ikco.ir/auction/details/34?r=368" xr:uid="{9E886AFD-BCFD-41FF-B489-F9713848600F}"/>
    <hyperlink ref="D492" r:id="rId1570" display="https://auction.ikco.ir/auction/details/34?r=368" xr:uid="{D5E1BA34-372E-45C0-B9DE-95DE80038164}"/>
    <hyperlink ref="A593" r:id="rId1571" display="javascript:void(0)" xr:uid="{37668A51-B1D8-4DF5-94CD-0F59F7A06D35}"/>
    <hyperlink ref="C493" r:id="rId1572" display="https://auction.ikco.ir/auction/details/34?r=374" xr:uid="{6A327AF8-04F6-4DA3-90C5-4C8D81F553F2}"/>
    <hyperlink ref="D493" r:id="rId1573" display="https://auction.ikco.ir/auction/details/34?r=374" xr:uid="{94FB8B4A-39F1-4C0E-93DD-19C5B353CBE6}"/>
    <hyperlink ref="A594" r:id="rId1574" display="javascript:void(0)" xr:uid="{1A8B2F78-DD09-4CD9-8020-6395BF88ABE6}"/>
    <hyperlink ref="C494" r:id="rId1575" display="https://auction.ikco.ir/auction/details/34?r=406" xr:uid="{E0CB1BE5-1D1A-4EDF-BED3-B588AF628D65}"/>
    <hyperlink ref="D494" r:id="rId1576" display="https://auction.ikco.ir/auction/details/34?r=406" xr:uid="{5AB97B88-32D5-4EFA-BCDE-D9AD6D92AB57}"/>
    <hyperlink ref="A595" r:id="rId1577" display="javascript:void(0)" xr:uid="{3BD0A5B5-D046-42B9-A539-4BBC7C052129}"/>
    <hyperlink ref="C495" r:id="rId1578" display="https://auction.ikco.ir/auction/details/34?r=483" xr:uid="{DCC6BA07-22AF-4E43-9760-726A3EF63064}"/>
    <hyperlink ref="D495" r:id="rId1579" display="https://auction.ikco.ir/auction/details/34?r=483" xr:uid="{98BDCFD8-13ED-4CA9-AF60-0257F329C25B}"/>
    <hyperlink ref="A596" r:id="rId1580" display="javascript:void(0)" xr:uid="{A66A1ED0-636B-4B7D-A630-5EFF8BF28D01}"/>
    <hyperlink ref="C496" r:id="rId1581" display="https://auction.ikco.ir/auction/details/34?r=83" xr:uid="{68833BBD-CC9C-4E9F-B123-87BD562C7789}"/>
    <hyperlink ref="D496" r:id="rId1582" display="https://auction.ikco.ir/auction/details/34?r=83" xr:uid="{5B63D773-490C-4D56-B7EB-391B4DC565EA}"/>
    <hyperlink ref="A597" r:id="rId1583" display="javascript:void(0)" xr:uid="{1CC2A57B-6958-4975-A708-3A4D7323BD12}"/>
    <hyperlink ref="C497" r:id="rId1584" display="https://auction.ikco.ir/auction/details/34?r=175" xr:uid="{299CFB55-3B6D-46EA-96F0-717005CB9841}"/>
    <hyperlink ref="D497" r:id="rId1585" display="https://auction.ikco.ir/auction/details/34?r=175" xr:uid="{928BB3A4-D457-4D2D-9F9F-28D7899D87CE}"/>
    <hyperlink ref="A598" r:id="rId1586" display="javascript:void(0)" xr:uid="{389E1D44-D36B-41D5-AFA8-21E7357E8A05}"/>
    <hyperlink ref="C498" r:id="rId1587" display="https://auction.ikco.ir/auction/details/34?r=245" xr:uid="{D91FE990-750B-47B9-8BDC-DC97884F233A}"/>
    <hyperlink ref="D498" r:id="rId1588" display="https://auction.ikco.ir/auction/details/34?r=245" xr:uid="{3A761353-533A-48EB-8EE4-626CB2760C09}"/>
    <hyperlink ref="A599" r:id="rId1589" display="javascript:void(0)" xr:uid="{F805890E-255C-48DE-BDD2-C10AC835C43E}"/>
    <hyperlink ref="C499" r:id="rId1590" display="https://auction.ikco.ir/auction/details/34?r=331" xr:uid="{F29AEF19-1F6C-407C-A645-5D03EF2442D0}"/>
    <hyperlink ref="D499" r:id="rId1591" display="https://auction.ikco.ir/auction/details/34?r=331" xr:uid="{5EB750BF-432A-49AA-A148-D4A23D52E64C}"/>
    <hyperlink ref="A600" r:id="rId1592" display="javascript:void(0)" xr:uid="{748BA012-303C-406A-B293-E498DEFDFAE5}"/>
    <hyperlink ref="C500" r:id="rId1593" display="https://auction.ikco.ir/auction/details/34?r=236" xr:uid="{7EC2FD5F-92FF-4C53-B494-DE8474B05194}"/>
    <hyperlink ref="D500" r:id="rId1594" display="https://auction.ikco.ir/auction/details/34?r=236" xr:uid="{1EA2035B-3F56-4BB6-857D-664371109E72}"/>
    <hyperlink ref="C501" r:id="rId1595" display="https://auction.ikco.ir/auction/details/34?r=514" xr:uid="{D88227DA-E9A3-4DD0-896F-C657E094C08B}"/>
    <hyperlink ref="D501" r:id="rId1596" display="https://auction.ikco.ir/auction/details/34?r=514" xr:uid="{C363684C-0391-4952-9404-22F7378431A4}"/>
    <hyperlink ref="A602" r:id="rId1597" display="javascript:void(0)" xr:uid="{188E2B4C-E3DC-4ACA-B624-CF5CDD7C4646}"/>
    <hyperlink ref="C502" r:id="rId1598" display="https://auction.ikco.ir/auction/details/34?r=122" xr:uid="{92217A91-780F-43F9-AA9D-DA2F3BE0F4AB}"/>
    <hyperlink ref="D502" r:id="rId1599" display="https://auction.ikco.ir/auction/details/34?r=122" xr:uid="{C1A968A3-5A88-4E9D-B03F-52D5C5D6F262}"/>
    <hyperlink ref="A603" r:id="rId1600" display="javascript:void(0)" xr:uid="{6193B6FD-D436-464A-8AC7-13C49DC45B69}"/>
    <hyperlink ref="C503" r:id="rId1601" display="https://auction.ikco.ir/auction/details/34?r=168" xr:uid="{E9ADBCB7-37F5-4191-BB4A-79CE035155F8}"/>
    <hyperlink ref="D503" r:id="rId1602" display="https://auction.ikco.ir/auction/details/34?r=168" xr:uid="{0E5D2525-31D0-4DDA-82EB-BF58ACDAB3DA}"/>
    <hyperlink ref="A604" r:id="rId1603" display="javascript:void(0)" xr:uid="{BCCDCAF0-3586-4146-BA99-FD8AE762044D}"/>
    <hyperlink ref="C504" r:id="rId1604" display="https://auction.ikco.ir/auction/details/34?r=248" xr:uid="{6766086A-57AD-424E-B73A-82166A5C4528}"/>
    <hyperlink ref="D504" r:id="rId1605" display="https://auction.ikco.ir/auction/details/34?r=248" xr:uid="{94181824-1B61-427A-9F54-BB7788206E68}"/>
    <hyperlink ref="A605" r:id="rId1606" display="javascript:void(0)" xr:uid="{78D903F5-01CB-4F28-B0B6-4EA44AF32120}"/>
    <hyperlink ref="C505" r:id="rId1607" display="https://auction.ikco.ir/auction/details/34?r=269" xr:uid="{BBC5AE86-6D34-4939-9914-55334907152D}"/>
    <hyperlink ref="D505" r:id="rId1608" display="https://auction.ikco.ir/auction/details/34?r=269" xr:uid="{8DCA9052-EA1A-4FD4-B110-CF229187864D}"/>
    <hyperlink ref="A606" r:id="rId1609" display="javascript:void(0)" xr:uid="{BB880EDA-7A30-432B-B26B-330916C4BC24}"/>
    <hyperlink ref="C506" r:id="rId1610" display="https://auction.ikco.ir/auction/details/34?r=359" xr:uid="{4C7F767B-F92B-4462-A85B-5A5257E3AE59}"/>
    <hyperlink ref="D506" r:id="rId1611" display="https://auction.ikco.ir/auction/details/34?r=359" xr:uid="{98D35F40-1775-487F-8A36-15762AF77293}"/>
    <hyperlink ref="A607" r:id="rId1612" display="javascript:void(0)" xr:uid="{235ABFF2-61F0-4B1F-BB22-A35D0EFBC646}"/>
    <hyperlink ref="C507" r:id="rId1613" display="https://auction.ikco.ir/auction/details/34?r=241" xr:uid="{B5A607E1-DBF3-43D8-88B4-F44976A5358E}"/>
    <hyperlink ref="D507" r:id="rId1614" display="https://auction.ikco.ir/auction/details/34?r=241" xr:uid="{2B3634B5-F10C-4E94-A655-DC3317CF2BFE}"/>
    <hyperlink ref="A608" r:id="rId1615" display="javascript:void(0)" xr:uid="{1D13BA26-0B4D-498B-AB45-9ED488CCBDD1}"/>
    <hyperlink ref="C508" r:id="rId1616" display="https://auction.ikco.ir/auction/details/34?r=393" xr:uid="{045D394E-36E4-4053-84EF-DED17102F23F}"/>
    <hyperlink ref="D508" r:id="rId1617" display="https://auction.ikco.ir/auction/details/34?r=393" xr:uid="{8AD671C7-E778-4D6C-B746-7BB7D1981E04}"/>
    <hyperlink ref="A609" r:id="rId1618" display="javascript:void(0)" xr:uid="{2BCFA456-2948-488B-BDAF-DF018B942C0D}"/>
    <hyperlink ref="C509" r:id="rId1619" display="https://auction.ikco.ir/auction/details/34?r=263" xr:uid="{51067F3C-8E4D-4200-B07F-521CD2E6F4BC}"/>
    <hyperlink ref="D509" r:id="rId1620" display="https://auction.ikco.ir/auction/details/34?r=263" xr:uid="{89093AC8-3B7D-441F-A392-65AF08EF2E42}"/>
    <hyperlink ref="A610" r:id="rId1621" display="javascript:void(0)" xr:uid="{C5A27482-8383-4FD8-A1CD-AD4F1ADB11BA}"/>
    <hyperlink ref="C510" r:id="rId1622" display="https://auction.ikco.ir/auction/details/34?r=271" xr:uid="{80BF5A64-79E3-479D-AB7B-FDAC423ED8A0}"/>
    <hyperlink ref="D510" r:id="rId1623" display="https://auction.ikco.ir/auction/details/34?r=271" xr:uid="{A86C1E9F-83D4-4E95-AE91-BBD9778982C5}"/>
    <hyperlink ref="A611" r:id="rId1624" display="javascript:void(0)" xr:uid="{1220256E-ED79-4828-9664-50B4E335C52A}"/>
    <hyperlink ref="C511" r:id="rId1625" display="https://auction.ikco.ir/auction/details/34?r=427" xr:uid="{7461498A-DD29-4FBE-B889-284216199C70}"/>
    <hyperlink ref="D511" r:id="rId1626" display="https://auction.ikco.ir/auction/details/34?r=427" xr:uid="{7DBAFBE6-3233-458C-87AB-BCA4607879D0}"/>
    <hyperlink ref="A612" r:id="rId1627" display="javascript:void(0)" xr:uid="{11CF9146-7DF3-40DF-96D8-E983DBF623BB}"/>
    <hyperlink ref="C512" r:id="rId1628" display="https://auction.ikco.ir/auction/details/34?r=416" xr:uid="{88559BA6-69CD-4423-AA25-472A67C73FC7}"/>
    <hyperlink ref="D512" r:id="rId1629" display="https://auction.ikco.ir/auction/details/34?r=416" xr:uid="{78DF0BCC-5D66-4EB1-BA44-C5CE553E4502}"/>
    <hyperlink ref="A613" r:id="rId1630" display="javascript:void(0)" xr:uid="{3FC9FB46-52D4-4764-BFF4-F10C67929D89}"/>
    <hyperlink ref="C513" r:id="rId1631" display="https://auction.ikco.ir/auction/details/34?r=386" xr:uid="{A02F8E79-E9C6-4F44-AF2C-6F220067D156}"/>
    <hyperlink ref="D513" r:id="rId1632" display="https://auction.ikco.ir/auction/details/34?r=386" xr:uid="{83E835EB-88B9-4CF3-BA6A-699599030315}"/>
    <hyperlink ref="A614" r:id="rId1633" display="javascript:void(0)" xr:uid="{BAC73CE7-B3DD-4364-AAC1-C57433BA67C1}"/>
    <hyperlink ref="C514" r:id="rId1634" display="https://auction.ikco.ir/auction/details/34?r=380" xr:uid="{638D0178-3D61-4ACF-AE3E-6D56146CB9F2}"/>
    <hyperlink ref="D514" r:id="rId1635" display="https://auction.ikco.ir/auction/details/34?r=380" xr:uid="{61A07A94-D3FC-4B1C-BFF6-84AD0BC012E7}"/>
    <hyperlink ref="A615" r:id="rId1636" display="javascript:void(0)" xr:uid="{9A7C91F8-C4F5-4939-A4C7-0742184AC157}"/>
    <hyperlink ref="C515" r:id="rId1637" display="https://auction.ikco.ir/auction/details/34?r=428" xr:uid="{62DF8CD0-577F-4222-B2C0-A2DA16B7A293}"/>
    <hyperlink ref="D515" r:id="rId1638" display="https://auction.ikco.ir/auction/details/34?r=428" xr:uid="{64093AC7-2C78-4319-8541-68CCDBDF5C8B}"/>
    <hyperlink ref="A616" r:id="rId1639" display="javascript:void(0)" xr:uid="{B6B68BB1-1F75-4F47-A20F-25F08B3DB3C4}"/>
    <hyperlink ref="C516" r:id="rId1640" display="https://auction.ikco.ir/auction/details/34?r=454" xr:uid="{1D95CED4-2A06-49F5-BBB4-79EDA95E17EC}"/>
    <hyperlink ref="D516" r:id="rId1641" display="https://auction.ikco.ir/auction/details/34?r=454" xr:uid="{BB45C778-9338-435F-A995-8F36EB2A534D}"/>
    <hyperlink ref="A617" r:id="rId1642" display="javascript:void(0)" xr:uid="{BDE744E3-C6F4-48B3-915E-BD43E35DEEF1}"/>
    <hyperlink ref="C517" r:id="rId1643" display="https://auction.ikco.ir/auction/details/34?r=456" xr:uid="{E93C40B3-1BFE-477E-AD49-CEF966987B7B}"/>
    <hyperlink ref="D517" r:id="rId1644" display="https://auction.ikco.ir/auction/details/34?r=456" xr:uid="{930387C4-3A9D-48B9-9FA5-97E5BAED658E}"/>
    <hyperlink ref="A618" r:id="rId1645" display="javascript:void(0)" xr:uid="{661C23AC-1DF2-4816-B332-75182FE1C709}"/>
    <hyperlink ref="C518" r:id="rId1646" display="https://auction.ikco.ir/auction/details/34?r=165" xr:uid="{6284BA20-3B8C-4EE0-BD9B-445CD6B1D812}"/>
    <hyperlink ref="D518" r:id="rId1647" display="https://auction.ikco.ir/auction/details/34?r=165" xr:uid="{891795FD-FB7B-4786-89B6-308185E31572}"/>
    <hyperlink ref="A619" r:id="rId1648" display="javascript:void(0)" xr:uid="{C6F40D15-3657-4A7B-ACEF-7B34CCC03114}"/>
    <hyperlink ref="C519" r:id="rId1649" display="https://auction.ikco.ir/auction/details/34?r=194" xr:uid="{7A5BB775-E68C-4330-A3A9-36CEC0AD4080}"/>
    <hyperlink ref="D519" r:id="rId1650" display="https://auction.ikco.ir/auction/details/34?r=194" xr:uid="{B9D2B010-6FD5-41CA-A0E8-D688E48CF63C}"/>
    <hyperlink ref="A620" r:id="rId1651" display="javascript:void(0)" xr:uid="{DC0BD041-7D92-4325-815E-D86E3E273021}"/>
    <hyperlink ref="C520" r:id="rId1652" display="https://auction.ikco.ir/auction/details/34?r=391" xr:uid="{3D4C5A82-C8EA-404C-B52E-F351D5323571}"/>
    <hyperlink ref="D520" r:id="rId1653" display="https://auction.ikco.ir/auction/details/34?r=391" xr:uid="{26225074-3B5F-45EA-83E4-9FB26D11A58D}"/>
    <hyperlink ref="A621" r:id="rId1654" display="javascript:void(0)" xr:uid="{8A42C5A0-B941-4F79-AF75-F795E37978EB}"/>
    <hyperlink ref="C521" r:id="rId1655" display="https://auction.ikco.ir/auction/details/34?r=426" xr:uid="{E80D2F92-93C0-4327-BCC3-0540966855C1}"/>
    <hyperlink ref="D521" r:id="rId1656" display="https://auction.ikco.ir/auction/details/34?r=426" xr:uid="{29C29CC4-70E7-4FBB-94EC-C8DBAE9791A8}"/>
    <hyperlink ref="A622" r:id="rId1657" display="javascript:void(0)" xr:uid="{FF7250BF-3C51-429F-98B3-1BB2E7DD3752}"/>
    <hyperlink ref="C522" r:id="rId1658" display="https://auction.ikco.ir/auction/details/34?r=85" xr:uid="{92DDC07E-000B-4662-89C0-882AD3F572D7}"/>
    <hyperlink ref="D522" r:id="rId1659" display="https://auction.ikco.ir/auction/details/34?r=85" xr:uid="{A27F02C9-62C8-4590-A1D1-C78E1A2C5560}"/>
    <hyperlink ref="A623" r:id="rId1660" display="javascript:void(0)" xr:uid="{FCEE9DCC-FD7B-4483-827E-A0F9B2CB6491}"/>
    <hyperlink ref="C523" r:id="rId1661" display="https://auction.ikco.ir/auction/details/34?r=265" xr:uid="{C2A6B29A-B7A5-4081-AF7A-0ACAAE4E9390}"/>
    <hyperlink ref="D523" r:id="rId1662" display="https://auction.ikco.ir/auction/details/34?r=265" xr:uid="{CE0BD166-A25D-4767-A2DB-CE99CFEF0E43}"/>
    <hyperlink ref="A624" r:id="rId1663" display="javascript:void(0)" xr:uid="{C2651E92-BF7A-417E-82E6-DFFBC74AAFA1}"/>
    <hyperlink ref="C524" r:id="rId1664" display="https://auction.ikco.ir/auction/details/34?r=515" xr:uid="{BD1C9684-32C8-4A48-A10E-E593F7544029}"/>
    <hyperlink ref="D524" r:id="rId1665" display="https://auction.ikco.ir/auction/details/34?r=515" xr:uid="{5478C91E-661E-4E21-8A5A-D43B40F35F2D}"/>
    <hyperlink ref="A625" r:id="rId1666" display="javascript:void(0)" xr:uid="{091746C9-6361-4686-9883-2C50E5AD1162}"/>
    <hyperlink ref="C525" r:id="rId1667" display="https://auction.ikco.ir/auction/details/34?r=516" xr:uid="{03473804-0FB2-4F0D-969A-94E6035E7D50}"/>
    <hyperlink ref="D525" r:id="rId1668" display="https://auction.ikco.ir/auction/details/34?r=516" xr:uid="{F97FA7AC-C5FB-448C-99D4-ED16C97C8EBC}"/>
    <hyperlink ref="A626" r:id="rId1669" display="javascript:void(0)" xr:uid="{C2EED8E7-ECC6-432E-928D-BF63C9A8801A}"/>
    <hyperlink ref="C526" r:id="rId1670" display="https://auction.ikco.ir/auction/details/34?r=457" xr:uid="{F7E3F5F2-7CD8-4C6C-8F46-6609E4A43369}"/>
    <hyperlink ref="D526" r:id="rId1671" display="https://auction.ikco.ir/auction/details/34?r=457" xr:uid="{131AB44C-22CC-42E7-A509-CA33DC8649A5}"/>
    <hyperlink ref="A627" r:id="rId1672" display="javascript:void(0)" xr:uid="{BD5E7007-5C51-477E-B1E4-17CEAD5036FB}"/>
    <hyperlink ref="C527" r:id="rId1673" display="https://auction.ikco.ir/auction/details/34?r=425" xr:uid="{AEF3EE67-5A1B-4DE1-9925-E0A3941DC16B}"/>
    <hyperlink ref="D527" r:id="rId1674" display="https://auction.ikco.ir/auction/details/34?r=425" xr:uid="{756BFFAC-6DCD-4751-A4EF-CC51D82B17C3}"/>
    <hyperlink ref="A628" r:id="rId1675" display="javascript:void(0)" xr:uid="{1689771B-A6E9-4BCC-8B60-15D6528D69DD}"/>
    <hyperlink ref="C528" r:id="rId1676" display="https://auction.ikco.ir/auction/details/34?r=517" xr:uid="{5191D057-2B61-4E52-BAE8-CC243076A37B}"/>
    <hyperlink ref="D528" r:id="rId1677" display="https://auction.ikco.ir/auction/details/34?r=517" xr:uid="{B8B98220-5BDC-4047-B845-DB72286A739D}"/>
    <hyperlink ref="A629" r:id="rId1678" display="javascript:void(0)" xr:uid="{368A558F-48F5-4A62-96DB-DC75670B7E01}"/>
    <hyperlink ref="C529" r:id="rId1679" display="https://auction.ikco.ir/auction/details/34?r=481" xr:uid="{F1AFA35D-6720-4D77-8E74-99EC55A39725}"/>
    <hyperlink ref="D529" r:id="rId1680" display="https://auction.ikco.ir/auction/details/34?r=481" xr:uid="{ADD31DC4-F09C-493B-B994-63D196A2B5DE}"/>
    <hyperlink ref="A630" r:id="rId1681" display="javascript:void(0)" xr:uid="{5A488FE8-09A8-4C32-9F7C-E740559E02C8}"/>
    <hyperlink ref="C530" r:id="rId1682" display="https://auction.ikco.ir/auction/details/34?r=518" xr:uid="{5A106B9A-B3BF-40F5-8F7A-5C618DC60156}"/>
    <hyperlink ref="D530" r:id="rId1683" display="https://auction.ikco.ir/auction/details/34?r=518" xr:uid="{E351ACBF-141F-4CB5-87E4-F10F1C752BD2}"/>
    <hyperlink ref="A631" r:id="rId1684" display="javascript:void(0)" xr:uid="{EE928B59-4B1B-4E10-897D-2CCD519F2F38}"/>
    <hyperlink ref="C531" r:id="rId1685" display="https://auction.ikco.ir/auction/details/34?r=519" xr:uid="{04CA4356-1AE6-4301-8276-B76947ADA09A}"/>
    <hyperlink ref="D531" r:id="rId1686" display="https://auction.ikco.ir/auction/details/34?r=519" xr:uid="{574B0F97-4CF9-436B-8333-078233C73398}"/>
  </hyperlinks>
  <pageMargins left="0.7" right="0.7" top="0.75" bottom="0.75" header="0.3" footer="0.3"/>
  <pageSetup orientation="portrait" r:id="rId168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915-4CE9-43B6-B150-23527195AE2E}">
  <sheetPr codeName="Sheet2"/>
  <dimension ref="A3:D16"/>
  <sheetViews>
    <sheetView topLeftCell="C1" workbookViewId="0">
      <selection activeCell="M14" sqref="M14"/>
    </sheetView>
  </sheetViews>
  <sheetFormatPr defaultRowHeight="15" x14ac:dyDescent="0.25"/>
  <cols>
    <col min="1" max="1" width="20.5703125" bestFit="1" customWidth="1"/>
    <col min="2" max="2" width="16.28515625" bestFit="1" customWidth="1"/>
    <col min="3" max="3" width="15.42578125" bestFit="1" customWidth="1"/>
    <col min="4" max="4" width="22.85546875" bestFit="1" customWidth="1"/>
    <col min="5" max="5" width="11.28515625" bestFit="1" customWidth="1"/>
  </cols>
  <sheetData>
    <row r="3" spans="1:4" x14ac:dyDescent="0.25">
      <c r="A3" s="2" t="s">
        <v>784</v>
      </c>
      <c r="B3" s="2" t="s">
        <v>0</v>
      </c>
    </row>
    <row r="4" spans="1:4" x14ac:dyDescent="0.25">
      <c r="A4" s="2" t="s">
        <v>14</v>
      </c>
      <c r="B4" t="s">
        <v>785</v>
      </c>
      <c r="C4" t="s">
        <v>786</v>
      </c>
      <c r="D4" t="s">
        <v>787</v>
      </c>
    </row>
    <row r="5" spans="1:4" x14ac:dyDescent="0.25">
      <c r="A5" s="3" t="s">
        <v>788</v>
      </c>
    </row>
    <row r="6" spans="1:4" x14ac:dyDescent="0.25">
      <c r="A6" s="4" t="s">
        <v>789</v>
      </c>
      <c r="B6" s="5">
        <v>2.4701327696363681E-2</v>
      </c>
      <c r="C6" s="5">
        <v>1.0797342192691031</v>
      </c>
      <c r="D6" s="5">
        <v>0.35182679296346414</v>
      </c>
    </row>
    <row r="7" spans="1:4" x14ac:dyDescent="0.25">
      <c r="A7" s="4" t="s">
        <v>790</v>
      </c>
      <c r="B7" s="5">
        <v>3.7568584773046754E-2</v>
      </c>
      <c r="C7" s="5">
        <v>1</v>
      </c>
      <c r="D7" s="5">
        <v>0.40376850605652759</v>
      </c>
    </row>
    <row r="8" spans="1:4" x14ac:dyDescent="0.25">
      <c r="A8" s="4" t="s">
        <v>791</v>
      </c>
      <c r="B8" s="5">
        <v>1.2012012012012012E-2</v>
      </c>
      <c r="C8" s="5">
        <v>0.43612108773730118</v>
      </c>
      <c r="D8" s="5">
        <v>0.15887850467289719</v>
      </c>
    </row>
    <row r="9" spans="1:4" x14ac:dyDescent="0.25">
      <c r="A9" s="4" t="s">
        <v>792</v>
      </c>
      <c r="B9" s="5">
        <v>2.8177943714557431E-2</v>
      </c>
      <c r="C9" s="5">
        <v>1.0380622837370241</v>
      </c>
      <c r="D9" s="5">
        <v>0.36945812807881773</v>
      </c>
    </row>
    <row r="10" spans="1:4" x14ac:dyDescent="0.25">
      <c r="A10" s="4" t="s">
        <v>793</v>
      </c>
      <c r="B10" s="5">
        <v>3.961572744379519E-3</v>
      </c>
      <c r="C10" s="5">
        <v>0.16794625719769674</v>
      </c>
      <c r="D10" s="5">
        <v>3.7293553542887589E-2</v>
      </c>
    </row>
    <row r="11" spans="1:4" x14ac:dyDescent="0.25">
      <c r="A11" s="3" t="s">
        <v>794</v>
      </c>
      <c r="B11" s="5"/>
      <c r="C11" s="5"/>
      <c r="D11" s="5"/>
    </row>
    <row r="12" spans="1:4" x14ac:dyDescent="0.25">
      <c r="A12" s="4" t="s">
        <v>795</v>
      </c>
      <c r="B12" s="5">
        <v>1.8022036445063201E-3</v>
      </c>
      <c r="C12" s="5">
        <v>5.9238196789289731E-2</v>
      </c>
      <c r="D12" s="5">
        <v>2.6624068157614485E-2</v>
      </c>
    </row>
    <row r="13" spans="1:4" x14ac:dyDescent="0.25">
      <c r="A13" s="4" t="s">
        <v>796</v>
      </c>
      <c r="B13" s="5">
        <v>1.9750371759601768E-3</v>
      </c>
      <c r="C13" s="5">
        <v>5.8999370673379486E-2</v>
      </c>
      <c r="D13" s="5">
        <v>2.0733982998133942E-2</v>
      </c>
    </row>
    <row r="14" spans="1:4" x14ac:dyDescent="0.25">
      <c r="A14" s="4" t="s">
        <v>797</v>
      </c>
      <c r="B14" s="5">
        <v>2.1395252490723454E-3</v>
      </c>
      <c r="C14" s="5">
        <v>6.0654851836739195E-2</v>
      </c>
      <c r="D14" s="5">
        <v>1.73877305850181E-2</v>
      </c>
    </row>
    <row r="15" spans="1:4" x14ac:dyDescent="0.25">
      <c r="A15" s="4" t="s">
        <v>798</v>
      </c>
      <c r="B15" s="5">
        <v>1.0613450824233958E-3</v>
      </c>
      <c r="C15" s="5">
        <v>4.1884338303608146E-2</v>
      </c>
      <c r="D15" s="5">
        <v>9.556803249313104E-3</v>
      </c>
    </row>
    <row r="16" spans="1:4" x14ac:dyDescent="0.25">
      <c r="A16" s="4" t="s">
        <v>799</v>
      </c>
      <c r="B16" s="5">
        <v>1.5068609261543967E-3</v>
      </c>
      <c r="C16" s="5">
        <v>7.4688176861602812E-2</v>
      </c>
      <c r="D16" s="5">
        <v>2.8868360277136258E-2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B27D-2859-4718-8338-8FFF81381029}">
  <sheetPr codeName="Sheet5"/>
  <dimension ref="B1:I50"/>
  <sheetViews>
    <sheetView workbookViewId="0"/>
  </sheetViews>
  <sheetFormatPr defaultRowHeight="15" x14ac:dyDescent="0.25"/>
  <sheetData>
    <row r="1" spans="2:9" x14ac:dyDescent="0.25">
      <c r="B1">
        <v>407</v>
      </c>
      <c r="C1" t="s">
        <v>141</v>
      </c>
      <c r="D1" t="s">
        <v>82</v>
      </c>
      <c r="E1">
        <v>999999</v>
      </c>
      <c r="F1" s="6">
        <v>2000000000</v>
      </c>
      <c r="H1">
        <v>504</v>
      </c>
      <c r="I1" t="s">
        <v>853</v>
      </c>
    </row>
    <row r="2" spans="2:9" x14ac:dyDescent="0.25">
      <c r="B2">
        <v>411</v>
      </c>
      <c r="C2" t="s">
        <v>384</v>
      </c>
      <c r="D2" t="s">
        <v>82</v>
      </c>
      <c r="E2">
        <v>999999</v>
      </c>
      <c r="F2" s="6">
        <v>2300000000</v>
      </c>
      <c r="H2">
        <v>508</v>
      </c>
      <c r="I2" t="s">
        <v>854</v>
      </c>
    </row>
    <row r="3" spans="2:9" x14ac:dyDescent="0.25">
      <c r="B3">
        <v>413</v>
      </c>
      <c r="C3" t="s">
        <v>454</v>
      </c>
      <c r="D3" t="s">
        <v>453</v>
      </c>
      <c r="E3">
        <v>999999</v>
      </c>
      <c r="F3" s="6">
        <v>3000000000</v>
      </c>
      <c r="H3">
        <v>510</v>
      </c>
      <c r="I3" t="s">
        <v>855</v>
      </c>
    </row>
    <row r="4" spans="2:9" x14ac:dyDescent="0.25">
      <c r="B4">
        <v>431</v>
      </c>
      <c r="C4" t="s">
        <v>543</v>
      </c>
      <c r="D4" t="s">
        <v>469</v>
      </c>
      <c r="E4">
        <v>999999</v>
      </c>
      <c r="F4" s="6">
        <v>3600000000</v>
      </c>
      <c r="H4">
        <v>528</v>
      </c>
      <c r="I4" t="s">
        <v>856</v>
      </c>
    </row>
    <row r="5" spans="2:9" x14ac:dyDescent="0.25">
      <c r="B5">
        <v>469</v>
      </c>
      <c r="C5" t="s">
        <v>555</v>
      </c>
      <c r="D5" t="s">
        <v>467</v>
      </c>
      <c r="E5">
        <v>999999</v>
      </c>
      <c r="F5" s="6">
        <v>3750000000</v>
      </c>
      <c r="H5">
        <v>573</v>
      </c>
      <c r="I5" t="s">
        <v>857</v>
      </c>
    </row>
    <row r="6" spans="2:9" x14ac:dyDescent="0.25">
      <c r="B6">
        <v>510</v>
      </c>
      <c r="C6" t="s">
        <v>746</v>
      </c>
      <c r="D6" t="s">
        <v>735</v>
      </c>
      <c r="E6">
        <v>999999</v>
      </c>
      <c r="F6" s="6">
        <v>8150000000</v>
      </c>
      <c r="H6">
        <v>620</v>
      </c>
      <c r="I6" t="s">
        <v>858</v>
      </c>
    </row>
    <row r="7" spans="2:9" x14ac:dyDescent="0.25">
      <c r="B7">
        <v>528</v>
      </c>
      <c r="C7" t="s">
        <v>426</v>
      </c>
      <c r="D7" t="s">
        <v>425</v>
      </c>
      <c r="E7">
        <v>999999</v>
      </c>
      <c r="F7" s="6">
        <v>2650000000</v>
      </c>
      <c r="H7">
        <v>638</v>
      </c>
      <c r="I7" t="s">
        <v>859</v>
      </c>
    </row>
    <row r="8" spans="2:9" x14ac:dyDescent="0.25">
      <c r="B8">
        <v>479</v>
      </c>
      <c r="C8">
        <v>18901034</v>
      </c>
      <c r="D8" t="s">
        <v>88</v>
      </c>
      <c r="E8">
        <v>328695</v>
      </c>
      <c r="F8" s="6">
        <v>1000000000</v>
      </c>
      <c r="H8">
        <v>583</v>
      </c>
      <c r="I8" t="s">
        <v>860</v>
      </c>
    </row>
    <row r="9" spans="2:9" x14ac:dyDescent="0.25">
      <c r="B9">
        <v>480</v>
      </c>
      <c r="C9" t="s">
        <v>102</v>
      </c>
      <c r="D9" t="s">
        <v>807</v>
      </c>
      <c r="E9">
        <v>274640</v>
      </c>
      <c r="F9" s="6">
        <v>1580000000</v>
      </c>
      <c r="H9">
        <v>584</v>
      </c>
      <c r="I9" t="s">
        <v>861</v>
      </c>
    </row>
    <row r="10" spans="2:9" x14ac:dyDescent="0.25">
      <c r="B10">
        <v>522</v>
      </c>
      <c r="C10" t="s">
        <v>123</v>
      </c>
      <c r="D10" t="s">
        <v>847</v>
      </c>
      <c r="E10">
        <v>220151</v>
      </c>
      <c r="F10" s="6">
        <v>1750000000</v>
      </c>
      <c r="H10">
        <v>632</v>
      </c>
      <c r="I10" t="s">
        <v>862</v>
      </c>
    </row>
    <row r="11" spans="2:9" x14ac:dyDescent="0.25">
      <c r="B11">
        <v>529</v>
      </c>
      <c r="C11" t="s">
        <v>157</v>
      </c>
      <c r="D11" t="s">
        <v>156</v>
      </c>
      <c r="E11">
        <v>184940</v>
      </c>
      <c r="F11" s="6">
        <v>2030000000</v>
      </c>
      <c r="H11">
        <v>639</v>
      </c>
      <c r="I11" t="s">
        <v>863</v>
      </c>
    </row>
    <row r="12" spans="2:9" x14ac:dyDescent="0.25">
      <c r="B12">
        <v>521</v>
      </c>
      <c r="C12" t="s">
        <v>404</v>
      </c>
      <c r="D12" t="s">
        <v>403</v>
      </c>
      <c r="E12">
        <v>175907</v>
      </c>
      <c r="F12" s="6">
        <v>2500000000</v>
      </c>
      <c r="H12">
        <v>631</v>
      </c>
      <c r="I12" t="s">
        <v>864</v>
      </c>
    </row>
    <row r="13" spans="2:9" x14ac:dyDescent="0.25">
      <c r="B13">
        <v>527</v>
      </c>
      <c r="C13" t="s">
        <v>380</v>
      </c>
      <c r="D13" t="s">
        <v>379</v>
      </c>
      <c r="E13">
        <v>172025</v>
      </c>
      <c r="F13" s="6">
        <v>2200000000</v>
      </c>
      <c r="H13">
        <v>637</v>
      </c>
      <c r="I13" t="s">
        <v>865</v>
      </c>
    </row>
    <row r="14" spans="2:9" x14ac:dyDescent="0.25">
      <c r="B14">
        <v>531</v>
      </c>
      <c r="C14" t="s">
        <v>120</v>
      </c>
      <c r="D14" t="s">
        <v>119</v>
      </c>
      <c r="E14">
        <v>165265</v>
      </c>
      <c r="F14" s="6">
        <v>1700000000</v>
      </c>
      <c r="H14">
        <v>641</v>
      </c>
      <c r="I14" t="s">
        <v>866</v>
      </c>
    </row>
    <row r="15" spans="2:9" x14ac:dyDescent="0.25">
      <c r="B15">
        <v>525</v>
      </c>
      <c r="C15" t="s">
        <v>108</v>
      </c>
      <c r="D15" t="s">
        <v>107</v>
      </c>
      <c r="E15">
        <v>153981</v>
      </c>
      <c r="F15" s="6">
        <v>1550000000</v>
      </c>
      <c r="H15">
        <v>635</v>
      </c>
      <c r="I15" t="s">
        <v>867</v>
      </c>
    </row>
    <row r="16" spans="2:9" x14ac:dyDescent="0.25">
      <c r="B16">
        <v>524</v>
      </c>
      <c r="C16" t="s">
        <v>148</v>
      </c>
      <c r="D16" t="s">
        <v>147</v>
      </c>
      <c r="E16">
        <v>151291</v>
      </c>
      <c r="F16" s="6">
        <v>2000000000</v>
      </c>
      <c r="H16">
        <v>634</v>
      </c>
      <c r="I16" t="s">
        <v>868</v>
      </c>
    </row>
    <row r="17" spans="2:9" x14ac:dyDescent="0.25">
      <c r="B17">
        <v>526</v>
      </c>
      <c r="C17" t="s">
        <v>106</v>
      </c>
      <c r="D17" t="s">
        <v>105</v>
      </c>
      <c r="E17">
        <v>134556</v>
      </c>
      <c r="F17" s="6">
        <v>1500000000</v>
      </c>
      <c r="H17">
        <v>636</v>
      </c>
      <c r="I17" t="s">
        <v>869</v>
      </c>
    </row>
    <row r="18" spans="2:9" x14ac:dyDescent="0.25">
      <c r="B18">
        <v>474</v>
      </c>
      <c r="C18">
        <v>82901531</v>
      </c>
      <c r="D18" t="s">
        <v>68</v>
      </c>
      <c r="E18">
        <v>131923</v>
      </c>
      <c r="F18" s="6">
        <v>400000000</v>
      </c>
      <c r="H18">
        <v>578</v>
      </c>
      <c r="I18" t="s">
        <v>870</v>
      </c>
    </row>
    <row r="19" spans="2:9" x14ac:dyDescent="0.25">
      <c r="B19">
        <v>530</v>
      </c>
      <c r="C19" t="s">
        <v>91</v>
      </c>
      <c r="D19" t="s">
        <v>848</v>
      </c>
      <c r="E19">
        <v>100076</v>
      </c>
      <c r="F19" s="6">
        <v>1050000000</v>
      </c>
      <c r="H19">
        <v>640</v>
      </c>
      <c r="I19" t="s">
        <v>871</v>
      </c>
    </row>
    <row r="20" spans="2:9" x14ac:dyDescent="0.25">
      <c r="B20">
        <v>478</v>
      </c>
      <c r="C20" t="s">
        <v>99</v>
      </c>
      <c r="D20" t="s">
        <v>849</v>
      </c>
      <c r="E20">
        <v>89164</v>
      </c>
      <c r="F20" s="6">
        <v>1300000000</v>
      </c>
      <c r="H20">
        <v>582</v>
      </c>
      <c r="I20" t="s">
        <v>872</v>
      </c>
    </row>
    <row r="21" spans="2:9" x14ac:dyDescent="0.25">
      <c r="B21">
        <v>523</v>
      </c>
      <c r="C21" t="s">
        <v>96</v>
      </c>
      <c r="D21" t="s">
        <v>95</v>
      </c>
      <c r="E21">
        <v>82532</v>
      </c>
      <c r="F21" s="6">
        <v>1100000000</v>
      </c>
      <c r="H21">
        <v>633</v>
      </c>
      <c r="I21" t="s">
        <v>873</v>
      </c>
    </row>
    <row r="22" spans="2:9" x14ac:dyDescent="0.25">
      <c r="B22">
        <v>451</v>
      </c>
      <c r="C22" t="s">
        <v>73</v>
      </c>
      <c r="D22" t="s">
        <v>850</v>
      </c>
      <c r="E22">
        <v>74102</v>
      </c>
      <c r="F22" s="6">
        <v>500000000</v>
      </c>
      <c r="H22">
        <v>555</v>
      </c>
      <c r="I22" t="s">
        <v>874</v>
      </c>
    </row>
    <row r="23" spans="2:9" x14ac:dyDescent="0.25">
      <c r="B23">
        <v>442</v>
      </c>
      <c r="C23" t="s">
        <v>636</v>
      </c>
      <c r="D23" t="s">
        <v>635</v>
      </c>
      <c r="E23">
        <v>73894</v>
      </c>
      <c r="F23" s="6">
        <v>4250000000</v>
      </c>
      <c r="H23">
        <v>539</v>
      </c>
      <c r="I23" t="s">
        <v>875</v>
      </c>
    </row>
    <row r="24" spans="2:9" x14ac:dyDescent="0.25">
      <c r="B24">
        <v>477</v>
      </c>
      <c r="C24" t="s">
        <v>111</v>
      </c>
      <c r="D24" t="s">
        <v>110</v>
      </c>
      <c r="E24">
        <v>60760</v>
      </c>
      <c r="F24" s="6">
        <v>1600000000</v>
      </c>
      <c r="H24">
        <v>581</v>
      </c>
      <c r="I24" t="s">
        <v>876</v>
      </c>
    </row>
    <row r="25" spans="2:9" x14ac:dyDescent="0.25">
      <c r="B25">
        <v>438</v>
      </c>
      <c r="C25" t="s">
        <v>634</v>
      </c>
      <c r="D25" t="s">
        <v>469</v>
      </c>
      <c r="E25">
        <v>59210</v>
      </c>
      <c r="F25" s="6">
        <v>4250000000</v>
      </c>
      <c r="H25">
        <v>535</v>
      </c>
      <c r="I25" t="s">
        <v>877</v>
      </c>
    </row>
    <row r="26" spans="2:9" x14ac:dyDescent="0.25">
      <c r="B26">
        <v>444</v>
      </c>
      <c r="C26" t="s">
        <v>642</v>
      </c>
      <c r="D26" t="s">
        <v>469</v>
      </c>
      <c r="E26">
        <v>55745</v>
      </c>
      <c r="F26" s="6">
        <v>4300000000</v>
      </c>
      <c r="H26">
        <v>541</v>
      </c>
      <c r="I26" t="s">
        <v>878</v>
      </c>
    </row>
    <row r="27" spans="2:9" x14ac:dyDescent="0.25">
      <c r="B27">
        <v>418</v>
      </c>
      <c r="C27" t="s">
        <v>445</v>
      </c>
      <c r="D27" t="s">
        <v>444</v>
      </c>
      <c r="E27">
        <v>53719</v>
      </c>
      <c r="F27" s="6">
        <v>2900000000</v>
      </c>
      <c r="H27">
        <v>515</v>
      </c>
      <c r="I27" t="s">
        <v>879</v>
      </c>
    </row>
    <row r="28" spans="2:9" x14ac:dyDescent="0.25">
      <c r="B28">
        <v>452</v>
      </c>
      <c r="C28" t="s">
        <v>86</v>
      </c>
      <c r="D28" t="s">
        <v>85</v>
      </c>
      <c r="E28">
        <v>53198</v>
      </c>
      <c r="F28" s="6">
        <v>900000000</v>
      </c>
      <c r="H28">
        <v>556</v>
      </c>
      <c r="I28" t="s">
        <v>880</v>
      </c>
    </row>
    <row r="29" spans="2:9" x14ac:dyDescent="0.25">
      <c r="B29">
        <v>432</v>
      </c>
      <c r="C29" t="s">
        <v>643</v>
      </c>
      <c r="D29" t="s">
        <v>469</v>
      </c>
      <c r="E29">
        <v>52770</v>
      </c>
      <c r="F29" s="6">
        <v>4350000000</v>
      </c>
      <c r="H29">
        <v>529</v>
      </c>
      <c r="I29" t="s">
        <v>881</v>
      </c>
    </row>
    <row r="30" spans="2:9" x14ac:dyDescent="0.25">
      <c r="B30">
        <v>476</v>
      </c>
      <c r="C30">
        <v>31003309</v>
      </c>
      <c r="D30" t="s">
        <v>781</v>
      </c>
      <c r="E30">
        <v>47764</v>
      </c>
      <c r="F30" s="6">
        <v>450000000</v>
      </c>
      <c r="H30">
        <v>580</v>
      </c>
      <c r="I30" t="s">
        <v>882</v>
      </c>
    </row>
    <row r="31" spans="2:9" x14ac:dyDescent="0.25">
      <c r="B31">
        <v>430</v>
      </c>
      <c r="C31" t="s">
        <v>424</v>
      </c>
      <c r="D31" t="s">
        <v>411</v>
      </c>
      <c r="E31">
        <v>42307</v>
      </c>
      <c r="F31" s="6">
        <v>3550000000</v>
      </c>
      <c r="H31">
        <v>527</v>
      </c>
      <c r="I31" t="s">
        <v>883</v>
      </c>
    </row>
    <row r="32" spans="2:9" x14ac:dyDescent="0.25">
      <c r="B32">
        <v>433</v>
      </c>
      <c r="C32" t="s">
        <v>632</v>
      </c>
      <c r="D32" t="s">
        <v>466</v>
      </c>
      <c r="E32">
        <v>41452</v>
      </c>
      <c r="F32" s="6">
        <v>4250000000</v>
      </c>
      <c r="H32">
        <v>530</v>
      </c>
      <c r="I32" t="s">
        <v>884</v>
      </c>
    </row>
    <row r="33" spans="2:9" x14ac:dyDescent="0.25">
      <c r="B33">
        <v>462</v>
      </c>
      <c r="C33" t="s">
        <v>431</v>
      </c>
      <c r="D33" t="s">
        <v>430</v>
      </c>
      <c r="E33">
        <v>39810</v>
      </c>
      <c r="F33" s="6">
        <v>2700000000</v>
      </c>
      <c r="H33">
        <v>566</v>
      </c>
      <c r="I33" t="s">
        <v>885</v>
      </c>
    </row>
    <row r="34" spans="2:9" x14ac:dyDescent="0.25">
      <c r="B34">
        <v>435</v>
      </c>
      <c r="C34" t="s">
        <v>633</v>
      </c>
      <c r="D34" t="s">
        <v>469</v>
      </c>
      <c r="E34">
        <v>39806</v>
      </c>
      <c r="F34" s="6">
        <v>4250000000</v>
      </c>
      <c r="H34">
        <v>532</v>
      </c>
      <c r="I34" t="s">
        <v>886</v>
      </c>
    </row>
    <row r="35" spans="2:9" x14ac:dyDescent="0.25">
      <c r="B35">
        <v>491</v>
      </c>
      <c r="C35" t="s">
        <v>439</v>
      </c>
      <c r="D35" t="s">
        <v>116</v>
      </c>
      <c r="E35">
        <v>38595</v>
      </c>
      <c r="F35" s="6">
        <v>2750000000</v>
      </c>
      <c r="H35">
        <v>595</v>
      </c>
      <c r="I35" t="s">
        <v>887</v>
      </c>
    </row>
    <row r="36" spans="2:9" x14ac:dyDescent="0.25">
      <c r="B36">
        <v>440</v>
      </c>
      <c r="C36" t="s">
        <v>624</v>
      </c>
      <c r="D36" t="s">
        <v>463</v>
      </c>
      <c r="E36">
        <v>38339</v>
      </c>
      <c r="F36" s="6">
        <v>4200000000</v>
      </c>
      <c r="H36">
        <v>537</v>
      </c>
      <c r="I36" t="s">
        <v>888</v>
      </c>
    </row>
    <row r="37" spans="2:9" x14ac:dyDescent="0.25">
      <c r="B37">
        <v>492</v>
      </c>
      <c r="C37" t="s">
        <v>93</v>
      </c>
      <c r="D37" t="s">
        <v>92</v>
      </c>
      <c r="E37">
        <v>37102</v>
      </c>
      <c r="F37" s="6">
        <v>1100000000</v>
      </c>
      <c r="H37">
        <v>602</v>
      </c>
      <c r="I37" t="s">
        <v>889</v>
      </c>
    </row>
    <row r="38" spans="2:9" x14ac:dyDescent="0.25">
      <c r="B38">
        <v>429</v>
      </c>
      <c r="C38" t="s">
        <v>493</v>
      </c>
      <c r="D38" t="s">
        <v>492</v>
      </c>
      <c r="E38">
        <v>34956</v>
      </c>
      <c r="F38" s="6">
        <v>3400000000</v>
      </c>
      <c r="H38">
        <v>526</v>
      </c>
      <c r="I38" t="s">
        <v>890</v>
      </c>
    </row>
    <row r="39" spans="2:9" x14ac:dyDescent="0.25">
      <c r="B39">
        <v>410</v>
      </c>
      <c r="C39" t="s">
        <v>489</v>
      </c>
      <c r="D39" t="s">
        <v>82</v>
      </c>
      <c r="E39">
        <v>33851</v>
      </c>
      <c r="F39" s="6">
        <v>3400000000</v>
      </c>
      <c r="H39">
        <v>507</v>
      </c>
      <c r="I39" t="s">
        <v>891</v>
      </c>
    </row>
    <row r="40" spans="2:9" x14ac:dyDescent="0.25">
      <c r="B40">
        <v>412</v>
      </c>
      <c r="C40" t="s">
        <v>482</v>
      </c>
      <c r="D40" t="s">
        <v>456</v>
      </c>
      <c r="E40">
        <v>33351</v>
      </c>
      <c r="F40" s="6">
        <v>3350000000</v>
      </c>
      <c r="H40">
        <v>509</v>
      </c>
      <c r="I40" t="s">
        <v>892</v>
      </c>
    </row>
    <row r="41" spans="2:9" x14ac:dyDescent="0.25">
      <c r="B41">
        <v>475</v>
      </c>
      <c r="C41" t="s">
        <v>76</v>
      </c>
      <c r="D41" t="s">
        <v>75</v>
      </c>
      <c r="E41">
        <v>33278</v>
      </c>
      <c r="F41" s="6">
        <v>500000000</v>
      </c>
      <c r="H41">
        <v>579</v>
      </c>
      <c r="I41" t="s">
        <v>893</v>
      </c>
    </row>
    <row r="42" spans="2:9" x14ac:dyDescent="0.25">
      <c r="B42">
        <v>453</v>
      </c>
      <c r="C42" t="s">
        <v>378</v>
      </c>
      <c r="D42" t="s">
        <v>377</v>
      </c>
      <c r="E42">
        <v>30348</v>
      </c>
      <c r="F42" s="6">
        <v>2200000000</v>
      </c>
      <c r="H42">
        <v>557</v>
      </c>
      <c r="I42" t="s">
        <v>894</v>
      </c>
    </row>
    <row r="43" spans="2:9" x14ac:dyDescent="0.25">
      <c r="B43">
        <v>473</v>
      </c>
      <c r="C43" t="s">
        <v>78</v>
      </c>
      <c r="D43" t="s">
        <v>77</v>
      </c>
      <c r="E43">
        <v>29814</v>
      </c>
      <c r="F43" s="6">
        <v>600000000</v>
      </c>
      <c r="H43">
        <v>577</v>
      </c>
      <c r="I43" t="s">
        <v>895</v>
      </c>
    </row>
    <row r="44" spans="2:9" x14ac:dyDescent="0.25">
      <c r="B44">
        <v>439</v>
      </c>
      <c r="C44" t="s">
        <v>641</v>
      </c>
      <c r="D44" t="s">
        <v>466</v>
      </c>
      <c r="E44">
        <v>28250</v>
      </c>
      <c r="F44" s="6">
        <v>4300000000</v>
      </c>
      <c r="H44">
        <v>536</v>
      </c>
      <c r="I44" t="s">
        <v>896</v>
      </c>
    </row>
    <row r="45" spans="2:9" x14ac:dyDescent="0.25">
      <c r="B45">
        <v>408</v>
      </c>
      <c r="C45" t="s">
        <v>513</v>
      </c>
      <c r="D45" t="s">
        <v>82</v>
      </c>
      <c r="E45">
        <v>26562</v>
      </c>
      <c r="F45" s="6">
        <v>3500000000</v>
      </c>
      <c r="H45">
        <v>505</v>
      </c>
      <c r="I45" t="s">
        <v>851</v>
      </c>
    </row>
    <row r="46" spans="2:9" x14ac:dyDescent="0.25">
      <c r="B46">
        <v>421</v>
      </c>
      <c r="C46" t="s">
        <v>533</v>
      </c>
      <c r="D46" t="s">
        <v>532</v>
      </c>
      <c r="E46">
        <v>18843</v>
      </c>
      <c r="F46" s="6">
        <v>3550000000</v>
      </c>
      <c r="H46">
        <v>518</v>
      </c>
      <c r="I46" t="s">
        <v>897</v>
      </c>
    </row>
    <row r="47" spans="2:9" x14ac:dyDescent="0.25">
      <c r="B47">
        <v>472</v>
      </c>
      <c r="C47" t="s">
        <v>80</v>
      </c>
      <c r="D47" t="s">
        <v>79</v>
      </c>
      <c r="E47">
        <v>18474</v>
      </c>
      <c r="F47" s="6">
        <v>650000000</v>
      </c>
      <c r="H47">
        <v>576</v>
      </c>
      <c r="I47" t="s">
        <v>898</v>
      </c>
    </row>
    <row r="48" spans="2:9" x14ac:dyDescent="0.25">
      <c r="B48">
        <v>445</v>
      </c>
      <c r="C48" t="s">
        <v>637</v>
      </c>
      <c r="D48" t="s">
        <v>466</v>
      </c>
      <c r="E48">
        <v>17749</v>
      </c>
      <c r="F48" s="6">
        <v>4250000000</v>
      </c>
      <c r="H48">
        <v>542</v>
      </c>
      <c r="I48" t="s">
        <v>899</v>
      </c>
    </row>
    <row r="49" spans="2:9" x14ac:dyDescent="0.25">
      <c r="B49">
        <v>446</v>
      </c>
      <c r="C49" t="s">
        <v>644</v>
      </c>
      <c r="D49" t="s">
        <v>469</v>
      </c>
      <c r="E49">
        <v>16444</v>
      </c>
      <c r="F49" s="6">
        <v>4350000000</v>
      </c>
      <c r="H49">
        <v>543</v>
      </c>
      <c r="I49" t="s">
        <v>900</v>
      </c>
    </row>
    <row r="50" spans="2:9" x14ac:dyDescent="0.25">
      <c r="B50">
        <v>513</v>
      </c>
      <c r="C50" t="s">
        <v>749</v>
      </c>
      <c r="D50" t="s">
        <v>741</v>
      </c>
      <c r="E50">
        <v>16202</v>
      </c>
      <c r="F50" s="6">
        <v>8500000000</v>
      </c>
      <c r="H50">
        <v>623</v>
      </c>
      <c r="I50" t="s">
        <v>901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C994-5341-4F70-8BA1-F77C67646FAB}">
  <sheetPr codeName="Sheet6"/>
  <dimension ref="A1:F50"/>
  <sheetViews>
    <sheetView topLeftCell="A24" workbookViewId="0">
      <selection activeCell="A25" sqref="A25"/>
    </sheetView>
  </sheetViews>
  <sheetFormatPr defaultRowHeight="15" x14ac:dyDescent="0.25"/>
  <cols>
    <col min="1" max="1" width="15.5703125" bestFit="1" customWidth="1"/>
    <col min="2" max="9" width="49.7109375" customWidth="1"/>
  </cols>
  <sheetData>
    <row r="1" spans="1:6" x14ac:dyDescent="0.25">
      <c r="A1" s="15" t="s">
        <v>50</v>
      </c>
      <c r="B1" t="s">
        <v>82</v>
      </c>
      <c r="F1" s="6"/>
    </row>
    <row r="2" spans="1:6" x14ac:dyDescent="0.25">
      <c r="A2" s="19" t="s">
        <v>436</v>
      </c>
      <c r="B2" t="s">
        <v>141</v>
      </c>
      <c r="F2" s="6"/>
    </row>
    <row r="3" spans="1:6" x14ac:dyDescent="0.25">
      <c r="A3" s="19" t="s">
        <v>67</v>
      </c>
      <c r="B3">
        <v>285</v>
      </c>
      <c r="F3" s="6"/>
    </row>
    <row r="4" spans="1:6" x14ac:dyDescent="0.25">
      <c r="A4" s="19" t="s">
        <v>757</v>
      </c>
      <c r="B4" t="s">
        <v>59</v>
      </c>
      <c r="F4" s="6"/>
    </row>
    <row r="5" spans="1:6" x14ac:dyDescent="0.25">
      <c r="A5" s="19" t="s">
        <v>89</v>
      </c>
      <c r="B5" t="s">
        <v>60</v>
      </c>
      <c r="F5" s="6"/>
    </row>
    <row r="6" spans="1:6" x14ac:dyDescent="0.25">
      <c r="A6" s="19" t="s">
        <v>103</v>
      </c>
      <c r="B6" t="s">
        <v>83</v>
      </c>
      <c r="F6" s="6"/>
    </row>
    <row r="7" spans="1:6" x14ac:dyDescent="0.25">
      <c r="A7" s="19" t="s">
        <v>118</v>
      </c>
      <c r="B7" t="s">
        <v>87</v>
      </c>
      <c r="F7" s="6"/>
    </row>
    <row r="8" spans="1:6" x14ac:dyDescent="0.25">
      <c r="A8" s="19" t="s">
        <v>381</v>
      </c>
      <c r="B8">
        <v>999999</v>
      </c>
      <c r="F8" s="6"/>
    </row>
    <row r="9" spans="1:6" x14ac:dyDescent="0.25">
      <c r="A9" s="19" t="s">
        <v>560</v>
      </c>
      <c r="B9">
        <v>1399</v>
      </c>
      <c r="F9" s="6"/>
    </row>
    <row r="10" spans="1:6" x14ac:dyDescent="0.25">
      <c r="A10" s="19" t="s">
        <v>766</v>
      </c>
      <c r="B10" t="s">
        <v>142</v>
      </c>
      <c r="F10" s="6"/>
    </row>
    <row r="11" spans="1:6" x14ac:dyDescent="0.25">
      <c r="A11" s="19" t="s">
        <v>448</v>
      </c>
      <c r="B11" t="s">
        <v>143</v>
      </c>
      <c r="F11" s="6"/>
    </row>
    <row r="12" spans="1:6" x14ac:dyDescent="0.25">
      <c r="A12" s="19" t="s">
        <v>74</v>
      </c>
      <c r="B12" t="s">
        <v>144</v>
      </c>
      <c r="F12" s="6"/>
    </row>
    <row r="13" spans="1:6" x14ac:dyDescent="0.25">
      <c r="A13" s="19" t="s">
        <v>100</v>
      </c>
      <c r="B13" t="s">
        <v>84</v>
      </c>
      <c r="F13" s="6"/>
    </row>
    <row r="14" spans="1:6" x14ac:dyDescent="0.25">
      <c r="A14" s="19" t="s">
        <v>81</v>
      </c>
      <c r="B14">
        <v>28520</v>
      </c>
      <c r="F14" s="6"/>
    </row>
    <row r="15" spans="1:6" x14ac:dyDescent="0.25">
      <c r="A15" s="19" t="s">
        <v>70</v>
      </c>
      <c r="B15" t="s">
        <v>62</v>
      </c>
      <c r="F15" s="6"/>
    </row>
    <row r="16" spans="1:6" x14ac:dyDescent="0.25">
      <c r="A16" s="19" t="s">
        <v>130</v>
      </c>
      <c r="F16" s="6"/>
    </row>
    <row r="17" spans="1:6" x14ac:dyDescent="0.25">
      <c r="A17" s="19" t="s">
        <v>546</v>
      </c>
      <c r="F17" s="6"/>
    </row>
    <row r="18" spans="1:6" x14ac:dyDescent="0.25">
      <c r="A18" s="19" t="s">
        <v>412</v>
      </c>
      <c r="F18" s="6"/>
    </row>
    <row r="19" spans="1:6" x14ac:dyDescent="0.25">
      <c r="A19" s="19" t="s">
        <v>465</v>
      </c>
      <c r="F19" s="6"/>
    </row>
    <row r="20" spans="1:6" x14ac:dyDescent="0.25">
      <c r="A20" s="19" t="s">
        <v>109</v>
      </c>
      <c r="F20" s="6"/>
    </row>
    <row r="21" spans="1:6" x14ac:dyDescent="0.25">
      <c r="A21" s="19" t="s">
        <v>104</v>
      </c>
      <c r="F21" s="6"/>
    </row>
    <row r="22" spans="1:6" x14ac:dyDescent="0.25">
      <c r="A22" s="19" t="s">
        <v>97</v>
      </c>
      <c r="F22" s="6"/>
    </row>
    <row r="23" spans="1:6" x14ac:dyDescent="0.25">
      <c r="A23" s="19" t="s">
        <v>429</v>
      </c>
      <c r="F23" s="6"/>
    </row>
    <row r="24" spans="1:6" x14ac:dyDescent="0.25">
      <c r="A24" s="19" t="s">
        <v>71</v>
      </c>
      <c r="F24" s="6"/>
    </row>
    <row r="25" spans="1:6" x14ac:dyDescent="0.25">
      <c r="A25" s="19" t="s">
        <v>84</v>
      </c>
      <c r="F25" s="6"/>
    </row>
    <row r="26" spans="1:6" x14ac:dyDescent="0.25">
      <c r="A26" s="19" t="s">
        <v>112</v>
      </c>
      <c r="F26" s="6"/>
    </row>
    <row r="27" spans="1:6" x14ac:dyDescent="0.25">
      <c r="A27" s="19" t="s">
        <v>446</v>
      </c>
      <c r="F27" s="6"/>
    </row>
    <row r="28" spans="1:6" x14ac:dyDescent="0.25">
      <c r="A28" s="19" t="s">
        <v>128</v>
      </c>
      <c r="F28" s="6"/>
    </row>
    <row r="29" spans="1:6" x14ac:dyDescent="0.25">
      <c r="A29" s="19" t="s">
        <v>63</v>
      </c>
      <c r="F29" s="6"/>
    </row>
    <row r="30" spans="1:6" x14ac:dyDescent="0.25">
      <c r="A30" s="19" t="s">
        <v>736</v>
      </c>
      <c r="F30" s="6"/>
    </row>
    <row r="31" spans="1:6" x14ac:dyDescent="0.25">
      <c r="A31" s="19" t="s">
        <v>742</v>
      </c>
      <c r="F31" s="6"/>
    </row>
    <row r="32" spans="1:6" x14ac:dyDescent="0.25">
      <c r="A32" s="19" t="s">
        <v>61</v>
      </c>
      <c r="F32" s="6"/>
    </row>
    <row r="33" spans="1:6" x14ac:dyDescent="0.25">
      <c r="A33" s="19" t="s">
        <v>124</v>
      </c>
      <c r="F33" s="6"/>
    </row>
    <row r="34" spans="1:6" x14ac:dyDescent="0.25">
      <c r="A34" s="19" t="s">
        <v>769</v>
      </c>
      <c r="F34" s="6"/>
    </row>
    <row r="35" spans="1:6" x14ac:dyDescent="0.25">
      <c r="A35" s="19" t="s">
        <v>65</v>
      </c>
      <c r="F35" s="6"/>
    </row>
    <row r="36" spans="1:6" x14ac:dyDescent="0.25">
      <c r="A36" s="19" t="s">
        <v>649</v>
      </c>
      <c r="F36" s="6"/>
    </row>
    <row r="37" spans="1:6" x14ac:dyDescent="0.25">
      <c r="A37" s="19" t="s">
        <v>94</v>
      </c>
      <c r="F37" s="6"/>
    </row>
    <row r="38" spans="1:6" x14ac:dyDescent="0.25">
      <c r="A38" s="19" t="s">
        <v>739</v>
      </c>
      <c r="F38" s="6"/>
    </row>
    <row r="39" spans="1:6" x14ac:dyDescent="0.25">
      <c r="A39" s="19" t="s">
        <v>115</v>
      </c>
      <c r="F39" s="6"/>
    </row>
    <row r="40" spans="1:6" x14ac:dyDescent="0.25">
      <c r="A40" s="19" t="s">
        <v>771</v>
      </c>
      <c r="F40" s="6"/>
    </row>
    <row r="41" spans="1:6" x14ac:dyDescent="0.25">
      <c r="A41" s="19" t="s">
        <v>69</v>
      </c>
      <c r="F41" s="6"/>
    </row>
    <row r="42" spans="1:6" x14ac:dyDescent="0.25">
      <c r="A42" s="19"/>
      <c r="F42" s="6"/>
    </row>
    <row r="43" spans="1:6" x14ac:dyDescent="0.25">
      <c r="F43" s="6"/>
    </row>
    <row r="44" spans="1:6" x14ac:dyDescent="0.25">
      <c r="F44" s="6"/>
    </row>
    <row r="45" spans="1:6" x14ac:dyDescent="0.25">
      <c r="F45" s="6"/>
    </row>
    <row r="46" spans="1:6" x14ac:dyDescent="0.25">
      <c r="F46" s="6"/>
    </row>
    <row r="47" spans="1:6" x14ac:dyDescent="0.25">
      <c r="F47" s="6"/>
    </row>
    <row r="48" spans="1:6" x14ac:dyDescent="0.25">
      <c r="F48" s="6"/>
    </row>
    <row r="49" spans="6:6" x14ac:dyDescent="0.25">
      <c r="F49" s="6"/>
    </row>
    <row r="50" spans="6:6" x14ac:dyDescent="0.25">
      <c r="F50" s="6"/>
    </row>
  </sheetData>
  <autoFilter ref="A1:A42" xr:uid="{0DC9C994-5341-4F70-8BA1-F77C67646FAB}">
    <sortState xmlns:xlrd2="http://schemas.microsoft.com/office/spreadsheetml/2017/richdata2" ref="A2:A42">
      <sortCondition ref="A1:A42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B9C00-5F0E-4BC3-A305-80B132F30C00}">
  <sheetPr codeName="Sheet11"/>
  <dimension ref="B1:I35"/>
  <sheetViews>
    <sheetView workbookViewId="0"/>
  </sheetViews>
  <sheetFormatPr defaultRowHeight="15" x14ac:dyDescent="0.25"/>
  <sheetData>
    <row r="1" spans="2:9" x14ac:dyDescent="0.25">
      <c r="B1">
        <v>518</v>
      </c>
      <c r="C1" t="s">
        <v>398</v>
      </c>
      <c r="D1" t="s">
        <v>155</v>
      </c>
      <c r="E1">
        <v>18</v>
      </c>
      <c r="F1" s="6">
        <v>2450000000</v>
      </c>
      <c r="G1" s="6">
        <v>3125000000</v>
      </c>
      <c r="H1">
        <v>555</v>
      </c>
      <c r="I1" t="s">
        <v>812</v>
      </c>
    </row>
    <row r="2" spans="2:9" x14ac:dyDescent="0.25">
      <c r="B2">
        <v>533</v>
      </c>
      <c r="C2" t="s">
        <v>452</v>
      </c>
      <c r="D2" t="s">
        <v>82</v>
      </c>
      <c r="E2">
        <v>18</v>
      </c>
      <c r="F2" s="6">
        <v>2950000000</v>
      </c>
      <c r="G2" s="6">
        <v>3217000000</v>
      </c>
      <c r="H2">
        <v>570</v>
      </c>
      <c r="I2" t="s">
        <v>813</v>
      </c>
    </row>
    <row r="3" spans="2:9" x14ac:dyDescent="0.25">
      <c r="B3">
        <v>567</v>
      </c>
      <c r="C3" t="s">
        <v>518</v>
      </c>
      <c r="D3" t="s">
        <v>443</v>
      </c>
      <c r="E3">
        <v>18</v>
      </c>
      <c r="F3" s="6">
        <v>3500000000</v>
      </c>
      <c r="G3" s="6">
        <v>4312233451</v>
      </c>
      <c r="H3">
        <v>604</v>
      </c>
      <c r="I3" t="s">
        <v>814</v>
      </c>
    </row>
    <row r="4" spans="2:9" x14ac:dyDescent="0.25">
      <c r="B4">
        <v>587</v>
      </c>
      <c r="C4" t="s">
        <v>525</v>
      </c>
      <c r="D4" t="s">
        <v>443</v>
      </c>
      <c r="E4">
        <v>18</v>
      </c>
      <c r="F4" s="6">
        <v>3500000000</v>
      </c>
      <c r="G4" s="6">
        <v>4332111112</v>
      </c>
      <c r="H4">
        <v>624</v>
      </c>
      <c r="I4" t="s">
        <v>815</v>
      </c>
    </row>
    <row r="5" spans="2:9" x14ac:dyDescent="0.25">
      <c r="B5">
        <v>589</v>
      </c>
      <c r="C5" t="s">
        <v>519</v>
      </c>
      <c r="D5" t="s">
        <v>443</v>
      </c>
      <c r="E5">
        <v>18</v>
      </c>
      <c r="F5" s="6">
        <v>3500000000</v>
      </c>
      <c r="G5" s="6">
        <v>4255552220</v>
      </c>
      <c r="H5">
        <v>626</v>
      </c>
      <c r="I5" t="s">
        <v>816</v>
      </c>
    </row>
    <row r="6" spans="2:9" x14ac:dyDescent="0.25">
      <c r="B6">
        <v>401</v>
      </c>
      <c r="C6" t="s">
        <v>657</v>
      </c>
      <c r="D6" t="s">
        <v>808</v>
      </c>
      <c r="E6">
        <v>17</v>
      </c>
      <c r="F6" s="6">
        <v>4700000000</v>
      </c>
      <c r="G6" s="6">
        <v>5120000000</v>
      </c>
      <c r="H6">
        <v>425</v>
      </c>
      <c r="I6" t="s">
        <v>817</v>
      </c>
    </row>
    <row r="7" spans="2:9" x14ac:dyDescent="0.25">
      <c r="B7">
        <v>489</v>
      </c>
      <c r="C7" t="s">
        <v>415</v>
      </c>
      <c r="D7" t="s">
        <v>389</v>
      </c>
      <c r="E7">
        <v>17</v>
      </c>
      <c r="F7" s="6">
        <v>2550000000</v>
      </c>
      <c r="G7" s="6">
        <v>3002000000</v>
      </c>
      <c r="H7">
        <v>526</v>
      </c>
      <c r="I7" t="s">
        <v>818</v>
      </c>
    </row>
    <row r="8" spans="2:9" x14ac:dyDescent="0.25">
      <c r="B8">
        <v>496</v>
      </c>
      <c r="C8" t="s">
        <v>394</v>
      </c>
      <c r="D8" t="s">
        <v>155</v>
      </c>
      <c r="E8">
        <v>17</v>
      </c>
      <c r="F8" s="6">
        <v>2400000000</v>
      </c>
      <c r="G8" s="6">
        <v>3110009990</v>
      </c>
      <c r="H8">
        <v>533</v>
      </c>
      <c r="I8" t="s">
        <v>819</v>
      </c>
    </row>
    <row r="9" spans="2:9" x14ac:dyDescent="0.25">
      <c r="B9">
        <v>503</v>
      </c>
      <c r="C9" t="s">
        <v>383</v>
      </c>
      <c r="D9" t="s">
        <v>155</v>
      </c>
      <c r="E9">
        <v>17</v>
      </c>
      <c r="F9" s="6">
        <v>2250000000</v>
      </c>
      <c r="G9" s="6">
        <v>2977700000</v>
      </c>
      <c r="H9">
        <v>540</v>
      </c>
      <c r="I9" t="s">
        <v>820</v>
      </c>
    </row>
    <row r="10" spans="2:9" x14ac:dyDescent="0.25">
      <c r="B10">
        <v>506</v>
      </c>
      <c r="C10" t="s">
        <v>399</v>
      </c>
      <c r="D10" t="s">
        <v>397</v>
      </c>
      <c r="E10">
        <v>17</v>
      </c>
      <c r="F10" s="6">
        <v>2450000000</v>
      </c>
      <c r="G10" s="6">
        <v>3037878789</v>
      </c>
      <c r="H10">
        <v>543</v>
      </c>
      <c r="I10" t="s">
        <v>821</v>
      </c>
    </row>
    <row r="11" spans="2:9" x14ac:dyDescent="0.25">
      <c r="B11">
        <v>594</v>
      </c>
      <c r="C11" t="s">
        <v>520</v>
      </c>
      <c r="D11" t="s">
        <v>443</v>
      </c>
      <c r="E11">
        <v>17</v>
      </c>
      <c r="F11" s="6">
        <v>3500000000</v>
      </c>
      <c r="G11" s="6">
        <v>4199999999</v>
      </c>
      <c r="H11">
        <v>631</v>
      </c>
      <c r="I11" t="s">
        <v>822</v>
      </c>
    </row>
    <row r="12" spans="2:9" x14ac:dyDescent="0.25">
      <c r="B12">
        <v>504</v>
      </c>
      <c r="C12" t="s">
        <v>400</v>
      </c>
      <c r="D12" t="s">
        <v>397</v>
      </c>
      <c r="E12">
        <v>16</v>
      </c>
      <c r="F12" s="6">
        <v>2450000000</v>
      </c>
      <c r="G12" s="6">
        <v>2977446555</v>
      </c>
      <c r="H12">
        <v>541</v>
      </c>
      <c r="I12" t="s">
        <v>823</v>
      </c>
    </row>
    <row r="13" spans="2:9" x14ac:dyDescent="0.25">
      <c r="B13">
        <v>579</v>
      </c>
      <c r="C13" t="s">
        <v>521</v>
      </c>
      <c r="D13" t="s">
        <v>443</v>
      </c>
      <c r="E13">
        <v>16</v>
      </c>
      <c r="F13" s="6">
        <v>3500000000</v>
      </c>
      <c r="G13" s="6">
        <v>4177758985</v>
      </c>
      <c r="H13">
        <v>616</v>
      </c>
      <c r="I13" t="s">
        <v>824</v>
      </c>
    </row>
    <row r="14" spans="2:9" x14ac:dyDescent="0.25">
      <c r="B14">
        <v>595</v>
      </c>
      <c r="C14" t="s">
        <v>526</v>
      </c>
      <c r="D14" t="s">
        <v>443</v>
      </c>
      <c r="E14">
        <v>16</v>
      </c>
      <c r="F14" s="6">
        <v>3500000000</v>
      </c>
      <c r="G14" s="6">
        <v>3880000000</v>
      </c>
      <c r="H14">
        <v>632</v>
      </c>
      <c r="I14" t="s">
        <v>825</v>
      </c>
    </row>
    <row r="15" spans="2:9" x14ac:dyDescent="0.25">
      <c r="B15">
        <v>568</v>
      </c>
      <c r="C15" t="s">
        <v>522</v>
      </c>
      <c r="D15" t="s">
        <v>443</v>
      </c>
      <c r="E15">
        <v>15</v>
      </c>
      <c r="F15" s="6">
        <v>3500000000</v>
      </c>
      <c r="G15" s="6">
        <v>4261000000</v>
      </c>
      <c r="H15">
        <v>605</v>
      </c>
      <c r="I15" t="s">
        <v>826</v>
      </c>
    </row>
    <row r="16" spans="2:9" x14ac:dyDescent="0.25">
      <c r="B16">
        <v>575</v>
      </c>
      <c r="C16" t="s">
        <v>527</v>
      </c>
      <c r="D16" t="s">
        <v>443</v>
      </c>
      <c r="E16">
        <v>15</v>
      </c>
      <c r="F16" s="6">
        <v>3500000000</v>
      </c>
      <c r="G16" s="6">
        <v>4183459999</v>
      </c>
      <c r="H16">
        <v>612</v>
      </c>
      <c r="I16" t="s">
        <v>827</v>
      </c>
    </row>
    <row r="17" spans="2:9" x14ac:dyDescent="0.25">
      <c r="B17">
        <v>580</v>
      </c>
      <c r="C17" t="s">
        <v>523</v>
      </c>
      <c r="D17" t="s">
        <v>443</v>
      </c>
      <c r="E17">
        <v>15</v>
      </c>
      <c r="F17" s="6">
        <v>3500000000</v>
      </c>
      <c r="G17" s="6">
        <v>4156000000</v>
      </c>
      <c r="H17">
        <v>617</v>
      </c>
      <c r="I17" t="s">
        <v>828</v>
      </c>
    </row>
    <row r="18" spans="2:9" x14ac:dyDescent="0.25">
      <c r="B18">
        <v>4</v>
      </c>
      <c r="C18" t="s">
        <v>391</v>
      </c>
      <c r="D18" t="s">
        <v>323</v>
      </c>
      <c r="E18">
        <v>14</v>
      </c>
      <c r="F18" s="6">
        <v>2400000000</v>
      </c>
      <c r="G18" s="6">
        <v>3131000000</v>
      </c>
      <c r="H18">
        <v>4</v>
      </c>
      <c r="I18" t="s">
        <v>829</v>
      </c>
    </row>
    <row r="19" spans="2:9" x14ac:dyDescent="0.25">
      <c r="B19">
        <v>218</v>
      </c>
      <c r="C19" t="s">
        <v>464</v>
      </c>
      <c r="D19" t="s">
        <v>463</v>
      </c>
      <c r="E19">
        <v>14</v>
      </c>
      <c r="F19" s="6">
        <v>3150000000</v>
      </c>
      <c r="G19" s="6">
        <v>4605000000</v>
      </c>
      <c r="H19">
        <v>242</v>
      </c>
      <c r="I19" t="s">
        <v>830</v>
      </c>
    </row>
    <row r="20" spans="2:9" x14ac:dyDescent="0.25">
      <c r="B20">
        <v>232</v>
      </c>
      <c r="C20" t="s">
        <v>409</v>
      </c>
      <c r="D20" t="s">
        <v>127</v>
      </c>
      <c r="E20">
        <v>14</v>
      </c>
      <c r="F20" s="6">
        <v>2500000000</v>
      </c>
      <c r="G20" s="6">
        <v>2786500000</v>
      </c>
      <c r="H20">
        <v>256</v>
      </c>
      <c r="I20" t="s">
        <v>831</v>
      </c>
    </row>
    <row r="21" spans="2:9" x14ac:dyDescent="0.25">
      <c r="B21">
        <v>537</v>
      </c>
      <c r="C21" t="s">
        <v>468</v>
      </c>
      <c r="D21" t="s">
        <v>449</v>
      </c>
      <c r="E21">
        <v>14</v>
      </c>
      <c r="F21" s="6">
        <v>3200000000</v>
      </c>
      <c r="G21" s="6">
        <v>3746740000</v>
      </c>
      <c r="H21">
        <v>574</v>
      </c>
      <c r="I21" t="s">
        <v>832</v>
      </c>
    </row>
    <row r="22" spans="2:9" x14ac:dyDescent="0.25">
      <c r="B22">
        <v>233</v>
      </c>
      <c r="C22" t="s">
        <v>416</v>
      </c>
      <c r="D22" t="s">
        <v>397</v>
      </c>
      <c r="E22">
        <v>12</v>
      </c>
      <c r="F22" s="6">
        <v>2550000000</v>
      </c>
      <c r="G22" s="6">
        <v>2961000000</v>
      </c>
      <c r="H22">
        <v>257</v>
      </c>
      <c r="I22" t="s">
        <v>833</v>
      </c>
    </row>
    <row r="23" spans="2:9" x14ac:dyDescent="0.25">
      <c r="B23">
        <v>592</v>
      </c>
      <c r="C23" t="s">
        <v>524</v>
      </c>
      <c r="D23" t="s">
        <v>443</v>
      </c>
      <c r="E23">
        <v>12</v>
      </c>
      <c r="F23" s="6">
        <v>3500000000</v>
      </c>
      <c r="G23" s="6">
        <v>4201000000</v>
      </c>
      <c r="H23">
        <v>629</v>
      </c>
      <c r="I23" t="s">
        <v>834</v>
      </c>
    </row>
    <row r="24" spans="2:9" x14ac:dyDescent="0.25">
      <c r="B24">
        <v>238</v>
      </c>
      <c r="C24" t="s">
        <v>450</v>
      </c>
      <c r="D24" t="s">
        <v>82</v>
      </c>
      <c r="E24">
        <v>11</v>
      </c>
      <c r="F24" s="6">
        <v>2900000000</v>
      </c>
      <c r="G24" s="6">
        <v>3555555555</v>
      </c>
      <c r="H24">
        <v>262</v>
      </c>
      <c r="I24" t="s">
        <v>835</v>
      </c>
    </row>
    <row r="25" spans="2:9" x14ac:dyDescent="0.25">
      <c r="B25">
        <v>519</v>
      </c>
      <c r="C25" t="s">
        <v>460</v>
      </c>
      <c r="D25" t="s">
        <v>82</v>
      </c>
      <c r="E25">
        <v>10</v>
      </c>
      <c r="F25" s="6">
        <v>3100000000</v>
      </c>
      <c r="G25" s="6">
        <v>3687542132</v>
      </c>
      <c r="H25">
        <v>556</v>
      </c>
      <c r="I25" t="s">
        <v>836</v>
      </c>
    </row>
    <row r="26" spans="2:9" x14ac:dyDescent="0.25">
      <c r="B26">
        <v>226</v>
      </c>
      <c r="C26" t="s">
        <v>395</v>
      </c>
      <c r="D26" t="s">
        <v>82</v>
      </c>
      <c r="E26">
        <v>9</v>
      </c>
      <c r="F26" s="6">
        <v>2400000000</v>
      </c>
      <c r="G26" s="6">
        <v>3150000000</v>
      </c>
      <c r="H26">
        <v>250</v>
      </c>
      <c r="I26" t="s">
        <v>837</v>
      </c>
    </row>
    <row r="27" spans="2:9" x14ac:dyDescent="0.25">
      <c r="B27">
        <v>230</v>
      </c>
      <c r="C27" t="s">
        <v>421</v>
      </c>
      <c r="D27" t="s">
        <v>155</v>
      </c>
      <c r="E27">
        <v>8</v>
      </c>
      <c r="F27" s="6">
        <v>2600000000</v>
      </c>
      <c r="G27" s="6">
        <v>3678999000</v>
      </c>
      <c r="H27">
        <v>254</v>
      </c>
      <c r="I27" t="s">
        <v>838</v>
      </c>
    </row>
    <row r="28" spans="2:9" x14ac:dyDescent="0.25">
      <c r="B28">
        <v>237</v>
      </c>
      <c r="C28" t="s">
        <v>422</v>
      </c>
      <c r="D28" t="s">
        <v>389</v>
      </c>
      <c r="E28">
        <v>8</v>
      </c>
      <c r="F28" s="6">
        <v>2600000000</v>
      </c>
      <c r="G28" s="6">
        <v>3117700000</v>
      </c>
      <c r="H28">
        <v>261</v>
      </c>
      <c r="I28" t="s">
        <v>839</v>
      </c>
    </row>
    <row r="29" spans="2:9" x14ac:dyDescent="0.25">
      <c r="B29">
        <v>423</v>
      </c>
      <c r="C29" t="s">
        <v>374</v>
      </c>
      <c r="D29" t="s">
        <v>116</v>
      </c>
      <c r="E29">
        <v>8</v>
      </c>
      <c r="F29" s="6">
        <v>2100000000</v>
      </c>
      <c r="G29" s="6">
        <v>2751500000</v>
      </c>
      <c r="H29">
        <v>447</v>
      </c>
      <c r="I29" t="s">
        <v>840</v>
      </c>
    </row>
    <row r="30" spans="2:9" x14ac:dyDescent="0.25">
      <c r="B30">
        <v>225</v>
      </c>
      <c r="C30" t="s">
        <v>387</v>
      </c>
      <c r="D30" t="s">
        <v>82</v>
      </c>
      <c r="E30">
        <v>7</v>
      </c>
      <c r="F30" s="6">
        <v>2300000000</v>
      </c>
      <c r="G30" s="6">
        <v>3175000000</v>
      </c>
      <c r="H30">
        <v>249</v>
      </c>
      <c r="I30" t="s">
        <v>841</v>
      </c>
    </row>
    <row r="31" spans="2:9" x14ac:dyDescent="0.25">
      <c r="B31">
        <v>228</v>
      </c>
      <c r="C31" t="s">
        <v>462</v>
      </c>
      <c r="D31" t="s">
        <v>461</v>
      </c>
      <c r="E31">
        <v>5</v>
      </c>
      <c r="F31" s="6">
        <v>3100000000</v>
      </c>
      <c r="G31" s="6">
        <v>3719999999</v>
      </c>
      <c r="H31">
        <v>252</v>
      </c>
      <c r="I31" t="s">
        <v>842</v>
      </c>
    </row>
    <row r="32" spans="2:9" x14ac:dyDescent="0.25">
      <c r="B32">
        <v>28</v>
      </c>
      <c r="C32" t="s">
        <v>376</v>
      </c>
      <c r="D32" t="s">
        <v>375</v>
      </c>
      <c r="E32">
        <v>4</v>
      </c>
      <c r="F32" s="6">
        <v>2200000000</v>
      </c>
      <c r="G32" s="6">
        <v>3055000000</v>
      </c>
      <c r="H32">
        <v>28</v>
      </c>
      <c r="I32" t="s">
        <v>843</v>
      </c>
    </row>
    <row r="33" spans="2:9" x14ac:dyDescent="0.25">
      <c r="B33">
        <v>235</v>
      </c>
      <c r="C33" t="s">
        <v>407</v>
      </c>
      <c r="D33" t="s">
        <v>389</v>
      </c>
      <c r="E33">
        <v>4</v>
      </c>
      <c r="F33" s="6">
        <v>2500000000</v>
      </c>
      <c r="G33" s="6">
        <v>2935000000</v>
      </c>
      <c r="H33">
        <v>259</v>
      </c>
      <c r="I33" t="s">
        <v>844</v>
      </c>
    </row>
    <row r="34" spans="2:9" x14ac:dyDescent="0.25">
      <c r="B34">
        <v>220</v>
      </c>
      <c r="C34" t="s">
        <v>114</v>
      </c>
      <c r="D34" t="s">
        <v>113</v>
      </c>
      <c r="E34">
        <v>3</v>
      </c>
      <c r="F34" s="6">
        <v>1600000000</v>
      </c>
      <c r="G34" s="6">
        <v>2736000000</v>
      </c>
      <c r="H34">
        <v>244</v>
      </c>
      <c r="I34" t="s">
        <v>845</v>
      </c>
    </row>
    <row r="35" spans="2:9" x14ac:dyDescent="0.25">
      <c r="B35">
        <v>229</v>
      </c>
      <c r="C35" t="s">
        <v>408</v>
      </c>
      <c r="D35" t="s">
        <v>155</v>
      </c>
      <c r="E35">
        <v>2</v>
      </c>
      <c r="F35" s="6">
        <v>2500000000</v>
      </c>
      <c r="G35" s="6">
        <v>2663800000</v>
      </c>
      <c r="H35">
        <v>253</v>
      </c>
      <c r="I35" t="s">
        <v>846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2B4F-8326-456A-B69E-1ABBA65C78B3}">
  <sheetPr codeName="Sheet12"/>
  <dimension ref="B1:I35"/>
  <sheetViews>
    <sheetView workbookViewId="0">
      <selection activeCell="G1" sqref="G1"/>
    </sheetView>
  </sheetViews>
  <sheetFormatPr defaultRowHeight="15" x14ac:dyDescent="0.25"/>
  <cols>
    <col min="6" max="7" width="12.7109375" bestFit="1" customWidth="1"/>
  </cols>
  <sheetData>
    <row r="1" spans="2:9" x14ac:dyDescent="0.25">
      <c r="B1">
        <v>518</v>
      </c>
      <c r="C1" t="s">
        <v>398</v>
      </c>
      <c r="D1" t="s">
        <v>155</v>
      </c>
      <c r="E1">
        <v>18</v>
      </c>
      <c r="F1" s="6">
        <v>2450000000</v>
      </c>
      <c r="G1" s="6">
        <v>3125000000</v>
      </c>
      <c r="H1">
        <v>555</v>
      </c>
      <c r="I1" t="s">
        <v>812</v>
      </c>
    </row>
    <row r="2" spans="2:9" x14ac:dyDescent="0.25">
      <c r="B2">
        <v>533</v>
      </c>
      <c r="C2" t="s">
        <v>452</v>
      </c>
      <c r="D2" t="s">
        <v>82</v>
      </c>
      <c r="E2">
        <v>18</v>
      </c>
      <c r="F2" s="6">
        <v>2950000000</v>
      </c>
      <c r="G2" s="6">
        <v>3217000000</v>
      </c>
      <c r="H2">
        <v>570</v>
      </c>
      <c r="I2" t="s">
        <v>813</v>
      </c>
    </row>
    <row r="3" spans="2:9" x14ac:dyDescent="0.25">
      <c r="B3">
        <v>567</v>
      </c>
      <c r="C3" t="s">
        <v>518</v>
      </c>
      <c r="D3" t="s">
        <v>443</v>
      </c>
      <c r="E3">
        <v>18</v>
      </c>
      <c r="F3" s="6">
        <v>3500000000</v>
      </c>
      <c r="G3" s="6">
        <v>4312233451</v>
      </c>
      <c r="H3">
        <v>604</v>
      </c>
      <c r="I3" t="s">
        <v>814</v>
      </c>
    </row>
    <row r="4" spans="2:9" x14ac:dyDescent="0.25">
      <c r="B4">
        <v>587</v>
      </c>
      <c r="C4" t="s">
        <v>525</v>
      </c>
      <c r="D4" t="s">
        <v>443</v>
      </c>
      <c r="E4">
        <v>18</v>
      </c>
      <c r="F4" s="6">
        <v>3500000000</v>
      </c>
      <c r="G4" s="6">
        <v>4332111112</v>
      </c>
      <c r="H4">
        <v>624</v>
      </c>
      <c r="I4" t="s">
        <v>815</v>
      </c>
    </row>
    <row r="5" spans="2:9" x14ac:dyDescent="0.25">
      <c r="B5">
        <v>589</v>
      </c>
      <c r="C5" t="s">
        <v>519</v>
      </c>
      <c r="D5" t="s">
        <v>443</v>
      </c>
      <c r="E5">
        <v>18</v>
      </c>
      <c r="F5" s="6">
        <v>3500000000</v>
      </c>
      <c r="G5" s="6">
        <v>4255552220</v>
      </c>
      <c r="H5">
        <v>626</v>
      </c>
      <c r="I5" t="s">
        <v>816</v>
      </c>
    </row>
    <row r="6" spans="2:9" x14ac:dyDescent="0.25">
      <c r="B6">
        <v>401</v>
      </c>
      <c r="C6" t="s">
        <v>657</v>
      </c>
      <c r="D6" t="s">
        <v>808</v>
      </c>
      <c r="E6">
        <v>17</v>
      </c>
      <c r="F6" s="6">
        <v>4700000000</v>
      </c>
      <c r="G6" s="6">
        <v>5120000000</v>
      </c>
      <c r="H6">
        <v>425</v>
      </c>
      <c r="I6" t="s">
        <v>817</v>
      </c>
    </row>
    <row r="7" spans="2:9" x14ac:dyDescent="0.25">
      <c r="B7">
        <v>489</v>
      </c>
      <c r="C7" t="s">
        <v>415</v>
      </c>
      <c r="D7" t="s">
        <v>389</v>
      </c>
      <c r="E7">
        <v>17</v>
      </c>
      <c r="F7" s="6">
        <v>2550000000</v>
      </c>
      <c r="G7" s="6">
        <v>3002000000</v>
      </c>
      <c r="H7">
        <v>526</v>
      </c>
      <c r="I7" t="s">
        <v>818</v>
      </c>
    </row>
    <row r="8" spans="2:9" x14ac:dyDescent="0.25">
      <c r="B8">
        <v>496</v>
      </c>
      <c r="C8" t="s">
        <v>394</v>
      </c>
      <c r="D8" t="s">
        <v>155</v>
      </c>
      <c r="E8">
        <v>17</v>
      </c>
      <c r="F8" s="6">
        <v>2400000000</v>
      </c>
      <c r="G8" s="6">
        <v>3110009990</v>
      </c>
      <c r="H8">
        <v>533</v>
      </c>
      <c r="I8" t="s">
        <v>819</v>
      </c>
    </row>
    <row r="9" spans="2:9" x14ac:dyDescent="0.25">
      <c r="B9">
        <v>503</v>
      </c>
      <c r="C9" t="s">
        <v>383</v>
      </c>
      <c r="D9" t="s">
        <v>155</v>
      </c>
      <c r="E9">
        <v>17</v>
      </c>
      <c r="F9" s="6">
        <v>2250000000</v>
      </c>
      <c r="G9" s="6">
        <v>2977700000</v>
      </c>
      <c r="H9">
        <v>540</v>
      </c>
      <c r="I9" t="s">
        <v>820</v>
      </c>
    </row>
    <row r="10" spans="2:9" x14ac:dyDescent="0.25">
      <c r="B10">
        <v>506</v>
      </c>
      <c r="C10" t="s">
        <v>399</v>
      </c>
      <c r="D10" t="s">
        <v>397</v>
      </c>
      <c r="E10">
        <v>17</v>
      </c>
      <c r="F10" s="6">
        <v>2450000000</v>
      </c>
      <c r="G10" s="6">
        <v>3037878789</v>
      </c>
      <c r="H10">
        <v>543</v>
      </c>
      <c r="I10" t="s">
        <v>821</v>
      </c>
    </row>
    <row r="11" spans="2:9" x14ac:dyDescent="0.25">
      <c r="B11">
        <v>594</v>
      </c>
      <c r="C11" t="s">
        <v>520</v>
      </c>
      <c r="D11" t="s">
        <v>443</v>
      </c>
      <c r="E11">
        <v>17</v>
      </c>
      <c r="F11" s="6">
        <v>3500000000</v>
      </c>
      <c r="G11" s="6">
        <v>4199999999</v>
      </c>
      <c r="H11">
        <v>631</v>
      </c>
      <c r="I11" t="s">
        <v>822</v>
      </c>
    </row>
    <row r="12" spans="2:9" x14ac:dyDescent="0.25">
      <c r="B12">
        <v>504</v>
      </c>
      <c r="C12" t="s">
        <v>400</v>
      </c>
      <c r="D12" t="s">
        <v>397</v>
      </c>
      <c r="E12">
        <v>16</v>
      </c>
      <c r="F12" s="6">
        <v>2450000000</v>
      </c>
      <c r="G12" s="6">
        <v>2977446555</v>
      </c>
      <c r="H12">
        <v>541</v>
      </c>
      <c r="I12" t="s">
        <v>823</v>
      </c>
    </row>
    <row r="13" spans="2:9" x14ac:dyDescent="0.25">
      <c r="B13">
        <v>579</v>
      </c>
      <c r="C13" t="s">
        <v>521</v>
      </c>
      <c r="D13" t="s">
        <v>443</v>
      </c>
      <c r="E13">
        <v>16</v>
      </c>
      <c r="F13" s="6">
        <v>3500000000</v>
      </c>
      <c r="G13" s="6">
        <v>4177758985</v>
      </c>
      <c r="H13">
        <v>616</v>
      </c>
      <c r="I13" t="s">
        <v>824</v>
      </c>
    </row>
    <row r="14" spans="2:9" x14ac:dyDescent="0.25">
      <c r="B14">
        <v>595</v>
      </c>
      <c r="C14" t="s">
        <v>526</v>
      </c>
      <c r="D14" t="s">
        <v>443</v>
      </c>
      <c r="E14">
        <v>16</v>
      </c>
      <c r="F14" s="6">
        <v>3500000000</v>
      </c>
      <c r="G14" s="6">
        <v>3880000000</v>
      </c>
      <c r="H14">
        <v>632</v>
      </c>
      <c r="I14" t="s">
        <v>825</v>
      </c>
    </row>
    <row r="15" spans="2:9" x14ac:dyDescent="0.25">
      <c r="B15">
        <v>568</v>
      </c>
      <c r="C15" t="s">
        <v>522</v>
      </c>
      <c r="D15" t="s">
        <v>443</v>
      </c>
      <c r="E15">
        <v>15</v>
      </c>
      <c r="F15" s="6">
        <v>3500000000</v>
      </c>
      <c r="G15" s="6">
        <v>4261000000</v>
      </c>
      <c r="H15">
        <v>605</v>
      </c>
      <c r="I15" t="s">
        <v>826</v>
      </c>
    </row>
    <row r="16" spans="2:9" x14ac:dyDescent="0.25">
      <c r="B16">
        <v>575</v>
      </c>
      <c r="C16" t="s">
        <v>527</v>
      </c>
      <c r="D16" t="s">
        <v>443</v>
      </c>
      <c r="E16">
        <v>15</v>
      </c>
      <c r="F16" s="6">
        <v>3500000000</v>
      </c>
      <c r="G16" s="6">
        <v>4183459999</v>
      </c>
      <c r="H16">
        <v>612</v>
      </c>
      <c r="I16" t="s">
        <v>827</v>
      </c>
    </row>
    <row r="17" spans="2:9" x14ac:dyDescent="0.25">
      <c r="B17">
        <v>580</v>
      </c>
      <c r="C17" t="s">
        <v>523</v>
      </c>
      <c r="D17" t="s">
        <v>443</v>
      </c>
      <c r="E17">
        <v>15</v>
      </c>
      <c r="F17" s="6">
        <v>3500000000</v>
      </c>
      <c r="G17" s="6">
        <v>4156000000</v>
      </c>
      <c r="H17">
        <v>617</v>
      </c>
      <c r="I17" t="s">
        <v>828</v>
      </c>
    </row>
    <row r="18" spans="2:9" x14ac:dyDescent="0.25">
      <c r="B18">
        <v>4</v>
      </c>
      <c r="C18" t="s">
        <v>391</v>
      </c>
      <c r="D18" t="s">
        <v>323</v>
      </c>
      <c r="E18">
        <v>14</v>
      </c>
      <c r="F18" s="6">
        <v>2400000000</v>
      </c>
      <c r="G18" s="6">
        <v>3131000000</v>
      </c>
      <c r="H18">
        <v>4</v>
      </c>
      <c r="I18" t="s">
        <v>829</v>
      </c>
    </row>
    <row r="19" spans="2:9" x14ac:dyDescent="0.25">
      <c r="B19">
        <v>218</v>
      </c>
      <c r="C19" t="s">
        <v>464</v>
      </c>
      <c r="D19" t="s">
        <v>463</v>
      </c>
      <c r="E19">
        <v>14</v>
      </c>
      <c r="F19" s="6">
        <v>3150000000</v>
      </c>
      <c r="G19" s="6">
        <v>4605000000</v>
      </c>
      <c r="H19">
        <v>242</v>
      </c>
      <c r="I19" t="s">
        <v>830</v>
      </c>
    </row>
    <row r="20" spans="2:9" x14ac:dyDescent="0.25">
      <c r="B20">
        <v>232</v>
      </c>
      <c r="C20" t="s">
        <v>409</v>
      </c>
      <c r="D20" t="s">
        <v>127</v>
      </c>
      <c r="E20">
        <v>14</v>
      </c>
      <c r="F20" s="6">
        <v>2500000000</v>
      </c>
      <c r="G20" s="6">
        <v>2786500000</v>
      </c>
      <c r="H20">
        <v>256</v>
      </c>
      <c r="I20" t="s">
        <v>831</v>
      </c>
    </row>
    <row r="21" spans="2:9" x14ac:dyDescent="0.25">
      <c r="B21">
        <v>537</v>
      </c>
      <c r="C21" t="s">
        <v>468</v>
      </c>
      <c r="D21" t="s">
        <v>449</v>
      </c>
      <c r="E21">
        <v>14</v>
      </c>
      <c r="F21" s="6">
        <v>3200000000</v>
      </c>
      <c r="G21" s="6">
        <v>3746740000</v>
      </c>
      <c r="H21">
        <v>574</v>
      </c>
      <c r="I21" t="s">
        <v>832</v>
      </c>
    </row>
    <row r="22" spans="2:9" x14ac:dyDescent="0.25">
      <c r="B22">
        <v>233</v>
      </c>
      <c r="C22" t="s">
        <v>416</v>
      </c>
      <c r="D22" t="s">
        <v>397</v>
      </c>
      <c r="E22">
        <v>12</v>
      </c>
      <c r="F22" s="6">
        <v>2550000000</v>
      </c>
      <c r="G22" s="6">
        <v>2961000000</v>
      </c>
      <c r="H22">
        <v>257</v>
      </c>
      <c r="I22" t="s">
        <v>833</v>
      </c>
    </row>
    <row r="23" spans="2:9" x14ac:dyDescent="0.25">
      <c r="B23">
        <v>592</v>
      </c>
      <c r="C23" t="s">
        <v>524</v>
      </c>
      <c r="D23" t="s">
        <v>443</v>
      </c>
      <c r="E23">
        <v>12</v>
      </c>
      <c r="F23" s="6">
        <v>3500000000</v>
      </c>
      <c r="G23" s="6">
        <v>4201000000</v>
      </c>
      <c r="H23">
        <v>629</v>
      </c>
      <c r="I23" t="s">
        <v>834</v>
      </c>
    </row>
    <row r="24" spans="2:9" x14ac:dyDescent="0.25">
      <c r="B24">
        <v>238</v>
      </c>
      <c r="C24" t="s">
        <v>450</v>
      </c>
      <c r="D24" t="s">
        <v>82</v>
      </c>
      <c r="E24">
        <v>11</v>
      </c>
      <c r="F24" s="6">
        <v>2900000000</v>
      </c>
      <c r="G24" s="6">
        <v>3555555555</v>
      </c>
      <c r="H24">
        <v>262</v>
      </c>
      <c r="I24" t="s">
        <v>835</v>
      </c>
    </row>
    <row r="25" spans="2:9" x14ac:dyDescent="0.25">
      <c r="B25">
        <v>519</v>
      </c>
      <c r="C25" t="s">
        <v>460</v>
      </c>
      <c r="D25" t="s">
        <v>82</v>
      </c>
      <c r="E25">
        <v>10</v>
      </c>
      <c r="F25" s="6">
        <v>3100000000</v>
      </c>
      <c r="G25" s="6">
        <v>3687542132</v>
      </c>
      <c r="H25">
        <v>556</v>
      </c>
      <c r="I25" t="s">
        <v>836</v>
      </c>
    </row>
    <row r="26" spans="2:9" x14ac:dyDescent="0.25">
      <c r="B26">
        <v>226</v>
      </c>
      <c r="C26" t="s">
        <v>395</v>
      </c>
      <c r="D26" t="s">
        <v>82</v>
      </c>
      <c r="E26">
        <v>9</v>
      </c>
      <c r="F26" s="6">
        <v>2400000000</v>
      </c>
      <c r="G26" s="6">
        <v>3150000000</v>
      </c>
      <c r="H26">
        <v>250</v>
      </c>
      <c r="I26" t="s">
        <v>837</v>
      </c>
    </row>
    <row r="27" spans="2:9" x14ac:dyDescent="0.25">
      <c r="B27">
        <v>230</v>
      </c>
      <c r="C27" t="s">
        <v>421</v>
      </c>
      <c r="D27" t="s">
        <v>155</v>
      </c>
      <c r="E27">
        <v>8</v>
      </c>
      <c r="F27" s="6">
        <v>2600000000</v>
      </c>
      <c r="G27" s="6">
        <v>3678999000</v>
      </c>
      <c r="H27">
        <v>254</v>
      </c>
      <c r="I27" t="s">
        <v>838</v>
      </c>
    </row>
    <row r="28" spans="2:9" x14ac:dyDescent="0.25">
      <c r="B28">
        <v>237</v>
      </c>
      <c r="C28" t="s">
        <v>422</v>
      </c>
      <c r="D28" t="s">
        <v>389</v>
      </c>
      <c r="E28">
        <v>8</v>
      </c>
      <c r="F28" s="6">
        <v>2600000000</v>
      </c>
      <c r="G28" s="6">
        <v>3117700000</v>
      </c>
      <c r="H28">
        <v>261</v>
      </c>
      <c r="I28" t="s">
        <v>839</v>
      </c>
    </row>
    <row r="29" spans="2:9" x14ac:dyDescent="0.25">
      <c r="B29">
        <v>423</v>
      </c>
      <c r="C29" t="s">
        <v>374</v>
      </c>
      <c r="D29" t="s">
        <v>116</v>
      </c>
      <c r="E29">
        <v>8</v>
      </c>
      <c r="F29" s="6">
        <v>2100000000</v>
      </c>
      <c r="G29" s="6">
        <v>2751500000</v>
      </c>
      <c r="H29">
        <v>447</v>
      </c>
      <c r="I29" t="s">
        <v>840</v>
      </c>
    </row>
    <row r="30" spans="2:9" x14ac:dyDescent="0.25">
      <c r="B30">
        <v>225</v>
      </c>
      <c r="C30" t="s">
        <v>387</v>
      </c>
      <c r="D30" t="s">
        <v>82</v>
      </c>
      <c r="E30">
        <v>7</v>
      </c>
      <c r="F30" s="6">
        <v>2300000000</v>
      </c>
      <c r="G30" s="6">
        <v>3175000000</v>
      </c>
      <c r="H30">
        <v>249</v>
      </c>
      <c r="I30" t="s">
        <v>841</v>
      </c>
    </row>
    <row r="31" spans="2:9" x14ac:dyDescent="0.25">
      <c r="B31">
        <v>228</v>
      </c>
      <c r="C31" t="s">
        <v>462</v>
      </c>
      <c r="D31" t="s">
        <v>461</v>
      </c>
      <c r="E31">
        <v>5</v>
      </c>
      <c r="F31" s="6">
        <v>3100000000</v>
      </c>
      <c r="G31" s="6">
        <v>3719999999</v>
      </c>
      <c r="H31">
        <v>252</v>
      </c>
      <c r="I31" t="s">
        <v>842</v>
      </c>
    </row>
    <row r="32" spans="2:9" x14ac:dyDescent="0.25">
      <c r="B32">
        <v>28</v>
      </c>
      <c r="C32" t="s">
        <v>376</v>
      </c>
      <c r="D32" t="s">
        <v>375</v>
      </c>
      <c r="E32">
        <v>4</v>
      </c>
      <c r="F32" s="6">
        <v>2200000000</v>
      </c>
      <c r="G32" s="6">
        <v>3055000000</v>
      </c>
      <c r="H32">
        <v>28</v>
      </c>
      <c r="I32" t="s">
        <v>843</v>
      </c>
    </row>
    <row r="33" spans="2:9" x14ac:dyDescent="0.25">
      <c r="B33">
        <v>235</v>
      </c>
      <c r="C33" t="s">
        <v>407</v>
      </c>
      <c r="D33" t="s">
        <v>389</v>
      </c>
      <c r="E33">
        <v>4</v>
      </c>
      <c r="F33" s="6">
        <v>2500000000</v>
      </c>
      <c r="G33" s="6">
        <v>2935000000</v>
      </c>
      <c r="H33">
        <v>259</v>
      </c>
      <c r="I33" t="s">
        <v>844</v>
      </c>
    </row>
    <row r="34" spans="2:9" x14ac:dyDescent="0.25">
      <c r="B34">
        <v>220</v>
      </c>
      <c r="C34" t="s">
        <v>114</v>
      </c>
      <c r="D34" t="s">
        <v>113</v>
      </c>
      <c r="E34">
        <v>3</v>
      </c>
      <c r="F34" s="6">
        <v>1600000000</v>
      </c>
      <c r="G34" s="6">
        <v>2736000000</v>
      </c>
      <c r="H34">
        <v>244</v>
      </c>
      <c r="I34" t="s">
        <v>845</v>
      </c>
    </row>
    <row r="35" spans="2:9" x14ac:dyDescent="0.25">
      <c r="B35">
        <v>229</v>
      </c>
      <c r="C35" t="s">
        <v>408</v>
      </c>
      <c r="D35" t="s">
        <v>155</v>
      </c>
      <c r="E35">
        <v>2</v>
      </c>
      <c r="F35" s="6">
        <v>2500000000</v>
      </c>
      <c r="G35" s="6">
        <v>2663800000</v>
      </c>
      <c r="H35">
        <v>253</v>
      </c>
      <c r="I35" t="s">
        <v>846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06323-D8A3-45CA-A4F5-29508573003A}">
  <sheetPr codeName="Sheet13"/>
  <dimension ref="B1:I36"/>
  <sheetViews>
    <sheetView workbookViewId="0">
      <selection activeCell="G1" sqref="G1"/>
    </sheetView>
  </sheetViews>
  <sheetFormatPr defaultRowHeight="15" x14ac:dyDescent="0.25"/>
  <cols>
    <col min="6" max="6" width="12.7109375" bestFit="1" customWidth="1"/>
    <col min="7" max="7" width="13.5703125" bestFit="1" customWidth="1"/>
  </cols>
  <sheetData>
    <row r="1" spans="2:9" x14ac:dyDescent="0.25">
      <c r="B1" t="s">
        <v>800</v>
      </c>
      <c r="C1" t="s">
        <v>801</v>
      </c>
      <c r="D1" t="s">
        <v>802</v>
      </c>
      <c r="E1" t="s">
        <v>803</v>
      </c>
      <c r="F1" t="s">
        <v>804</v>
      </c>
      <c r="G1" t="s">
        <v>805</v>
      </c>
      <c r="H1" t="s">
        <v>806</v>
      </c>
    </row>
    <row r="2" spans="2:9" x14ac:dyDescent="0.25">
      <c r="B2">
        <v>518</v>
      </c>
      <c r="C2" t="s">
        <v>398</v>
      </c>
      <c r="D2" t="s">
        <v>155</v>
      </c>
      <c r="E2">
        <v>18</v>
      </c>
      <c r="F2" s="6">
        <v>2450000000</v>
      </c>
      <c r="G2" s="6">
        <v>3125000000</v>
      </c>
      <c r="H2">
        <v>555</v>
      </c>
      <c r="I2" t="s">
        <v>812</v>
      </c>
    </row>
    <row r="3" spans="2:9" x14ac:dyDescent="0.25">
      <c r="B3">
        <v>533</v>
      </c>
      <c r="C3" t="s">
        <v>452</v>
      </c>
      <c r="D3" t="s">
        <v>82</v>
      </c>
      <c r="E3">
        <v>18</v>
      </c>
      <c r="F3" s="6">
        <v>2950000000</v>
      </c>
      <c r="G3" s="6">
        <v>3217000000</v>
      </c>
      <c r="H3">
        <v>570</v>
      </c>
      <c r="I3" t="s">
        <v>813</v>
      </c>
    </row>
    <row r="4" spans="2:9" x14ac:dyDescent="0.25">
      <c r="B4">
        <v>567</v>
      </c>
      <c r="C4" t="s">
        <v>518</v>
      </c>
      <c r="D4" t="s">
        <v>443</v>
      </c>
      <c r="E4">
        <v>18</v>
      </c>
      <c r="F4" s="6">
        <v>3500000000</v>
      </c>
      <c r="G4" s="6">
        <v>4312233451</v>
      </c>
      <c r="H4">
        <v>604</v>
      </c>
      <c r="I4" t="s">
        <v>814</v>
      </c>
    </row>
    <row r="5" spans="2:9" x14ac:dyDescent="0.25">
      <c r="B5">
        <v>587</v>
      </c>
      <c r="C5" t="s">
        <v>525</v>
      </c>
      <c r="D5" t="s">
        <v>443</v>
      </c>
      <c r="E5">
        <v>18</v>
      </c>
      <c r="F5" s="6">
        <v>3500000000</v>
      </c>
      <c r="G5" s="6">
        <v>4332111112</v>
      </c>
      <c r="H5">
        <v>624</v>
      </c>
      <c r="I5" t="s">
        <v>815</v>
      </c>
    </row>
    <row r="6" spans="2:9" x14ac:dyDescent="0.25">
      <c r="B6">
        <v>589</v>
      </c>
      <c r="C6" t="s">
        <v>519</v>
      </c>
      <c r="D6" t="s">
        <v>443</v>
      </c>
      <c r="E6">
        <v>18</v>
      </c>
      <c r="F6" s="6">
        <v>3500000000</v>
      </c>
      <c r="G6" s="6">
        <v>4255552220</v>
      </c>
      <c r="H6">
        <v>626</v>
      </c>
      <c r="I6" t="s">
        <v>816</v>
      </c>
    </row>
    <row r="7" spans="2:9" x14ac:dyDescent="0.25">
      <c r="B7">
        <v>401</v>
      </c>
      <c r="C7" t="s">
        <v>657</v>
      </c>
      <c r="D7" t="s">
        <v>808</v>
      </c>
      <c r="E7">
        <v>17</v>
      </c>
      <c r="F7" s="6">
        <v>4700000000</v>
      </c>
      <c r="G7" s="6">
        <v>5120000000</v>
      </c>
      <c r="H7">
        <v>425</v>
      </c>
      <c r="I7" t="s">
        <v>817</v>
      </c>
    </row>
    <row r="8" spans="2:9" x14ac:dyDescent="0.25">
      <c r="B8">
        <v>489</v>
      </c>
      <c r="C8" t="s">
        <v>415</v>
      </c>
      <c r="D8" t="s">
        <v>389</v>
      </c>
      <c r="E8">
        <v>17</v>
      </c>
      <c r="F8" s="6">
        <v>2550000000</v>
      </c>
      <c r="G8" s="6">
        <v>3002000000</v>
      </c>
      <c r="H8">
        <v>526</v>
      </c>
      <c r="I8" t="s">
        <v>818</v>
      </c>
    </row>
    <row r="9" spans="2:9" x14ac:dyDescent="0.25">
      <c r="B9">
        <v>496</v>
      </c>
      <c r="C9" t="s">
        <v>394</v>
      </c>
      <c r="D9" t="s">
        <v>155</v>
      </c>
      <c r="E9">
        <v>17</v>
      </c>
      <c r="F9" s="6">
        <v>2400000000</v>
      </c>
      <c r="G9" s="6">
        <v>3110009990</v>
      </c>
      <c r="H9">
        <v>533</v>
      </c>
      <c r="I9" t="s">
        <v>819</v>
      </c>
    </row>
    <row r="10" spans="2:9" x14ac:dyDescent="0.25">
      <c r="B10">
        <v>503</v>
      </c>
      <c r="C10" t="s">
        <v>383</v>
      </c>
      <c r="D10" t="s">
        <v>155</v>
      </c>
      <c r="E10">
        <v>17</v>
      </c>
      <c r="F10" s="6">
        <v>2250000000</v>
      </c>
      <c r="G10" s="6">
        <v>2977700000</v>
      </c>
      <c r="H10">
        <v>540</v>
      </c>
      <c r="I10" t="s">
        <v>820</v>
      </c>
    </row>
    <row r="11" spans="2:9" x14ac:dyDescent="0.25">
      <c r="B11">
        <v>506</v>
      </c>
      <c r="C11" t="s">
        <v>399</v>
      </c>
      <c r="D11" t="s">
        <v>397</v>
      </c>
      <c r="E11">
        <v>17</v>
      </c>
      <c r="F11" s="6">
        <v>2450000000</v>
      </c>
      <c r="G11" s="6">
        <v>3037878789</v>
      </c>
      <c r="H11">
        <v>543</v>
      </c>
      <c r="I11" t="s">
        <v>821</v>
      </c>
    </row>
    <row r="12" spans="2:9" x14ac:dyDescent="0.25">
      <c r="B12">
        <v>594</v>
      </c>
      <c r="C12" t="s">
        <v>520</v>
      </c>
      <c r="D12" t="s">
        <v>443</v>
      </c>
      <c r="E12">
        <v>17</v>
      </c>
      <c r="F12" s="6">
        <v>3500000000</v>
      </c>
      <c r="G12" s="6">
        <v>4199999999</v>
      </c>
      <c r="H12">
        <v>631</v>
      </c>
      <c r="I12" t="s">
        <v>822</v>
      </c>
    </row>
    <row r="13" spans="2:9" x14ac:dyDescent="0.25">
      <c r="B13">
        <v>504</v>
      </c>
      <c r="C13" t="s">
        <v>400</v>
      </c>
      <c r="D13" t="s">
        <v>397</v>
      </c>
      <c r="E13">
        <v>16</v>
      </c>
      <c r="F13" s="6">
        <v>2450000000</v>
      </c>
      <c r="G13" s="6">
        <v>2977446555</v>
      </c>
      <c r="H13">
        <v>541</v>
      </c>
      <c r="I13" t="s">
        <v>823</v>
      </c>
    </row>
    <row r="14" spans="2:9" x14ac:dyDescent="0.25">
      <c r="B14">
        <v>579</v>
      </c>
      <c r="C14" t="s">
        <v>521</v>
      </c>
      <c r="D14" t="s">
        <v>443</v>
      </c>
      <c r="E14">
        <v>16</v>
      </c>
      <c r="F14" s="6">
        <v>3500000000</v>
      </c>
      <c r="G14" s="6">
        <v>4177758985</v>
      </c>
      <c r="H14">
        <v>616</v>
      </c>
      <c r="I14" t="s">
        <v>824</v>
      </c>
    </row>
    <row r="15" spans="2:9" x14ac:dyDescent="0.25">
      <c r="B15">
        <v>595</v>
      </c>
      <c r="C15" t="s">
        <v>526</v>
      </c>
      <c r="D15" t="s">
        <v>443</v>
      </c>
      <c r="E15">
        <v>16</v>
      </c>
      <c r="F15" s="6">
        <v>3500000000</v>
      </c>
      <c r="G15" s="6">
        <v>3880000000</v>
      </c>
      <c r="H15">
        <v>632</v>
      </c>
      <c r="I15" t="s">
        <v>825</v>
      </c>
    </row>
    <row r="16" spans="2:9" x14ac:dyDescent="0.25">
      <c r="B16">
        <v>568</v>
      </c>
      <c r="C16" t="s">
        <v>522</v>
      </c>
      <c r="D16" t="s">
        <v>443</v>
      </c>
      <c r="E16">
        <v>15</v>
      </c>
      <c r="F16" s="6">
        <v>3500000000</v>
      </c>
      <c r="G16" s="6">
        <v>4261000000</v>
      </c>
      <c r="H16">
        <v>605</v>
      </c>
      <c r="I16" t="s">
        <v>826</v>
      </c>
    </row>
    <row r="17" spans="2:9" x14ac:dyDescent="0.25">
      <c r="B17">
        <v>575</v>
      </c>
      <c r="C17" t="s">
        <v>527</v>
      </c>
      <c r="D17" t="s">
        <v>443</v>
      </c>
      <c r="E17">
        <v>15</v>
      </c>
      <c r="F17" s="6">
        <v>3500000000</v>
      </c>
      <c r="G17" s="6">
        <v>4183459999</v>
      </c>
      <c r="H17">
        <v>612</v>
      </c>
      <c r="I17" t="s">
        <v>827</v>
      </c>
    </row>
    <row r="18" spans="2:9" x14ac:dyDescent="0.25">
      <c r="B18">
        <v>580</v>
      </c>
      <c r="C18" t="s">
        <v>523</v>
      </c>
      <c r="D18" t="s">
        <v>443</v>
      </c>
      <c r="E18">
        <v>15</v>
      </c>
      <c r="F18" s="6">
        <v>3500000000</v>
      </c>
      <c r="G18" s="6">
        <v>4156000000</v>
      </c>
      <c r="H18">
        <v>617</v>
      </c>
      <c r="I18" t="s">
        <v>828</v>
      </c>
    </row>
    <row r="19" spans="2:9" x14ac:dyDescent="0.25">
      <c r="B19">
        <v>4</v>
      </c>
      <c r="C19" t="s">
        <v>391</v>
      </c>
      <c r="D19" t="s">
        <v>323</v>
      </c>
      <c r="E19">
        <v>14</v>
      </c>
      <c r="F19" s="6">
        <v>2400000000</v>
      </c>
      <c r="G19" s="6">
        <v>3131000000</v>
      </c>
      <c r="H19">
        <v>4</v>
      </c>
      <c r="I19" t="s">
        <v>829</v>
      </c>
    </row>
    <row r="20" spans="2:9" x14ac:dyDescent="0.25">
      <c r="B20">
        <v>218</v>
      </c>
      <c r="C20" t="s">
        <v>464</v>
      </c>
      <c r="D20" t="s">
        <v>463</v>
      </c>
      <c r="E20">
        <v>14</v>
      </c>
      <c r="F20" s="6">
        <v>3150000000</v>
      </c>
      <c r="G20" s="6">
        <v>4605000000</v>
      </c>
      <c r="H20">
        <v>242</v>
      </c>
      <c r="I20" t="s">
        <v>830</v>
      </c>
    </row>
    <row r="21" spans="2:9" x14ac:dyDescent="0.25">
      <c r="B21">
        <v>232</v>
      </c>
      <c r="C21" t="s">
        <v>409</v>
      </c>
      <c r="D21" t="s">
        <v>127</v>
      </c>
      <c r="E21">
        <v>14</v>
      </c>
      <c r="F21" s="6">
        <v>2500000000</v>
      </c>
      <c r="G21" s="6">
        <v>2786500000</v>
      </c>
      <c r="H21">
        <v>256</v>
      </c>
      <c r="I21" t="s">
        <v>831</v>
      </c>
    </row>
    <row r="22" spans="2:9" x14ac:dyDescent="0.25">
      <c r="B22">
        <v>537</v>
      </c>
      <c r="C22" t="s">
        <v>468</v>
      </c>
      <c r="D22" t="s">
        <v>449</v>
      </c>
      <c r="E22">
        <v>14</v>
      </c>
      <c r="F22" s="6">
        <v>3200000000</v>
      </c>
      <c r="G22" s="6">
        <v>3746740000</v>
      </c>
      <c r="H22">
        <v>574</v>
      </c>
      <c r="I22" t="s">
        <v>832</v>
      </c>
    </row>
    <row r="23" spans="2:9" x14ac:dyDescent="0.25">
      <c r="B23">
        <v>233</v>
      </c>
      <c r="C23" t="s">
        <v>416</v>
      </c>
      <c r="D23" t="s">
        <v>397</v>
      </c>
      <c r="E23">
        <v>12</v>
      </c>
      <c r="F23" s="6">
        <v>2550000000</v>
      </c>
      <c r="G23" s="6">
        <v>2961000000</v>
      </c>
      <c r="H23">
        <v>257</v>
      </c>
      <c r="I23" t="s">
        <v>833</v>
      </c>
    </row>
    <row r="24" spans="2:9" x14ac:dyDescent="0.25">
      <c r="B24">
        <v>592</v>
      </c>
      <c r="C24" t="s">
        <v>524</v>
      </c>
      <c r="D24" t="s">
        <v>443</v>
      </c>
      <c r="E24">
        <v>12</v>
      </c>
      <c r="F24" s="6">
        <v>3500000000</v>
      </c>
      <c r="G24" s="6">
        <v>4201000000</v>
      </c>
      <c r="H24">
        <v>629</v>
      </c>
      <c r="I24" t="s">
        <v>834</v>
      </c>
    </row>
    <row r="25" spans="2:9" x14ac:dyDescent="0.25">
      <c r="B25">
        <v>238</v>
      </c>
      <c r="C25" t="s">
        <v>450</v>
      </c>
      <c r="D25" t="s">
        <v>82</v>
      </c>
      <c r="E25">
        <v>11</v>
      </c>
      <c r="F25" s="6">
        <v>2900000000</v>
      </c>
      <c r="G25" s="6">
        <v>3555555555</v>
      </c>
      <c r="H25">
        <v>262</v>
      </c>
      <c r="I25" t="s">
        <v>835</v>
      </c>
    </row>
    <row r="26" spans="2:9" x14ac:dyDescent="0.25">
      <c r="B26">
        <v>519</v>
      </c>
      <c r="C26" t="s">
        <v>460</v>
      </c>
      <c r="D26" t="s">
        <v>82</v>
      </c>
      <c r="E26">
        <v>10</v>
      </c>
      <c r="F26" s="6">
        <v>3100000000</v>
      </c>
      <c r="G26" s="6">
        <v>3687542132</v>
      </c>
      <c r="H26">
        <v>556</v>
      </c>
      <c r="I26" t="s">
        <v>836</v>
      </c>
    </row>
    <row r="27" spans="2:9" x14ac:dyDescent="0.25">
      <c r="B27">
        <v>226</v>
      </c>
      <c r="C27" t="s">
        <v>395</v>
      </c>
      <c r="D27" t="s">
        <v>82</v>
      </c>
      <c r="E27">
        <v>9</v>
      </c>
      <c r="F27" s="6">
        <v>2400000000</v>
      </c>
      <c r="G27" s="6">
        <v>3150000000</v>
      </c>
      <c r="H27">
        <v>250</v>
      </c>
      <c r="I27" t="s">
        <v>837</v>
      </c>
    </row>
    <row r="28" spans="2:9" x14ac:dyDescent="0.25">
      <c r="B28">
        <v>230</v>
      </c>
      <c r="C28" t="s">
        <v>421</v>
      </c>
      <c r="D28" t="s">
        <v>155</v>
      </c>
      <c r="E28">
        <v>8</v>
      </c>
      <c r="F28" s="6">
        <v>2600000000</v>
      </c>
      <c r="G28" s="6">
        <v>3678999000</v>
      </c>
      <c r="H28">
        <v>254</v>
      </c>
      <c r="I28" t="s">
        <v>838</v>
      </c>
    </row>
    <row r="29" spans="2:9" x14ac:dyDescent="0.25">
      <c r="B29">
        <v>237</v>
      </c>
      <c r="C29" t="s">
        <v>422</v>
      </c>
      <c r="D29" t="s">
        <v>389</v>
      </c>
      <c r="E29">
        <v>8</v>
      </c>
      <c r="F29" s="6">
        <v>2600000000</v>
      </c>
      <c r="G29" s="6">
        <v>3117700000</v>
      </c>
      <c r="H29">
        <v>261</v>
      </c>
      <c r="I29" t="s">
        <v>839</v>
      </c>
    </row>
    <row r="30" spans="2:9" x14ac:dyDescent="0.25">
      <c r="B30">
        <v>423</v>
      </c>
      <c r="C30" t="s">
        <v>374</v>
      </c>
      <c r="D30" t="s">
        <v>116</v>
      </c>
      <c r="E30">
        <v>8</v>
      </c>
      <c r="F30" s="6">
        <v>2100000000</v>
      </c>
      <c r="G30" s="6">
        <v>2751500000</v>
      </c>
      <c r="H30">
        <v>447</v>
      </c>
      <c r="I30" t="s">
        <v>840</v>
      </c>
    </row>
    <row r="31" spans="2:9" x14ac:dyDescent="0.25">
      <c r="B31">
        <v>225</v>
      </c>
      <c r="C31" t="s">
        <v>387</v>
      </c>
      <c r="D31" t="s">
        <v>82</v>
      </c>
      <c r="E31">
        <v>7</v>
      </c>
      <c r="F31" s="6">
        <v>2300000000</v>
      </c>
      <c r="G31" s="6">
        <v>3175000000</v>
      </c>
      <c r="H31">
        <v>249</v>
      </c>
      <c r="I31" t="s">
        <v>841</v>
      </c>
    </row>
    <row r="32" spans="2:9" x14ac:dyDescent="0.25">
      <c r="B32">
        <v>228</v>
      </c>
      <c r="C32" t="s">
        <v>462</v>
      </c>
      <c r="D32" t="s">
        <v>461</v>
      </c>
      <c r="E32">
        <v>5</v>
      </c>
      <c r="F32" s="6">
        <v>3100000000</v>
      </c>
      <c r="G32" s="6">
        <v>3719999999</v>
      </c>
      <c r="H32">
        <v>252</v>
      </c>
      <c r="I32" t="s">
        <v>842</v>
      </c>
    </row>
    <row r="33" spans="2:9" x14ac:dyDescent="0.25">
      <c r="B33">
        <v>28</v>
      </c>
      <c r="C33" t="s">
        <v>376</v>
      </c>
      <c r="D33" t="s">
        <v>375</v>
      </c>
      <c r="E33">
        <v>4</v>
      </c>
      <c r="F33" s="6">
        <v>2200000000</v>
      </c>
      <c r="G33" s="6">
        <v>3055000000</v>
      </c>
      <c r="H33">
        <v>28</v>
      </c>
      <c r="I33" t="s">
        <v>843</v>
      </c>
    </row>
    <row r="34" spans="2:9" x14ac:dyDescent="0.25">
      <c r="B34">
        <v>235</v>
      </c>
      <c r="C34" t="s">
        <v>407</v>
      </c>
      <c r="D34" t="s">
        <v>389</v>
      </c>
      <c r="E34">
        <v>4</v>
      </c>
      <c r="F34" s="6">
        <v>2500000000</v>
      </c>
      <c r="G34" s="6">
        <v>2935000000</v>
      </c>
      <c r="H34">
        <v>259</v>
      </c>
      <c r="I34" t="s">
        <v>844</v>
      </c>
    </row>
    <row r="35" spans="2:9" x14ac:dyDescent="0.25">
      <c r="B35">
        <v>220</v>
      </c>
      <c r="C35" t="s">
        <v>114</v>
      </c>
      <c r="D35" t="s">
        <v>113</v>
      </c>
      <c r="E35">
        <v>3</v>
      </c>
      <c r="F35" s="6">
        <v>1600000000</v>
      </c>
      <c r="G35" s="6">
        <v>2736000000</v>
      </c>
      <c r="H35">
        <v>244</v>
      </c>
      <c r="I35" t="s">
        <v>845</v>
      </c>
    </row>
    <row r="36" spans="2:9" x14ac:dyDescent="0.25">
      <c r="B36">
        <v>229</v>
      </c>
      <c r="C36" t="s">
        <v>408</v>
      </c>
      <c r="D36" t="s">
        <v>155</v>
      </c>
      <c r="E36">
        <v>2</v>
      </c>
      <c r="F36" s="6">
        <v>2500000000</v>
      </c>
      <c r="G36" s="6">
        <v>2663800000</v>
      </c>
      <c r="H36">
        <v>253</v>
      </c>
      <c r="I36" t="s">
        <v>846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Sheet4</vt:lpstr>
      <vt:lpstr>Sheet7</vt:lpstr>
      <vt:lpstr>Sheet8</vt:lpstr>
      <vt:lpstr>Sheet3</vt:lpstr>
      <vt:lpstr>realPrices</vt:lpstr>
      <vt:lpstr>Sheet10</vt:lpstr>
      <vt:lpstr>winners</vt:lpstr>
      <vt:lpstr>Sheet2</vt:lpstr>
      <vt:lpstr>Sheet5</vt:lpstr>
      <vt:lpstr>Sheet6</vt:lpstr>
      <vt:lpstr>Sheet9</vt:lpstr>
      <vt:lpstr>Sheet11</vt:lpstr>
      <vt:lpstr>Sheet12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Yosef Farzi</dc:creator>
  <cp:keywords/>
  <dc:description/>
  <cp:lastModifiedBy>Yosef Farzi</cp:lastModifiedBy>
  <cp:revision/>
  <dcterms:created xsi:type="dcterms:W3CDTF">2022-11-08T09:04:05Z</dcterms:created>
  <dcterms:modified xsi:type="dcterms:W3CDTF">2024-07-23T10:33:16Z</dcterms:modified>
  <cp:category/>
  <cp:contentStatus/>
</cp:coreProperties>
</file>