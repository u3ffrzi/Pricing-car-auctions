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0233ce281506d8d/funInvestments/aucikco/"/>
    </mc:Choice>
  </mc:AlternateContent>
  <xr:revisionPtr revIDLastSave="1" documentId="13_ncr:1_{C58AF39B-CC4D-417C-9D89-2A5E5AD92499}" xr6:coauthVersionLast="47" xr6:coauthVersionMax="47" xr10:uidLastSave="{60D653B3-5B3A-47FD-8F4C-F048F0F14925}"/>
  <bookViews>
    <workbookView xWindow="3645" yWindow="1035" windowWidth="16770" windowHeight="13575" firstSheet="3" activeTab="3" xr2:uid="{83FBD757-08B3-450D-91CA-91E868E89C9C}"/>
  </bookViews>
  <sheets>
    <sheet name="Sheet4" sheetId="4" r:id="rId1"/>
    <sheet name="Sheet7" sheetId="7" r:id="rId2"/>
    <sheet name="Sheet8" sheetId="8" r:id="rId3"/>
    <sheet name="Sheet3" sheetId="3" r:id="rId4"/>
    <sheet name="Sheet1" sheetId="16" r:id="rId5"/>
    <sheet name="Sheet10" sheetId="12" r:id="rId6"/>
    <sheet name="winners" sheetId="11" r:id="rId7"/>
    <sheet name="Sheet2" sheetId="2" r:id="rId8"/>
    <sheet name="realPrices" sheetId="1" r:id="rId9"/>
    <sheet name="Sheet5" sheetId="9" r:id="rId10"/>
    <sheet name="Sheet6" sheetId="10" r:id="rId11"/>
    <sheet name="Sheet9" sheetId="13" r:id="rId12"/>
    <sheet name="Sheet11" sheetId="14" r:id="rId13"/>
    <sheet name="Sheet12" sheetId="15" r:id="rId14"/>
  </sheets>
  <definedNames>
    <definedName name="_xlnm._FilterDatabase" localSheetId="4" hidden="1">Sheet1!$A$1:$A$27</definedName>
    <definedName name="_xlnm._FilterDatabase" localSheetId="5" hidden="1">Sheet10!$A$1:$C$58</definedName>
    <definedName name="_xlnm._FilterDatabase" localSheetId="3" hidden="1">Sheet3!$A$1:$Y$1740</definedName>
    <definedName name="_xlnm._FilterDatabase" localSheetId="10" hidden="1">Sheet6!$A$1:$A$42</definedName>
  </definedNames>
  <calcPr calcId="191028"/>
  <pivotCaches>
    <pivotCache cacheId="28" r:id="rId15"/>
    <pivotCache cacheId="29" r:id="rId1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66" i="3" l="1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39" i="3"/>
  <c r="W40" i="3"/>
  <c r="W53" i="3"/>
  <c r="W54" i="3"/>
  <c r="W55" i="3"/>
  <c r="W56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3" i="3"/>
  <c r="W4" i="3"/>
  <c r="W12" i="3"/>
  <c r="W991" i="3"/>
  <c r="W526" i="3"/>
  <c r="W595" i="3"/>
  <c r="W671" i="3"/>
  <c r="W754" i="3"/>
  <c r="W654" i="3"/>
  <c r="W956" i="3"/>
  <c r="W1026" i="3"/>
  <c r="W716" i="3"/>
  <c r="W508" i="3"/>
  <c r="W755" i="3"/>
  <c r="W733" i="3"/>
  <c r="W530" i="3"/>
  <c r="W756" i="3"/>
  <c r="W757" i="3"/>
  <c r="W758" i="3"/>
  <c r="W938" i="3"/>
  <c r="W717" i="3"/>
  <c r="W579" i="3"/>
  <c r="W473" i="3"/>
  <c r="W672" i="3"/>
  <c r="W759" i="3"/>
  <c r="W509" i="3"/>
  <c r="W555" i="3"/>
  <c r="W599" i="3"/>
  <c r="W673" i="3"/>
  <c r="W760" i="3"/>
  <c r="W828" i="3"/>
  <c r="W761" i="3"/>
  <c r="W762" i="3"/>
  <c r="W458" i="3"/>
  <c r="W949" i="3"/>
  <c r="W524" i="3"/>
  <c r="W674" i="3"/>
  <c r="W675" i="3"/>
  <c r="W763" i="3"/>
  <c r="W764" i="3"/>
  <c r="W557" i="3"/>
  <c r="W531" i="3"/>
  <c r="W558" i="3"/>
  <c r="W765" i="3"/>
  <c r="W766" i="3"/>
  <c r="W767" i="3"/>
  <c r="W768" i="3"/>
  <c r="W734" i="3"/>
  <c r="W957" i="3"/>
  <c r="W510" i="3"/>
  <c r="W1014" i="3"/>
  <c r="W527" i="3"/>
  <c r="W600" i="3"/>
  <c r="W483" i="3"/>
  <c r="W769" i="3"/>
  <c r="W950" i="3"/>
  <c r="W958" i="3"/>
  <c r="W532" i="3"/>
  <c r="W610" i="3"/>
  <c r="W611" i="3"/>
  <c r="W770" i="3"/>
  <c r="W459" i="3"/>
  <c r="W718" i="3"/>
  <c r="W771" i="3"/>
  <c r="W772" i="3"/>
  <c r="W773" i="3"/>
  <c r="W924" i="3"/>
  <c r="W495" i="3"/>
  <c r="W511" i="3"/>
  <c r="W1017" i="3"/>
  <c r="W533" i="3"/>
  <c r="W774" i="3"/>
  <c r="W775" i="3"/>
  <c r="W534" i="3"/>
  <c r="W735" i="3"/>
  <c r="W655" i="3"/>
  <c r="W676" i="3"/>
  <c r="W677" i="3"/>
  <c r="W776" i="3"/>
  <c r="W777" i="3"/>
  <c r="W778" i="3"/>
  <c r="W604" i="3"/>
  <c r="W934" i="3"/>
  <c r="W525" i="3"/>
  <c r="W535" i="3"/>
  <c r="W512" i="3"/>
  <c r="W779" i="3"/>
  <c r="W780" i="3"/>
  <c r="W41" i="3"/>
  <c r="W1022" i="3"/>
  <c r="W590" i="3"/>
  <c r="W678" i="3"/>
  <c r="W781" i="3"/>
  <c r="W782" i="3"/>
  <c r="W783" i="3"/>
  <c r="W784" i="3"/>
  <c r="W513" i="3"/>
  <c r="W656" i="3"/>
  <c r="W536" i="3"/>
  <c r="W591" i="3"/>
  <c r="W1039" i="3"/>
  <c r="W554" i="3"/>
  <c r="W537" i="3"/>
  <c r="W496" i="3"/>
  <c r="W664" i="3"/>
  <c r="W736" i="3"/>
  <c r="W859" i="3"/>
  <c r="W920" i="3"/>
  <c r="W968" i="3"/>
  <c r="W497" i="3"/>
  <c r="W829" i="3"/>
  <c r="W514" i="3"/>
  <c r="W785" i="3"/>
  <c r="W719" i="3"/>
  <c r="W538" i="3"/>
  <c r="W887" i="3"/>
  <c r="W737" i="3"/>
  <c r="W786" i="3"/>
  <c r="W951" i="3"/>
  <c r="W498" i="3"/>
  <c r="W933" i="3"/>
  <c r="W499" i="3"/>
  <c r="W959" i="3"/>
  <c r="W574" i="3"/>
  <c r="W946" i="3"/>
  <c r="W679" i="3"/>
  <c r="W787" i="3"/>
  <c r="W575" i="3"/>
  <c r="W788" i="3"/>
  <c r="W580" i="3"/>
  <c r="W1032" i="3"/>
  <c r="W888" i="3"/>
  <c r="W665" i="3"/>
  <c r="W680" i="3"/>
  <c r="W789" i="3"/>
  <c r="W952" i="3"/>
  <c r="W883" i="3"/>
  <c r="W960" i="3"/>
  <c r="W500" i="3"/>
  <c r="W925" i="3"/>
  <c r="W484" i="3"/>
  <c r="W681" i="3"/>
  <c r="W790" i="3"/>
  <c r="W926" i="3"/>
  <c r="W791" i="3"/>
  <c r="W792" i="3"/>
  <c r="W927" i="3"/>
  <c r="W873" i="3"/>
  <c r="W928" i="3"/>
  <c r="W539" i="3"/>
  <c r="W485" i="3"/>
  <c r="W919" i="3"/>
  <c r="W540" i="3"/>
  <c r="W541" i="3"/>
  <c r="W515" i="3"/>
  <c r="W793" i="3"/>
  <c r="W794" i="3"/>
  <c r="W939" i="3"/>
  <c r="W700" i="3"/>
  <c r="W727" i="3"/>
  <c r="W568" i="3"/>
  <c r="W795" i="3"/>
  <c r="W796" i="3"/>
  <c r="W846" i="3"/>
  <c r="W947" i="3"/>
  <c r="W929" i="3"/>
  <c r="W1147" i="3"/>
  <c r="W624" i="3"/>
  <c r="W889" i="3"/>
  <c r="W559" i="3"/>
  <c r="W890" i="3"/>
  <c r="W983" i="3"/>
  <c r="W516" i="3"/>
  <c r="W797" i="3"/>
  <c r="W930" i="3"/>
  <c r="W961" i="3"/>
  <c r="W891" i="3"/>
  <c r="W798" i="3"/>
  <c r="W542" i="3"/>
  <c r="W940" i="3"/>
  <c r="W738" i="3"/>
  <c r="W953" i="3"/>
  <c r="W612" i="3"/>
  <c r="W799" i="3"/>
  <c r="W860" i="3"/>
  <c r="W592" i="3"/>
  <c r="W613" i="3"/>
  <c r="W800" i="3"/>
  <c r="W720" i="3"/>
  <c r="W721" i="3"/>
  <c r="W657" i="3"/>
  <c r="W743" i="3"/>
  <c r="W1141" i="3"/>
  <c r="W801" i="3"/>
  <c r="W739" i="3"/>
  <c r="W682" i="3"/>
  <c r="W948" i="3"/>
  <c r="W1146" i="3"/>
  <c r="W892" i="3"/>
  <c r="W1041" i="3"/>
  <c r="W802" i="3"/>
  <c r="W893" i="3"/>
  <c r="W894" i="3"/>
  <c r="W543" i="3"/>
  <c r="W803" i="3"/>
  <c r="W874" i="3"/>
  <c r="W625" i="3"/>
  <c r="W962" i="3"/>
  <c r="W842" i="3"/>
  <c r="W683" i="3"/>
  <c r="W1148" i="3"/>
  <c r="W658" i="3"/>
  <c r="W830" i="3"/>
  <c r="W870" i="3"/>
  <c r="W740" i="3"/>
  <c r="W741" i="3"/>
  <c r="W501" i="3"/>
  <c r="W941" i="3"/>
  <c r="W544" i="3"/>
  <c r="W744" i="3"/>
  <c r="W861" i="3"/>
  <c r="W637" i="3"/>
  <c r="W517" i="3"/>
  <c r="W490" i="3"/>
  <c r="W942" i="3"/>
  <c r="W804" i="3"/>
  <c r="W871" i="3"/>
  <c r="W805" i="3"/>
  <c r="W593" i="3"/>
  <c r="W626" i="3"/>
  <c r="W518" i="3"/>
  <c r="W1015" i="3"/>
  <c r="W684" i="3"/>
  <c r="W992" i="3"/>
  <c r="W46" i="3"/>
  <c r="W42" i="3"/>
  <c r="W43" i="3"/>
  <c r="W560" i="3"/>
  <c r="W701" i="3"/>
  <c r="W806" i="3"/>
  <c r="W895" i="3"/>
  <c r="W685" i="3"/>
  <c r="W519" i="3"/>
  <c r="W640" i="3"/>
  <c r="W659" i="3"/>
  <c r="W896" i="3"/>
  <c r="W862" i="3"/>
  <c r="W545" i="3"/>
  <c r="W486" i="3"/>
  <c r="W935" i="3"/>
  <c r="W863" i="3"/>
  <c r="W897" i="3"/>
  <c r="W614" i="3"/>
  <c r="W898" i="3"/>
  <c r="W931" i="3"/>
  <c r="W686" i="3"/>
  <c r="W875" i="3"/>
  <c r="W687" i="3"/>
  <c r="W1033" i="3"/>
  <c r="W932" i="3"/>
  <c r="W576" i="3"/>
  <c r="W899" i="3"/>
  <c r="W627" i="3"/>
  <c r="W876" i="3"/>
  <c r="W878" i="3"/>
  <c r="W491" i="3"/>
  <c r="W1028" i="3"/>
  <c r="W1034" i="3"/>
  <c r="W943" i="3"/>
  <c r="W569" i="3"/>
  <c r="W963" i="3"/>
  <c r="W570" i="3"/>
  <c r="W900" i="3"/>
  <c r="W901" i="3"/>
  <c r="W902" i="3"/>
  <c r="W546" i="3"/>
  <c r="W879" i="3"/>
  <c r="W605" i="3"/>
  <c r="W903" i="3"/>
  <c r="W904" i="3"/>
  <c r="W561" i="3"/>
  <c r="W57" i="3"/>
  <c r="W905" i="3"/>
  <c r="W722" i="3"/>
  <c r="W807" i="3"/>
  <c r="W601" i="3"/>
  <c r="W884" i="3"/>
  <c r="W880" i="3"/>
  <c r="W688" i="3"/>
  <c r="W906" i="3"/>
  <c r="W602" i="3"/>
  <c r="W562" i="3"/>
  <c r="W689" i="3"/>
  <c r="W907" i="3"/>
  <c r="W492" i="3"/>
  <c r="W877" i="3"/>
  <c r="W695" i="3"/>
  <c r="W650" i="3"/>
  <c r="W908" i="3"/>
  <c r="W596" i="3"/>
  <c r="W909" i="3"/>
  <c r="W660" i="3"/>
  <c r="W864" i="3"/>
  <c r="W547" i="3"/>
  <c r="W628" i="3"/>
  <c r="W474" i="3"/>
  <c r="W563" i="3"/>
  <c r="W1035" i="3"/>
  <c r="W964" i="3"/>
  <c r="W872" i="3"/>
  <c r="W690" i="3"/>
  <c r="W629" i="3"/>
  <c r="W910" i="3"/>
  <c r="W630" i="3"/>
  <c r="W881" i="3"/>
  <c r="W911" i="3"/>
  <c r="W965" i="3"/>
  <c r="W691" i="3"/>
  <c r="W34" i="3"/>
  <c r="W944" i="3"/>
  <c r="W912" i="3"/>
  <c r="W882" i="3"/>
  <c r="W723" i="3"/>
  <c r="W724" i="3"/>
  <c r="W913" i="3"/>
  <c r="W945" i="3"/>
  <c r="W914" i="3"/>
  <c r="W692" i="3"/>
  <c r="W502" i="3"/>
  <c r="W475" i="3"/>
  <c r="W520" i="3"/>
  <c r="W476" i="3"/>
  <c r="W548" i="3"/>
  <c r="W460" i="3"/>
  <c r="W477" i="3"/>
  <c r="W503" i="3"/>
  <c r="W549" i="3"/>
  <c r="W615" i="3"/>
  <c r="W594" i="3"/>
  <c r="W631" i="3"/>
  <c r="W661" i="3"/>
  <c r="W550" i="3"/>
  <c r="W1016" i="3"/>
  <c r="W632" i="3"/>
  <c r="W647" i="3"/>
  <c r="W1149" i="3"/>
  <c r="W808" i="3"/>
  <c r="W641" i="3"/>
  <c r="W915" i="3"/>
  <c r="W487" i="3"/>
  <c r="W642" i="3"/>
  <c r="W488" i="3"/>
  <c r="W478" i="3"/>
  <c r="W463" i="3"/>
  <c r="W809" i="3"/>
  <c r="W504" i="3"/>
  <c r="W851" i="3"/>
  <c r="W1019" i="3"/>
  <c r="W633" i="3"/>
  <c r="W564" i="3"/>
  <c r="W810" i="3"/>
  <c r="W468" i="3"/>
  <c r="W606" i="3"/>
  <c r="W233" i="3"/>
  <c r="W634" i="3"/>
  <c r="W1152" i="3"/>
  <c r="W635" i="3"/>
  <c r="W643" i="3"/>
  <c r="W1027" i="3"/>
  <c r="W648" i="3"/>
  <c r="W636" i="3"/>
  <c r="W565" i="3"/>
  <c r="W644" i="3"/>
  <c r="W505" i="3"/>
  <c r="W521" i="3"/>
  <c r="W811" i="3"/>
  <c r="W812" i="3"/>
  <c r="W566" i="3"/>
  <c r="W469" i="3"/>
  <c r="W813" i="3"/>
  <c r="W814" i="3"/>
  <c r="W815" i="3"/>
  <c r="W816" i="3"/>
  <c r="W649" i="3"/>
  <c r="W662" i="3"/>
  <c r="W817" i="3"/>
  <c r="W645" i="3"/>
  <c r="W577" i="3"/>
  <c r="W461" i="3"/>
  <c r="W646" i="3"/>
  <c r="W551" i="3"/>
  <c r="W552" i="3"/>
  <c r="W619" i="3"/>
  <c r="W818" i="3"/>
  <c r="W1023" i="3"/>
  <c r="W506" i="3"/>
  <c r="W522" i="3"/>
  <c r="W523" i="3"/>
  <c r="W819" i="3"/>
  <c r="W820" i="3"/>
  <c r="W553" i="3"/>
  <c r="W567" i="3"/>
  <c r="W616" i="3"/>
  <c r="W507" i="3"/>
  <c r="W578" i="3"/>
  <c r="W479" i="3"/>
  <c r="W31" i="3"/>
  <c r="W1150" i="3"/>
  <c r="W84" i="3"/>
  <c r="W103" i="3"/>
  <c r="W87" i="3"/>
  <c r="W75" i="3"/>
  <c r="W80" i="3"/>
  <c r="W101" i="3"/>
  <c r="W97" i="3"/>
  <c r="W85" i="3"/>
  <c r="W91" i="3"/>
  <c r="W94" i="3"/>
  <c r="W885" i="3"/>
  <c r="W96" i="3"/>
  <c r="W102" i="3"/>
  <c r="W92" i="3"/>
  <c r="W98" i="3"/>
  <c r="W81" i="3"/>
  <c r="W89" i="3"/>
  <c r="W100" i="3"/>
  <c r="W99" i="3"/>
  <c r="W77" i="3"/>
  <c r="W93" i="3"/>
  <c r="W82" i="3"/>
  <c r="W90" i="3"/>
  <c r="W88" i="3"/>
  <c r="W104" i="3"/>
  <c r="W17" i="3"/>
  <c r="W850" i="3"/>
  <c r="W29" i="3"/>
  <c r="W15" i="3"/>
  <c r="W9" i="3"/>
  <c r="W465" i="3"/>
  <c r="W666" i="3"/>
  <c r="W581" i="3"/>
  <c r="W651" i="3"/>
  <c r="W1145" i="3"/>
  <c r="W621" i="3"/>
  <c r="W607" i="3"/>
  <c r="W663" i="3"/>
  <c r="W710" i="3"/>
  <c r="W886" i="3"/>
  <c r="W1160" i="3"/>
  <c r="W489" i="3"/>
  <c r="W668" i="3"/>
  <c r="W620" i="3"/>
  <c r="W705" i="3"/>
  <c r="W470" i="3"/>
  <c r="W37" i="3"/>
  <c r="W652" i="3"/>
  <c r="W856" i="3"/>
  <c r="W670" i="3"/>
  <c r="W480" i="3"/>
  <c r="W79" i="3"/>
  <c r="W2" i="3"/>
  <c r="W24" i="3"/>
  <c r="W16" i="3"/>
  <c r="W45" i="3"/>
  <c r="W556" i="3"/>
  <c r="W8" i="3"/>
  <c r="W25" i="3"/>
  <c r="W407" i="3"/>
  <c r="W5" i="3"/>
  <c r="W399" i="3"/>
  <c r="W1144" i="3"/>
  <c r="W825" i="3"/>
  <c r="W78" i="3"/>
  <c r="W706" i="3"/>
  <c r="W462" i="3"/>
  <c r="W922" i="3"/>
  <c r="W481" i="3"/>
  <c r="W916" i="3"/>
  <c r="W638" i="3"/>
  <c r="W918" i="3"/>
  <c r="W653" i="3"/>
  <c r="W617" i="3"/>
  <c r="W493" i="3"/>
  <c r="W464" i="3"/>
  <c r="U991" i="3"/>
  <c r="U526" i="3"/>
  <c r="U595" i="3"/>
  <c r="U671" i="3"/>
  <c r="U754" i="3"/>
  <c r="U654" i="3"/>
  <c r="U956" i="3"/>
  <c r="U1026" i="3"/>
  <c r="U716" i="3"/>
  <c r="U508" i="3"/>
  <c r="U755" i="3"/>
  <c r="U733" i="3"/>
  <c r="U530" i="3"/>
  <c r="U756" i="3"/>
  <c r="U757" i="3"/>
  <c r="U758" i="3"/>
  <c r="U1150" i="3"/>
  <c r="U938" i="3"/>
  <c r="U717" i="3"/>
  <c r="U579" i="3"/>
  <c r="U473" i="3"/>
  <c r="U672" i="3"/>
  <c r="U759" i="3"/>
  <c r="U59" i="3"/>
  <c r="U509" i="3"/>
  <c r="U555" i="3"/>
  <c r="U599" i="3"/>
  <c r="U673" i="3"/>
  <c r="U760" i="3"/>
  <c r="U828" i="3"/>
  <c r="U761" i="3"/>
  <c r="U762" i="3"/>
  <c r="U458" i="3"/>
  <c r="U949" i="3"/>
  <c r="U524" i="3"/>
  <c r="U674" i="3"/>
  <c r="U675" i="3"/>
  <c r="U763" i="3"/>
  <c r="U764" i="3"/>
  <c r="U557" i="3"/>
  <c r="U531" i="3"/>
  <c r="U558" i="3"/>
  <c r="U765" i="3"/>
  <c r="U766" i="3"/>
  <c r="U767" i="3"/>
  <c r="U768" i="3"/>
  <c r="U734" i="3"/>
  <c r="U957" i="3"/>
  <c r="U510" i="3"/>
  <c r="U1014" i="3"/>
  <c r="U527" i="3"/>
  <c r="U600" i="3"/>
  <c r="U483" i="3"/>
  <c r="U769" i="3"/>
  <c r="U105" i="3"/>
  <c r="U950" i="3"/>
  <c r="U958" i="3"/>
  <c r="U532" i="3"/>
  <c r="U610" i="3"/>
  <c r="U611" i="3"/>
  <c r="U770" i="3"/>
  <c r="U459" i="3"/>
  <c r="U718" i="3"/>
  <c r="U771" i="3"/>
  <c r="U772" i="3"/>
  <c r="U773" i="3"/>
  <c r="U924" i="3"/>
  <c r="U495" i="3"/>
  <c r="U511" i="3"/>
  <c r="U1017" i="3"/>
  <c r="U533" i="3"/>
  <c r="U774" i="3"/>
  <c r="U775" i="3"/>
  <c r="U534" i="3"/>
  <c r="U735" i="3"/>
  <c r="U655" i="3"/>
  <c r="U676" i="3"/>
  <c r="U677" i="3"/>
  <c r="U776" i="3"/>
  <c r="U777" i="3"/>
  <c r="U778" i="3"/>
  <c r="U604" i="3"/>
  <c r="U934" i="3"/>
  <c r="U525" i="3"/>
  <c r="U535" i="3"/>
  <c r="U512" i="3"/>
  <c r="U779" i="3"/>
  <c r="U780" i="3"/>
  <c r="U41" i="3"/>
  <c r="U1022" i="3"/>
  <c r="U590" i="3"/>
  <c r="U678" i="3"/>
  <c r="U781" i="3"/>
  <c r="U782" i="3"/>
  <c r="U783" i="3"/>
  <c r="U784" i="3"/>
  <c r="U106" i="3"/>
  <c r="U513" i="3"/>
  <c r="U656" i="3"/>
  <c r="U536" i="3"/>
  <c r="U107" i="3"/>
  <c r="U108" i="3"/>
  <c r="U591" i="3"/>
  <c r="U1039" i="3"/>
  <c r="U84" i="3"/>
  <c r="U109" i="3"/>
  <c r="U63" i="3"/>
  <c r="U110" i="3"/>
  <c r="U554" i="3"/>
  <c r="U537" i="3"/>
  <c r="U496" i="3"/>
  <c r="U664" i="3"/>
  <c r="U736" i="3"/>
  <c r="U103" i="3"/>
  <c r="U64" i="3"/>
  <c r="U65" i="3"/>
  <c r="U111" i="3"/>
  <c r="U859" i="3"/>
  <c r="U920" i="3"/>
  <c r="U87" i="3"/>
  <c r="U75" i="3"/>
  <c r="U112" i="3"/>
  <c r="U968" i="3"/>
  <c r="U497" i="3"/>
  <c r="U829" i="3"/>
  <c r="U514" i="3"/>
  <c r="U785" i="3"/>
  <c r="U719" i="3"/>
  <c r="U113" i="3"/>
  <c r="U114" i="3"/>
  <c r="U538" i="3"/>
  <c r="U887" i="3"/>
  <c r="U737" i="3"/>
  <c r="U786" i="3"/>
  <c r="U115" i="3"/>
  <c r="U116" i="3"/>
  <c r="U951" i="3"/>
  <c r="U498" i="3"/>
  <c r="U933" i="3"/>
  <c r="U80" i="3"/>
  <c r="U499" i="3"/>
  <c r="U117" i="3"/>
  <c r="U118" i="3"/>
  <c r="U959" i="3"/>
  <c r="U574" i="3"/>
  <c r="U946" i="3"/>
  <c r="U679" i="3"/>
  <c r="U787" i="3"/>
  <c r="U101" i="3"/>
  <c r="U39" i="3"/>
  <c r="U119" i="3"/>
  <c r="U120" i="3"/>
  <c r="U575" i="3"/>
  <c r="U788" i="3"/>
  <c r="U121" i="3"/>
  <c r="U122" i="3"/>
  <c r="U123" i="3"/>
  <c r="U580" i="3"/>
  <c r="U1032" i="3"/>
  <c r="U888" i="3"/>
  <c r="U665" i="3"/>
  <c r="U680" i="3"/>
  <c r="U789" i="3"/>
  <c r="U124" i="3"/>
  <c r="U125" i="3"/>
  <c r="U126" i="3"/>
  <c r="U127" i="3"/>
  <c r="U952" i="3"/>
  <c r="U883" i="3"/>
  <c r="U128" i="3"/>
  <c r="U129" i="3"/>
  <c r="U960" i="3"/>
  <c r="U500" i="3"/>
  <c r="U925" i="3"/>
  <c r="U484" i="3"/>
  <c r="U681" i="3"/>
  <c r="U790" i="3"/>
  <c r="U97" i="3"/>
  <c r="U130" i="3"/>
  <c r="U131" i="3"/>
  <c r="U926" i="3"/>
  <c r="U791" i="3"/>
  <c r="U792" i="3"/>
  <c r="U132" i="3"/>
  <c r="U133" i="3"/>
  <c r="U927" i="3"/>
  <c r="U873" i="3"/>
  <c r="U928" i="3"/>
  <c r="U539" i="3"/>
  <c r="U485" i="3"/>
  <c r="U85" i="3"/>
  <c r="U134" i="3"/>
  <c r="U919" i="3"/>
  <c r="U540" i="3"/>
  <c r="U541" i="3"/>
  <c r="U515" i="3"/>
  <c r="U793" i="3"/>
  <c r="U794" i="3"/>
  <c r="U135" i="3"/>
  <c r="U939" i="3"/>
  <c r="U136" i="3"/>
  <c r="U137" i="3"/>
  <c r="U700" i="3"/>
  <c r="U727" i="3"/>
  <c r="U138" i="3"/>
  <c r="U139" i="3"/>
  <c r="U60" i="3"/>
  <c r="U140" i="3"/>
  <c r="U141" i="3"/>
  <c r="U142" i="3"/>
  <c r="U568" i="3"/>
  <c r="U795" i="3"/>
  <c r="U796" i="3"/>
  <c r="U143" i="3"/>
  <c r="U144" i="3"/>
  <c r="U145" i="3"/>
  <c r="U846" i="3"/>
  <c r="U91" i="3"/>
  <c r="U146" i="3"/>
  <c r="U147" i="3"/>
  <c r="U58" i="3"/>
  <c r="U148" i="3"/>
  <c r="U149" i="3"/>
  <c r="U947" i="3"/>
  <c r="U929" i="3"/>
  <c r="U150" i="3"/>
  <c r="U151" i="3"/>
  <c r="U152" i="3"/>
  <c r="U153" i="3"/>
  <c r="U74" i="3"/>
  <c r="U154" i="3"/>
  <c r="U1147" i="3"/>
  <c r="U624" i="3"/>
  <c r="U94" i="3"/>
  <c r="U155" i="3"/>
  <c r="U156" i="3"/>
  <c r="U889" i="3"/>
  <c r="U559" i="3"/>
  <c r="U157" i="3"/>
  <c r="U158" i="3"/>
  <c r="U890" i="3"/>
  <c r="U983" i="3"/>
  <c r="U516" i="3"/>
  <c r="U797" i="3"/>
  <c r="U885" i="3"/>
  <c r="U96" i="3"/>
  <c r="U102" i="3"/>
  <c r="U159" i="3"/>
  <c r="U160" i="3"/>
  <c r="U161" i="3"/>
  <c r="U162" i="3"/>
  <c r="U66" i="3"/>
  <c r="U930" i="3"/>
  <c r="U163" i="3"/>
  <c r="U164" i="3"/>
  <c r="U61" i="3"/>
  <c r="U165" i="3"/>
  <c r="U166" i="3"/>
  <c r="U167" i="3"/>
  <c r="U961" i="3"/>
  <c r="U891" i="3"/>
  <c r="U798" i="3"/>
  <c r="U168" i="3"/>
  <c r="U67" i="3"/>
  <c r="U169" i="3"/>
  <c r="U53" i="3"/>
  <c r="U542" i="3"/>
  <c r="U92" i="3"/>
  <c r="U170" i="3"/>
  <c r="U171" i="3"/>
  <c r="U172" i="3"/>
  <c r="U173" i="3"/>
  <c r="U174" i="3"/>
  <c r="U940" i="3"/>
  <c r="U738" i="3"/>
  <c r="U175" i="3"/>
  <c r="U176" i="3"/>
  <c r="U177" i="3"/>
  <c r="U178" i="3"/>
  <c r="U179" i="3"/>
  <c r="U953" i="3"/>
  <c r="U612" i="3"/>
  <c r="U799" i="3"/>
  <c r="U98" i="3"/>
  <c r="U180" i="3"/>
  <c r="U181" i="3"/>
  <c r="U860" i="3"/>
  <c r="U182" i="3"/>
  <c r="U183" i="3"/>
  <c r="U184" i="3"/>
  <c r="U592" i="3"/>
  <c r="U81" i="3"/>
  <c r="U613" i="3"/>
  <c r="U800" i="3"/>
  <c r="U89" i="3"/>
  <c r="U100" i="3"/>
  <c r="U185" i="3"/>
  <c r="U186" i="3"/>
  <c r="U187" i="3"/>
  <c r="U188" i="3"/>
  <c r="U189" i="3"/>
  <c r="U190" i="3"/>
  <c r="U720" i="3"/>
  <c r="U721" i="3"/>
  <c r="U657" i="3"/>
  <c r="U191" i="3"/>
  <c r="U192" i="3"/>
  <c r="U743" i="3"/>
  <c r="U193" i="3"/>
  <c r="U1141" i="3"/>
  <c r="U801" i="3"/>
  <c r="U739" i="3"/>
  <c r="U194" i="3"/>
  <c r="U195" i="3"/>
  <c r="U682" i="3"/>
  <c r="U196" i="3"/>
  <c r="U948" i="3"/>
  <c r="U1146" i="3"/>
  <c r="U197" i="3"/>
  <c r="U99" i="3"/>
  <c r="U198" i="3"/>
  <c r="U199" i="3"/>
  <c r="U54" i="3"/>
  <c r="U892" i="3"/>
  <c r="U1041" i="3"/>
  <c r="U802" i="3"/>
  <c r="U200" i="3"/>
  <c r="U893" i="3"/>
  <c r="U201" i="3"/>
  <c r="U77" i="3"/>
  <c r="U202" i="3"/>
  <c r="U894" i="3"/>
  <c r="U543" i="3"/>
  <c r="U803" i="3"/>
  <c r="U203" i="3"/>
  <c r="U204" i="3"/>
  <c r="U205" i="3"/>
  <c r="U206" i="3"/>
  <c r="U207" i="3"/>
  <c r="U68" i="3"/>
  <c r="U874" i="3"/>
  <c r="U625" i="3"/>
  <c r="U208" i="3"/>
  <c r="U209" i="3"/>
  <c r="U210" i="3"/>
  <c r="U62" i="3"/>
  <c r="U962" i="3"/>
  <c r="U842" i="3"/>
  <c r="U93" i="3"/>
  <c r="U211" i="3"/>
  <c r="U683" i="3"/>
  <c r="U1148" i="3"/>
  <c r="U658" i="3"/>
  <c r="U82" i="3"/>
  <c r="U212" i="3"/>
  <c r="U213" i="3"/>
  <c r="U830" i="3"/>
  <c r="U90" i="3"/>
  <c r="U214" i="3"/>
  <c r="U870" i="3"/>
  <c r="U740" i="3"/>
  <c r="U741" i="3"/>
  <c r="U215" i="3"/>
  <c r="U69" i="3"/>
  <c r="U216" i="3"/>
  <c r="U217" i="3"/>
  <c r="U501" i="3"/>
  <c r="U218" i="3"/>
  <c r="U88" i="3"/>
  <c r="U104" i="3"/>
  <c r="U70" i="3"/>
  <c r="U71" i="3"/>
  <c r="U941" i="3"/>
  <c r="U544" i="3"/>
  <c r="U744" i="3"/>
  <c r="U219" i="3"/>
  <c r="U861" i="3"/>
  <c r="U637" i="3"/>
  <c r="U517" i="3"/>
  <c r="U220" i="3"/>
  <c r="U72" i="3"/>
  <c r="U490" i="3"/>
  <c r="U942" i="3"/>
  <c r="U804" i="3"/>
  <c r="U221" i="3"/>
  <c r="U222" i="3"/>
  <c r="U223" i="3"/>
  <c r="U224" i="3"/>
  <c r="U225" i="3"/>
  <c r="U55" i="3"/>
  <c r="U871" i="3"/>
  <c r="U226" i="3"/>
  <c r="U805" i="3"/>
  <c r="U227" i="3"/>
  <c r="U228" i="3"/>
  <c r="U56" i="3"/>
  <c r="U593" i="3"/>
  <c r="U626" i="3"/>
  <c r="U229" i="3"/>
  <c r="U230" i="3"/>
  <c r="U518" i="3"/>
  <c r="U1015" i="3"/>
  <c r="U684" i="3"/>
  <c r="U992" i="3"/>
  <c r="U46" i="3"/>
  <c r="U42" i="3"/>
  <c r="U43" i="3"/>
  <c r="U560" i="3"/>
  <c r="U701" i="3"/>
  <c r="U806" i="3"/>
  <c r="U895" i="3"/>
  <c r="U685" i="3"/>
  <c r="U519" i="3"/>
  <c r="U640" i="3"/>
  <c r="U659" i="3"/>
  <c r="U896" i="3"/>
  <c r="U862" i="3"/>
  <c r="U545" i="3"/>
  <c r="U486" i="3"/>
  <c r="U935" i="3"/>
  <c r="U863" i="3"/>
  <c r="U897" i="3"/>
  <c r="U231" i="3"/>
  <c r="U614" i="3"/>
  <c r="U898" i="3"/>
  <c r="U931" i="3"/>
  <c r="U686" i="3"/>
  <c r="U875" i="3"/>
  <c r="U687" i="3"/>
  <c r="U1033" i="3"/>
  <c r="U932" i="3"/>
  <c r="U576" i="3"/>
  <c r="U899" i="3"/>
  <c r="U627" i="3"/>
  <c r="U876" i="3"/>
  <c r="U878" i="3"/>
  <c r="U491" i="3"/>
  <c r="U1028" i="3"/>
  <c r="U1034" i="3"/>
  <c r="U943" i="3"/>
  <c r="U569" i="3"/>
  <c r="U232" i="3"/>
  <c r="U963" i="3"/>
  <c r="U570" i="3"/>
  <c r="U900" i="3"/>
  <c r="U901" i="3"/>
  <c r="U73" i="3"/>
  <c r="U902" i="3"/>
  <c r="U546" i="3"/>
  <c r="U879" i="3"/>
  <c r="U605" i="3"/>
  <c r="U903" i="3"/>
  <c r="U904" i="3"/>
  <c r="U561" i="3"/>
  <c r="U57" i="3"/>
  <c r="U905" i="3"/>
  <c r="U722" i="3"/>
  <c r="U807" i="3"/>
  <c r="U601" i="3"/>
  <c r="U884" i="3"/>
  <c r="U880" i="3"/>
  <c r="U688" i="3"/>
  <c r="U906" i="3"/>
  <c r="U602" i="3"/>
  <c r="U562" i="3"/>
  <c r="U689" i="3"/>
  <c r="U907" i="3"/>
  <c r="U492" i="3"/>
  <c r="U877" i="3"/>
  <c r="U695" i="3"/>
  <c r="U650" i="3"/>
  <c r="U908" i="3"/>
  <c r="U596" i="3"/>
  <c r="U909" i="3"/>
  <c r="U660" i="3"/>
  <c r="U864" i="3"/>
  <c r="U547" i="3"/>
  <c r="U628" i="3"/>
  <c r="U474" i="3"/>
  <c r="U563" i="3"/>
  <c r="U1035" i="3"/>
  <c r="U964" i="3"/>
  <c r="U872" i="3"/>
  <c r="U690" i="3"/>
  <c r="U629" i="3"/>
  <c r="U910" i="3"/>
  <c r="U630" i="3"/>
  <c r="U881" i="3"/>
  <c r="U911" i="3"/>
  <c r="U965" i="3"/>
  <c r="U691" i="3"/>
  <c r="U34" i="3"/>
  <c r="U944" i="3"/>
  <c r="U912" i="3"/>
  <c r="U882" i="3"/>
  <c r="U723" i="3"/>
  <c r="U724" i="3"/>
  <c r="U913" i="3"/>
  <c r="U945" i="3"/>
  <c r="U914" i="3"/>
  <c r="U17" i="3"/>
  <c r="U850" i="3"/>
  <c r="U12" i="3"/>
  <c r="U29" i="3"/>
  <c r="U15" i="3"/>
  <c r="U9" i="3"/>
  <c r="U465" i="3"/>
  <c r="U666" i="3"/>
  <c r="U581" i="3"/>
  <c r="U651" i="3"/>
  <c r="U1145" i="3"/>
  <c r="U621" i="3"/>
  <c r="U607" i="3"/>
  <c r="U663" i="3"/>
  <c r="U710" i="3"/>
  <c r="U886" i="3"/>
  <c r="U692" i="3"/>
  <c r="U1160" i="3"/>
  <c r="U489" i="3"/>
  <c r="U502" i="3"/>
  <c r="U668" i="3"/>
  <c r="U620" i="3"/>
  <c r="U475" i="3"/>
  <c r="U40" i="3"/>
  <c r="U705" i="3"/>
  <c r="U520" i="3"/>
  <c r="U476" i="3"/>
  <c r="U470" i="3"/>
  <c r="U548" i="3"/>
  <c r="U37" i="3"/>
  <c r="U460" i="3"/>
  <c r="U477" i="3"/>
  <c r="U652" i="3"/>
  <c r="U503" i="3"/>
  <c r="U549" i="3"/>
  <c r="U615" i="3"/>
  <c r="U594" i="3"/>
  <c r="U631" i="3"/>
  <c r="U856" i="3"/>
  <c r="U661" i="3"/>
  <c r="U550" i="3"/>
  <c r="U1016" i="3"/>
  <c r="U632" i="3"/>
  <c r="U670" i="3"/>
  <c r="U647" i="3"/>
  <c r="U1149" i="3"/>
  <c r="U808" i="3"/>
  <c r="U641" i="3"/>
  <c r="U915" i="3"/>
  <c r="U480" i="3"/>
  <c r="U79" i="3"/>
  <c r="U2" i="3"/>
  <c r="U3" i="3"/>
  <c r="U24" i="3"/>
  <c r="U16" i="3"/>
  <c r="U45" i="3"/>
  <c r="U556" i="3"/>
  <c r="U8" i="3"/>
  <c r="U25" i="3"/>
  <c r="U407" i="3"/>
  <c r="U5" i="3"/>
  <c r="U399" i="3"/>
  <c r="U1144" i="3"/>
  <c r="U825" i="3"/>
  <c r="U78" i="3"/>
  <c r="U706" i="3"/>
  <c r="U462" i="3"/>
  <c r="U922" i="3"/>
  <c r="U481" i="3"/>
  <c r="U916" i="3"/>
  <c r="U487" i="3"/>
  <c r="U638" i="3"/>
  <c r="U642" i="3"/>
  <c r="U488" i="3"/>
  <c r="U918" i="3"/>
  <c r="U4" i="3"/>
  <c r="U478" i="3"/>
  <c r="U463" i="3"/>
  <c r="U809" i="3"/>
  <c r="U504" i="3"/>
  <c r="U851" i="3"/>
  <c r="U1019" i="3"/>
  <c r="U633" i="3"/>
  <c r="U564" i="3"/>
  <c r="U653" i="3"/>
  <c r="U810" i="3"/>
  <c r="U468" i="3"/>
  <c r="U606" i="3"/>
  <c r="U233" i="3"/>
  <c r="U634" i="3"/>
  <c r="U1152" i="3"/>
  <c r="U635" i="3"/>
  <c r="U617" i="3"/>
  <c r="U643" i="3"/>
  <c r="U1027" i="3"/>
  <c r="U648" i="3"/>
  <c r="U636" i="3"/>
  <c r="U565" i="3"/>
  <c r="U644" i="3"/>
  <c r="U505" i="3"/>
  <c r="U521" i="3"/>
  <c r="U811" i="3"/>
  <c r="U812" i="3"/>
  <c r="U566" i="3"/>
  <c r="U469" i="3"/>
  <c r="U813" i="3"/>
  <c r="U814" i="3"/>
  <c r="U815" i="3"/>
  <c r="U816" i="3"/>
  <c r="U649" i="3"/>
  <c r="U662" i="3"/>
  <c r="U817" i="3"/>
  <c r="U645" i="3"/>
  <c r="U577" i="3"/>
  <c r="U461" i="3"/>
  <c r="U646" i="3"/>
  <c r="U551" i="3"/>
  <c r="U552" i="3"/>
  <c r="U619" i="3"/>
  <c r="U818" i="3"/>
  <c r="U1023" i="3"/>
  <c r="U506" i="3"/>
  <c r="U522" i="3"/>
  <c r="U523" i="3"/>
  <c r="U819" i="3"/>
  <c r="U820" i="3"/>
  <c r="U493" i="3"/>
  <c r="U553" i="3"/>
  <c r="U567" i="3"/>
  <c r="U616" i="3"/>
  <c r="U507" i="3"/>
  <c r="U578" i="3"/>
  <c r="U479" i="3"/>
  <c r="U464" i="3"/>
  <c r="U31" i="3"/>
  <c r="U7" i="3"/>
  <c r="U11" i="3"/>
  <c r="U10" i="3"/>
  <c r="U13" i="3"/>
  <c r="U14" i="3"/>
  <c r="U18" i="3"/>
  <c r="U19" i="3"/>
  <c r="U20" i="3"/>
  <c r="U22" i="3"/>
  <c r="U21" i="3"/>
  <c r="U23" i="3"/>
  <c r="U26" i="3"/>
  <c r="U27" i="3"/>
  <c r="U28" i="3"/>
  <c r="U30" i="3"/>
  <c r="U32" i="3"/>
  <c r="U33" i="3"/>
  <c r="U35" i="3"/>
  <c r="U36" i="3"/>
  <c r="U38" i="3"/>
  <c r="U44" i="3"/>
  <c r="U51" i="3"/>
  <c r="U52" i="3"/>
  <c r="U48" i="3"/>
  <c r="U47" i="3"/>
  <c r="U49" i="3"/>
  <c r="U50" i="3"/>
  <c r="U86" i="3"/>
  <c r="U76" i="3"/>
  <c r="U83" i="3"/>
  <c r="U95" i="3"/>
  <c r="U234" i="3"/>
  <c r="U235" i="3"/>
  <c r="U236" i="3"/>
  <c r="U237" i="3"/>
  <c r="U345" i="3"/>
  <c r="U288" i="3"/>
  <c r="U291" i="3"/>
  <c r="U271" i="3"/>
  <c r="U413" i="3"/>
  <c r="U249" i="3"/>
  <c r="U286" i="3"/>
  <c r="U266" i="3"/>
  <c r="U415" i="3"/>
  <c r="U295" i="3"/>
  <c r="U439" i="3"/>
  <c r="U438" i="3"/>
  <c r="U394" i="3"/>
  <c r="U433" i="3"/>
  <c r="U283" i="3"/>
  <c r="U435" i="3"/>
  <c r="U282" i="3"/>
  <c r="U312" i="3"/>
  <c r="U321" i="3"/>
  <c r="U425" i="3"/>
  <c r="U427" i="3"/>
  <c r="U304" i="3"/>
  <c r="U443" i="3"/>
  <c r="U375" i="3"/>
  <c r="U380" i="3"/>
  <c r="U406" i="3"/>
  <c r="U390" i="3"/>
  <c r="U392" i="3"/>
  <c r="U245" i="3"/>
  <c r="U428" i="3"/>
  <c r="U441" i="3"/>
  <c r="U318" i="3"/>
  <c r="U255" i="3"/>
  <c r="U395" i="3"/>
  <c r="U445" i="3"/>
  <c r="U383" i="3"/>
  <c r="U301" i="3"/>
  <c r="U310" i="3"/>
  <c r="U374" i="3"/>
  <c r="U382" i="3"/>
  <c r="U446" i="3"/>
  <c r="U309" i="3"/>
  <c r="U239" i="3"/>
  <c r="U371" i="3"/>
  <c r="U347" i="3"/>
  <c r="U424" i="3"/>
  <c r="U372" i="3"/>
  <c r="U258" i="3"/>
  <c r="U409" i="3"/>
  <c r="U432" i="3"/>
  <c r="U270" i="3"/>
  <c r="U289" i="3"/>
  <c r="U402" i="3"/>
  <c r="U299" i="3"/>
  <c r="U257" i="3"/>
  <c r="U397" i="3"/>
  <c r="U265" i="3"/>
  <c r="U341" i="3"/>
  <c r="U269" i="3"/>
  <c r="U408" i="3"/>
  <c r="U339" i="3"/>
  <c r="U272" i="3"/>
  <c r="U442" i="3"/>
  <c r="U400" i="3"/>
  <c r="U267" i="3"/>
  <c r="U268" i="3"/>
  <c r="U378" i="3"/>
  <c r="U306" i="3"/>
  <c r="U452" i="3"/>
  <c r="U285" i="3"/>
  <c r="U254" i="3"/>
  <c r="U363" i="3"/>
  <c r="U365" i="3"/>
  <c r="U405" i="3"/>
  <c r="U448" i="3"/>
  <c r="U376" i="3"/>
  <c r="U431" i="3"/>
  <c r="U273" i="3"/>
  <c r="U377" i="3"/>
  <c r="U369" i="3"/>
  <c r="U437" i="3"/>
  <c r="U303" i="3"/>
  <c r="U355" i="3"/>
  <c r="U340" i="3"/>
  <c r="U389" i="3"/>
  <c r="U277" i="3"/>
  <c r="U368" i="3"/>
  <c r="U305" i="3"/>
  <c r="U440" i="3"/>
  <c r="U453" i="3"/>
  <c r="U307" i="3"/>
  <c r="U450" i="3"/>
  <c r="U263" i="3"/>
  <c r="U261" i="3"/>
  <c r="U315" i="3"/>
  <c r="U401" i="3"/>
  <c r="U419" i="3"/>
  <c r="U280" i="3"/>
  <c r="U422" i="3"/>
  <c r="U396" i="3"/>
  <c r="U320" i="3"/>
  <c r="U242" i="3"/>
  <c r="U328" i="3"/>
  <c r="U338" i="3"/>
  <c r="U429" i="3"/>
  <c r="U344" i="3"/>
  <c r="U447" i="3"/>
  <c r="U398" i="3"/>
  <c r="U238" i="3"/>
  <c r="U253" i="3"/>
  <c r="U293" i="3"/>
  <c r="U420" i="3"/>
  <c r="U323" i="3"/>
  <c r="U388" i="3"/>
  <c r="U391" i="3"/>
  <c r="U352" i="3"/>
  <c r="U317" i="3"/>
  <c r="U348" i="3"/>
  <c r="U264" i="3"/>
  <c r="U384" i="3"/>
  <c r="U349" i="3"/>
  <c r="U360" i="3"/>
  <c r="U276" i="3"/>
  <c r="U240" i="3"/>
  <c r="U359" i="3"/>
  <c r="U322" i="3"/>
  <c r="U290" i="3"/>
  <c r="U259" i="3"/>
  <c r="U298" i="3"/>
  <c r="U455" i="3"/>
  <c r="U278" i="3"/>
  <c r="U314" i="3"/>
  <c r="U342" i="3"/>
  <c r="U346" i="3"/>
  <c r="U367" i="3"/>
  <c r="U274" i="3"/>
  <c r="U248" i="3"/>
  <c r="U329" i="3"/>
  <c r="U410" i="3"/>
  <c r="U426" i="3"/>
  <c r="U262" i="3"/>
  <c r="U411" i="3"/>
  <c r="U353" i="3"/>
  <c r="U308" i="3"/>
  <c r="U350" i="3"/>
  <c r="U366" i="3"/>
  <c r="U311" i="3"/>
  <c r="U385" i="3"/>
  <c r="U252" i="3"/>
  <c r="U334" i="3"/>
  <c r="U444" i="3"/>
  <c r="U300" i="3"/>
  <c r="U326" i="3"/>
  <c r="U331" i="3"/>
  <c r="U357" i="3"/>
  <c r="U412" i="3"/>
  <c r="U284" i="3"/>
  <c r="U332" i="3"/>
  <c r="U358" i="3"/>
  <c r="U381" i="3"/>
  <c r="U421" i="3"/>
  <c r="U343" i="3"/>
  <c r="U404" i="3"/>
  <c r="U275" i="3"/>
  <c r="U294" i="3"/>
  <c r="U316" i="3"/>
  <c r="U362" i="3"/>
  <c r="U449" i="3"/>
  <c r="U454" i="3"/>
  <c r="U256" i="3"/>
  <c r="U386" i="3"/>
  <c r="U250" i="3"/>
  <c r="U333" i="3"/>
  <c r="U418" i="3"/>
  <c r="U247" i="3"/>
  <c r="U319" i="3"/>
  <c r="U364" i="3"/>
  <c r="U417" i="3"/>
  <c r="U373" i="3"/>
  <c r="U260" i="3"/>
  <c r="U361" i="3"/>
  <c r="U436" i="3"/>
  <c r="U279" i="3"/>
  <c r="U325" i="3"/>
  <c r="U327" i="3"/>
  <c r="U336" i="3"/>
  <c r="U379" i="3"/>
  <c r="U287" i="3"/>
  <c r="U356" i="3"/>
  <c r="U370" i="3"/>
  <c r="U416" i="3"/>
  <c r="U244" i="3"/>
  <c r="U281" i="3"/>
  <c r="U387" i="3"/>
  <c r="U434" i="3"/>
  <c r="U292" i="3"/>
  <c r="U302" i="3"/>
  <c r="U335" i="3"/>
  <c r="U393" i="3"/>
  <c r="U451" i="3"/>
  <c r="U243" i="3"/>
  <c r="U337" i="3"/>
  <c r="U457" i="3"/>
  <c r="U251" i="3"/>
  <c r="U297" i="3"/>
  <c r="U330" i="3"/>
  <c r="U430" i="3"/>
  <c r="U354" i="3"/>
  <c r="U324" i="3"/>
  <c r="U246" i="3"/>
  <c r="U241" i="3"/>
  <c r="U313" i="3"/>
  <c r="U423" i="3"/>
  <c r="U456" i="3"/>
  <c r="U414" i="3"/>
  <c r="U296" i="3"/>
  <c r="U351" i="3"/>
  <c r="U403" i="3"/>
  <c r="U467" i="3"/>
  <c r="U466" i="3"/>
  <c r="U472" i="3"/>
  <c r="U471" i="3"/>
  <c r="U482" i="3"/>
  <c r="U494" i="3"/>
  <c r="U528" i="3"/>
  <c r="U529" i="3"/>
  <c r="U573" i="3"/>
  <c r="U572" i="3"/>
  <c r="U571" i="3"/>
  <c r="U582" i="3"/>
  <c r="U583" i="3"/>
  <c r="U587" i="3"/>
  <c r="U588" i="3"/>
  <c r="U585" i="3"/>
  <c r="U586" i="3"/>
  <c r="U584" i="3"/>
  <c r="U589" i="3"/>
  <c r="U598" i="3"/>
  <c r="U597" i="3"/>
  <c r="U603" i="3"/>
  <c r="U608" i="3"/>
  <c r="U609" i="3"/>
  <c r="U618" i="3"/>
  <c r="U622" i="3"/>
  <c r="U623" i="3"/>
  <c r="U639" i="3"/>
  <c r="U669" i="3"/>
  <c r="U667" i="3"/>
  <c r="U693" i="3"/>
  <c r="U694" i="3"/>
  <c r="U699" i="3"/>
  <c r="U698" i="3"/>
  <c r="U697" i="3"/>
  <c r="U696" i="3"/>
  <c r="U702" i="3"/>
  <c r="U703" i="3"/>
  <c r="U704" i="3"/>
  <c r="U711" i="3"/>
  <c r="U708" i="3"/>
  <c r="U713" i="3"/>
  <c r="U712" i="3"/>
  <c r="U714" i="3"/>
  <c r="U715" i="3"/>
  <c r="U707" i="3"/>
  <c r="U709" i="3"/>
  <c r="U726" i="3"/>
  <c r="U725" i="3"/>
  <c r="U731" i="3"/>
  <c r="U732" i="3"/>
  <c r="U730" i="3"/>
  <c r="U728" i="3"/>
  <c r="U729" i="3"/>
  <c r="U742" i="3"/>
  <c r="U746" i="3"/>
  <c r="U747" i="3"/>
  <c r="U750" i="3"/>
  <c r="U752" i="3"/>
  <c r="U751" i="3"/>
  <c r="U753" i="3"/>
  <c r="U748" i="3"/>
  <c r="U745" i="3"/>
  <c r="U749" i="3"/>
  <c r="U823" i="3"/>
  <c r="U822" i="3"/>
  <c r="U821" i="3"/>
  <c r="U824" i="3"/>
  <c r="U827" i="3"/>
  <c r="U826" i="3"/>
  <c r="U833" i="3"/>
  <c r="U831" i="3"/>
  <c r="U832" i="3"/>
  <c r="U834" i="3"/>
  <c r="U835" i="3"/>
  <c r="U837" i="3"/>
  <c r="U836" i="3"/>
  <c r="U839" i="3"/>
  <c r="U840" i="3"/>
  <c r="U841" i="3"/>
  <c r="U838" i="3"/>
  <c r="U843" i="3"/>
  <c r="U844" i="3"/>
  <c r="U845" i="3"/>
  <c r="U849" i="3"/>
  <c r="U847" i="3"/>
  <c r="U848" i="3"/>
  <c r="U852" i="3"/>
  <c r="U854" i="3"/>
  <c r="U855" i="3"/>
  <c r="U853" i="3"/>
  <c r="U858" i="3"/>
  <c r="U857" i="3"/>
  <c r="U867" i="3"/>
  <c r="U869" i="3"/>
  <c r="U866" i="3"/>
  <c r="U868" i="3"/>
  <c r="U865" i="3"/>
  <c r="U917" i="3"/>
  <c r="U923" i="3"/>
  <c r="U921" i="3"/>
  <c r="U936" i="3"/>
  <c r="U937" i="3"/>
  <c r="U955" i="3"/>
  <c r="U954" i="3"/>
  <c r="U966" i="3"/>
  <c r="U967" i="3"/>
  <c r="U969" i="3"/>
  <c r="U981" i="3"/>
  <c r="U973" i="3"/>
  <c r="U970" i="3"/>
  <c r="U975" i="3"/>
  <c r="U971" i="3"/>
  <c r="U977" i="3"/>
  <c r="U982" i="3"/>
  <c r="U972" i="3"/>
  <c r="U976" i="3"/>
  <c r="U980" i="3"/>
  <c r="U979" i="3"/>
  <c r="U974" i="3"/>
  <c r="U978" i="3"/>
  <c r="U987" i="3"/>
  <c r="U985" i="3"/>
  <c r="U990" i="3"/>
  <c r="U989" i="3"/>
  <c r="U988" i="3"/>
  <c r="U986" i="3"/>
  <c r="U984" i="3"/>
  <c r="U993" i="3"/>
  <c r="U995" i="3"/>
  <c r="U994" i="3"/>
  <c r="U996" i="3"/>
  <c r="U1000" i="3"/>
  <c r="U999" i="3"/>
  <c r="U997" i="3"/>
  <c r="U998" i="3"/>
  <c r="U1001" i="3"/>
  <c r="U1002" i="3"/>
  <c r="U1003" i="3"/>
  <c r="U1006" i="3"/>
  <c r="U1005" i="3"/>
  <c r="U1004" i="3"/>
  <c r="U1007" i="3"/>
  <c r="U1008" i="3"/>
  <c r="U1009" i="3"/>
  <c r="U1010" i="3"/>
  <c r="U1011" i="3"/>
  <c r="U1013" i="3"/>
  <c r="U1012" i="3"/>
  <c r="U1018" i="3"/>
  <c r="U1021" i="3"/>
  <c r="U1020" i="3"/>
  <c r="U1025" i="3"/>
  <c r="U1024" i="3"/>
  <c r="U1031" i="3"/>
  <c r="U1029" i="3"/>
  <c r="U1030" i="3"/>
  <c r="U1036" i="3"/>
  <c r="U1037" i="3"/>
  <c r="U1038" i="3"/>
  <c r="U1040" i="3"/>
  <c r="U1044" i="3"/>
  <c r="U1043" i="3"/>
  <c r="U1042" i="3"/>
  <c r="U1046" i="3"/>
  <c r="U1047" i="3"/>
  <c r="U1045" i="3"/>
  <c r="U1048" i="3"/>
  <c r="U1049" i="3"/>
  <c r="U1050" i="3"/>
  <c r="U1052" i="3"/>
  <c r="U1053" i="3"/>
  <c r="U1054" i="3"/>
  <c r="U1051" i="3"/>
  <c r="U1059" i="3"/>
  <c r="U1055" i="3"/>
  <c r="U1072" i="3"/>
  <c r="U1065" i="3"/>
  <c r="U1063" i="3"/>
  <c r="U1064" i="3"/>
  <c r="U1069" i="3"/>
  <c r="U1058" i="3"/>
  <c r="U1062" i="3"/>
  <c r="U1066" i="3"/>
  <c r="U1061" i="3"/>
  <c r="U1067" i="3"/>
  <c r="U1057" i="3"/>
  <c r="U1070" i="3"/>
  <c r="U1056" i="3"/>
  <c r="U1060" i="3"/>
  <c r="U1071" i="3"/>
  <c r="U1068" i="3"/>
  <c r="U1073" i="3"/>
  <c r="U1075" i="3"/>
  <c r="U1077" i="3"/>
  <c r="U1074" i="3"/>
  <c r="U1076" i="3"/>
  <c r="U1084" i="3"/>
  <c r="U1078" i="3"/>
  <c r="U1081" i="3"/>
  <c r="U1083" i="3"/>
  <c r="U1079" i="3"/>
  <c r="U1082" i="3"/>
  <c r="U1080" i="3"/>
  <c r="U1085" i="3"/>
  <c r="U1086" i="3"/>
  <c r="U1092" i="3"/>
  <c r="U1087" i="3"/>
  <c r="U1093" i="3"/>
  <c r="U1091" i="3"/>
  <c r="U1095" i="3"/>
  <c r="U1090" i="3"/>
  <c r="U1094" i="3"/>
  <c r="U1088" i="3"/>
  <c r="U1089" i="3"/>
  <c r="U1096" i="3"/>
  <c r="U1103" i="3"/>
  <c r="U1102" i="3"/>
  <c r="U1100" i="3"/>
  <c r="U1098" i="3"/>
  <c r="U1104" i="3"/>
  <c r="U1097" i="3"/>
  <c r="U1101" i="3"/>
  <c r="U1105" i="3"/>
  <c r="U1099" i="3"/>
  <c r="U1114" i="3"/>
  <c r="U1106" i="3"/>
  <c r="U1110" i="3"/>
  <c r="U1111" i="3"/>
  <c r="U1109" i="3"/>
  <c r="U1108" i="3"/>
  <c r="U1107" i="3"/>
  <c r="U1112" i="3"/>
  <c r="U1113" i="3"/>
  <c r="U1126" i="3"/>
  <c r="U1123" i="3"/>
  <c r="U1122" i="3"/>
  <c r="U1120" i="3"/>
  <c r="U1121" i="3"/>
  <c r="U1118" i="3"/>
  <c r="U1119" i="3"/>
  <c r="U1130" i="3"/>
  <c r="U1124" i="3"/>
  <c r="U1128" i="3"/>
  <c r="U1115" i="3"/>
  <c r="U1129" i="3"/>
  <c r="U1116" i="3"/>
  <c r="U1117" i="3"/>
  <c r="U1125" i="3"/>
  <c r="U1127" i="3"/>
  <c r="U1131" i="3"/>
  <c r="U1132" i="3"/>
  <c r="U1134" i="3"/>
  <c r="U1133" i="3"/>
  <c r="U1135" i="3"/>
  <c r="U1136" i="3"/>
  <c r="U1138" i="3"/>
  <c r="U1139" i="3"/>
  <c r="U1137" i="3"/>
  <c r="U1140" i="3"/>
  <c r="U1143" i="3"/>
  <c r="U1142" i="3"/>
  <c r="U1151" i="3"/>
  <c r="U1153" i="3"/>
  <c r="U1154" i="3"/>
  <c r="U1155" i="3"/>
  <c r="U1156" i="3"/>
  <c r="U1157" i="3"/>
  <c r="U1158" i="3"/>
  <c r="U1159" i="3"/>
  <c r="U1161" i="3"/>
  <c r="U1162" i="3"/>
  <c r="U1163" i="3"/>
  <c r="U1165" i="3"/>
  <c r="U1164" i="3"/>
  <c r="U6" i="3"/>
  <c r="W19" i="3"/>
  <c r="W20" i="3"/>
  <c r="W22" i="3"/>
  <c r="W21" i="3"/>
  <c r="W23" i="3"/>
  <c r="W26" i="3"/>
  <c r="W27" i="3"/>
  <c r="W28" i="3"/>
  <c r="W30" i="3"/>
  <c r="W33" i="3"/>
  <c r="W36" i="3"/>
  <c r="W76" i="3"/>
  <c r="W83" i="3"/>
  <c r="W95" i="3"/>
  <c r="W234" i="3"/>
  <c r="W236" i="3"/>
  <c r="W410" i="3"/>
  <c r="W426" i="3"/>
  <c r="W262" i="3"/>
  <c r="W411" i="3"/>
  <c r="W353" i="3"/>
  <c r="W308" i="3"/>
  <c r="W350" i="3"/>
  <c r="W366" i="3"/>
  <c r="W311" i="3"/>
  <c r="W385" i="3"/>
  <c r="W252" i="3"/>
  <c r="W334" i="3"/>
  <c r="W444" i="3"/>
  <c r="W300" i="3"/>
  <c r="W326" i="3"/>
  <c r="W331" i="3"/>
  <c r="W357" i="3"/>
  <c r="W412" i="3"/>
  <c r="W284" i="3"/>
  <c r="W332" i="3"/>
  <c r="W358" i="3"/>
  <c r="W381" i="3"/>
  <c r="W421" i="3"/>
  <c r="W343" i="3"/>
  <c r="W404" i="3"/>
  <c r="W275" i="3"/>
  <c r="W294" i="3"/>
  <c r="W316" i="3"/>
  <c r="W362" i="3"/>
  <c r="W449" i="3"/>
  <c r="W454" i="3"/>
  <c r="W256" i="3"/>
  <c r="W386" i="3"/>
  <c r="W250" i="3"/>
  <c r="W333" i="3"/>
  <c r="W418" i="3"/>
  <c r="W247" i="3"/>
  <c r="W319" i="3"/>
  <c r="W364" i="3"/>
  <c r="W417" i="3"/>
  <c r="W373" i="3"/>
  <c r="W260" i="3"/>
  <c r="W361" i="3"/>
  <c r="W436" i="3"/>
  <c r="W279" i="3"/>
  <c r="W325" i="3"/>
  <c r="W327" i="3"/>
  <c r="W336" i="3"/>
  <c r="W379" i="3"/>
  <c r="W287" i="3"/>
  <c r="W356" i="3"/>
  <c r="W370" i="3"/>
  <c r="W416" i="3"/>
  <c r="W244" i="3"/>
  <c r="W281" i="3"/>
  <c r="W387" i="3"/>
  <c r="W434" i="3"/>
  <c r="W292" i="3"/>
  <c r="W302" i="3"/>
  <c r="W335" i="3"/>
  <c r="W393" i="3"/>
  <c r="W451" i="3"/>
  <c r="W243" i="3"/>
  <c r="W337" i="3"/>
  <c r="W457" i="3"/>
  <c r="W251" i="3"/>
  <c r="W297" i="3"/>
  <c r="W330" i="3"/>
  <c r="W430" i="3"/>
  <c r="W354" i="3"/>
  <c r="W324" i="3"/>
  <c r="W246" i="3"/>
  <c r="W241" i="3"/>
  <c r="W313" i="3"/>
  <c r="W423" i="3"/>
  <c r="W456" i="3"/>
  <c r="W414" i="3"/>
  <c r="W296" i="3"/>
  <c r="W351" i="3"/>
  <c r="W403" i="3"/>
  <c r="W467" i="3"/>
  <c r="W466" i="3"/>
  <c r="W472" i="3"/>
  <c r="W471" i="3"/>
  <c r="W528" i="3"/>
  <c r="W529" i="3"/>
  <c r="W573" i="3"/>
  <c r="W572" i="3"/>
  <c r="W571" i="3"/>
  <c r="W582" i="3"/>
  <c r="W583" i="3"/>
  <c r="W586" i="3"/>
  <c r="W584" i="3"/>
  <c r="W589" i="3"/>
  <c r="W598" i="3"/>
  <c r="W597" i="3"/>
  <c r="W603" i="3"/>
  <c r="W609" i="3"/>
  <c r="W618" i="3"/>
  <c r="W623" i="3"/>
  <c r="W639" i="3"/>
  <c r="W667" i="3"/>
  <c r="W699" i="3"/>
  <c r="W713" i="3"/>
  <c r="W712" i="3"/>
  <c r="W714" i="3"/>
  <c r="W715" i="3"/>
  <c r="W731" i="3"/>
  <c r="W732" i="3"/>
  <c r="W730" i="3"/>
  <c r="W752" i="3"/>
  <c r="W751" i="3"/>
  <c r="W753" i="3"/>
  <c r="W827" i="3"/>
  <c r="W826" i="3"/>
  <c r="W839" i="3"/>
  <c r="W840" i="3"/>
  <c r="W841" i="3"/>
  <c r="W843" i="3"/>
  <c r="W845" i="3"/>
  <c r="W855" i="3"/>
  <c r="W869" i="3"/>
  <c r="W923" i="3"/>
  <c r="W967" i="3"/>
  <c r="W981" i="3"/>
  <c r="W973" i="3"/>
  <c r="W970" i="3"/>
  <c r="W975" i="3"/>
  <c r="W971" i="3"/>
  <c r="W977" i="3"/>
  <c r="W982" i="3"/>
  <c r="W972" i="3"/>
  <c r="W976" i="3"/>
  <c r="W980" i="3"/>
  <c r="W979" i="3"/>
  <c r="W974" i="3"/>
  <c r="W978" i="3"/>
  <c r="W990" i="3"/>
  <c r="W989" i="3"/>
  <c r="W988" i="3"/>
  <c r="W1000" i="3"/>
  <c r="W999" i="3"/>
  <c r="W997" i="3"/>
  <c r="W998" i="3"/>
  <c r="W1001" i="3"/>
  <c r="W1006" i="3"/>
  <c r="W1005" i="3"/>
  <c r="W1004" i="3"/>
  <c r="W1007" i="3"/>
  <c r="W1008" i="3"/>
  <c r="W1018" i="3"/>
  <c r="W1021" i="3"/>
  <c r="W1025" i="3"/>
  <c r="W6" i="3"/>
  <c r="W7" i="3"/>
  <c r="W1047" i="3"/>
  <c r="W1052" i="3"/>
  <c r="W1053" i="3"/>
  <c r="W1054" i="3"/>
  <c r="W1095" i="3"/>
  <c r="W11" i="3"/>
  <c r="W10" i="3"/>
  <c r="W1143" i="3"/>
  <c r="W1142" i="3"/>
  <c r="W13" i="3"/>
  <c r="W14" i="3"/>
  <c r="W1153" i="3"/>
  <c r="W1155" i="3"/>
  <c r="W1156" i="3"/>
  <c r="W18" i="3"/>
  <c r="W1081" i="3"/>
  <c r="W1118" i="3"/>
  <c r="W1072" i="3"/>
  <c r="W1098" i="3"/>
  <c r="W1003" i="3"/>
  <c r="W1107" i="3"/>
  <c r="W1112" i="3"/>
  <c r="W702" i="3"/>
  <c r="W1083" i="3"/>
  <c r="W831" i="3"/>
  <c r="W707" i="3"/>
  <c r="W1161" i="3"/>
  <c r="W698" i="3"/>
  <c r="W1040" i="3"/>
  <c r="W1065" i="3"/>
  <c r="W1063" i="3"/>
  <c r="W728" i="3"/>
  <c r="W1085" i="3"/>
  <c r="W1104" i="3"/>
  <c r="W703" i="3"/>
  <c r="W1090" i="3"/>
  <c r="W1020" i="3"/>
  <c r="W1133" i="3"/>
  <c r="W1064" i="3"/>
  <c r="W704" i="3"/>
  <c r="W1024" i="3"/>
  <c r="W832" i="3"/>
  <c r="W709" i="3"/>
  <c r="W986" i="3"/>
  <c r="W748" i="3"/>
  <c r="W1113" i="3"/>
  <c r="W1069" i="3"/>
  <c r="W1058" i="3"/>
  <c r="W858" i="3"/>
  <c r="W1094" i="3"/>
  <c r="W1096" i="3"/>
  <c r="W1119" i="3"/>
  <c r="W1135" i="3"/>
  <c r="W1075" i="3"/>
  <c r="W847" i="3"/>
  <c r="W1062" i="3"/>
  <c r="W1079" i="3"/>
  <c r="W1097" i="3"/>
  <c r="W1082" i="3"/>
  <c r="W1029" i="3"/>
  <c r="W835" i="3"/>
  <c r="W1088" i="3"/>
  <c r="W1066" i="3"/>
  <c r="W1130" i="3"/>
  <c r="W1101" i="3"/>
  <c r="W1089" i="3"/>
  <c r="W1051" i="3"/>
  <c r="W1158" i="3"/>
  <c r="W1124" i="3"/>
  <c r="W848" i="3"/>
  <c r="W1030" i="3"/>
  <c r="W1050" i="3"/>
  <c r="W1061" i="3"/>
  <c r="W917" i="3"/>
  <c r="W969" i="3"/>
  <c r="W1067" i="3"/>
  <c r="W1057" i="3"/>
  <c r="W838" i="3"/>
  <c r="W984" i="3"/>
  <c r="W1077" i="3"/>
  <c r="W1036" i="3"/>
  <c r="W1105" i="3"/>
  <c r="W1140" i="3"/>
  <c r="W921" i="3"/>
  <c r="W1128" i="3"/>
  <c r="W1074" i="3"/>
  <c r="W1115" i="3"/>
  <c r="W1129" i="3"/>
  <c r="W1099" i="3"/>
  <c r="W1076" i="3"/>
  <c r="W1045" i="3"/>
  <c r="W1116" i="3"/>
  <c r="W1086" i="3"/>
  <c r="W1117" i="3"/>
  <c r="W1070" i="3"/>
  <c r="W1056" i="3"/>
  <c r="W1012" i="3"/>
  <c r="W1125" i="3"/>
  <c r="W866" i="3"/>
  <c r="W1080" i="3"/>
  <c r="W1127" i="3"/>
  <c r="W729" i="3"/>
  <c r="W1073" i="3"/>
  <c r="W834" i="3"/>
  <c r="W745" i="3"/>
  <c r="W937" i="3"/>
  <c r="W993" i="3"/>
  <c r="W749" i="3"/>
  <c r="W1159" i="3"/>
  <c r="W1165" i="3"/>
  <c r="W868" i="3"/>
  <c r="W1132" i="3"/>
  <c r="W1136" i="3"/>
  <c r="W1060" i="3"/>
  <c r="W697" i="3"/>
  <c r="W1154" i="3"/>
  <c r="W1037" i="3"/>
  <c r="W853" i="3"/>
  <c r="W1162" i="3"/>
  <c r="W742" i="3"/>
  <c r="W1164" i="3"/>
  <c r="W1163" i="3"/>
  <c r="W1071" i="3"/>
  <c r="W1068" i="3"/>
  <c r="W696" i="3"/>
  <c r="W857" i="3"/>
  <c r="W865" i="3"/>
  <c r="W1157" i="3"/>
  <c r="W1139" i="3"/>
  <c r="W1137" i="3"/>
  <c r="W1138" i="3"/>
  <c r="W1134" i="3"/>
  <c r="W1131" i="3"/>
  <c r="W1126" i="3"/>
  <c r="W1121" i="3"/>
  <c r="W1122" i="3"/>
  <c r="W1120" i="3"/>
  <c r="W1123" i="3"/>
  <c r="W1109" i="3"/>
  <c r="W1110" i="3"/>
  <c r="W1106" i="3"/>
  <c r="W1108" i="3"/>
  <c r="W1114" i="3"/>
  <c r="W1111" i="3"/>
  <c r="W1100" i="3"/>
  <c r="W1103" i="3"/>
  <c r="W1102" i="3"/>
  <c r="W1091" i="3"/>
  <c r="W1087" i="3"/>
  <c r="W1092" i="3"/>
  <c r="W1093" i="3"/>
  <c r="W1078" i="3"/>
  <c r="W1084" i="3"/>
  <c r="W1055" i="3"/>
  <c r="W1059" i="3"/>
  <c r="W1048" i="3"/>
  <c r="W1049" i="3"/>
  <c r="W1046" i="3"/>
  <c r="W1044" i="3"/>
  <c r="W1043" i="3"/>
  <c r="W1042" i="3"/>
  <c r="W1038" i="3"/>
  <c r="W1031" i="3"/>
  <c r="W1011" i="3"/>
  <c r="W1013" i="3"/>
  <c r="W1010" i="3"/>
  <c r="W1009" i="3"/>
  <c r="W1002" i="3"/>
  <c r="W996" i="3"/>
  <c r="W995" i="3"/>
  <c r="W994" i="3"/>
  <c r="W985" i="3"/>
  <c r="W987" i="3"/>
  <c r="W966" i="3"/>
  <c r="W954" i="3"/>
  <c r="W955" i="3"/>
  <c r="W936" i="3"/>
  <c r="W867" i="3"/>
  <c r="W854" i="3"/>
  <c r="W852" i="3"/>
  <c r="W849" i="3"/>
  <c r="W844" i="3"/>
  <c r="W836" i="3"/>
  <c r="W837" i="3"/>
  <c r="W833" i="3"/>
  <c r="W824" i="3"/>
  <c r="W822" i="3"/>
  <c r="W823" i="3"/>
  <c r="W821" i="3"/>
  <c r="W746" i="3"/>
  <c r="W747" i="3"/>
  <c r="W750" i="3"/>
  <c r="W726" i="3"/>
  <c r="W725" i="3"/>
  <c r="W711" i="3"/>
  <c r="W708" i="3"/>
  <c r="W694" i="3"/>
  <c r="W693" i="3"/>
  <c r="W669" i="3"/>
  <c r="W38" i="3"/>
  <c r="W35" i="3"/>
  <c r="W32" i="3"/>
  <c r="W494" i="3"/>
  <c r="W608" i="3"/>
  <c r="W342" i="3"/>
  <c r="W51" i="3"/>
  <c r="W52" i="3"/>
  <c r="W368" i="3"/>
  <c r="W50" i="3"/>
  <c r="W49" i="3"/>
  <c r="W585" i="3"/>
  <c r="W298" i="3"/>
  <c r="W235" i="3"/>
  <c r="W263" i="3"/>
  <c r="W360" i="3"/>
  <c r="W402" i="3"/>
  <c r="W272" i="3"/>
  <c r="W289" i="3"/>
  <c r="W310" i="3"/>
  <c r="W348" i="3"/>
  <c r="W380" i="3"/>
  <c r="W409" i="3"/>
  <c r="W429" i="3"/>
  <c r="W437" i="3"/>
  <c r="W450" i="3"/>
  <c r="W280" i="3"/>
  <c r="W315" i="3"/>
  <c r="W339" i="3"/>
  <c r="W372" i="3"/>
  <c r="W378" i="3"/>
  <c r="W390" i="3"/>
  <c r="W413" i="3"/>
  <c r="W291" i="3"/>
  <c r="W383" i="3"/>
  <c r="W588" i="3"/>
  <c r="W443" i="3"/>
  <c r="W455" i="3"/>
  <c r="W271" i="3"/>
  <c r="W442" i="3"/>
  <c r="W257" i="3"/>
  <c r="W345" i="3"/>
  <c r="W341" i="3"/>
  <c r="W587" i="3"/>
  <c r="W349" i="3"/>
  <c r="W377" i="3"/>
  <c r="W382" i="3"/>
  <c r="W245" i="3"/>
  <c r="W283" i="3"/>
  <c r="W304" i="3"/>
  <c r="W321" i="3"/>
  <c r="W374" i="3"/>
  <c r="W419" i="3"/>
  <c r="W432" i="3"/>
  <c r="W445" i="3"/>
  <c r="W452" i="3"/>
  <c r="W47" i="3"/>
  <c r="W48" i="3"/>
  <c r="W371" i="3"/>
  <c r="W376" i="3"/>
  <c r="W389" i="3"/>
  <c r="W44" i="3"/>
  <c r="W295" i="3"/>
  <c r="W408" i="3"/>
  <c r="W448" i="3"/>
  <c r="W238" i="3"/>
  <c r="W286" i="3"/>
  <c r="W253" i="3"/>
  <c r="W340" i="3"/>
  <c r="W365" i="3"/>
  <c r="W312" i="3"/>
  <c r="W344" i="3"/>
  <c r="W261" i="3"/>
  <c r="W259" i="3"/>
  <c r="W270" i="3"/>
  <c r="W299" i="3"/>
  <c r="W322" i="3"/>
  <c r="W355" i="3"/>
  <c r="W384" i="3"/>
  <c r="W392" i="3"/>
  <c r="W420" i="3"/>
  <c r="W264" i="3"/>
  <c r="W277" i="3"/>
  <c r="W282" i="3"/>
  <c r="W318" i="3"/>
  <c r="W347" i="3"/>
  <c r="W396" i="3"/>
  <c r="W428" i="3"/>
  <c r="W446" i="3"/>
  <c r="W265" i="3"/>
  <c r="W237" i="3"/>
  <c r="W314" i="3"/>
  <c r="W329" i="3"/>
  <c r="W359" i="3"/>
  <c r="W394" i="3"/>
  <c r="W398" i="3"/>
  <c r="W239" i="3"/>
  <c r="W255" i="3"/>
  <c r="W290" i="3"/>
  <c r="W363" i="3"/>
  <c r="W405" i="3"/>
  <c r="W422" i="3"/>
  <c r="W425" i="3"/>
  <c r="W431" i="3"/>
  <c r="W435" i="3"/>
  <c r="W439" i="3"/>
  <c r="W240" i="3"/>
  <c r="W248" i="3"/>
  <c r="W267" i="3"/>
  <c r="W276" i="3"/>
  <c r="W293" i="3"/>
  <c r="W306" i="3"/>
  <c r="W309" i="3"/>
  <c r="W268" i="3"/>
  <c r="W288" i="3"/>
  <c r="W320" i="3"/>
  <c r="W323" i="3"/>
  <c r="W375" i="3"/>
  <c r="W388" i="3"/>
  <c r="W395" i="3"/>
  <c r="W415" i="3"/>
  <c r="W441" i="3"/>
  <c r="W274" i="3"/>
  <c r="W278" i="3"/>
  <c r="W305" i="3"/>
  <c r="W346" i="3"/>
  <c r="W367" i="3"/>
  <c r="W401" i="3"/>
  <c r="W440" i="3"/>
  <c r="W258" i="3"/>
  <c r="W269" i="3"/>
  <c r="W301" i="3"/>
  <c r="W328" i="3"/>
  <c r="W352" i="3"/>
  <c r="W391" i="3"/>
  <c r="W397" i="3"/>
  <c r="W447" i="3"/>
  <c r="W254" i="3"/>
  <c r="W266" i="3"/>
  <c r="W338" i="3"/>
  <c r="W369" i="3"/>
  <c r="W400" i="3"/>
  <c r="W406" i="3"/>
  <c r="W424" i="3"/>
  <c r="W427" i="3"/>
  <c r="W433" i="3"/>
  <c r="W438" i="3"/>
  <c r="W453" i="3"/>
  <c r="W242" i="3"/>
  <c r="W249" i="3"/>
  <c r="W273" i="3"/>
  <c r="W285" i="3"/>
  <c r="W303" i="3"/>
  <c r="W307" i="3"/>
  <c r="W317" i="3"/>
  <c r="W622" i="3"/>
  <c r="W1151" i="3"/>
  <c r="W86" i="3"/>
  <c r="W482" i="3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2" i="12"/>
  <c r="Q3" i="8"/>
  <c r="Q4" i="8"/>
  <c r="Q5" i="8" l="1"/>
  <c r="X1167" i="3"/>
  <c r="X1169" i="3"/>
  <c r="X1171" i="3"/>
  <c r="X1173" i="3"/>
  <c r="X1175" i="3"/>
  <c r="X1177" i="3"/>
  <c r="X1179" i="3"/>
  <c r="X1181" i="3"/>
  <c r="X1183" i="3"/>
  <c r="X1185" i="3"/>
  <c r="X1187" i="3"/>
  <c r="X1189" i="3"/>
  <c r="X1191" i="3"/>
  <c r="X1193" i="3"/>
  <c r="X1195" i="3"/>
  <c r="X1199" i="3"/>
  <c r="X1203" i="3"/>
  <c r="X1207" i="3"/>
  <c r="X1211" i="3"/>
  <c r="X1215" i="3"/>
  <c r="X1219" i="3"/>
  <c r="X1223" i="3"/>
  <c r="X1227" i="3"/>
  <c r="X1231" i="3"/>
  <c r="X1235" i="3"/>
  <c r="X1239" i="3"/>
  <c r="X1243" i="3"/>
  <c r="X1247" i="3"/>
  <c r="X1251" i="3"/>
  <c r="X1255" i="3"/>
  <c r="X1259" i="3"/>
  <c r="X1263" i="3"/>
  <c r="X1267" i="3"/>
  <c r="X1271" i="3"/>
  <c r="X1275" i="3"/>
  <c r="X1279" i="3"/>
  <c r="X1283" i="3"/>
  <c r="X1287" i="3"/>
  <c r="X1291" i="3"/>
  <c r="X1295" i="3"/>
  <c r="X1299" i="3"/>
  <c r="X1303" i="3"/>
  <c r="X1307" i="3"/>
  <c r="X1311" i="3"/>
  <c r="X1315" i="3"/>
  <c r="X1319" i="3"/>
  <c r="X1323" i="3"/>
  <c r="X1327" i="3"/>
  <c r="X1331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711" i="3"/>
  <c r="X694" i="3"/>
  <c r="X1126" i="3"/>
  <c r="X1334" i="3"/>
  <c r="X1333" i="3"/>
  <c r="X1332" i="3"/>
  <c r="X1330" i="3"/>
  <c r="X1329" i="3"/>
  <c r="X1328" i="3"/>
  <c r="X1326" i="3"/>
  <c r="X1325" i="3"/>
  <c r="X1324" i="3"/>
  <c r="X1322" i="3"/>
  <c r="X1321" i="3"/>
  <c r="X1320" i="3"/>
  <c r="X1318" i="3"/>
  <c r="X1317" i="3"/>
  <c r="X1316" i="3"/>
  <c r="X1314" i="3"/>
  <c r="X1313" i="3"/>
  <c r="X1312" i="3"/>
  <c r="X1310" i="3"/>
  <c r="X1309" i="3"/>
  <c r="X1308" i="3"/>
  <c r="X1306" i="3"/>
  <c r="X1305" i="3"/>
  <c r="X1304" i="3"/>
  <c r="X1302" i="3"/>
  <c r="X1301" i="3"/>
  <c r="X1300" i="3"/>
  <c r="X1298" i="3"/>
  <c r="X1297" i="3"/>
  <c r="X1296" i="3"/>
  <c r="X1294" i="3"/>
  <c r="X1293" i="3"/>
  <c r="X1292" i="3"/>
  <c r="X1290" i="3"/>
  <c r="X1289" i="3"/>
  <c r="X1288" i="3"/>
  <c r="X1286" i="3"/>
  <c r="X1285" i="3"/>
  <c r="X1284" i="3"/>
  <c r="X1282" i="3"/>
  <c r="X1281" i="3"/>
  <c r="X1280" i="3"/>
  <c r="X1278" i="3"/>
  <c r="X1277" i="3"/>
  <c r="X1276" i="3"/>
  <c r="X1274" i="3"/>
  <c r="X1273" i="3"/>
  <c r="X1272" i="3"/>
  <c r="X1270" i="3"/>
  <c r="X1269" i="3"/>
  <c r="X1268" i="3"/>
  <c r="X1266" i="3"/>
  <c r="X1265" i="3"/>
  <c r="X1264" i="3"/>
  <c r="X1262" i="3"/>
  <c r="X1261" i="3"/>
  <c r="X1260" i="3"/>
  <c r="X1258" i="3"/>
  <c r="X1257" i="3"/>
  <c r="X1256" i="3"/>
  <c r="X1254" i="3"/>
  <c r="X1253" i="3"/>
  <c r="X1252" i="3"/>
  <c r="X1250" i="3"/>
  <c r="X1249" i="3"/>
  <c r="X1248" i="3"/>
  <c r="X1246" i="3"/>
  <c r="X1245" i="3"/>
  <c r="X1244" i="3"/>
  <c r="X1242" i="3"/>
  <c r="X1241" i="3"/>
  <c r="X1240" i="3"/>
  <c r="X1238" i="3"/>
  <c r="X1237" i="3"/>
  <c r="X1236" i="3"/>
  <c r="X1234" i="3"/>
  <c r="X1233" i="3"/>
  <c r="X1232" i="3"/>
  <c r="X1230" i="3"/>
  <c r="X1229" i="3"/>
  <c r="X1228" i="3"/>
  <c r="X1226" i="3"/>
  <c r="X1225" i="3"/>
  <c r="X1224" i="3"/>
  <c r="X1222" i="3"/>
  <c r="X1221" i="3"/>
  <c r="X1220" i="3"/>
  <c r="X1218" i="3"/>
  <c r="X1217" i="3"/>
  <c r="X1216" i="3"/>
  <c r="X1214" i="3"/>
  <c r="X1213" i="3"/>
  <c r="X1212" i="3"/>
  <c r="X1210" i="3"/>
  <c r="X1209" i="3"/>
  <c r="X1208" i="3"/>
  <c r="X1206" i="3"/>
  <c r="X1205" i="3"/>
  <c r="X1204" i="3"/>
  <c r="X1202" i="3"/>
  <c r="X1201" i="3"/>
  <c r="X1200" i="3"/>
  <c r="X1198" i="3"/>
  <c r="X1197" i="3"/>
  <c r="X1196" i="3"/>
  <c r="X1194" i="3"/>
  <c r="X1192" i="3"/>
  <c r="X1190" i="3"/>
  <c r="X1188" i="3"/>
  <c r="X1186" i="3"/>
  <c r="X1184" i="3"/>
  <c r="X1182" i="3"/>
  <c r="X1180" i="3"/>
  <c r="X1178" i="3"/>
  <c r="X1176" i="3"/>
  <c r="X1174" i="3"/>
  <c r="X1172" i="3"/>
  <c r="X1170" i="3"/>
  <c r="X1168" i="3"/>
  <c r="X1166" i="3"/>
  <c r="X969" i="3"/>
  <c r="X317" i="3"/>
  <c r="X406" i="3"/>
  <c r="X367" i="3"/>
  <c r="X288" i="3"/>
  <c r="X394" i="3"/>
  <c r="X384" i="3"/>
  <c r="X295" i="3"/>
  <c r="X382" i="3"/>
  <c r="X1055" i="3"/>
  <c r="X420" i="3"/>
  <c r="X307" i="3"/>
  <c r="X400" i="3"/>
  <c r="X258" i="3"/>
  <c r="X375" i="3"/>
  <c r="X439" i="3"/>
  <c r="X359" i="3"/>
  <c r="X264" i="3"/>
  <c r="X365" i="3"/>
  <c r="X48" i="3"/>
  <c r="X377" i="3"/>
  <c r="X291" i="3"/>
  <c r="X380" i="3"/>
  <c r="X50" i="3"/>
  <c r="X35" i="3"/>
  <c r="X726" i="3"/>
  <c r="X833" i="3"/>
  <c r="X936" i="3"/>
  <c r="X996" i="3"/>
  <c r="X1013" i="3"/>
  <c r="X1049" i="3"/>
  <c r="X1084" i="3"/>
  <c r="X1087" i="3"/>
  <c r="X1100" i="3"/>
  <c r="X1106" i="3"/>
  <c r="X1120" i="3"/>
  <c r="X1131" i="3"/>
  <c r="X1139" i="3"/>
  <c r="X696" i="3"/>
  <c r="X835" i="3"/>
  <c r="X1079" i="3"/>
  <c r="X1135" i="3"/>
  <c r="X1094" i="3"/>
  <c r="X86" i="3"/>
  <c r="X391" i="3"/>
  <c r="X388" i="3"/>
  <c r="X240" i="3"/>
  <c r="X396" i="3"/>
  <c r="X312" i="3"/>
  <c r="X371" i="3"/>
  <c r="X383" i="3"/>
  <c r="X1103" i="3"/>
  <c r="X433" i="3"/>
  <c r="X254" i="3"/>
  <c r="X441" i="3"/>
  <c r="X276" i="3"/>
  <c r="X255" i="3"/>
  <c r="X265" i="3"/>
  <c r="X259" i="3"/>
  <c r="X238" i="3"/>
  <c r="X432" i="3"/>
  <c r="X455" i="3"/>
  <c r="X450" i="3"/>
  <c r="X235" i="3"/>
  <c r="X342" i="3"/>
  <c r="X821" i="3"/>
  <c r="X849" i="3"/>
  <c r="X987" i="3"/>
  <c r="X1042" i="3"/>
  <c r="X1043" i="3"/>
  <c r="X985" i="3"/>
  <c r="X585" i="3"/>
  <c r="X984" i="3"/>
  <c r="X1050" i="3"/>
  <c r="X1158" i="3"/>
  <c r="X1130" i="3"/>
  <c r="X1040" i="3"/>
  <c r="X1021" i="3"/>
  <c r="X845" i="3"/>
  <c r="X343" i="3"/>
  <c r="X693" i="3"/>
  <c r="X995" i="3"/>
  <c r="X266" i="3"/>
  <c r="X274" i="3"/>
  <c r="X425" i="3"/>
  <c r="X237" i="3"/>
  <c r="X270" i="3"/>
  <c r="X445" i="3"/>
  <c r="X271" i="3"/>
  <c r="X249" i="3"/>
  <c r="X352" i="3"/>
  <c r="X346" i="3"/>
  <c r="X268" i="3"/>
  <c r="X422" i="3"/>
  <c r="X347" i="3"/>
  <c r="X355" i="3"/>
  <c r="X44" i="3"/>
  <c r="X304" i="3"/>
  <c r="X345" i="3"/>
  <c r="X372" i="3"/>
  <c r="X272" i="3"/>
  <c r="X595" i="3"/>
  <c r="X956" i="3"/>
  <c r="X755" i="3"/>
  <c r="X757" i="3"/>
  <c r="X579" i="3"/>
  <c r="X555" i="3"/>
  <c r="X761" i="3"/>
  <c r="X675" i="3"/>
  <c r="X558" i="3"/>
  <c r="X734" i="3"/>
  <c r="X483" i="3"/>
  <c r="X610" i="3"/>
  <c r="X771" i="3"/>
  <c r="X1017" i="3"/>
  <c r="X735" i="3"/>
  <c r="X777" i="3"/>
  <c r="X512" i="3"/>
  <c r="X590" i="3"/>
  <c r="X784" i="3"/>
  <c r="X107" i="3"/>
  <c r="X109" i="3"/>
  <c r="X537" i="3"/>
  <c r="X64" i="3"/>
  <c r="X920" i="3"/>
  <c r="X538" i="3"/>
  <c r="X116" i="3"/>
  <c r="X959" i="3"/>
  <c r="X575" i="3"/>
  <c r="X580" i="3"/>
  <c r="X789" i="3"/>
  <c r="X127" i="3"/>
  <c r="X960" i="3"/>
  <c r="X681" i="3"/>
  <c r="X131" i="3"/>
  <c r="X133" i="3"/>
  <c r="X485" i="3"/>
  <c r="X541" i="3"/>
  <c r="X939" i="3"/>
  <c r="X727" i="3"/>
  <c r="X140" i="3"/>
  <c r="X795" i="3"/>
  <c r="X145" i="3"/>
  <c r="X147" i="3"/>
  <c r="X929" i="3"/>
  <c r="X153" i="3"/>
  <c r="X624" i="3"/>
  <c r="X559" i="3"/>
  <c r="X983" i="3"/>
  <c r="X161" i="3"/>
  <c r="X163" i="3"/>
  <c r="X166" i="3"/>
  <c r="X168" i="3"/>
  <c r="X542" i="3"/>
  <c r="X172" i="3"/>
  <c r="X178" i="3"/>
  <c r="X799" i="3"/>
  <c r="X592" i="3"/>
  <c r="X187" i="3"/>
  <c r="X192" i="3"/>
  <c r="X739" i="3"/>
  <c r="X196" i="3"/>
  <c r="X198" i="3"/>
  <c r="X1041" i="3"/>
  <c r="X203" i="3"/>
  <c r="X207" i="3"/>
  <c r="X208" i="3"/>
  <c r="X962" i="3"/>
  <c r="X1148" i="3"/>
  <c r="X213" i="3"/>
  <c r="X740" i="3"/>
  <c r="X216" i="3"/>
  <c r="X941" i="3"/>
  <c r="X637" i="3"/>
  <c r="X671" i="3"/>
  <c r="X1026" i="3"/>
  <c r="X733" i="3"/>
  <c r="X758" i="3"/>
  <c r="X473" i="3"/>
  <c r="X599" i="3"/>
  <c r="X458" i="3"/>
  <c r="X763" i="3"/>
  <c r="X765" i="3"/>
  <c r="X510" i="3"/>
  <c r="X769" i="3"/>
  <c r="X611" i="3"/>
  <c r="X773" i="3"/>
  <c r="X533" i="3"/>
  <c r="X655" i="3"/>
  <c r="X604" i="3"/>
  <c r="X779" i="3"/>
  <c r="X678" i="3"/>
  <c r="X106" i="3"/>
  <c r="X108" i="3"/>
  <c r="X63" i="3"/>
  <c r="X496" i="3"/>
  <c r="X65" i="3"/>
  <c r="X497" i="3"/>
  <c r="X719" i="3"/>
  <c r="X887" i="3"/>
  <c r="X951" i="3"/>
  <c r="X499" i="3"/>
  <c r="X574" i="3"/>
  <c r="X39" i="3"/>
  <c r="X121" i="3"/>
  <c r="X1032" i="3"/>
  <c r="X124" i="3"/>
  <c r="X952" i="3"/>
  <c r="X500" i="3"/>
  <c r="X790" i="3"/>
  <c r="X926" i="3"/>
  <c r="X927" i="3"/>
  <c r="X515" i="3"/>
  <c r="X136" i="3"/>
  <c r="X138" i="3"/>
  <c r="X141" i="3"/>
  <c r="X796" i="3"/>
  <c r="X846" i="3"/>
  <c r="X58" i="3"/>
  <c r="X150" i="3"/>
  <c r="X74" i="3"/>
  <c r="X157" i="3"/>
  <c r="X162" i="3"/>
  <c r="X164" i="3"/>
  <c r="X167" i="3"/>
  <c r="X67" i="3"/>
  <c r="X173" i="3"/>
  <c r="X175" i="3"/>
  <c r="X179" i="3"/>
  <c r="X182" i="3"/>
  <c r="X188" i="3"/>
  <c r="X721" i="3"/>
  <c r="X743" i="3"/>
  <c r="X194" i="3"/>
  <c r="X991" i="3"/>
  <c r="X754" i="3"/>
  <c r="X716" i="3"/>
  <c r="X530" i="3"/>
  <c r="X672" i="3"/>
  <c r="X760" i="3"/>
  <c r="X949" i="3"/>
  <c r="X764" i="3"/>
  <c r="X767" i="3"/>
  <c r="X1014" i="3"/>
  <c r="X950" i="3"/>
  <c r="X459" i="3"/>
  <c r="X924" i="3"/>
  <c r="X774" i="3"/>
  <c r="X677" i="3"/>
  <c r="X934" i="3"/>
  <c r="X780" i="3"/>
  <c r="X782" i="3"/>
  <c r="X656" i="3"/>
  <c r="X591" i="3"/>
  <c r="X110" i="3"/>
  <c r="X736" i="3"/>
  <c r="X111" i="3"/>
  <c r="X829" i="3"/>
  <c r="X113" i="3"/>
  <c r="X786" i="3"/>
  <c r="X498" i="3"/>
  <c r="X117" i="3"/>
  <c r="X679" i="3"/>
  <c r="X119" i="3"/>
  <c r="X122" i="3"/>
  <c r="X888" i="3"/>
  <c r="X125" i="3"/>
  <c r="X128" i="3"/>
  <c r="X925" i="3"/>
  <c r="X792" i="3"/>
  <c r="X873" i="3"/>
  <c r="X134" i="3"/>
  <c r="X793" i="3"/>
  <c r="X137" i="3"/>
  <c r="X139" i="3"/>
  <c r="X142" i="3"/>
  <c r="X143" i="3"/>
  <c r="X148" i="3"/>
  <c r="X151" i="3"/>
  <c r="X154" i="3"/>
  <c r="X155" i="3"/>
  <c r="X158" i="3"/>
  <c r="X797" i="3"/>
  <c r="X159" i="3"/>
  <c r="X66" i="3"/>
  <c r="X61" i="3"/>
  <c r="X961" i="3"/>
  <c r="X169" i="3"/>
  <c r="X170" i="3"/>
  <c r="X174" i="3"/>
  <c r="X176" i="3"/>
  <c r="X953" i="3"/>
  <c r="X180" i="3"/>
  <c r="X183" i="3"/>
  <c r="X613" i="3"/>
  <c r="X185" i="3"/>
  <c r="X189" i="3"/>
  <c r="X657" i="3"/>
  <c r="X193" i="3"/>
  <c r="X195" i="3"/>
  <c r="X197" i="3"/>
  <c r="X54" i="3"/>
  <c r="X893" i="3"/>
  <c r="X894" i="3"/>
  <c r="X205" i="3"/>
  <c r="X874" i="3"/>
  <c r="X210" i="3"/>
  <c r="X211" i="3"/>
  <c r="X214" i="3"/>
  <c r="X215" i="3"/>
  <c r="X70" i="3"/>
  <c r="X744" i="3"/>
  <c r="X220" i="3"/>
  <c r="X508" i="3"/>
  <c r="X509" i="3"/>
  <c r="X768" i="3"/>
  <c r="X495" i="3"/>
  <c r="X1022" i="3"/>
  <c r="X554" i="3"/>
  <c r="X115" i="3"/>
  <c r="X787" i="3"/>
  <c r="X680" i="3"/>
  <c r="X60" i="3"/>
  <c r="X146" i="3"/>
  <c r="X165" i="3"/>
  <c r="X171" i="3"/>
  <c r="X800" i="3"/>
  <c r="X190" i="3"/>
  <c r="X1146" i="3"/>
  <c r="X200" i="3"/>
  <c r="X543" i="3"/>
  <c r="X625" i="3"/>
  <c r="X683" i="3"/>
  <c r="X217" i="3"/>
  <c r="X71" i="3"/>
  <c r="X72" i="3"/>
  <c r="X222" i="3"/>
  <c r="X55" i="3"/>
  <c r="X227" i="3"/>
  <c r="X229" i="3"/>
  <c r="X992" i="3"/>
  <c r="X701" i="3"/>
  <c r="X640" i="3"/>
  <c r="X935" i="3"/>
  <c r="X898" i="3"/>
  <c r="X1033" i="3"/>
  <c r="X876" i="3"/>
  <c r="X569" i="3"/>
  <c r="X901" i="3"/>
  <c r="X692" i="3"/>
  <c r="X503" i="3"/>
  <c r="X632" i="3"/>
  <c r="X641" i="3"/>
  <c r="X487" i="3"/>
  <c r="X809" i="3"/>
  <c r="X633" i="3"/>
  <c r="X606" i="3"/>
  <c r="X565" i="3"/>
  <c r="X566" i="3"/>
  <c r="X816" i="3"/>
  <c r="X577" i="3"/>
  <c r="X818" i="3"/>
  <c r="X819" i="3"/>
  <c r="X567" i="3"/>
  <c r="X479" i="3"/>
  <c r="X756" i="3"/>
  <c r="X828" i="3"/>
  <c r="X527" i="3"/>
  <c r="X534" i="3"/>
  <c r="X783" i="3"/>
  <c r="X112" i="3"/>
  <c r="X933" i="3"/>
  <c r="X126" i="3"/>
  <c r="X130" i="3"/>
  <c r="X919" i="3"/>
  <c r="X149" i="3"/>
  <c r="X156" i="3"/>
  <c r="X798" i="3"/>
  <c r="X940" i="3"/>
  <c r="X181" i="3"/>
  <c r="X191" i="3"/>
  <c r="X201" i="3"/>
  <c r="X204" i="3"/>
  <c r="X209" i="3"/>
  <c r="X658" i="3"/>
  <c r="X870" i="3"/>
  <c r="X218" i="3"/>
  <c r="X544" i="3"/>
  <c r="X490" i="3"/>
  <c r="X223" i="3"/>
  <c r="X871" i="3"/>
  <c r="X228" i="3"/>
  <c r="X230" i="3"/>
  <c r="X46" i="3"/>
  <c r="X806" i="3"/>
  <c r="X896" i="3"/>
  <c r="X863" i="3"/>
  <c r="X931" i="3"/>
  <c r="X932" i="3"/>
  <c r="X491" i="3"/>
  <c r="X232" i="3"/>
  <c r="X73" i="3"/>
  <c r="X605" i="3"/>
  <c r="X57" i="3"/>
  <c r="X601" i="3"/>
  <c r="X906" i="3"/>
  <c r="X907" i="3"/>
  <c r="X650" i="3"/>
  <c r="X660" i="3"/>
  <c r="X474" i="3"/>
  <c r="X872" i="3"/>
  <c r="X630" i="3"/>
  <c r="X691" i="3"/>
  <c r="X882" i="3"/>
  <c r="X945" i="3"/>
  <c r="X12" i="3"/>
  <c r="X520" i="3"/>
  <c r="X460" i="3"/>
  <c r="X615" i="3"/>
  <c r="X3" i="3"/>
  <c r="X4" i="3"/>
  <c r="X504" i="3"/>
  <c r="X564" i="3"/>
  <c r="X233" i="3"/>
  <c r="X643" i="3"/>
  <c r="X505" i="3"/>
  <c r="X469" i="3"/>
  <c r="X649" i="3"/>
  <c r="X646" i="3"/>
  <c r="X1023" i="3"/>
  <c r="X820" i="3"/>
  <c r="X616" i="3"/>
  <c r="X526" i="3"/>
  <c r="X524" i="3"/>
  <c r="X532" i="3"/>
  <c r="X776" i="3"/>
  <c r="X536" i="3"/>
  <c r="X859" i="3"/>
  <c r="X514" i="3"/>
  <c r="X120" i="3"/>
  <c r="X129" i="3"/>
  <c r="X132" i="3"/>
  <c r="X135" i="3"/>
  <c r="X144" i="3"/>
  <c r="X152" i="3"/>
  <c r="X890" i="3"/>
  <c r="X160" i="3"/>
  <c r="X53" i="3"/>
  <c r="X177" i="3"/>
  <c r="X184" i="3"/>
  <c r="X801" i="3"/>
  <c r="X199" i="3"/>
  <c r="X206" i="3"/>
  <c r="X62" i="3"/>
  <c r="X741" i="3"/>
  <c r="X219" i="3"/>
  <c r="X804" i="3"/>
  <c r="X224" i="3"/>
  <c r="X226" i="3"/>
  <c r="X56" i="3"/>
  <c r="X518" i="3"/>
  <c r="X42" i="3"/>
  <c r="X685" i="3"/>
  <c r="X862" i="3"/>
  <c r="X897" i="3"/>
  <c r="X686" i="3"/>
  <c r="X899" i="3"/>
  <c r="X1028" i="3"/>
  <c r="X963" i="3"/>
  <c r="X902" i="3"/>
  <c r="X903" i="3"/>
  <c r="X905" i="3"/>
  <c r="X884" i="3"/>
  <c r="X602" i="3"/>
  <c r="X492" i="3"/>
  <c r="X908" i="3"/>
  <c r="X864" i="3"/>
  <c r="X563" i="3"/>
  <c r="X690" i="3"/>
  <c r="X881" i="3"/>
  <c r="X34" i="3"/>
  <c r="X723" i="3"/>
  <c r="X914" i="3"/>
  <c r="X710" i="3"/>
  <c r="X475" i="3"/>
  <c r="X476" i="3"/>
  <c r="X477" i="3"/>
  <c r="X594" i="3"/>
  <c r="X550" i="3"/>
  <c r="X1149" i="3"/>
  <c r="X642" i="3"/>
  <c r="X478" i="3"/>
  <c r="X851" i="3"/>
  <c r="X1152" i="3"/>
  <c r="X648" i="3"/>
  <c r="X521" i="3"/>
  <c r="X813" i="3"/>
  <c r="X817" i="3"/>
  <c r="X551" i="3"/>
  <c r="X506" i="3"/>
  <c r="X507" i="3"/>
  <c r="X31" i="3"/>
  <c r="X654" i="3"/>
  <c r="X938" i="3"/>
  <c r="X531" i="3"/>
  <c r="X718" i="3"/>
  <c r="X525" i="3"/>
  <c r="X114" i="3"/>
  <c r="X118" i="3"/>
  <c r="X123" i="3"/>
  <c r="X484" i="3"/>
  <c r="X539" i="3"/>
  <c r="X700" i="3"/>
  <c r="X1147" i="3"/>
  <c r="X930" i="3"/>
  <c r="X612" i="3"/>
  <c r="X186" i="3"/>
  <c r="X682" i="3"/>
  <c r="X892" i="3"/>
  <c r="X202" i="3"/>
  <c r="X68" i="3"/>
  <c r="X212" i="3"/>
  <c r="X69" i="3"/>
  <c r="X517" i="3"/>
  <c r="X221" i="3"/>
  <c r="X225" i="3"/>
  <c r="X805" i="3"/>
  <c r="X626" i="3"/>
  <c r="X1015" i="3"/>
  <c r="X560" i="3"/>
  <c r="X519" i="3"/>
  <c r="X545" i="3"/>
  <c r="X1034" i="3"/>
  <c r="X722" i="3"/>
  <c r="X596" i="3"/>
  <c r="X911" i="3"/>
  <c r="X502" i="3"/>
  <c r="X631" i="3"/>
  <c r="X808" i="3"/>
  <c r="X468" i="3"/>
  <c r="X811" i="3"/>
  <c r="X523" i="3"/>
  <c r="X336" i="3"/>
  <c r="X354" i="3"/>
  <c r="X403" i="3"/>
  <c r="X667" i="3"/>
  <c r="X751" i="3"/>
  <c r="X980" i="3"/>
  <c r="X998" i="3"/>
  <c r="X14" i="3"/>
  <c r="X1107" i="3"/>
  <c r="X709" i="3"/>
  <c r="X231" i="3"/>
  <c r="X570" i="3"/>
  <c r="X880" i="3"/>
  <c r="X547" i="3"/>
  <c r="X944" i="3"/>
  <c r="X463" i="3"/>
  <c r="X635" i="3"/>
  <c r="X815" i="3"/>
  <c r="X331" i="3"/>
  <c r="X319" i="3"/>
  <c r="X387" i="3"/>
  <c r="X572" i="3"/>
  <c r="X687" i="3"/>
  <c r="X546" i="3"/>
  <c r="X562" i="3"/>
  <c r="X1035" i="3"/>
  <c r="X724" i="3"/>
  <c r="X1016" i="3"/>
  <c r="X1019" i="3"/>
  <c r="X645" i="3"/>
  <c r="X553" i="3"/>
  <c r="X374" i="3"/>
  <c r="X363" i="3"/>
  <c r="X1009" i="3"/>
  <c r="X627" i="3"/>
  <c r="X904" i="3"/>
  <c r="X877" i="3"/>
  <c r="X629" i="3"/>
  <c r="X40" i="3"/>
  <c r="X79" i="3"/>
  <c r="X488" i="3"/>
  <c r="X636" i="3"/>
  <c r="X552" i="3"/>
  <c r="X578" i="3"/>
  <c r="X20" i="3"/>
  <c r="X30" i="3"/>
  <c r="X76" i="3"/>
  <c r="X456" i="3"/>
  <c r="X731" i="3"/>
  <c r="X988" i="3"/>
  <c r="X1118" i="3"/>
  <c r="X858" i="3"/>
  <c r="X1036" i="3"/>
  <c r="X837" i="3"/>
  <c r="X310" i="3"/>
  <c r="X1121" i="3"/>
  <c r="X1157" i="3"/>
  <c r="X587" i="3"/>
  <c r="X1071" i="3"/>
  <c r="X1162" i="3"/>
  <c r="X697" i="3"/>
  <c r="X1132" i="3"/>
  <c r="X749" i="3"/>
  <c r="X745" i="3"/>
  <c r="X1127" i="3"/>
  <c r="X1086" i="3"/>
  <c r="X1099" i="3"/>
  <c r="X1128" i="3"/>
  <c r="X1105" i="3"/>
  <c r="X273" i="3"/>
  <c r="X438" i="3"/>
  <c r="X269" i="3"/>
  <c r="X293" i="3"/>
  <c r="X290" i="3"/>
  <c r="X277" i="3"/>
  <c r="X286" i="3"/>
  <c r="X321" i="3"/>
  <c r="X341" i="3"/>
  <c r="X378" i="3"/>
  <c r="X280" i="3"/>
  <c r="X409" i="3"/>
  <c r="X289" i="3"/>
  <c r="X263" i="3"/>
  <c r="X49" i="3"/>
  <c r="X51" i="3"/>
  <c r="X32" i="3"/>
  <c r="X725" i="3"/>
  <c r="X746" i="3"/>
  <c r="X824" i="3"/>
  <c r="X844" i="3"/>
  <c r="X867" i="3"/>
  <c r="X966" i="3"/>
  <c r="X1010" i="3"/>
  <c r="X1038" i="3"/>
  <c r="X1046" i="3"/>
  <c r="X1092" i="3"/>
  <c r="X1108" i="3"/>
  <c r="X1123" i="3"/>
  <c r="X1137" i="3"/>
  <c r="X857" i="3"/>
  <c r="X1163" i="3"/>
  <c r="X853" i="3"/>
  <c r="X868" i="3"/>
  <c r="X993" i="3"/>
  <c r="X834" i="3"/>
  <c r="X1080" i="3"/>
  <c r="X1056" i="3"/>
  <c r="X1069" i="3"/>
  <c r="X308" i="3"/>
  <c r="X1151" i="3"/>
  <c r="X303" i="3"/>
  <c r="X242" i="3"/>
  <c r="X427" i="3"/>
  <c r="X369" i="3"/>
  <c r="X447" i="3"/>
  <c r="X328" i="3"/>
  <c r="X440" i="3"/>
  <c r="X305" i="3"/>
  <c r="X415" i="3"/>
  <c r="X323" i="3"/>
  <c r="X309" i="3"/>
  <c r="X267" i="3"/>
  <c r="X435" i="3"/>
  <c r="X405" i="3"/>
  <c r="X239" i="3"/>
  <c r="X329" i="3"/>
  <c r="X446" i="3"/>
  <c r="X318" i="3"/>
  <c r="X322" i="3"/>
  <c r="X261" i="3"/>
  <c r="X340" i="3"/>
  <c r="X448" i="3"/>
  <c r="X389" i="3"/>
  <c r="X47" i="3"/>
  <c r="X419" i="3"/>
  <c r="X283" i="3"/>
  <c r="X349" i="3"/>
  <c r="X257" i="3"/>
  <c r="X443" i="3"/>
  <c r="X413" i="3"/>
  <c r="X339" i="3"/>
  <c r="X437" i="3"/>
  <c r="X348" i="3"/>
  <c r="X402" i="3"/>
  <c r="X298" i="3"/>
  <c r="X368" i="3"/>
  <c r="X608" i="3"/>
  <c r="X38" i="3"/>
  <c r="X708" i="3"/>
  <c r="X750" i="3"/>
  <c r="X823" i="3"/>
  <c r="X852" i="3"/>
  <c r="X955" i="3"/>
  <c r="X1002" i="3"/>
  <c r="X1011" i="3"/>
  <c r="X1048" i="3"/>
  <c r="X1078" i="3"/>
  <c r="X1091" i="3"/>
  <c r="X1111" i="3"/>
  <c r="X1110" i="3"/>
  <c r="X1122" i="3"/>
  <c r="X1134" i="3"/>
  <c r="X1068" i="3"/>
  <c r="X1164" i="3"/>
  <c r="X1037" i="3"/>
  <c r="X1060" i="3"/>
  <c r="X1165" i="3"/>
  <c r="X1073" i="3"/>
  <c r="X866" i="3"/>
  <c r="X1070" i="3"/>
  <c r="X1116" i="3"/>
  <c r="X1129" i="3"/>
  <c r="X838" i="3"/>
  <c r="X1030" i="3"/>
  <c r="X1051" i="3"/>
  <c r="X1066" i="3"/>
  <c r="X1029" i="3"/>
  <c r="X1062" i="3"/>
  <c r="X1113" i="3"/>
  <c r="X1064" i="3"/>
  <c r="X703" i="3"/>
  <c r="X1063" i="3"/>
  <c r="X698" i="3"/>
  <c r="X1083" i="3"/>
  <c r="X1156" i="3"/>
  <c r="X10" i="3"/>
  <c r="X1053" i="3"/>
  <c r="X6" i="3"/>
  <c r="X1018" i="3"/>
  <c r="X1005" i="3"/>
  <c r="X978" i="3"/>
  <c r="X977" i="3"/>
  <c r="X973" i="3"/>
  <c r="X869" i="3"/>
  <c r="X843" i="3"/>
  <c r="X826" i="3"/>
  <c r="X712" i="3"/>
  <c r="X609" i="3"/>
  <c r="X589" i="3"/>
  <c r="X582" i="3"/>
  <c r="X573" i="3"/>
  <c r="X472" i="3"/>
  <c r="X241" i="3"/>
  <c r="X251" i="3"/>
  <c r="X451" i="3"/>
  <c r="X292" i="3"/>
  <c r="X281" i="3"/>
  <c r="X356" i="3"/>
  <c r="X436" i="3"/>
  <c r="X417" i="3"/>
  <c r="X247" i="3"/>
  <c r="X386" i="3"/>
  <c r="X362" i="3"/>
  <c r="X404" i="3"/>
  <c r="X381" i="3"/>
  <c r="X412" i="3"/>
  <c r="X326" i="3"/>
  <c r="X252" i="3"/>
  <c r="X350" i="3"/>
  <c r="X411" i="3"/>
  <c r="X236" i="3"/>
  <c r="X26" i="3"/>
  <c r="X652" i="3"/>
  <c r="X17" i="3"/>
  <c r="X661" i="3"/>
  <c r="X913" i="3"/>
  <c r="X912" i="3"/>
  <c r="X965" i="3"/>
  <c r="X910" i="3"/>
  <c r="X964" i="3"/>
  <c r="X628" i="3"/>
  <c r="X909" i="3"/>
  <c r="X695" i="3"/>
  <c r="X689" i="3"/>
  <c r="X688" i="3"/>
  <c r="X807" i="3"/>
  <c r="X561" i="3"/>
  <c r="X879" i="3"/>
  <c r="X568" i="3"/>
  <c r="X482" i="3"/>
  <c r="X622" i="3"/>
  <c r="X285" i="3"/>
  <c r="X453" i="3"/>
  <c r="X424" i="3"/>
  <c r="X338" i="3"/>
  <c r="X397" i="3"/>
  <c r="X301" i="3"/>
  <c r="X401" i="3"/>
  <c r="X278" i="3"/>
  <c r="X395" i="3"/>
  <c r="X320" i="3"/>
  <c r="X306" i="3"/>
  <c r="X248" i="3"/>
  <c r="X431" i="3"/>
  <c r="X398" i="3"/>
  <c r="X314" i="3"/>
  <c r="X428" i="3"/>
  <c r="X282" i="3"/>
  <c r="X392" i="3"/>
  <c r="X299" i="3"/>
  <c r="X344" i="3"/>
  <c r="X253" i="3"/>
  <c r="X408" i="3"/>
  <c r="X376" i="3"/>
  <c r="X452" i="3"/>
  <c r="X245" i="3"/>
  <c r="X442" i="3"/>
  <c r="X588" i="3"/>
  <c r="X390" i="3"/>
  <c r="X315" i="3"/>
  <c r="X429" i="3"/>
  <c r="X360" i="3"/>
  <c r="X52" i="3"/>
  <c r="X494" i="3"/>
  <c r="X669" i="3"/>
  <c r="X747" i="3"/>
  <c r="X822" i="3"/>
  <c r="X836" i="3"/>
  <c r="X854" i="3"/>
  <c r="X954" i="3"/>
  <c r="X994" i="3"/>
  <c r="X1031" i="3"/>
  <c r="X1044" i="3"/>
  <c r="X1059" i="3"/>
  <c r="X1093" i="3"/>
  <c r="X1102" i="3"/>
  <c r="X1114" i="3"/>
  <c r="X1109" i="3"/>
  <c r="X1138" i="3"/>
  <c r="X865" i="3"/>
  <c r="X742" i="3"/>
  <c r="X1154" i="3"/>
  <c r="X1136" i="3"/>
  <c r="X1159" i="3"/>
  <c r="X937" i="3"/>
  <c r="X729" i="3"/>
  <c r="X1125" i="3"/>
  <c r="X1117" i="3"/>
  <c r="X1045" i="3"/>
  <c r="X1115" i="3"/>
  <c r="X921" i="3"/>
  <c r="X1057" i="3"/>
  <c r="X917" i="3"/>
  <c r="X848" i="3"/>
  <c r="X1089" i="3"/>
  <c r="X1088" i="3"/>
  <c r="X1082" i="3"/>
  <c r="X847" i="3"/>
  <c r="X1119" i="3"/>
  <c r="X748" i="3"/>
  <c r="X832" i="3"/>
  <c r="X1133" i="3"/>
  <c r="X1104" i="3"/>
  <c r="X1065" i="3"/>
  <c r="X1161" i="3"/>
  <c r="X702" i="3"/>
  <c r="X1003" i="3"/>
  <c r="X1155" i="3"/>
  <c r="X13" i="3"/>
  <c r="X11" i="3"/>
  <c r="X1052" i="3"/>
  <c r="X1025" i="3"/>
  <c r="X1008" i="3"/>
  <c r="X1006" i="3"/>
  <c r="X997" i="3"/>
  <c r="X974" i="3"/>
  <c r="X976" i="3"/>
  <c r="X971" i="3"/>
  <c r="X981" i="3"/>
  <c r="X855" i="3"/>
  <c r="X841" i="3"/>
  <c r="X827" i="3"/>
  <c r="X752" i="3"/>
  <c r="X713" i="3"/>
  <c r="X639" i="3"/>
  <c r="X603" i="3"/>
  <c r="X584" i="3"/>
  <c r="X571" i="3"/>
  <c r="X529" i="3"/>
  <c r="X466" i="3"/>
  <c r="X351" i="3"/>
  <c r="X246" i="3"/>
  <c r="X430" i="3"/>
  <c r="X457" i="3"/>
  <c r="X393" i="3"/>
  <c r="X434" i="3"/>
  <c r="X244" i="3"/>
  <c r="X287" i="3"/>
  <c r="X327" i="3"/>
  <c r="X361" i="3"/>
  <c r="X364" i="3"/>
  <c r="X418" i="3"/>
  <c r="X256" i="3"/>
  <c r="X316" i="3"/>
  <c r="X358" i="3"/>
  <c r="X357" i="3"/>
  <c r="X300" i="3"/>
  <c r="X385" i="3"/>
  <c r="X262" i="3"/>
  <c r="X234" i="3"/>
  <c r="X23" i="3"/>
  <c r="X462" i="3"/>
  <c r="X1144" i="3"/>
  <c r="X25" i="3"/>
  <c r="X16" i="3"/>
  <c r="X607" i="3"/>
  <c r="X581" i="3"/>
  <c r="X15" i="3"/>
  <c r="X1012" i="3"/>
  <c r="X1076" i="3"/>
  <c r="X1074" i="3"/>
  <c r="X1140" i="3"/>
  <c r="X1077" i="3"/>
  <c r="X1067" i="3"/>
  <c r="X1061" i="3"/>
  <c r="X1124" i="3"/>
  <c r="X1101" i="3"/>
  <c r="X1097" i="3"/>
  <c r="X1075" i="3"/>
  <c r="X1096" i="3"/>
  <c r="X1058" i="3"/>
  <c r="X986" i="3"/>
  <c r="X1024" i="3"/>
  <c r="X1020" i="3"/>
  <c r="X1085" i="3"/>
  <c r="X707" i="3"/>
  <c r="X1112" i="3"/>
  <c r="X1098" i="3"/>
  <c r="X1081" i="3"/>
  <c r="X1153" i="3"/>
  <c r="X1142" i="3"/>
  <c r="X1095" i="3"/>
  <c r="X1047" i="3"/>
  <c r="X1007" i="3"/>
  <c r="X1001" i="3"/>
  <c r="X999" i="3"/>
  <c r="X989" i="3"/>
  <c r="X979" i="3"/>
  <c r="X972" i="3"/>
  <c r="X975" i="3"/>
  <c r="X967" i="3"/>
  <c r="X840" i="3"/>
  <c r="X753" i="3"/>
  <c r="X730" i="3"/>
  <c r="X715" i="3"/>
  <c r="X699" i="3"/>
  <c r="X623" i="3"/>
  <c r="X597" i="3"/>
  <c r="X586" i="3"/>
  <c r="X528" i="3"/>
  <c r="X467" i="3"/>
  <c r="X296" i="3"/>
  <c r="X423" i="3"/>
  <c r="X324" i="3"/>
  <c r="X330" i="3"/>
  <c r="X337" i="3"/>
  <c r="X335" i="3"/>
  <c r="X416" i="3"/>
  <c r="X379" i="3"/>
  <c r="X325" i="3"/>
  <c r="X260" i="3"/>
  <c r="X333" i="3"/>
  <c r="X454" i="3"/>
  <c r="X294" i="3"/>
  <c r="X332" i="3"/>
  <c r="X444" i="3"/>
  <c r="X311" i="3"/>
  <c r="X426" i="3"/>
  <c r="X95" i="3"/>
  <c r="X36" i="3"/>
  <c r="X28" i="3"/>
  <c r="X21" i="3"/>
  <c r="X19" i="3"/>
  <c r="X916" i="3"/>
  <c r="X470" i="3"/>
  <c r="X886" i="3"/>
  <c r="X704" i="3"/>
  <c r="X1090" i="3"/>
  <c r="X728" i="3"/>
  <c r="X831" i="3"/>
  <c r="X1072" i="3"/>
  <c r="X18" i="3"/>
  <c r="X1143" i="3"/>
  <c r="X1054" i="3"/>
  <c r="X7" i="3"/>
  <c r="X1004" i="3"/>
  <c r="X1000" i="3"/>
  <c r="X990" i="3"/>
  <c r="X982" i="3"/>
  <c r="X970" i="3"/>
  <c r="X923" i="3"/>
  <c r="X839" i="3"/>
  <c r="X732" i="3"/>
  <c r="X714" i="3"/>
  <c r="X618" i="3"/>
  <c r="X598" i="3"/>
  <c r="X583" i="3"/>
  <c r="X471" i="3"/>
  <c r="X414" i="3"/>
  <c r="X313" i="3"/>
  <c r="X297" i="3"/>
  <c r="X243" i="3"/>
  <c r="X302" i="3"/>
  <c r="X370" i="3"/>
  <c r="X279" i="3"/>
  <c r="X373" i="3"/>
  <c r="X250" i="3"/>
  <c r="X449" i="3"/>
  <c r="X275" i="3"/>
  <c r="X421" i="3"/>
  <c r="X284" i="3"/>
  <c r="X334" i="3"/>
  <c r="X366" i="3"/>
  <c r="X353" i="3"/>
  <c r="X410" i="3"/>
  <c r="X83" i="3"/>
  <c r="X33" i="3"/>
  <c r="X27" i="3"/>
  <c r="X22" i="3"/>
  <c r="X104" i="3"/>
  <c r="X93" i="3"/>
  <c r="X885" i="3"/>
  <c r="X84" i="3"/>
  <c r="X522" i="3"/>
  <c r="X619" i="3"/>
  <c r="X461" i="3"/>
  <c r="X662" i="3"/>
  <c r="X814" i="3"/>
  <c r="X812" i="3"/>
  <c r="X644" i="3"/>
  <c r="X1027" i="3"/>
  <c r="X634" i="3"/>
  <c r="X810" i="3"/>
  <c r="X915" i="3"/>
  <c r="X647" i="3"/>
  <c r="X549" i="3"/>
  <c r="X548" i="3"/>
  <c r="X900" i="3"/>
  <c r="X943" i="3"/>
  <c r="X878" i="3"/>
  <c r="X576" i="3"/>
  <c r="X875" i="3"/>
  <c r="X614" i="3"/>
  <c r="X486" i="3"/>
  <c r="X659" i="3"/>
  <c r="X895" i="3"/>
  <c r="X43" i="3"/>
  <c r="X684" i="3"/>
  <c r="X593" i="3"/>
  <c r="X942" i="3"/>
  <c r="X861" i="3"/>
  <c r="X501" i="3"/>
  <c r="X830" i="3"/>
  <c r="X842" i="3"/>
  <c r="X803" i="3"/>
  <c r="X802" i="3"/>
  <c r="X948" i="3"/>
  <c r="X1141" i="3"/>
  <c r="X720" i="3"/>
  <c r="X860" i="3"/>
  <c r="X738" i="3"/>
  <c r="X891" i="3"/>
  <c r="X516" i="3"/>
  <c r="X889" i="3"/>
  <c r="X947" i="3"/>
  <c r="X794" i="3"/>
  <c r="X540" i="3"/>
  <c r="X928" i="3"/>
  <c r="X791" i="3"/>
  <c r="X883" i="3"/>
  <c r="X665" i="3"/>
  <c r="X788" i="3"/>
  <c r="X946" i="3"/>
  <c r="X785" i="3"/>
  <c r="X968" i="3"/>
  <c r="X493" i="3"/>
  <c r="X653" i="3"/>
  <c r="X481" i="3"/>
  <c r="X706" i="3"/>
  <c r="X399" i="3"/>
  <c r="X8" i="3"/>
  <c r="X24" i="3"/>
  <c r="X489" i="3"/>
  <c r="X621" i="3"/>
  <c r="X666" i="3"/>
  <c r="X29" i="3"/>
  <c r="X464" i="3"/>
  <c r="X638" i="3"/>
  <c r="X922" i="3"/>
  <c r="X78" i="3"/>
  <c r="X5" i="3"/>
  <c r="X556" i="3"/>
  <c r="X480" i="3"/>
  <c r="X670" i="3"/>
  <c r="X620" i="3"/>
  <c r="X1160" i="3"/>
  <c r="X1145" i="3"/>
  <c r="X465" i="3"/>
  <c r="X99" i="3"/>
  <c r="X103" i="3"/>
  <c r="X617" i="3"/>
  <c r="X918" i="3"/>
  <c r="X825" i="3"/>
  <c r="X407" i="3"/>
  <c r="X45" i="3"/>
  <c r="X2" i="3"/>
  <c r="X856" i="3"/>
  <c r="X37" i="3"/>
  <c r="X705" i="3"/>
  <c r="X668" i="3"/>
  <c r="X663" i="3"/>
  <c r="X651" i="3"/>
  <c r="X9" i="3"/>
  <c r="X850" i="3"/>
  <c r="X90" i="3"/>
  <c r="X737" i="3"/>
  <c r="X664" i="3"/>
  <c r="X1039" i="3"/>
  <c r="X513" i="3"/>
  <c r="X781" i="3"/>
  <c r="X41" i="3"/>
  <c r="X535" i="3"/>
  <c r="X778" i="3"/>
  <c r="X676" i="3"/>
  <c r="X775" i="3"/>
  <c r="X511" i="3"/>
  <c r="X772" i="3"/>
  <c r="X770" i="3"/>
  <c r="X958" i="3"/>
  <c r="X600" i="3"/>
  <c r="X957" i="3"/>
  <c r="X766" i="3"/>
  <c r="X557" i="3"/>
  <c r="X674" i="3"/>
  <c r="X762" i="3"/>
  <c r="X673" i="3"/>
  <c r="X759" i="3"/>
  <c r="X717" i="3"/>
  <c r="X105" i="3"/>
  <c r="X59" i="3"/>
  <c r="X82" i="3"/>
  <c r="X91" i="3"/>
  <c r="X97" i="3"/>
  <c r="X75" i="3"/>
  <c r="X1150" i="3"/>
  <c r="X100" i="3"/>
  <c r="X81" i="3"/>
  <c r="X98" i="3"/>
  <c r="X92" i="3"/>
  <c r="X102" i="3"/>
  <c r="X94" i="3"/>
  <c r="X85" i="3"/>
  <c r="X87" i="3"/>
  <c r="X88" i="3"/>
  <c r="X77" i="3"/>
  <c r="X89" i="3"/>
  <c r="X96" i="3"/>
  <c r="X101" i="3"/>
  <c r="X80" i="3"/>
</calcChain>
</file>

<file path=xl/sharedStrings.xml><?xml version="1.0" encoding="utf-8"?>
<sst xmlns="http://schemas.openxmlformats.org/spreadsheetml/2006/main" count="32303" uniqueCount="9749">
  <si>
    <t>Column Labels</t>
  </si>
  <si>
    <t>1401/7/18</t>
  </si>
  <si>
    <t>1401/7/20</t>
  </si>
  <si>
    <t>1401/7/21</t>
  </si>
  <si>
    <t>1401/7/29</t>
  </si>
  <si>
    <t>1401/8/10</t>
  </si>
  <si>
    <t>1401/8/2</t>
  </si>
  <si>
    <t>1401/8/16</t>
  </si>
  <si>
    <t>1401/8/15</t>
  </si>
  <si>
    <t>1401/8/14</t>
  </si>
  <si>
    <t>1401/8/11</t>
  </si>
  <si>
    <t>1401/8/21</t>
  </si>
  <si>
    <t>Total Average of Price</t>
  </si>
  <si>
    <t>Total Sum of Price</t>
  </si>
  <si>
    <t>Row Labels</t>
  </si>
  <si>
    <t>Average of Price</t>
  </si>
  <si>
    <t>Sum of Price</t>
  </si>
  <si>
    <t>نمایشگاه</t>
  </si>
  <si>
    <t>nu6gqdka</t>
  </si>
  <si>
    <t>pm47xjmz</t>
  </si>
  <si>
    <t>vky5aan</t>
  </si>
  <si>
    <t>x7kfuc4f</t>
  </si>
  <si>
    <t>xu5xt7yw</t>
  </si>
  <si>
    <t>xun1wnon</t>
  </si>
  <si>
    <t>mux26ect</t>
  </si>
  <si>
    <t>Personal</t>
  </si>
  <si>
    <t>dcmshnbt</t>
  </si>
  <si>
    <t>fkeed39b</t>
  </si>
  <si>
    <t>g7vf5q7b</t>
  </si>
  <si>
    <t>jt59hoa</t>
  </si>
  <si>
    <t>q6egcxvm</t>
  </si>
  <si>
    <t>xk2wh5cb</t>
  </si>
  <si>
    <t>zwnjxzf5</t>
  </si>
  <si>
    <t>3qxrv6p8</t>
  </si>
  <si>
    <t>Grand Total</t>
  </si>
  <si>
    <t>8-Nov</t>
  </si>
  <si>
    <t>12-Nov</t>
  </si>
  <si>
    <t>Count of Price</t>
  </si>
  <si>
    <t>1401/8/17</t>
  </si>
  <si>
    <t>نام خودرو</t>
  </si>
  <si>
    <t>شماره شاسی</t>
  </si>
  <si>
    <t>کد خودرو</t>
  </si>
  <si>
    <t>رنگ خودرو</t>
  </si>
  <si>
    <t>نوع سوخت</t>
  </si>
  <si>
    <t>وضعيت خودرو</t>
  </si>
  <si>
    <t>بيمه ثالث</t>
  </si>
  <si>
    <t>کیلومتر کارکرد</t>
  </si>
  <si>
    <t>year</t>
  </si>
  <si>
    <t>شماره موتور</t>
  </si>
  <si>
    <t>ايرادات خودرو</t>
  </si>
  <si>
    <t>شماره پلاك انتظامي</t>
  </si>
  <si>
    <t>carBrand</t>
  </si>
  <si>
    <t>کد کلاس</t>
  </si>
  <si>
    <t>carType</t>
  </si>
  <si>
    <t>reserve</t>
  </si>
  <si>
    <t>قیمت</t>
  </si>
  <si>
    <t>winner</t>
  </si>
  <si>
    <t>percent higher</t>
  </si>
  <si>
    <t>id</t>
  </si>
  <si>
    <t>marketValue</t>
  </si>
  <si>
    <t>difference</t>
  </si>
  <si>
    <t>سمند SE کلاس 1 سفيد دو پوششه</t>
  </si>
  <si>
    <t>BF752236</t>
  </si>
  <si>
    <t>سفيد دو پوششه</t>
  </si>
  <si>
    <t>بنزين</t>
  </si>
  <si>
    <t>اسقاطي تكميل نشده-مراجعه به مراكز اسقاط</t>
  </si>
  <si>
    <t>1401/06/01</t>
  </si>
  <si>
    <t>خط و خش و قري و كسري هاي ظاهري به رؤيت مشتري مي باشد - ارائه نامه از مراكز اسقاط مجوزدار جهت تحويل اين خودرو الزامي مي باشد در غير اينصورت پيشنهاد مردود و ضبط سپرده خواهد شد ، ارائه گواهي محضري جهت هرگونه سواستفاده از برنده مزايده اخذ خواهد گرديد - بدنه خط و خش و قري دارد – ايراد رنگي بدنه – زنگ زدگي و پوسيدگي نقاطي از بدنه - ايراد رنگي – صندليها مستعمل هستند – ديسك وصفحه كلاچ عملكرد ضعيف دارند – جلوبندي ايراد دارد – خوردگي دور تا دور و زير خودرو – آثار روغن ريزي داخل موتور و گيربكس و محوطه موتور – خودرو با وضعيت فعلي به فروش ميرسد و هرگونه كسري قطعات ديگر به عهده برنده مزايده بوده و مزايده گذار هيچگونه تعهدي در اين خصوص ندارد - كسري درب رادياتور - كسري باطري و اتصالات - كسري اي سي يو - نمدي درب موتور مستعمل - كسري قطعات موتوري و سوئيچ اول و دوم و راديو پخش و فندك و دكمه هاي شيشه بالابر و لاستيك هاي كفي - كسري زير سري - جلو پنجره شكسته و كسري تيغه برف پاك كن و آنتن و آينه هاي جانبي و كسري قالپاق و آنتن و رينگ اسپورت خط و خش و خوردگي دارد-لاستيك ها كاركرده ومستعمل - كسري شيشه جلو و شيشه هاي جانبي و عقب و چراغ عقب و درب باك و جك و آچار چرخ و زاپاس و شبرنگ و موكت صندوق - داخل خودرو و موتور كسري و شكستگي قطعات دارد ( روئيت مشتري ) كسري صندليها و رودريها و فرمان و بعضي از قطعات داشبورد وكنسول وسط و سردنده و خودرو اسقاطي ميباشد - موتور و گيربكس باز ميباشد - كسري تسمه تايم و دريچه و شيلنگ زير سنسور هوا و شيلنگ ترموستات و بعضي از قطعات و فيوزها و قاب آن خوردگي درب موتور و شاسي ها و گلگيرها و دربها و ركاب ها و سپرها و سقف و درب صندوق و كف صندوق و كسري انبار عقب خودرو مسابقه اي و شكستگي كامل داشبورد</t>
  </si>
  <si>
    <t>232-66ص62</t>
  </si>
  <si>
    <t>SE XU7</t>
  </si>
  <si>
    <t>سواري</t>
  </si>
  <si>
    <t>کد کلاس: 57301</t>
  </si>
  <si>
    <t>شماره بدنه: BF752236</t>
  </si>
  <si>
    <t>شماره جایگاه: 484 (جهت بازدید)</t>
  </si>
  <si>
    <t>n-1</t>
  </si>
  <si>
    <t>وانت آريسان دوگانه سوز کلاس 1 مشكي متاليك</t>
  </si>
  <si>
    <t>EV500012</t>
  </si>
  <si>
    <t>مشكي متاليك</t>
  </si>
  <si>
    <t>دوگانه سوز (بنزين و CNG)</t>
  </si>
  <si>
    <t>118J0000071</t>
  </si>
  <si>
    <t>خط و خش و قري و كسري هاي ظاهري به رؤيت مشتري مي باشد - ارائه نامه از مراكز اسقاط مجوزدار جهت تحويل اين خودرو الزامي مي باشد در غير اينصورت پيشنهاد مردود و ضبط سپرده خواهد شد ، ارائه گواهي محضري جهت هرگونه سواستفاده از برنده مزايده اخذ خواهد گرديد- ايراد رنگي بدنه - زنگ زدگي و پوسيدگي نقاطي از بدنه - صندليها مستعمل - ديسك و صفحه كلاچ عملكرد ضعيف دارد - جلوبندي ايراد دارد - خوردگي دورتادور و زيرخودرو - آثار روغن ريزي داخل موتور و گيربكس و محوطه موتور - خودرو با وضعيت فعلي بفروش مي رسد و هرگونه كسري قطعات ديگر و يا ايرادات ديگر بعهده برنده مزايده بوده و مزايده گذار هيچگونه تعهدي در اين خصوص ندارد - شكستگي شاسي وسط دوطرف و به سقف و ستون ضربه وارد كرده - خوردگي سپرها و گلگيرها و دربها و درب باري و درب موتور - قري و ترك سقف - خوردگي ستونها - لاستيك عقب راست پنچر - كسري درب جعبه فيوز - شكستگي درب داشبورد - كسري دنده و شكستگي دستگيره بازكن درب موتور - شكستگي و كسري بعضي از قطعات موتوري - كسري ميله درب موتور - شكستگي چراغ هاي جلو - لاستيك جلو راست پنچر - شكستگي راهنماي گلگير جلو راست - باطري مستعمل و دشارژ - خوردگي سيني زير موتور - كسري دو عدد سوئيچ و ولوم ضبط و فندك - زيرپايي ها و تيغه برف پاك كن مستعمل - شكستگي جلو پنجره - كسري آينه هاي جانبي و آنتن و قالپاق ها - لاستيك ها كاركرده و متفرقه - شكستگي شيشه هاي دربها و چراغ هاي عقب - كسري درب باك سي ان جي و آچارچرخ و شبرنگ - زاپاس مستعمل و تركيده و متفرقه</t>
  </si>
  <si>
    <t>338-66ص12</t>
  </si>
  <si>
    <t>PU1 OHVG CNG</t>
  </si>
  <si>
    <t>وانت</t>
  </si>
  <si>
    <t>کد کلاس: 16401</t>
  </si>
  <si>
    <t>شماره بدنه: EV500012</t>
  </si>
  <si>
    <t>شماره جایگاه: 487 (جهت بازدید)</t>
  </si>
  <si>
    <t>تارا دستي کلاس 1 سفيد دو پوششه</t>
  </si>
  <si>
    <t>LD900001</t>
  </si>
  <si>
    <t>187B0000009</t>
  </si>
  <si>
    <t>خط و خش و قري و كسري هاي ظاهري به رؤيت مشتري مي باشد - ارائه نامه از مراكز اسقاط مجوزدار جهت تحويل اين خودرو الزامي مي باشد در غير اينصورت پيشنهاد مردود و ضبط سپرده خواهد شد ، ارائه گواهي محضري جهت هرگونه سواستفاده از برنده مزايده اخذ خواهد گرديد - ايراد رنگي بدنه - زنگ زدگي و پوسيدگي نقاطي از بدنه - صندليها مستعمل - ديسك و صفحه كلاچ عملكرد ضعيف دارد - جلوبندي ايراد دارد - خوردگي دورتادور و زيرخودرو - آثار روغن ريزي داخل موتور و گيربكس و محوطه موتور - خودرو با وضعيت فعلي بفروش مي رسد و هرگونه كسري قطعات ديگر و يا ايرادات ديگر بعهده برنده مزايده بوده و مزايده گذار هيچگونه تعهدي در اين خصوص ندارد - كسري ليوان و دكمه شيشه بالابر درب جلو راست و دريچه كولر سمت چپ و چراغ سقفي جلو - بازبودن سيم پيچي هاي زيرفرمان - كسري لوله هواكش و سيني روي رادياتها و چراغ ها - شكستگي چراغ هاي جلو - خوردگي سپرها - رنگ پريدگي درب موتور و گلگيرهاي جلو و عقب و دربها و درب صندوق - كسري قاب دستگيره درب راننده - كسري و شكستگي بسياري از قطعات موتوري و داخل اتاق - باطري مستعمل - كسري نمدي درب موتور و سيني زير موتور و آرم سوئيچ و يك عدد سوئيچ و يك عدد زيرپايي جلو - زيرپايي ها و تيغه برف پاك كن مستعمل - شكستگي جلوپنجره - كسري قاب آينه بغل راست و آنتن و قالپاق ها و رينگ ها - لاستيكها كاركرده و متفرقه - شكستگي چراغ عقب راست - زاپاس كاركرده و متفرقه - موكت صندوق مستعمل</t>
  </si>
  <si>
    <t>483-66ج74</t>
  </si>
  <si>
    <t>TARA TU5P</t>
  </si>
  <si>
    <t>کد کلاس: 32201</t>
  </si>
  <si>
    <t>شماره بدنه: LD900001</t>
  </si>
  <si>
    <t>شماره جایگاه: 485 (جهت بازدید)</t>
  </si>
  <si>
    <t>وانت 1600 انژكتوري كلاس 1 سفيد</t>
  </si>
  <si>
    <t>سفيد</t>
  </si>
  <si>
    <t>خودرو مستعمل يا مازاد سازماني</t>
  </si>
  <si>
    <t>1402/03/31</t>
  </si>
  <si>
    <t>خط و خش و قري و كسري هاي ظاهري به رؤيت مشتري مي باشد - ايراد رنگي بدنه - زنگ زدگي و پوسيدگي نقاطي از بدنه - صندليها مستعمل - ديسك و صفحه كلاچ عملكرد ضعيف دارد - جلوبندي ايراد دارد - خوردگي دورتادور بدنه - آثار روغن ريزي داخل موتور و گيربكس و محوطه موتور - هرگونه كسري قطعات ديگر يا ايردات ديگر بعهده برنده مزايده مي باشد - كسري آفتابگير سمت راست - خوردگي گلگيرها و دربها و درب باري و سپرها و كف باري - خش و قري درب موتور - چراغ راهنماهاي جلو شكسته - موتور خودرو بد كار مي كند - خراب بودن بخاري و چراغ هاي جلو و عقب - كسري يك عدد سوئيچ و راديوپخش و آنتن و قالپاق ها و شبرنگ - زيرپايي ها مستعمل و متفرقه - جلو پنجره شكسته - تيغه برف پاك كن مستعمل - خش آينه هاي جانبي - لاستيكها مستعمل و متفرقه - شكستگي چراغ هاي عقب - زاپاس مستعمل و متفرقه</t>
  </si>
  <si>
    <t>325-33ط29</t>
  </si>
  <si>
    <t>1600i</t>
  </si>
  <si>
    <t>کد کلاس: 540</t>
  </si>
  <si>
    <t>شماره بدنه: 22103755</t>
  </si>
  <si>
    <t>شماره جایگاه: 35 (جهت بازدید)</t>
  </si>
  <si>
    <t>وانت 1600 انژكتوري معمولي سفيد</t>
  </si>
  <si>
    <t>1402/03/01</t>
  </si>
  <si>
    <t>خط و خش و قري و كسري هاي ظاهري به رؤيت مشتري مي باشد - ايراد رنگي بدنه - زنگ زدگي و پوسيدگي نقاطي از بدنه - صندليها مستعمل - ديسك و صفحه كلاچ عملكرد ضعيف دارد - جلوبندي ايراد دارد - خوردگي دورتادور و زير خودرو - آثار روغن ريزي داخل موتور و گيربكس و محوطه موتور - هرگونه كسري و يا ايرادات ديگر بعهده برنده مزايده مي باشد و مزايده گذار هيچگونه تعهدي در اين خصوص ندارد - كسري راهنماي روي فرمان و قاب توري باند جلو چپ - صندليها و رودريها و داشبورد زدگي و پارگي دارد و مستعمل ميباشد - خوردگي گلگيرها و دربها و سقف و درب موتور و سپرها و درب باري و كف اتاق باري و ركابها - موتور خودرو ايراد فني دارد و جوش آورده و آمپر چسبانده - باطري مستعمل و متفرقه - خوردگي سيني زير موتور - كسري يك عدد سوئيچ و آنتن - راديو پخش مستعمل و متفرقه و خراب - زيرپايي ها مستعمل و متفرقه - شكستگي جلو پنجره - تيغه برف پاك كن مستعمل - خش آينه هاي جانبي - قالپاق ها شكسته و خش دارند - لاستيكها مستعمل و متفرقه و عقب چپ پنچر - شكستگي چراغ عقب راست - جك و آچار چرخ مستعمل - زاپاس مستعمل و متفرقه</t>
  </si>
  <si>
    <t>325-11ي23</t>
  </si>
  <si>
    <t>معمولي</t>
  </si>
  <si>
    <t>کد کلاس: 2</t>
  </si>
  <si>
    <t>شماره بدنه: 82901531</t>
  </si>
  <si>
    <t>شماره جایگاه: 578 (جهت بازدید)</t>
  </si>
  <si>
    <t>n</t>
  </si>
  <si>
    <t>وانت پيكان OHV كلاس 20 سفيدشيري</t>
  </si>
  <si>
    <t>سفيدشيري</t>
  </si>
  <si>
    <t>خط و خش و قري و كسري هاي ظاهري به رؤيت مشتري مي باشد - ايراد رنگي بدنه - زنگ زدگي و پوسيدگي نقاطي از بدنه - صندليها مستعمل - ديسك و صفحه كلاچ عملكرد ضعيف دارد - جلوبندي ايراد دارد - خوردگي دورتادور و زير خودرو - آثار روغن ريزي داخل موتور و گيربكس و محوطه موتور - هرگونه كسري و يا ايرادات ديگر بعهده برنده مزايده مي باشد و مزايده گذار هيچگونه تعهدي در اين خصوص ندارد - كسري سوكت داخل موتور كنار اي سي يو - تعويضي بودن درب جلو چپ - خوردگي گلگيرها و دربها و ركابها و درب موتور و سقف و درب باري و سپرها و كف اتاق باري و زير خودرو - پارگي داشبورد و رودريها و كنسول وسط - شكستگي چراغ راهنماهاي جلو - خوردگي جلوي خودرو - خودرو استارت ميخورد ولي روشن نميشود - باطري مستعمل و خراب - كسري سنسور هوا - خوردگي سيني زير موتور - سوئيچ اول مغاير و تيغه آن شكسته - كسري يك عدد سوئيچ - راديو پخش مستعمل و متفرقه و خراب - زيرپايي ها و تيغه برف پاك كن مستعمل - خش اينه هاي جانبي - كسري آنتن و قالپاق ها - لاستيكها مستعمل و متفرقه و مغاير و عقب چپ پنچر - شكستگي چراغ عقب راست - زاپاس مستعمل و كاركرده</t>
  </si>
  <si>
    <t>547-44س77</t>
  </si>
  <si>
    <t>BARDO OHV</t>
  </si>
  <si>
    <t>کد کلاس: 15520</t>
  </si>
  <si>
    <t>شماره بدنه: 31003309</t>
  </si>
  <si>
    <t>شماره جایگاه: 580 (جهت بازدید)</t>
  </si>
  <si>
    <t>وانت پيكان OHV دوگانه سوز كلاس 5 سفيد</t>
  </si>
  <si>
    <t>خط و خش و قري و كسري هاي ظاهري به رؤيت مشتري مي باشد - ايراد رنگي بدنه - زنگ زدگي و پوسيدگي نقاطي از بدنه - صندليها مستعمل - ديسك و صفحه كلاچ عملكرد ضعيف دارد - جلوبندي ايراد دارد - خوردگي دورتادور بدنه - آثار روغن ريزي داخل موتور و گيربكس و محوطه موتور - هرگونه كسري قطعات ديگر يا ايردات ديگر بعهده برنده مزايده مي باشد - خوردگي دربها و گلگيرها و سپرها و درب باري و درب موتور و خش و رنگ پريدگي سقف و ستونها - خوردگي كف باري - شكستگي چراغ راهنماي جلو راست - شكستگي منبع اگزوز - كسري قسمتي از اگزوز و لامپ چراغ عقب چپ - بخاري خراب ميباشد - خوردگي سيني زير موتور - كسري يك عدد سوئيچ و راديوپخش - زيرپايي ها و تيغه برف پاك كن مستعمل - كسري آنتن - شكستگي قالپاق ها - لاستيكها مستعمل و متفرقه - شكستگي شيشه جلو و چراغ هاي عقب - زاپاس مستعمل و متفرقه و پنچر</t>
  </si>
  <si>
    <t>395-33و95</t>
  </si>
  <si>
    <t>OHV CNG</t>
  </si>
  <si>
    <t>کد کلاس: 15605</t>
  </si>
  <si>
    <t>شماره بدنه: 31666895</t>
  </si>
  <si>
    <t>شماره جایگاه: 36 (جهت بازدید)</t>
  </si>
  <si>
    <t>پژو 405 - جي ال آي معمولي نوك مدادي ساليد</t>
  </si>
  <si>
    <t>نوك مدادي ساليد</t>
  </si>
  <si>
    <t>خط و خش و قري و كسري هاي ظاهري به رؤيت مشتري مي باشد - ايراد رنگي بدنه - زنگ زدگي و پوسيدگي نقاطي از بدنه - مستعمل بودن صندليها - ديسك و صفحه كلاچ عملكرد ضعيف دارد - جلوبندي ايراد دارد - خوردگي دور تا دور و زير خودرو - آثار روغن ريزي داخل موتور و گيربكس و محوطه موتور - هرگونه كسري قطعات ديگر يا ايرادات ديگر به عهده برنده مزايده مي باشد - كسري قاب دور دريچه روي داشبورد سمت راننده و قفل كن هاي دربها - شكستگي شيشه درب راننده - پارگي كمربند سمت راننده - خوردگي سپر عقب و گلگير عقب چپ و خش و قري و رنگ پريدگي درب جلو چپ و خش ركاب چپ - خش و رنگ پريدگي گلگير جلو چپ و قري و ترك درب موتور - خش دربهاي راست و گلگير عقب راست و قري درب عقب راست - رنگ پريدگي دربهاي راست - خوردگي سپر جلو - داخل اتاق بوي بنزين مي دهد - نمدي درب موتور مستعمل - خوردگي سيني زير موتور - كسري يك عدد سوئيچ - راديو پخش مستعمل و متفرقه و خراب - كسري زيرپايي ها - تيغه برف پاك كن مستعمل - خوردگي رينگ اسپرت و كسري يك عدد بچه رينگ - لاستيكها مستعمل و متفرقه - چراغ عقب راست شكسته - جك و آچارچرخ و موكت صندوق مستعمل - زاپاس مستعمل و پنچر - كسري شبرنگ - آچارخوردگي پيچ هاي درب موتور و گلگير جلو راست</t>
  </si>
  <si>
    <t>175-33ج64</t>
  </si>
  <si>
    <t>شماره بدنه: 83341282</t>
  </si>
  <si>
    <t>شماره جایگاه: 53 (جهت بازدید)</t>
  </si>
  <si>
    <t>پژو جي ال ايكس انژكتوري كلاس 2 مشكي متاليك</t>
  </si>
  <si>
    <t>9R287855</t>
  </si>
  <si>
    <t>خط و خش و قري و كسري هاي ظاهري به رؤيت مشتري مي باشد - ايراد رنگي بدنه - زنگ زدگي و پوسيدگي نقاطي از بدنه - صندليها مستعمل - ديسك و صفحه كلاچ عملكرد ضعيف دارد - جلوبندي ايراد دارد - خوردگي دورتادور و زير خودرو - آثار روغن ريزي داخل موتور و گيربكس و محوطه موتور - هرگونه كسري و يا ايرادات ديگر بعهده برنده مزايده مي باشد و مزايده گذار هيچگونه تعهدي در اين خصوص ندارد - كسري دكمه پران قاب روي جاسيگاري و قاب توري داشبورد - پارگي و زدگي رودريها و داشبورد و كنسول وسط و صندليها - كسري قفل كن دربهاي جلو - باز نشدن درب عقب چپ - كسري باندهاي طاغچه عقب - قري و رنگ پريدگي كف صندوق و خوردگي پليت عقب و گلگيرها و دربها و درب موتور و درب صندوق و ستون عقب چپ و ركابها و سپرها - - خش عميق سقف - شكستگي چراغ و راهنما جلو راست - كسري ابرويي جلو راست - خودرو استارت ميخورد ولي روشن نميشود - باطري خراب و متفرقه - نمدي درب موتور مستعمل - خوردگي سيني زير موتور - راديو پخش خراب و متفرقه - كسري فندك و يك عدد زيرپايي - زيرپايي ها و تيغه برف پاك كن مستعمل - شكستگي جلو پنجره - خوردگي آينه راست و شكستگي آينه چپ - كسري قالپاق ها - لاستيكها مستعمل و متفرقه و مغاير - خش چراغ هاي عقب - كسري آچارچرخ و زاپاس - جك و شبرنگ و موكت صندوق مستعمل - كسري زيرسري عقب</t>
  </si>
  <si>
    <t>629-33د15</t>
  </si>
  <si>
    <t>405 GLX XU7</t>
  </si>
  <si>
    <t>کد کلاس: 25602</t>
  </si>
  <si>
    <t>شماره بدنه: 9R287855</t>
  </si>
  <si>
    <t>شماره جایگاه: 555 (جهت بازدید)</t>
  </si>
  <si>
    <t>وانت پيكان OHV كلاس 4 سفيد صدفي</t>
  </si>
  <si>
    <t>CG290384</t>
  </si>
  <si>
    <t>سفيد صدفي</t>
  </si>
  <si>
    <t>114F0019962</t>
  </si>
  <si>
    <t>خط و خش و قري و كسري هاي ظاهري به رؤيت مشتري مي باشد - ايراد رنگي بدنه - زنگ زدگي و پوسيدگي نقاطي از بدنه - صندليها مستعمل - ديسك و صفحه كلاچ عملكرد ضعيف دارد - جلوبندي ايراد دارد - خوردگي دورتادور و زير خودرو - آثار روغن ريزي داخل موتور و گيربكس و محوطه موتور - هرگونه كسري و يا ايرادات ديگر بعهده برنده مزايده مي باشد و مزايده گذار هيچگونه تعهدي در اين خصوص ندارد - كسري باند رودريها و دستگيره بالابر شيشه جلو راست و قاب دور دستگيره بازكن درب جلو راست - خوردگي سپرها و درب موتور و گلگيرها و ركاب و درب راست و درب باري عقب و كف اتاق باري و گلگيرها و ركاب و درب چپ - قري و رنگ پريدگي سقف - شكستگي چراغ هاي سپر عقب - پارگي رودريها و داشبورد و كنسول وسط صندليها - خودرو استارت ميخورد ولي روشن نمي شود - باطري مستعمل و متفرقه - خوردگي سيني زير موتور - كسري راديو پخش و يك عدد زيرپايي و آنتن و يك عدد قالپاق - شكستگي جلو پنجره - تيغه برف پاك كن مستعمل - خش آينه هاي جانبي - لاستيكها مستعمل و متفرقه و مغاير - شكستگي چراغ هاي عقب - زاپاس مستعمل و متفرقه - شبرنگ مستعمل</t>
  </si>
  <si>
    <t>795-33ج38</t>
  </si>
  <si>
    <t>کد کلاس: 15504</t>
  </si>
  <si>
    <t>شماره بدنه: CG290384</t>
  </si>
  <si>
    <t>شماره جایگاه: 579 (جهت بازدید)</t>
  </si>
  <si>
    <t>تارا دستي کلاس 1 مشكي متاليك</t>
  </si>
  <si>
    <t>LD900010</t>
  </si>
  <si>
    <t>187B0000027</t>
  </si>
  <si>
    <t>خط و خش و قري و كسري هاي ظاهري به رؤيت مشتري مي باشد - ارائه نامه از مراكز اسقاط مجوزدار جهت تحويل اين خودرو الزامي مي باشد در غير اينصورت پيشنهاد مردود و ضبط سپرده خواهد شد ، ارائه گواهي محضري جهت هرگونه سواستفاده از برنده مزايده اخذ خواهد گرديد - ايراد رنگي بدنه - زنگ زدگي و پوسيدگي نقاطي از بدنه - صندليها مستعمل - ديسك و صفحه كلاچ عملكرد ضعيف دارد - جلوبندي ايراد دارد - خوردگي دورتادور و زيرخودرو - آثار روغن ريزي داخل موتور و گيربكس و محوطه موتور - خودرو با وضعيت فعلي بفروش مي رسد و هرگونه كسري قطعات ديگر و يا ايرادات ديگر بعهده برنده مزايده بوده و مزايده گذار هيچگونه تعهدي در اين خصوص ندارد - كسري سيني روي رادياتها و پشت چراغ هاي جلو - مات بودن چراغ ها - خوردگي درب جلو چپ و سپرها و گلگير جلو چپ - رنگ پريدگي درب عقب چپ و خوردگي گلگير عقب چپ و درب صندوق و گلگيرهاي راست و خش و رنگ پريدگي دربهاي راست - بازبودن سيم پيچي هاي زير فرمان و كنسول وسط - كسري درب جعبه فيوز و مجموعه كامل مانيتور و قاب پشت آينه ها و چراغ سقفي جلو و قاب دور فرمان و ليوان و دستگيره هاي سقفي و قاب كمربندها و چراغ خطر عقب روي طاغچه و لوله هاي هواكش - باطري مستعمل و متفرقه - كسري نمدي درب موتور و يك عدد سوئيچ و راديوپخش و رينگ اسپرت و قالپاق و جك و آچارچرخ و زاپاس و شبرنگ - شكستگي جلوپنجره - تيغه برف پاك كن مستعمل و شكسته - لاستيكها مستعمل - شكستگي چراغ هاي عقب - زيرپايي و موكت صندوق مستعمل</t>
  </si>
  <si>
    <t>944-66ص59</t>
  </si>
  <si>
    <t>شماره بدنه: LD900010</t>
  </si>
  <si>
    <t>شماره جایگاه: 486 (جهت بازدید)</t>
  </si>
  <si>
    <t>وانت پيكان OHV دوگانه سوز كلاس 11 سفيد شيري</t>
  </si>
  <si>
    <t>EG404174</t>
  </si>
  <si>
    <t>سفيد شيري</t>
  </si>
  <si>
    <t>118P0084857</t>
  </si>
  <si>
    <t>خط و خش و قري و كسري هاي ظاهري به رؤيت مشتري مي باشد - ايراد رنگي بدنه - زنگ زدگي و پوسيدگي نقاطي از بدنه - صندليها مستعمل - ديسك و صفحه كلاچ عملكرد ضعيف دارد - جلوبندي ايراد دارد - خوردگي دورتادور و زير خودرو - آثار روغن ريزي داخل موتور و گيربكس و محوطه موتور - هرگونه كسري و يا ايرادات ديگر بعهده برنده مزايده مي باشد و مزايده گذار هيچگونه تعهدي در اين خصوص ندارد - كسري فيوز و درب جعبه فيوز داخل موتور - خوردگي سپرها و گلگيرهاي جلو و دربها و گلگيرهاي عقب و ركاب راست و سقف و درب باري و كف اتاق باري و خش و قري و رنگ پريدگي درب موتور - باطري مستعمل و متفرقه - خوردگي سيني زير موتور - راديو پخش مستعمل و متفرقه - زيرپايي ها مستعمل و پارگي دارند - تيغه برف پاك كن مستعمل - خوردگي آينه هاي جانبي - كسري آنتن و قالپاق ها و جك و شبرنگ - لاستيكها مستعمل و متفرقه - زاپاس مستعمل و متفرقه</t>
  </si>
  <si>
    <t>575-33د87</t>
  </si>
  <si>
    <t>کد کلاس: 15611</t>
  </si>
  <si>
    <t>شماره بدنه: EG404174</t>
  </si>
  <si>
    <t>شماره جایگاه: 577 (جهت بازدید)</t>
  </si>
  <si>
    <t>وانت پيكان OHV دوگانه سوز كلاس 10 سفيد شيري</t>
  </si>
  <si>
    <t>DG387150</t>
  </si>
  <si>
    <t>114F0052852</t>
  </si>
  <si>
    <t>خط و خش و قري و كسري هاي ظاهري به رؤيت مشتري مي باشد - ايراد رنگي بدنه - زنگ زدگي و پوسيدگي نقاطي از بدنه - صندليها مستعمل - ديسك و صفحه كلاچ عملكرد ضعيف دارد - جلوبندي ايراد دارد - خوردگي دورتادور و زير خودرو - آثار روغن ريزي داخل موتور و گيربكس و محوطه موتور - هرگونه كسري و يا ايرادات ديگر بعهده برنده مزايده مي باشد و مزايده گذار هيچگونه تعهدي در اين خصوص ندارد - پارگي داشبورد - كسري آرم روي فرمان و آينه راست و مغاير بودن آينه - خوردگي ركاب راست و درب موتور و گلگير جلو راست و سيني روي راديات و سپر جلو - خش و قري درب جلو راست - خش و رنگ پريدگي سقف - خوردگي گلگيرهاي عقب و درب باري و كف اتاق باري و سپر عقب - خش و قري و رنگ پريدگي درب چپ - خوردگي گلگير جلو چپ - شكستگي چراغ هاي داخل سپر عقب و چراغ راهنماي جلو راست - خوردگي سيني زير موتور - كسري يك عدد سوئيچ و راديو پخش و آنتن و زاپاس - زيرپايي ها و تيغه برف پاك كن مستعمل - كسري يك عدد زير سري - آينه بغل راست متفرقه و چپ خش دارد - شكستگي دو عدد قالپاق - لاستيكها مستعمل و متفرقه - شكستگي چراغ هاي عقب</t>
  </si>
  <si>
    <t>259-44س71</t>
  </si>
  <si>
    <t>کد کلاس: 15610</t>
  </si>
  <si>
    <t>شماره بدنه: DG387150</t>
  </si>
  <si>
    <t>شماره جایگاه: 576 (جهت بازدید)</t>
  </si>
  <si>
    <t>پژو جي ال ايكس دوگانه سوز كلاس3 نقره اي متاليك</t>
  </si>
  <si>
    <t>نقره اي متاليك</t>
  </si>
  <si>
    <t>خط و خش و قري و كسري هاي ظاهري به رؤيت مشتري مي باشد - ايراد رنگي بدنه - زنگ زدگي و پوسيدگي نقاطي از بدنه - صندليها مستعمل - ديسك و صفحه كلاچ عملكرد ضعيف دارد - جلوبندي ايراد دارد - خوردگي دورتادور و زير بدنه - آثار روغن ريزي داخل موتور و گيربكس و محوطه موتور - هرگونه كسري قطعات ديگر و يا ايرادات ديگر به عهده برنده مزايده مي باشد - كسري قفل كن هاي دربها - رودريها و داشبورد مستعمل و زدگي و پارگي دارند - اچارخوردگي پيچ هاي درب موتور و گلگيرهاي جلو - شكستگي راهنما جلو راست - خوردگي سپرها و ركاب چپ و قري درب عقب چپ - دفرمه بودن زه دربها و نوار دور شيشه ها - پوسته شدن رنگ گلگير عقب چپ و درب جلو و عقب چپ - خش و رنگ پريدگي درب صندوق - قري و خش دربهاي راست - خش گلگيرهاي راست و ركاب راست - رنگ شدگي نقاطي از بدنه - تعويضي بودن درب موتور و گلگيرهاي جلو و درب صندوق - موتور خودرو بدكار ميكند و دود سياه ميدهد - باطري مستعمل و متفرقه - نمدي درب موتور مستعمل - خوردگي سيني زير موتور - كسري يك عدد سوئيچ - راديوپخش مستعمل و متفرقه - زيرپايي ها و تيغه برف پاك كن مستعمل - شكستگي جلو پنجره - كسري آنتن و يك عدد بچه رينگ - لاستيك ها كاركرده و متفرقه - ترك شيشه جلو - شكستگي چراغ عقب راست - جك و آچار چرخ و موكت صندوق مستعمل - زاپاس مستعمل و متفرقه - كسري شبرنگ - خراب بودن كولر و بخاري</t>
  </si>
  <si>
    <t>953-33ل71</t>
  </si>
  <si>
    <t>405GLX XU7 CNG</t>
  </si>
  <si>
    <t>کد کلاس: 534</t>
  </si>
  <si>
    <t>شماره بدنه: 40414546</t>
  </si>
  <si>
    <t>شماره جایگاه: 51 (جهت بازدید)</t>
  </si>
  <si>
    <t>پژو جي ال ايكس انژكتوري كلاس 2 نقره اي متاليك</t>
  </si>
  <si>
    <t>9K920958</t>
  </si>
  <si>
    <t>خط و خش و قري و كسري هاي ظاهري به رؤيت مشتري مي باشد - ايراد رنگي بدنه - زنگ زدگي و پوسيدگي نقاطي از بدنه - صندليها مستعمل - ديسك و صفحه كلاچ عملكرد ضعيف دارد - جلوبندي ايراد دارد - خوردگي دورتادور و زير بدنه - آثار روغن ريزي داخل موتور و گيربكس و محوطه موتور - هرگونه كسري قطعات ديگر و يا ايرادات ديگر به عهده برنده مزايده مي باشد - كسري قفل كن درب راننده و درپوش گازكولر - خوردگي سپرها و گلگيرهاي جلو و درب موتور - آچارخوردگي پيچ هاي درب موتور و گلگير جلو چپ - خوردگي درب جلو چپ - قري و خش درب عقب چپ و گلگير عقب چپ - خش درب صندوق - خوردگي گلگير عقب و درب عقب راست - قري و خش درب جلو راست - خوردگي ركاب چپ - شكستگي چراغ راهنماي جلو چپ - شكستگي دستگيره باز كن درب موتور - زدگي رودريها و داشبورد و كنسول وسط - موتور خودرو بد كار ميكند و دود سياه ميدهد - باطري مستعمل و متفرقه - نمدي درب موتور مستعمل و پاره - خوردگي سيني زير موتور - كسري يك عدد سوئيچ و فندك و زيرپايي ها - راديوپخش مستعمل و متفرقه و خراب - تيغه برف پاك كن مستعمل - كسري آنتن - لاستيك ها كاركرده و متفرقه - شكستگي شيشه جلو - چراغ عقب راست شكسته و چپ خش دارد - جك و آچارچرخ و موكت صندوق مستعمل - زاپاس تركيده و مستعمل - كسري شبرنگ</t>
  </si>
  <si>
    <t>147-44ي42</t>
  </si>
  <si>
    <t>شماره بدنه: 9K920958</t>
  </si>
  <si>
    <t>شماره جایگاه: 52 (جهت بازدید)</t>
  </si>
  <si>
    <t>پژو پارس TU5 كلاس20 سفيد دو پوششه</t>
  </si>
  <si>
    <t>MH689982</t>
  </si>
  <si>
    <t>خودرو حريقي</t>
  </si>
  <si>
    <t>1401/09/06</t>
  </si>
  <si>
    <t>139B0252842</t>
  </si>
  <si>
    <t>خط و خش و قري و كسري هاي ظاهري به رؤيت مشتري مي باشد - حريقي بودن قسمت جلو خودرو و موتور - سوختگي لوازم موتوري و كسري قطعه دارد - داخل اتاق حريقي مي باشد و كسري قطعات دارد - سوختگي درب موتور و محفظه موتور و گلگيرهاي جلو و سپر جلو و مجموعه كامل فن و سيني فن و رادياتها و هواكش و چراغ هاي جلو و تمامي سيم پيچي هاي داخل اتاق و موتور و داشبورد و كنسول وسط - قاب دور فرمان و زيرفرمان كسري - آثار حريق دربهاي جلو و رودري هاي جلو - كسري درب راديات و درب روغن ترمز و درب روغن موتور و هيدروليك و باطري و گيج روغن و اي سي يو و سنسور هوا و سيني پلاك مشخصات خودرو و نمدي درب موتور - زيرپايي ها مستعمل - كسري جلو پنجره و تيغه برف پاك كن جلو - خش آينه جانبي راست - كسري آنتن و قالپاق - لاستيك ها كار كرده - كسري جك و آچارچرخ - زاپاس پنچر - موكت صندوق مستعمل</t>
  </si>
  <si>
    <t>923-30ن24</t>
  </si>
  <si>
    <t>PARS TU5</t>
  </si>
  <si>
    <t>کد کلاس: 28520</t>
  </si>
  <si>
    <t>شماره بدنه: MH689982</t>
  </si>
  <si>
    <t>شماره جایگاه: 14 (جهت بازدید)</t>
  </si>
  <si>
    <t>پژو جي ال ايكس دوگانه سوز كلاس 28 زرد دو پوششه ساليد</t>
  </si>
  <si>
    <t>GR663141</t>
  </si>
  <si>
    <t>زرد دو پوششه ساليد</t>
  </si>
  <si>
    <t>ايراد فني</t>
  </si>
  <si>
    <t>1401/10/30</t>
  </si>
  <si>
    <t>124K0842735</t>
  </si>
  <si>
    <t>خط وخش و قري و كسري هاي ظاهري به رؤيت مشتري ميباشد - موتور خودرو استارت ميخورد ولي روشن نميشود - خودرو ايراد فني دارد - عدم تست فني خودرو - درپوش گاز كسري - خوردگي و شكستگي سپرها و چراغ راهنماي جلو چپ - دفرمگي زه دربها و نوار دور شيشه ها - خش چراغ عقب چپ - كسري درب جعبه فيوز داخل موتور - آچارخوردگي پيچ هاي گلگير جلو راست ( تعويضي ) - آثار ريزش روغن روي موتور - - كسري درپوش روي كنسول وسط و قفل كن درب عقب راست - زدگي رودريها و صندليها و داشبورد - خوردگي پليت عقب و گلگير عقب و دربهاي چپ - خوردگي و رنگ پريدگي گلگير جلوي چپ و خوردگي درب موتور و گلگيرها و ركابها و دربهاي راست - خوردگي ركابها - خرابي دكمه صندوق پران - خوردگي كف صندوق و درب صندوق - مستعمل بودن باطري و نمدي درب موتور و لاستيكهاي كف پايي و تيغه هاي برف پاك كن و قالپاقها و جك و آچارچرخ و موكت صندوق - خوردگي سيني زير موتور - يكي از سوئيچ ها كسري و يكي ديگر شكسته - شكستگي جلو پنجره - كسري قاب پشت برف پاك كن- سائيدگي آينها ها - لاستيكها كاركرده - خش چراغ هاي عقب - زاپاس مستعمل</t>
  </si>
  <si>
    <t>927-99ر87</t>
  </si>
  <si>
    <t>کد کلاس: 27228</t>
  </si>
  <si>
    <t>شماره بدنه: GR663141</t>
  </si>
  <si>
    <t>شماره جایگاه: 556 (جهت بازدید)</t>
  </si>
  <si>
    <t>پژو 206 اس دي 1600 سي سي كلاس 1 نقره اي متاليك</t>
  </si>
  <si>
    <t>FX7M2770556</t>
  </si>
  <si>
    <t>خط و خش و قري و كسري هاي ظاهري به رؤيت مشتري مي باشد - ايراد رنگي بدنه - زنگ زدگي و پوسيدگي نقاطي از بدنه - صندليها مستعمل - ديسك و صفحه كلاچ عملكرد ضعيف دارد - جلوبندي ايراد دارد - خوردگي دورتادور و زير خودرو - آثار روغن ريزي داخل موتور و گيربكس و محوطه موتور - پارگي نوار دور دربها - دفرمه بودن رودري درب راننده - پارگي روي فرمان - آچارخوردگي پيچ هاي گلگير جلو چپ - خوردگي سپرها و درب جلو و گلگير عقب چپ و درب صندوق و ركاب چپ - خش عميق و قري سقف - قري گلگير عقب راست - خوردگي ركاب راست - قري و رنگ پريدگي دربهاي راست - تعويضي بودن گلگير جلو راست - خش عميق ستون وسط چپ - خش و قري گلگير عقب راست - باز بودن سيم پيچي هاي زير داشبورد - عدم جذب زه دربها - بدنه رنگ شدگي دارد - باطري مستعمل و دشارژ و متفرقه - كسري نمدي درب موتور - خوردگي سيني زير موتور - كسري يك عدد سوئيچ - راديو پخش مستعمل و خراب - فندك مستعمل - زيرپايي ها مستعمل و متفرقه و مغاير - رنگ پريدگي جلو پنجره - تيغه برف پاك كن مستعمل - خوردگي آينه بغل راست - كسري آنتن و قالپاق ها - لاستيكها مستعمل و متفرقه و مغاير - شكستگي شيشه جلو - كسري جك و آچار چرخ و شبرنگ - - زاپاس مستعمل و متفرقه و مغاير و پنچر</t>
  </si>
  <si>
    <t>425-33ص24</t>
  </si>
  <si>
    <t>206SD TU5</t>
  </si>
  <si>
    <t>شماره بدنه: 18901034</t>
  </si>
  <si>
    <t>شماره جایگاه: 583 (جهت بازدید)</t>
  </si>
  <si>
    <t>پژو جي ال ايكس انژكتوري كلاس 10 نقره اي متاليك</t>
  </si>
  <si>
    <t>BE033523</t>
  </si>
  <si>
    <t>1402/01/04</t>
  </si>
  <si>
    <t>خط و خش و قري و كسري هاي ظاهري به رؤيت مشتري مي باشد - شيلنگ ها و لوله هاي متصل به راديات مستعمل و سوراخ ميباشد - كسري هواكش و درپوش گاز - روغن ريزي از ناحيه موتور و اتصالات به موتور - آچارخوردگي پيچ هاي درب موتور - شكستگي ابرويي جلو چپ - خوردگي سپر جلو و دربهاي راست - خش و قري گلگير جلو راست - خوردگي ركاب راست - خش و رنگ پريدگي گلگير عقب راست - خوردگي سپر عقب - آچار خوردگي پيچ هاي درب صندوق - كسري آرم درب صندوق - خش و قري درب صندوق - خوردگي بكسل بندها - ايراد رنگي بدنه - قري و رنگ پريدگي دربهاي چپ و خش و رنگ پريدگي گلگيرهاي چپ و خوردگي ركاب چپ و درب موتور - صندليها و رودريها و داشبورد و كنسول وسط مستعمل و زدگي و پارگي دارند - پمپ بنزين نشتي بنزين دارد - شكستگي پمپ بنزين - كسري اهرم صندلي راننده - خراب بودن ترمز درب راننده - رنگ پريدگي و پوسيدگي نقاطي از بدنه - موتور خودرو بد كار ميكند - باطري مستعمل و دشارژ - نمدي درب موتور و زيرپايي ها و تيغه برف پاك كن و شبرنگ و موكت صندوق مستعمل - خوردگي سيني زير موتور - كسري يك عدد سوئيچ - كسري يك عدد زيرپايي - شكستگي جلو پنجره - خش آينه هاي جانبي - شكستگي قالپاق ها - لاستيكها كاركرده و متفرقه و مغاير - كسري جك و اچارچرخ و زاپاس</t>
  </si>
  <si>
    <t>479-33ل24</t>
  </si>
  <si>
    <t>کد کلاس: 25610</t>
  </si>
  <si>
    <t>شماره بدنه: BE033523</t>
  </si>
  <si>
    <t>شماره جایگاه: 640 (جهت بازدید)</t>
  </si>
  <si>
    <t>تندر 90 E0 A/C نقره اي پرشين متاليك</t>
  </si>
  <si>
    <t>7A100101</t>
  </si>
  <si>
    <t>نقره اي پرشين متاليك</t>
  </si>
  <si>
    <t>7702035321D003183</t>
  </si>
  <si>
    <t>خط و خش و قري و كسري هاي ظاهري به رؤيت مشتري مي باشد - ايراد رنگي بدنه - زنگ زدگي و پوسيدگي نقاطي از بدنه - صندليها مستعمل - ديسك و صفحه كلاچ عملكرد ضعيف دارد - جلوبندي ايراد دارد - خوردگي دورتادور و زير خودرو - آثار روغن ريزي داخل موتور و گيربكس و محوطه موتور - هرگونه كسري و يا ايرادات ديگر بعهده برنده مزايده مي باشد و مزايده گذار هيچگونه تعهدي در اين خصوص ندارد - موتور خودرو بد كار ميكند - آچار خوردگي پيچ هاي گلگير جلو راست - كسري موكت كناره هاي صندوق - خوردگي گلگيرها و دربهاي راست و ركاب راست و سپرها و گلگيرها و دربهاي چپ - رنگ پريدگي درب صندوق و سقف و درب موتور - كسري قاب زير برف پاك كن ها و نوار روي سقف و چراغ راهنماي گلگير جلو چپ و قاب ركاب سمت چپ از داخل و نوار دور دربها - پارگي صندليها و رودري ها و داشبورد و آفتابگيرها و كنسول وسط و فرمان - باطري مستعمل و خراب - كسري درب روغن هيدروليك و نمدي درب موتور - خوردگي سيني زير موتور - راديو پخش خراب و متفرقه - كسري فندك و زيرپايي ها - تيغه برف پاك كن مستعمل - خش آينه هاي جانبي - كسري آنتن و رينگ اسپرت - لاستيكها مستعمل و متفرقه و مغاير و عقب راست و جلو چپ پنچر مي باشد - شكستگي چراغ عقب راست - جك و آچار چرخ و موكت صندوق مستعمل - زاپاس مستعمل و متفرقه و تركيده - كسري شبرنگ - دينام مستعمل و ضعيف - عدم عملكرد كولر ( كمپرسور خراب ميباشد )</t>
  </si>
  <si>
    <t>238-44س78</t>
  </si>
  <si>
    <t>TONDAR 90 K4M</t>
  </si>
  <si>
    <t>کد کلاس: 56009</t>
  </si>
  <si>
    <t>شماره بدنه: 7A100101</t>
  </si>
  <si>
    <t>شماره جایگاه: 602 (جهت بازدید)</t>
  </si>
  <si>
    <t>سمند - ال ايكس كلاس 18 خاكستري متاليك</t>
  </si>
  <si>
    <t>BF863334</t>
  </si>
  <si>
    <t>خاكستري متاليك</t>
  </si>
  <si>
    <t>1401/11/13</t>
  </si>
  <si>
    <t>خط و خش و قري و كسري هاي ظاهري به رؤيت مشتري مي باشد - صندليها و رودريها و داشبورد و كنسول وسط زدگي و پارگي دارد و مستعمل ميباشد - باز نشدن درب عقب چپ - كسري پيچ زير دستگيره هاي دربها و درپوش كف صندوق - خوردگي سپرها - قري شديد دربها و گلگير عقب چپ - خش گلگير جلو چپ و درب صندوق و قري و خش و رنگ پريدگي دربها و گلگير عقب راست و خش گلگير جلو راست - ايراد رنگي بدنه - خش و رنگ پريدگي درب موتور - روغن ريزي از ناحيه درب موتور و شيلنگ هاي متصل به موتور - چراغ هاي جلو مات ميباشد - شكستگي قاب چراغ خطر عقب - كسري چراغ خطر عقب و آرم درب صندوق و گلگيرهاي جلو و زه سپر عقب - خش و رنگ پريدگي سقف - دفرمه بودن زه درب عقب راست - كسري دكمه تنظيم آينه ها - پارگي نوار دور دربها و شيشه ها - باز نشدن درب عقب راست - چراغ ايربك روشن - كسري قاب پشت آينه چپ و قاب دور كليد شيشه بالار درب عقب راست - موتور خودرو بد كار ميكند و صداي غير عادي دارد - خراب بودن شيشه بالابر سمت راست - باطري مستعمل و متفرقه - نمدي درب موتور مستعمل - خوردگي سيني زير موتور - كسري يك عدد سوئيچ - زيرپايي ها مستعمل و متفرقه - شكستگي جلو پنجره - تيغه برف پاك كن مستعمل - خش آينه هاي جانبي - شكستگي آنتن - خوردگي رينگ اسپرت و كسري لوگوي وسط چرخ جلو راست - لاستيكها مستعمل و متفرقه و مغاير - جك و آچارچرخ و موكت صندوق مستعمل - زاپاس مستعمل و متفرقه</t>
  </si>
  <si>
    <t>325-66م38</t>
  </si>
  <si>
    <t>LX XU7</t>
  </si>
  <si>
    <t>کد کلاس: 29318</t>
  </si>
  <si>
    <t>شماره بدنه: BF863334</t>
  </si>
  <si>
    <t>شماره جایگاه: 633 (جهت بازدید)</t>
  </si>
  <si>
    <t>پژو اس ال ايكس انژكتوري SLX با موتور TU5 كلاس 5 سفيد دو پوششه</t>
  </si>
  <si>
    <t>DK866159</t>
  </si>
  <si>
    <t>154B0000302</t>
  </si>
  <si>
    <t>خط و خش و قري و كسري هاي ظاهري به رؤيت مشتري مي باشد - ايراد رنگي بدنه - زنگ زدگي و پوسيدگي نقاطي از بدنه - صندليها مستعمل - ديسك و صفحه كلاچ عملكرد ضعيف دارد - جلوبندي ايراد دارد - خوردگي دورتادور و زير خودرو - آثار روغن ريزي داخل موتور و گيربكس و محوطه موتور - هرگونه كسري و يا ايرادات ديگر بعهده برنده مزايده مي باشد و مزايده گذار هيچگونه تعهدي در اين خصوص ندارد - پارگي نوار دور شيشه ها - عدم جذب زه دربها - كسري زه درب عقب چپ و لامپ چراغ هاي عقب و درپوش آبگير كف صندوق - آچارخوردگي پيچ هاي گلگيرهاي جلو - شكستگي چراغ هاي جلو و مه شكن هاي جلو - كسري ابرويي چراغ جلو راست - خوردگي سپرها و گلگيرها و دربهاي راست و درب صندوق و گلگير عقب و دربهاي چپ و ركاب چپ و درب موتور - كسري قاب پشت پليت عقب - شكستگي و باز بودن رودري درب راننده - كسري قاب روي رودريهاي جلو و عقب چپ و قفل كن درب راننده - پارگي نوار دور دربها - رودريها و كنسول وسط و داشبورد و صندليها مستعمل و زدگي و پارگي دارند - خودرو استارت ميخورد ولي روشن نميشود - باطري مستعمل و خراب - نمدي درب موتور مستعمل - خوردگي سيني زير موتور - كسري يك عدد سوئيچ - راديو پخش مستعمل و خراب - فندك متفرقه - كسري كليدهاي بالابر سمت راننده - زيرپايي ها مستعمل و متفرقه و مغاير و يك عدد كسري - شكستگي جلو پنجره - تيغه برف پاك كن مستعمل - خوردگي آينه هاي جانبي - كسري قالپاق ها - لاستيكها مستعمل و متفرقه و مغاير - جك آچار چرخ و مستعمل - زاپاس مستعمل و متفرقه و مغاير و تركيده - كسري شبرنگ و موكت صندوق</t>
  </si>
  <si>
    <t>616-33ب38</t>
  </si>
  <si>
    <t>405 TU5 SLX</t>
  </si>
  <si>
    <t>کد کلاس: 22005</t>
  </si>
  <si>
    <t>شماره بدنه: DK866159</t>
  </si>
  <si>
    <t>شماره جایگاه: 582 (جهت بازدید)</t>
  </si>
  <si>
    <t>پژو 206 اس دي اتوماتيك كلاس1 سفيد دوپوششه كانزاي</t>
  </si>
  <si>
    <t>BJ371591</t>
  </si>
  <si>
    <t>سفيد دوپوششه كانزاي</t>
  </si>
  <si>
    <t>1402/07/05</t>
  </si>
  <si>
    <t>خط و خش و قري و كسري هاي ظاهري به رؤيت مشتري مي باشد - مات بودن و خش چراغ هاي جلو - خش و قري و رنگ پريدگي درب موتور - خوردگي سپر جلو و ابرويي زيرچراغ ها و گلگير جلو و عقب و درب جلو و ركاب راست - خش و رنگ پريدگي درب عقب راست - خوردگي سپر عقب و دربها و گلگيرها و ركاب چپ - خش و قري و رنگ پريدگي درب صندوق - دفرمگي نوار آبگير شيشه ها و قاب ستونها - رنگ پريدگي سقف سمت چپ - دفرمگي نوار آبگير سقف - ترك مه شكن جلو چپ - صندلي ها مستعمل و پارگي دارد - رنگ شدگي گلگير جلو چپ - باطري مستعمل و متفرقه - كسري يك عدد سوئيچ و كارت سوئيچ - زيرپايي ها و تيغه برف پاك كن مستعمل - خش آينه هاي جانبي - قالپاق ها شكستگي و خش دارند - لاستيك ها مستعمل و متفرقه - خش و ترك چراغ عقب راست - زاپاس كاركرده</t>
  </si>
  <si>
    <t>312-66ن26</t>
  </si>
  <si>
    <t>206SD TU5 A</t>
  </si>
  <si>
    <t>کد کلاس: 27501</t>
  </si>
  <si>
    <t>شماره بدنه: BJ371591</t>
  </si>
  <si>
    <t>شماره جایگاه: 30 (جهت بازدید)</t>
  </si>
  <si>
    <t>سمند ال ايكسEF7 كلاس 19 سفيد دو پوششه</t>
  </si>
  <si>
    <t>HF234808</t>
  </si>
  <si>
    <t>147H0330182</t>
  </si>
  <si>
    <t>خط و خش و قري و كسري هاي ظاهري به رؤيت مشتري مي باشد – ايراد رنگي بدنه – زنگ زدگي و پوسيدگي نقاطي از بدنه – شيميايي بودن رنگ بدنه – صندليها مستعمل – ديسك و صفحه كلاچ عملكرد ضعيف دارد – جلوبندي ايراد دارد – خوردگي دورتادور و زيرخودرو – آثار روغن ريزي داخل موتور و گيربكس و محوطه موتور – خودرو با وضعيت فعلي بفروش ميرسد و هرگونه كسري قطعات ديگر يا ايرادات ديگر بعهده برنده مزايده ميباشد و مزايده گذار هيچگونه تعهدي در اين خصوص ندارد - چراغ ايربك روشن - عدم عملكرد برقي هاي صندلي - قاب تنظيم صندلي هاي جلو درآمده - زدگي داشبورد و رودريها - داشبورد مغاير - كسري درب هابي جعبه فيوز - شكستگي قاب بالاي جاسيگاري جلو و درب كنسول وسط - خوردگي درب موتور و سپرها و ركاب راست و گلگير عقب راست - خش و قري دربهاي راست - خش درب صندوق - خش و قري دربهاي چپ و گلگير عقب چپ - خوردگي ركاب چپ و رينگ عقب چپ - خش و قري گلگيرهاي جلو - خوردگي گلگير جلو چپ و چراغ جلو چپ - كسري يك عدد درپوش گاز كولر - موتور روغن سوزي دارد - يشه بالابرهاي جلو خراب مي باشد - باطري مستعمل و دشارژ - نمدي درب موتور مستعمل - كسري يك عدد سوئيچ - راديوپخش متفرقه - لاستيكهاي كفي مستعمل - جلو پنجره شكسته - تيغه برف پاك كن مستعمل - خش آينه هاي جانبي - كسري قالپاق - لاستيكها مستعمل و متفرقه و پنچر - خش چراغ عقب چپ - زاپاس و موكت صندوق مستعمل - كسري شبرنگ - خودرو دوگانه سوز</t>
  </si>
  <si>
    <t>774-66س18</t>
  </si>
  <si>
    <t>LX EF7 CNG</t>
  </si>
  <si>
    <t>کد کلاس: 29119</t>
  </si>
  <si>
    <t>شماره بدنه: HF234808</t>
  </si>
  <si>
    <t>شماره جایگاه: 27 (جهت بازدید)</t>
  </si>
  <si>
    <t>پژو جي ال ايكس دوگانه سوز كلاس 12 نقره اي متاليك</t>
  </si>
  <si>
    <t>DR931374</t>
  </si>
  <si>
    <t>1402/03/06</t>
  </si>
  <si>
    <t>124K0305427</t>
  </si>
  <si>
    <t>خط و خش و قري و كسري هاي ظاهري به رؤيت مشتري مي باشد - چراغ ايربك روشن - كسري دكمه تنظيم آينه ها - شكستگي دستگيره اهرم صندلي راننده - باز بودن دستگيره رودري درب راننده - صندليها و رودريها و داشبورد و كنسول وسط مستعمل و زدگي و پارگي دارند - كسري سردنده و درپوش كولر - خوردگي سپرها - شكستگي ابرويي راست - خوردگي گلگير جلو راست و ركاب راست و گلگير عقب راست - قري و خش و رنگ پريدگي دربهاي راست - خش و رنگ پريدگي درب صندوق - خوردگي گلگيرها و دربها و ركاب چپ - زنگ زدگي نقاطي از بدنه - خش و قري و رنگ پريدگي درب موتور - خش و رنگ پريدگي سقف - باطري و نمدي درب موتور و زيرپايي ها و تيغه برف پاك كن و جك و موكت صندوق مستعمل - خوردگي سيني زير موتور - كسري يك عدد سوئيچ و پنل ضبط و فندك و دو عدد قالپاق و درب باك سي ان جي و شبرنگ - شكستگي جلو پنجره - سائيدگي آينه هاي جانبي - لاستيكها مستعمل و متفرقه - شكستگي شيشه جلو - زاپاس مستعمل و متفرقه و تركيده</t>
  </si>
  <si>
    <t>395-33ص27</t>
  </si>
  <si>
    <t>کد کلاس: 27212</t>
  </si>
  <si>
    <t>شماره بدنه: DR931374</t>
  </si>
  <si>
    <t>شماره جایگاه: 636 (جهت بازدید)</t>
  </si>
  <si>
    <t>پژو جي ال ايكس دوگانه سوز كلاس 22 خاكستري متاليك</t>
  </si>
  <si>
    <t>ER929373</t>
  </si>
  <si>
    <t>1402/06/22</t>
  </si>
  <si>
    <t>124K0440191</t>
  </si>
  <si>
    <t>خط و خش و قري و كسري هاي ظاهري به رؤيت مشتري مي باشد - دفرمه بودن نوار دور دربها و شيشه ها - شكستگي چراغ راهنماي جلو راست - كسري ابرويي هاي زير چراغ - مات بودن چراغ هاي جلو - چراغ ايربگ و اي بي اس روشن - كسري ولوم ضبط و دريچه كولر وسط كنسول و قفل كن دربهاي راست - شكستگي آينه وسط و كسري فيوزهاي داخل اتاق - صندليها و رودريها و داشبورد و كنسول وسط مستعمل و زدگي و پارگي دارند - خراب بودن دكمه صندوق پران - خش و رنگ پريدگي گلگير جلو چپ و خوردگي گلگير عقب چپ و خش و قري شديد و رنگ پريدگي دربهاي چپ و خوردگي ركاب چپ و سپرها - خش و قري و رنگ پريدگي درب صندوق و دربهاي راست و گلگير جلو راست و خوردگي گلگير عقب راست و ركاب راست - خش و رنگ پريدگي درب موتور - روغن ريزي از ناحيه درب موتور - موتور خودرو بدكار ميكند و صداي غير عادي ميدهد - باطري مستعمل و متفرقه - نمدي درب موتور و زيرپايي ها و تيغه برف پاك كن و موكت صندوق مستعمل - خوردگي سيني زير موتور - شكستگي سوئيچ اول - كسري يك عدد سوئيچ و قالپاق ها و شبرنگ - شكستگي جلو پنجره - خش آينه هاي جانبي - لاستيكها مستعمل و متفرقه و مغاير - شكستگي شيشه جلو - كسري درپوش سي ان جي - جك مستعمل - آچارچرخ متفرقه - زاپاس رينگ ندارد و مستعمل ( دو عدد لاستيك بدون رينگ دارد )</t>
  </si>
  <si>
    <t>367-55س58</t>
  </si>
  <si>
    <t>کد کلاس: 27222</t>
  </si>
  <si>
    <t>شماره بدنه: ER929373</t>
  </si>
  <si>
    <t>شماره جایگاه: 635 (جهت بازدید)</t>
  </si>
  <si>
    <t>خط و خش و قري و كسري هاي ظاهري به رؤيت مشتري مي باشد - مات بودن و خش چراغ هاي جلو - خش و قري و رنگ پريدگي درب موتور - خوردگي سپر جلو و ابرويي زيرچراغ ها و گلگير جلو و عقب و درب جلو و ركاب راست - خش و رنگ پريدگي درب عقب راست - خوردگي سپر عقب و دربها و گلگيرها و ركاب چپ - خش و قري و رنگ پريدگي درب صندوق - دفرمگي نوار آبگير شيشه ها و قاب ستونها - رنگ پريدگي سقف سمت چپ - دفرمگي نوار آبگير سقف - ترك مه شكن جلو چپ - صندلي ها مستعمل و پارگي دارد - رنگ شدگي گلگير جلو چپ ( تعويضي ) - باطري مستعمل و متفرقه - كسري يك عدد سوئيچ و كارت سوئيچ - زيرپايي ها و تيغه برف پاك كن مستعمل - خش آينه هاي جانبي - قالپاق ها شكستگي و خش دارند - لاستيك ها مستعمل و متفرقه - خش و ترك چراغ عقب راست - زاپاس كاركرده</t>
  </si>
  <si>
    <t>شماره جایگاه: 584 (جهت بازدید)</t>
  </si>
  <si>
    <t>H30 CROSS AT كلاس 1 سفيد دو پوششه</t>
  </si>
  <si>
    <t>HX031333</t>
  </si>
  <si>
    <t>1402/06/07</t>
  </si>
  <si>
    <t>FA173B0018055</t>
  </si>
  <si>
    <t>خط و خش و قري و كسري هاي ظاهري به رؤيت مشتري مي باشد - عدم تست فني خودرو - خودرو بر اثر ايراد شكستگي رينگ چرخ دچار واژگون و حادثه شده است - خودرو چپي بوده و كليه قطعات بدنه اي و سقف و زير خودرو دچار خوردگي و تصادف هستند - خوردگي ركابها - آسيب ديدگي سيستم چرخ و سيستم تعليق جلو چپ - آينه ها كسري - خوردگي و تصادف سپرها - درب باك ندارد - شكستگي چراغها - موتور جا خورده و احتمال آسيب ديدن قطعات موتورو داخل محفظه موتور وجود دارد - مه شكن جلو راست ندارد - شيشه هاي جلو و جانبي شكسته - داشبورد ضربه خورده و مستعمل - رودريها مستعمل - باطري و اتصالات ندارد - اي سي يو ندارد - نمدي درب موتور و سيني زير موتور ندارد - يكعدد سوئيچ كسري - فندك و لاستيكها كف پايي ندارد - آنتن و قالپاق ندارد - درب باك ، جك ، آچارچرخ ، لاستيك زاپاس ، شبرنگ و موكت صندوق ندارد</t>
  </si>
  <si>
    <t>989-64ب62</t>
  </si>
  <si>
    <t>H30 TU5 A</t>
  </si>
  <si>
    <t>سواري هاچ بك</t>
  </si>
  <si>
    <t>کد کلاس: 72301</t>
  </si>
  <si>
    <t>شماره بدنه: HX031333</t>
  </si>
  <si>
    <t>شماره جایگاه: 488 (جهت بازدید)</t>
  </si>
  <si>
    <t>پژو پارس كلاس 13 خاكستري متاليك</t>
  </si>
  <si>
    <t>DR647873</t>
  </si>
  <si>
    <t>124K0185132</t>
  </si>
  <si>
    <t>خط و خش و قري و كسري هاي ظاهري به رؤيت مشتري مي باشد - ايراد رنگي بدنه - زنگ زدگي و پوسيدگي نقاطي از بدنه - صندليها مستعمل - ديسك و صفحه كلاچ عملكرد ضعيف دارد - جلوبندي ايراد دارد - خوردگي دورتادور و زير خودرو - آثار روغن ريزي داخل موتور و گيربكس و محوطه موتور - هرگونه كسري و يا ايرادات ديگر بعهده برنده مزايده مي باشد و مزايده گذار هيچگونه تعهدي در اين خصوص ندارد - شكستگي قاب پشت فرمان - كسري قاب و ايربك روي فرمان و قاب روي راديو پخش و قاب روي رودريها و قاب توري باند درب جلو راست و قاب روي دريچه كولر وسط داشبورد - شكستگي دستگيره سقفي جلو راست - پارگي رودري درب راننده - رودريها و داشبورد و كنسول وسط و صندليها مستعمل و پارگي و زدگي دارند - شكستگي فلاپ روي درب صندوق - كسري سنسورهاي روي سپر عقب و درپوش گازكولر و بست باطري منفي - خوردگي كف صندوق و سپرها و درب موتور و گلگيرهاي جلو و دربهاي چپ و گلگير عقب چپ - قري و رنگ پريدگي درب صندوق - خوردگي گلگير عقب راست و دربهاي راست - باز بودن شيلنگ راديات و هواكش - شكستگي چراغ جلو و مه شكن جلو راست - خودرو تسمه تايم رد كرده و موتور خودرو ايراد دارد - باطري مستعمل و خراب و متفرقه - نمدي درب موتور مستعمل - خوردگي سيني زير موتور - كسري يك عدد سوئيچ و راديو پخش و فندك و قالپاق و رينگ و آچار چرخ و زاپاس - زيرپايي ها مستعمل و يك عدد جلو كسري - شكستگي جلو پنجره - تيغه برف پاك كن مستعمل - خش آينه هاي جانبي - رينگ اسپرت يك عدد متفرقه دارد - لاستيكها مستعمل و متفرقه و مغاير - زدگي شيشه جلو - شكستگي چراغ هاي عقب - شبرنگ و موكت صندوق مستعمل</t>
  </si>
  <si>
    <t>963-44ص35</t>
  </si>
  <si>
    <t>PARS XU7</t>
  </si>
  <si>
    <t>کد کلاس: 28213</t>
  </si>
  <si>
    <t>شماره بدنه: DR647873</t>
  </si>
  <si>
    <t>شماره جایگاه: 581 (جهت بازدید)</t>
  </si>
  <si>
    <t>رانا کلاس 15 سفيد دو پوششه</t>
  </si>
  <si>
    <t>NT372498</t>
  </si>
  <si>
    <t>خودروي كاردكسي- قابل شماره گذاري توسط برنده مزايده</t>
  </si>
  <si>
    <t>167B0172718</t>
  </si>
  <si>
    <t>خط و خش و قري و كسري هاي ظاهري به رؤيت مشتري مي باشد - تصادفي بودن درب موتور و گلگير جلو راست و شاسي جلو و سيني فن و سپر جلو و گلگير جلو و شاسي جلو چپ و چراغ جلو چپ - خوردگي رادياتها - رنگ پريدگي لبه درب جلو چپ - راديات سوراخ مي باشد - كسري فندك - شكستگي جلو پنجره - كسري زاپاس - ( ايرادات غير قابل ريورك مطابق استاندارد كارخانه )</t>
  </si>
  <si>
    <t>TU5</t>
  </si>
  <si>
    <t>کد کلاس: 61015</t>
  </si>
  <si>
    <t>شماره بدنه: NT372498</t>
  </si>
  <si>
    <t>شماره جایگاه: 244 (جهت بازدید)</t>
  </si>
  <si>
    <t>پژو 206 معمولي كلاس 31 سفيد دو پوششه</t>
  </si>
  <si>
    <t>NJ303001</t>
  </si>
  <si>
    <t>165A0207106</t>
  </si>
  <si>
    <t>خط و خش و قري و كسري هاي ظاهري به رؤيت مشتري مي باشد - موتور خودرو بد كار ميكند - شكستگي مخزن هيدروليك - خوردگي سيني زير موتور - كسري راديوپخش و فندك و و زيرپايي عقب و آنتن - شكستگي جلو پنجره و برف پاك كن - كسري آينه سمت راننده - كسري دو عدد قالپاق و شكستگي دارد - خوردگي لاستيك و رينگ جلو چپ - شكستگي شيشه جلو - خش شيشه عقب - چراغ عقب چپ شكسته - زاپاس تركيده و غير قابل استفاده - خودرو تصادفي شديد و چپي مي باشد - تصادفي بودن سقف و گلگيرهاي عقب و جلو و درب موتور و درب صندوق و دربها چپ و راست - موتور جاخورده - جابجايي قطعات داخل محوطه موتور - خوردگي ركابها و سپرها - شكستگي شيشه ها و چراغ هاي جلو - خردگي ستونها و شاسي چپ جلو و اكسل جلو راست - كسري مه شكن عقب - خوردگي فلاپ عقب - شكستگي قفل درب موتور - خوردگي رادياتها و سيني فن و لوله هيدروليك - بسياري از قطعات موتور و اتاق شكسته و كسري ميباشد - خوردگي چرخ جلو راست و زير خودرو - كسري آينه وسط - ( ايرادات غيرقابل ريورك مطابق استاندارد كارخانه )</t>
  </si>
  <si>
    <t>206TU3</t>
  </si>
  <si>
    <t>کد کلاس: 26031</t>
  </si>
  <si>
    <t>شماره بدنه: NJ303001</t>
  </si>
  <si>
    <t>شماره جایگاه: 625 (جهت بازدید)</t>
  </si>
  <si>
    <t>سمند - ال ايكس کلاس 35 سفيد دو پوششه</t>
  </si>
  <si>
    <t>DF632510</t>
  </si>
  <si>
    <t>1402/08/24</t>
  </si>
  <si>
    <t>124K0198075</t>
  </si>
  <si>
    <t>خط و خش و قري و كسري هاي ظاهري به رؤيت مشتري مي باشد - كسري فيوز داخل موتور - روغن ريزي از ناحيه درب روغن موتور - خوردگي درب موتور و درب صندوق و سپرها - شكستگي جاسيگاري جلو - چراغ ايربك روشن - خوردگي گلگيرها و دربها و ركاب راست و درب عقب چپ و گلگير عقب چپ و درب جلو چپ - قري و خش و رنگ پريدگي گلگير جلو چپ - صندليها و رودريها و داشبورد و كنسول وسط مستعمل و زدگي و پارگي دارند - مات بودن چراغ جلو راست - ترك خوردگي ستون هاي عقب از روي سقف - آچار خوردگي پيچ هاي گلگيرهاي جلو - خودرو ايراد فني دارد ( موتور روغن سوزي دارد ) - دود آبي از اگزوز خارج مي شود - آثار كف در درب روغن موتور و محوطه سوپاپها مشاهده مي شود - ايراد فني موتوري دارد - موتور بد كار ميكند و لرزش دارد - باطري و نمدي درب موتور و زيرپايي ها و تيغه برف پاك كن و زاپاس و موكت صندوق مستعمل - خوردگي سيني زير موتور - خوردگي جلو پنجره - خش آينه هاي جانبي - خوردگي رينگ اسپرت - لاستيكها مستعمل و متفرقه - شكستگي شيشه جلو و جانبي عقب راست - كسري يك عدد سوئيچ</t>
  </si>
  <si>
    <t>887-22ط93</t>
  </si>
  <si>
    <t>کد کلاس: 29335</t>
  </si>
  <si>
    <t>شماره بدنه: DF632510</t>
  </si>
  <si>
    <t>شماره جایگاه: 641 (جهت بازدید)</t>
  </si>
  <si>
    <t>NT373492</t>
  </si>
  <si>
    <t>167B0177632</t>
  </si>
  <si>
    <t>خط و خش و قري و كسري هاي ظاهري به رؤيت مشتري مي باشد - تصادفي بودن گلگير جلو راست و سرشاسي جلو راست و سيني فن رادياتور و سپر جلو و مه شكن و چراغ جلو راست و درب موتور و بكسل بند و محور عرضي شاسي و درب جلو راست و جاچراغي جلو راست - خراشيدگي ستون جلو راست - كسري آنتن و فندك - شكستگي شيشه جلو - ( ايرادات غير قابل ريورك مطابق استاندارد كارخانه )</t>
  </si>
  <si>
    <t>شماره بدنه: NT373492</t>
  </si>
  <si>
    <t>شماره جایگاه: 245 (جهت بازدید)</t>
  </si>
  <si>
    <t>NJ302926</t>
  </si>
  <si>
    <t>165A0207479</t>
  </si>
  <si>
    <t>خط و خش و قري و كسري هاي ظاهري به رؤيت مشتري مي باشد - خودرو تصادفي شديد و چپي ميباشد - تصادفي بودن سقف و گلگيرها و درب موتور و درب صندوق و دربها - جاخوردگي موتور و متعلقات داخل محوطه موتور - خوردگي سپرها و ركابها - شكستگي شيشه ها و چراغ ها - خوردگي سرشاسي هاي جلو و اگزوز و كسري قسمتي از اگزوز و راهنماي گلگير جلو راست و اينه وسط - خوردگي ستونها و رادياتها و مجموعه كامل فن و سيني فن و هواكش - شكستگي چراغ جلو چپ - كسري درب جعبه فيوز و فيوزهاي داخل موتور - كسري راديوپخش و فندك و زيرپايي ها و آينه هاي جانبي و قالپاق و درب باك فلزي و آچارچرخ - شكستگي جلوپنجره و تيغه برف پاك كن و شيشه جلو و شيشه هاي جانبي جلو و شيشه عقب و چراغ عقب راست - ( ايرادات غيرقابل ريورك مطابق استاندارد كارخانه )</t>
  </si>
  <si>
    <t>شماره بدنه: NJ302926</t>
  </si>
  <si>
    <t>شماره جایگاه: 626 (جهت بازدید)</t>
  </si>
  <si>
    <t>پژو جي ال ايكس انژكتوري كلاس 34 نقره اي متاليك</t>
  </si>
  <si>
    <t>HK141130</t>
  </si>
  <si>
    <t>124K1170190</t>
  </si>
  <si>
    <t>خط و خش و قري و كسري هاي ظاهري به رؤيت مشتري مي باشد - آچارخوردگي پيچ هاي گلگير جلو چپ - كسري آرم جلو و فيوز داخل موتور و ولوم ضبط - چراغ چك و اي بي اس روشن - مغاير بودن رنگ درب داشبورد با داشبورد - رودريها و صندليها و داشبورد و كنسول وسط زدگي و پارگي دارد و مستعمل - خوردگي سپرها - خش و رنگ پريدگي گلگيرها و دربهاي چپ و ايراد رنگي نقاطي ازبدنه - خوردگي پليت عقب و خش عميق و رنگ پريدگي درب صندوق - شكستگي كنار قفل درب صندوق - خوردگي پلاك عقب - خش و رنگ پريدگي و پوسيدگي درب موتور - خش و رنگ پريدگي گلگير جلو راست - خش و قري و رنگ پريدگي درب جلو راست و خش و رنگ پريدگي درب عقب راست و گلگير عقب راست و سقف - روغن ريزي از كنار درب موتور - باطري و نمدي درب موتور مستعمل - خوردگي سيني زير موتور - كسري يك عدد سوئيچ و فندك - زيرپايي ها و تيغه برف پاك كن مستعمل - رنگ پريدگي جلو پنجره - خش آينه هاي جانبي - لاستيكها مستعمل و متفرقه - شكستگي شيشه جلو - زاپاس مستعمل و متفرقه و پنچر - - موكت صندوق مستعمل</t>
  </si>
  <si>
    <t>617-55ص87</t>
  </si>
  <si>
    <t>کد کلاس: 25634</t>
  </si>
  <si>
    <t>شماره بدنه: HK141130</t>
  </si>
  <si>
    <t>شماره جایگاه: 632 (جهت بازدید)</t>
  </si>
  <si>
    <t>سورن EF7 بنزيني كلاس18 سفيد دوپوششه كانزاي</t>
  </si>
  <si>
    <t>KF612421</t>
  </si>
  <si>
    <t>ماندگاري بالا و افت مدل</t>
  </si>
  <si>
    <t>1402/05/31</t>
  </si>
  <si>
    <t>147H0482019</t>
  </si>
  <si>
    <t>خط و خش و قري و كسري هاي ظاهري به رؤيت مشتري مي باشد - ماندگاري بالا و افت مدل - كسري يك عدد سوئيچ و فندك و آنتن - زيرپايي ها و موكت صندوق مستعمل - زاپاس كاركرده و پنچر و متفرقه - كسري كليد تنظيم آينه هاي جانبي - خوردگي سپر جلو - رنگ پريدگي و قري درب جلو راست - خوردگي گلگير جلو چپ - درب موتور گير مي باشد - زنگ زدگي دربهاي راست - دفرمگي گلگير جلو راست - آچارخوردگي پيچ هاي درب موتور و گلگير جلو چپ ( تعويضي كارخانه ) - كسري قاب روي موتور و درپوش گازكولر - پارگي صندليهاي جلو - خوردگي سپر جلو-( بدليل محدوديت زمان شماره گذاري خودرو بنام ايران خودرو پلاك شده است )</t>
  </si>
  <si>
    <t>332-40ي45</t>
  </si>
  <si>
    <t>SOREN EF7</t>
  </si>
  <si>
    <t>کد کلاس: 57518</t>
  </si>
  <si>
    <t>شماره بدنه: KF612421</t>
  </si>
  <si>
    <t>شماره جایگاه: 18 (جهت بازدید)</t>
  </si>
  <si>
    <t>NJ303378</t>
  </si>
  <si>
    <t>165A0206847</t>
  </si>
  <si>
    <t>خط و خش و قري و كسري هاي ظاهري به رؤيت مشتري مي باشد - كسري فندك و زيرپايي ها و تيغه برف پاك كن و آينه بغل چپ و آنتن و قالپاق و آچارچرخ و شبرنگ - لاستيك جلو راست پنچر - شكستگي شيشه جلو و دو عدد شيشه هاي جانبي و عقب و تيغه برف پاك كن عقب - خش چراغ عقب راست - كسري چراغ عقب چپ - خودرو تصادفي شديد و چپي ميباشد - تصادفي بودن سقف و گلگيرها و درب صندوق و دربها و ركابها و سپرها - شكستگي شيشه ها و چراغ ها - كسري درب جعبه فيوز و فيوز داخل موتور - خوردگي ستونها و درب موتور و سرشاسي هاي چپ - شكستگي چراغ جلو چپ - كسري چراغ راهنماي روي گلگير جلو چپ - خوردگي زير خودرو و پلوس - كسري زه درب عقب چپ و ناخني دربها و دستگيره درب عقب راست از داخل و نوار دور درب سقف سمت راست - ( ايرادات غيرقابل ريورك مطابق استاندارد كارخانه )</t>
  </si>
  <si>
    <t>شماره بدنه: NJ303378</t>
  </si>
  <si>
    <t>شماره جایگاه: 627 (جهت بازدید)</t>
  </si>
  <si>
    <t>وانت آريسان دوگانه سوز كلاس 4 سفيد دو پوششه</t>
  </si>
  <si>
    <t>LC104130</t>
  </si>
  <si>
    <t>118J5026927</t>
  </si>
  <si>
    <t>خط و خش و قري و كسري هاي ظاهري به رؤيت مشتري مي باشد - ماندگاري بالا و افت مدل - خوردگي گلگير جلو راست - درگير بودن درب جلو راست - سيستم تعليق چرخ جلو راست خراب مي باشد - ميله جعبه فرمان بريده است - پارگي لاستيك جلو راست و خوردگي رينگ چرخ جلو راست - ( بدليل محدوديت زمان شماره گذاري خودرو بنام ايران خودرو پلاك شده است )</t>
  </si>
  <si>
    <t>315-11ق21</t>
  </si>
  <si>
    <t>کد کلاس: 16404</t>
  </si>
  <si>
    <t>شماره بدنه: LC104130</t>
  </si>
  <si>
    <t>شماره جایگاه: 213 (جهت بازدید)</t>
  </si>
  <si>
    <t>سورن EF7 بنزيني كلاس18 سفيد دو پوششه</t>
  </si>
  <si>
    <t>KF611916</t>
  </si>
  <si>
    <t>147H0471221</t>
  </si>
  <si>
    <t>خط و خش و قري و كسري هاي ظاهري به رؤيت مشتري مي باشد - ماندگاري بالا و افت مدل - كسري قاب روي موتور - مات بودن چراغ هاي جلو - آچارخوردگي پيچ هاي درب موتور و گلگير جلو چپ ( تعويضي كارخانه ) - خوردگي گلگير جلو چپ و سپر جلو - رنگ پريدگي و قري درب جلو چپ - خش درب صندوق - خوردگي درب جلو راست و لبه درب موتور چپ - كسري كليد تنظيم آينه - چراغ ايربك روشن - كسري درب جعبه فيوز - خراب بودن برف پاك كن سمت چپ - باطري مستعمل و دشارژ - كسري فندك - زيرپايي ها و تيغه برف پاك كن مستعمل - خش آينه بغل چپ - شكستگي قالپاق هاي جلو - لاستيك ها كاركرده و متفرقه - زاپاس كاركرده و پنچر - كسري شبرنگ - موكت صندوق مستعمل-( بدليل محدوديت زمان شماره گذاري خودرو بنام ايران خودرو پلاك شده است )</t>
  </si>
  <si>
    <t>358-40و48</t>
  </si>
  <si>
    <t>شماره بدنه: KF611916</t>
  </si>
  <si>
    <t>شماره جایگاه: 17 (جهت بازدید)</t>
  </si>
  <si>
    <t>NT360449</t>
  </si>
  <si>
    <t>172B0084451</t>
  </si>
  <si>
    <t>خط و خش و قري و كسري هاي ظاهري به رؤيت مشتري مي باشد - تصادفي بودن جاچراغي جلو راست و درب موتور و گلگير جلو راست و سيني فن و سپر و شيشه جلو - كسري فندك و آنتن و ناخني درب جلو چپ و درب جعبه فيوز - رنگ پريدگي گلگير جلو چپ - خش سپر عقب - كسري قالپاقها</t>
  </si>
  <si>
    <t>شماره بدنه: NT360449</t>
  </si>
  <si>
    <t>شماره جایگاه: 243 (جهت بازدید)</t>
  </si>
  <si>
    <t>پژو پارس سال با موتور XU7 P کلاس 1 سفيد دوپوششه كانزاي</t>
  </si>
  <si>
    <t>NK464655</t>
  </si>
  <si>
    <t>125K0012547</t>
  </si>
  <si>
    <t>خط و خش و قري و كسري هاي ظاهري به رؤيت مشتري مي باشد - موتور خودرو حريقي مي باشد - نمدي درب موتور حريقي - اتصالي و حريقي بودن محفظه موتور و قطعات موتوري و درب موتور و گلگيرهاي جلو از داخل و سيم كشي و قطعات محفظه موتور - آثار مواد خاموش كننده روي بدنه - رنگ پريدگي سپر عقب - شكستگي سپر جلو - ( ايرادات غير قابل ريورك مطابق استاندارد كارخانه )</t>
  </si>
  <si>
    <t>PARS XU7 P</t>
  </si>
  <si>
    <t>کد کلاس: 35101</t>
  </si>
  <si>
    <t>شماره بدنه: NK464655</t>
  </si>
  <si>
    <t>شماره جایگاه: 260 (جهت بازدید)</t>
  </si>
  <si>
    <t>دنا كلاس17 سفيد دو پوششه</t>
  </si>
  <si>
    <t>NE440468</t>
  </si>
  <si>
    <t>147H0635108</t>
  </si>
  <si>
    <t>خط و خش و قري و كسري هاي ظاهري به رؤيت مشتري مي باشد - تصادفي بودن سرشاسي و اكسل جلو چپ و راست و گلگيرهاي جلو و درب موتور و دربهاي سمت چپ و سيني فن و تركيدگي تاير جلو چپ و راست و جابجايي قطعات موتوري - كسري درب راديات - شكستگي قاب كشويي وسط كنسول - رنگ پريدگي سپر عقب و لبه درب جلو راست - موتور خودرو جاخورده و به گيربكس و بسياري از قطعات ديگر آسيب وارد كرده - خوردگي مجوعه كامل فن و رادياتها و هواكش و چراغ هاي جلو و مه شكن هاي جلو و تقويت عرضي زير رادياتها و شكستگي سوكت ها و قفل درب موتور - خوردگي زير خودرو از ناحيه جلو و شكستگي سپر جلو - خوردگي رينگ جلو چپ - بعضي از قطعات موتوري شكسته و كسري ميباشد - باطري و نمدي درب موتور مستعمل - سيني زير موتور شكسته و داخل اتاق - جلو پنجره شكسته - قالپاق يك عدد كسري و يك عدد شكسته - چراغ عقب چپ شكسته - ( ايرادات غير قابل ريورك مطابق استاندارد كارخانه )</t>
  </si>
  <si>
    <t>DENA EF7</t>
  </si>
  <si>
    <t>کد کلاس: 70117</t>
  </si>
  <si>
    <t>شماره بدنه: NE440468</t>
  </si>
  <si>
    <t>شماره جایگاه: 265 (جهت بازدید)</t>
  </si>
  <si>
    <t>LC104009</t>
  </si>
  <si>
    <t>118J5027078</t>
  </si>
  <si>
    <t>خط و خش و قري و كسري هاي ظاهري به رؤيت مشتري مي باشد - ماندگاري بالا و افت مدل - قري و رنگ پريدگي سقف - قري و رنگ پريدگي و سوختگي درب موتور - سوختگي سپر جلو و قالپاق و لاستيك جلو راست و برف پاك كن ها و سيني زير برف پاك كن و شلگير چرخ جلو راست و مخزن شيشه شور و خار نگهدارنده ميله درب موتور و شيلنگ برف پاك كن و قاب روي فيلتر هواي اتاق و سيم هاي پشت موتور و نوار پشت موتور و شيلنگ داخل موتور و فيلتر هواي داخل - ( بدليل محدوديت زمان شماره گذاري خودرو بنام ايران خودرو پلاك شده است )</t>
  </si>
  <si>
    <t>299-66ب57</t>
  </si>
  <si>
    <t>شماره بدنه: LC104009</t>
  </si>
  <si>
    <t>شماره جایگاه: 120 (جهت بازدید)</t>
  </si>
  <si>
    <t>سمند ال ايكسEF7 كلاس 16 سفيد دو پوششه</t>
  </si>
  <si>
    <t>JF419189</t>
  </si>
  <si>
    <t>ايراد رنگي بدنه</t>
  </si>
  <si>
    <t>1401/08/15</t>
  </si>
  <si>
    <t>147H0403756</t>
  </si>
  <si>
    <t>خط و خش و قري و كسري هاي ظاهري به رؤيت مشتري مي باشد - لاستيك عقب چپ پنچر - ايراد رنگي روي سطوح بدنه - درب كنسول وسط و جاسيگاري جلو شكسته - چراغ آچار روشن - بازبودن قاب دور فرمان - صندليها و رودريها و داشبورد و كنسول وسط مستعمل و زدگي و پارگي دارد - روغن ريزي از ناحيه موتور - خوردگي درب موتور و سپرها و گلگيرها و دربهاي چپ و درب صندوق و دربها و ركاب راست - زنگ زدگي و پوسيدگي در تمام نقاط بدنه - آچار خوردگي پيچ هاي درب موتور و گلگيرهاي جلو و درب صندوق (تعويضي) - خوردگي كف صندوق از زير خودرو - موتور بد كار مي كند و لرزش دارد - باطري و نمدي درب موتور مستعمل - خوردگي سيني زير موتور - كسري يك عدد سوئيچ - كسري زيرپايي هاي جلو - رنگ پريدگي جلو پنجره - تيغه برف پاك كن مستعمل و شكسته - خوردگي آينه هاي جانبي - دو عدد قالپاق متفرقه و شكسته - لاستيكها مستعمل و متفرقه - كسري درب باك سي ان جي - زاپاس مستعمل و متفرقه - كسري شبرنگ - موكت صندوق مستعمل - سوئيچ خودرو به دربها نمي خورد</t>
  </si>
  <si>
    <t>632-62س76</t>
  </si>
  <si>
    <t>کد کلاس: 29116</t>
  </si>
  <si>
    <t>شماره بدنه: JF419189</t>
  </si>
  <si>
    <t>شماره جایگاه: 26 (جهت بازدید)</t>
  </si>
  <si>
    <t>NJ282141</t>
  </si>
  <si>
    <t>182A0168055</t>
  </si>
  <si>
    <t>خط و خش و قري و كسري هاي ظاهري به رؤيت مشتري مي باشد - تصادفي بودن سرشاسي جلو راست و جاچراغي جلو راست و گلگير جلو راست و درب موتور و مجموعه سيني فن و جابجايي قطعات موتوري - شكستگي چراغ جلو راست و آسيب ديدگي و كسري تيغه برف پاك كن و دسته سيم چراغ جلو راست - تصادفي بودن رادياتها و سپر جلو و منبع هيدروليك - رنگ پريدگي لبه درب جلو راست - پارگي تسمه هيدروليك - خوردگي سيني جلو چپ - نيش قري درب جلو چپ - ( ايرادات غير قابل ريورك مطابق استاندارد كارخانه )</t>
  </si>
  <si>
    <t>شماره بدنه: NJ282141</t>
  </si>
  <si>
    <t>شماره جایگاه: 246 (جهت بازدید)</t>
  </si>
  <si>
    <t>LC103581</t>
  </si>
  <si>
    <t>118J5026623</t>
  </si>
  <si>
    <t>خط و خش و قري و كسري هاي ظاهري به رؤيت مشتري مي باشد - ماندگاري بالا و افت مدل - سوختگي لاستيك جلو چپ و سپر جلو و شلگير جلو چپ - آثار پودر كپسول آتش نشاني روي موتور و سپر جلو - رنگ پريدگي درب موتور - ( بدليل محدوديت زمان شماره گذاري خودرو بنام ايران خودرو پلاك شده است )</t>
  </si>
  <si>
    <t>285-40و12</t>
  </si>
  <si>
    <t>شماره بدنه: LC103581</t>
  </si>
  <si>
    <t>شماره جایگاه: 163 (جهت بازدید)</t>
  </si>
  <si>
    <t>LC104032</t>
  </si>
  <si>
    <t>118J5026190</t>
  </si>
  <si>
    <t>خط و خش و قري و كسري هاي ظاهري به رؤيت مشتري مي باشد - ماندگاري بالا و افت مدل - قري و رنگ پريدگي گلگير جلو چپ و درب موتور و سقف - سوختگي قالپاق و لاستيك جلو چپ و آثار حريق روي سپر جلو - سوختگي شلگير چرخ جلو چپ - آثار پودر كپسول آتش نشاني روي موتور و سپر جلو - ( بدليل محدوديت زمان شماره گذاري خودرو بنام ايران خودرو پلاك شده است )</t>
  </si>
  <si>
    <t>417-66د32</t>
  </si>
  <si>
    <t>شماره بدنه: LC104032</t>
  </si>
  <si>
    <t>شماره جایگاه: 202 (جهت بازدید)</t>
  </si>
  <si>
    <t>LC103780</t>
  </si>
  <si>
    <t>118J5026803</t>
  </si>
  <si>
    <t>خط و خش و قري و كسري هاي ظاهري به رؤيت مشتري مي باشد - ماندگاري بالا و افت مدل - ( بدليل محدوديت زمان شماره گذاري خودرو بنام ايران خودرو پلاك شده است ) - خودرو استارت ميخورد ولي روشن نميشود - عدم تست فني خودرو</t>
  </si>
  <si>
    <t>587-33ن51</t>
  </si>
  <si>
    <t>شماره بدنه: LC103780</t>
  </si>
  <si>
    <t>شماره جایگاه: 522 (جهت بازدید)</t>
  </si>
  <si>
    <t>LC103704</t>
  </si>
  <si>
    <t>118J5026865</t>
  </si>
  <si>
    <t>313-66ب57</t>
  </si>
  <si>
    <t>شماره بدنه: LC103704</t>
  </si>
  <si>
    <t>شماره جایگاه: 523 (جهت بازدید)</t>
  </si>
  <si>
    <t>LC103910</t>
  </si>
  <si>
    <t>118J5026670</t>
  </si>
  <si>
    <t>خط و خش و قري و كسري هاي ظاهري به رؤيت مشتري مي باشد - ماندگاري بالا و افت مدل - موتور استارت ميخورد ولي روشن نميشود - عدم تست فني خودرو - ( بدليل محدوديت زمان شماره گذاري خودرو بنام ايران خودرو پلاك شده است )</t>
  </si>
  <si>
    <t>974-33م44</t>
  </si>
  <si>
    <t>شماره بدنه: LC103910</t>
  </si>
  <si>
    <t>شماره جایگاه: 524 (جهت بازدید)</t>
  </si>
  <si>
    <t>LC103768</t>
  </si>
  <si>
    <t>118J5026740</t>
  </si>
  <si>
    <t>381-11ه68</t>
  </si>
  <si>
    <t>شماره بدنه: LC103768</t>
  </si>
  <si>
    <t>شماره جایگاه: 525 (جهت بازدید)</t>
  </si>
  <si>
    <t>LC103926</t>
  </si>
  <si>
    <t>118J5027022</t>
  </si>
  <si>
    <t>خط و خش و قري و كسري هاي ظاهري به رؤيت مشتري مي باشد - ماندگاري بالا و افت مدل - عدم عملكرد كمپرسور كولر - ( بدليل محدوديت زمان شماره گذاري خودرو بنام ايران خودرو پلاك شده است )</t>
  </si>
  <si>
    <t>216-33ن18</t>
  </si>
  <si>
    <t>شماره بدنه: LC103926</t>
  </si>
  <si>
    <t>شماره جایگاه: 181 (جهت بازدید)</t>
  </si>
  <si>
    <t>LC103853</t>
  </si>
  <si>
    <t>118J5026854</t>
  </si>
  <si>
    <t>خط و خش و قري و كسري هاي ظاهري به رؤيت مشتري مي باشد - ماندگاري بالا و افت مدل - استارت ميخورد ولي روشن نمي شود - ( بدليل محدوديت زمان شماره گذاري خودرو بنام ايران خودرو پلاك شده است )</t>
  </si>
  <si>
    <t>962-11ه63</t>
  </si>
  <si>
    <t>شماره بدنه: LC103853</t>
  </si>
  <si>
    <t>شماره جایگاه: 232 (جهت بازدید)</t>
  </si>
  <si>
    <t>LC103952</t>
  </si>
  <si>
    <t>118J5026981</t>
  </si>
  <si>
    <t>599-66س19</t>
  </si>
  <si>
    <t>شماره بدنه: LC103952</t>
  </si>
  <si>
    <t>شماره جایگاه: 231 (جهت بازدید)</t>
  </si>
  <si>
    <t>LC103756</t>
  </si>
  <si>
    <t>118J5026788</t>
  </si>
  <si>
    <t>خط و خش و قري و كسري هاي ظاهري به رؤيت مشتري مي باشد - ماندگاري بالا و افت مدل - كولر خراب مي باشد - ( بدليل محدوديت زمان شماره گذاري خودرو بنام ايران خودرو پلاك شده است )</t>
  </si>
  <si>
    <t>891-11ه95</t>
  </si>
  <si>
    <t>شماره بدنه: LC103756</t>
  </si>
  <si>
    <t>شماره جایگاه: 206 (جهت بازدید)</t>
  </si>
  <si>
    <t>NJ283900</t>
  </si>
  <si>
    <t>تصادفي</t>
  </si>
  <si>
    <t>182A0168821</t>
  </si>
  <si>
    <t>خط و خش و قري و كسري هاي ظاهري به رؤيت مشتري مي باشد - تصادفي بودن سپر جلو و زير خودرو و گلگير جلو چپ - كسري قاب آينه هاي جانبي - كنده شدن شيلنگ بنزين زير خودرو و نشتي بنزين دارد - قري درب موتور - كسري قطعات سيستم تعليق عقب - خوردگي كمك عقب ، از جا در آمده - رنگ پريدگي لبه درب جلو چپ - خوردگي درب موتور و ستون جلو راست - خش گلگير جلو و درب جلو راست - رنگ پريدگي ستون جلو چپ - كسري يك عدد سوئيچ و راديو پخش و آنتن - ( ايرادات غير قابل ريورك مطابق استاندارد كارخانه )</t>
  </si>
  <si>
    <t>شماره بدنه: NJ283900</t>
  </si>
  <si>
    <t>شماره جایگاه: 247 (جهت بازدید)</t>
  </si>
  <si>
    <t>LC103735</t>
  </si>
  <si>
    <t>118J5026910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</si>
  <si>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كسري شيشه آينه راست - چراغ اي بي اس روشن</t>
  </si>
  <si>
    <t>968-11ه29</t>
  </si>
  <si>
    <t>شماره بدنه: LC103735</t>
  </si>
  <si>
    <t>شماره جایگاه: 138 (جهت بازدید)</t>
  </si>
  <si>
    <t>LC103651</t>
  </si>
  <si>
    <t>118J5026513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</si>
  <si>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چراغ ايربگ روشن است</t>
  </si>
  <si>
    <t>915-40ه29</t>
  </si>
  <si>
    <t>شماره بدنه: LC103651</t>
  </si>
  <si>
    <t>شماره جایگاه: 146 (جهت بازدید)</t>
  </si>
  <si>
    <t>LC103618</t>
  </si>
  <si>
    <t>118J5026653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</si>
  <si>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چراغ ايربگ روشن - كسري يكعدد قالپاق</t>
  </si>
  <si>
    <t>191-33ق28</t>
  </si>
  <si>
    <t>شماره بدنه: LC103618</t>
  </si>
  <si>
    <t>شماره جایگاه: 136 (جهت بازدید)</t>
  </si>
  <si>
    <t>LC104087</t>
  </si>
  <si>
    <t>118J5026241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</si>
  <si>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شره رنگ گلگير عقب راست</t>
  </si>
  <si>
    <t>165-11ص81</t>
  </si>
  <si>
    <t>شماره بدنه: LC104087</t>
  </si>
  <si>
    <t>شماره جایگاه: 132 (جهت بازدید)</t>
  </si>
  <si>
    <t>LC103739</t>
  </si>
  <si>
    <t>118J5026775</t>
  </si>
  <si>
    <t>خط و خش و قري و كسري هاي ظاهري به رؤيت مشتري مي باشد - ماندگاري بالا و افت مدل - چراغ اي بي اس روشن - ( بدليل محدوديت زمان شماره گذاري خودرو بنام ايران خودرو پلاك شده است )</t>
  </si>
  <si>
    <t>593-11ه17</t>
  </si>
  <si>
    <t>شماره بدنه: LC103739</t>
  </si>
  <si>
    <t>شماره جایگاه: 189 (جهت بازدید)</t>
  </si>
  <si>
    <t>LC104039</t>
  </si>
  <si>
    <t>118J5027000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</si>
  <si>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صداي غير عادي از فولي كولر</t>
  </si>
  <si>
    <t>662-11ل39</t>
  </si>
  <si>
    <t>شماره بدنه: LC104039</t>
  </si>
  <si>
    <t>شماره جایگاه: 147 (جهت بازدید)</t>
  </si>
  <si>
    <t>LC103976</t>
  </si>
  <si>
    <t>118J5026988</t>
  </si>
  <si>
    <t>خط و خش و قري و كسري هاي ظاهري به رؤيت مشتري مي باشد - ماندگاري بالا و افت مدل - لاستيكها كاركرده - ( بدليل محدوديت زمان شماره گذاري خودرو بنام ايران خودرو پلاك شده است )</t>
  </si>
  <si>
    <t>514-66ج32</t>
  </si>
  <si>
    <t>شماره بدنه: LC103976</t>
  </si>
  <si>
    <t>شماره جایگاه: 153 (جهت بازدید)</t>
  </si>
  <si>
    <t>LC103708</t>
  </si>
  <si>
    <t>118J5021748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</si>
  <si>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چراغ اي بي اس روشن است</t>
  </si>
  <si>
    <t>822-99م91</t>
  </si>
  <si>
    <t>شماره بدنه: LC103708</t>
  </si>
  <si>
    <t>شماره جایگاه: 157 (جهت بازدید)</t>
  </si>
  <si>
    <t>LC103787</t>
  </si>
  <si>
    <t>118J5026897</t>
  </si>
  <si>
    <t>خط و خش و قري و كسري هاي ظاهري به رؤيت مشتري مي باشد - ماندگاري بالا و افت مدل - كولر باد گرم مي دهد -( بدليل محدوديت زمان شماره گذاري خودرو بنام ايران خودرو پلاك شده است )</t>
  </si>
  <si>
    <t>125-33ق54</t>
  </si>
  <si>
    <t>شماره بدنه: LC103787</t>
  </si>
  <si>
    <t>شماره جایگاه: 159 (جهت بازدید)</t>
  </si>
  <si>
    <t>LC103607</t>
  </si>
  <si>
    <t>118J5026655</t>
  </si>
  <si>
    <t>442-11و24</t>
  </si>
  <si>
    <t>شماره بدنه: LC103607</t>
  </si>
  <si>
    <t>شماره جایگاه: 97 (جهت بازدید)</t>
  </si>
  <si>
    <t>LC103883</t>
  </si>
  <si>
    <t>118J5026932</t>
  </si>
  <si>
    <t>خط و خش و قري و كسري هاي ظاهري به رؤيت مشتري مي باشد - ماندگاري بالا و افت مدل - كولر باد گرم مي دهد - ( بدليل محدوديت زمان شماره گذاري خودرو بنام ايران خودرو پلاك شده است )</t>
  </si>
  <si>
    <t>148-66ب59</t>
  </si>
  <si>
    <t>شماره بدنه: LC103883</t>
  </si>
  <si>
    <t>شماره جایگاه: 191 (جهت بازدید)</t>
  </si>
  <si>
    <t>LC104119</t>
  </si>
  <si>
    <t>118J5026517</t>
  </si>
  <si>
    <t>خط و خش و قري و كسري هاي ظاهري به رؤيت مشتري مي باشد - ماندگاري بالا و افت مدل - رنگ پريدگي لبه درب موتور - ( بدليل محدوديت زمان شماره گذاري خودرو بنام ايران خودرو پلاك شده است )</t>
  </si>
  <si>
    <t>475-66د32</t>
  </si>
  <si>
    <t>شماره بدنه: LC104119</t>
  </si>
  <si>
    <t>شماره جایگاه: 210 (جهت بازدید)</t>
  </si>
  <si>
    <t>LC104000</t>
  </si>
  <si>
    <t>118J5026967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</si>
  <si>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قري و خش گلگير جلو راست</t>
  </si>
  <si>
    <t>165-11ط81</t>
  </si>
  <si>
    <t>شماره بدنه: LC104000</t>
  </si>
  <si>
    <t>شماره جایگاه: 131 (جهت بازدید)</t>
  </si>
  <si>
    <t>LC103682</t>
  </si>
  <si>
    <t>118J5026707</t>
  </si>
  <si>
    <t>خط و خش و قري و كسري هاي ظاهري به رؤيت مشتري مي باشد - ماندگاري بالا و افت مدل - خراب بودن تيغه برف پاك كن - كسري سرباطري و درب باك - قالپاق ها فرسوده و شيشه بالابر سمت راست خراب مي باشد - كسري فندك - ( بدليل محدوديت زمان شماره گذاري خودرو بنام ايران خودرو پلاك شده است )</t>
  </si>
  <si>
    <t>958-66ب53</t>
  </si>
  <si>
    <t>شماره بدنه: LC103682</t>
  </si>
  <si>
    <t>شماره جایگاه: 209 (جهت بازدید)</t>
  </si>
  <si>
    <t>LC103948</t>
  </si>
  <si>
    <t>118J5026995</t>
  </si>
  <si>
    <t>خط و خش و قري و كسري هاي ظاهري به رؤيت مشتري مي باشد - ماندگاري بالا و افت مدل - سفت بودن فرمان - هيدروليك صدا مي دهد - خالي بودن مخزن هيدروليك - ( بدليل محدوديت زمان شماره گذاري خودرو بنام ايران خودرو پلاك شده است )</t>
  </si>
  <si>
    <t>929-33م78</t>
  </si>
  <si>
    <t>شماره بدنه: LC103948</t>
  </si>
  <si>
    <t>شماره جایگاه: 182 (جهت بازدید)</t>
  </si>
  <si>
    <t>LC103666</t>
  </si>
  <si>
    <t>118J5026699</t>
  </si>
  <si>
    <t>715-11ط74</t>
  </si>
  <si>
    <t>شماره بدنه: LC103666</t>
  </si>
  <si>
    <t>شماره جایگاه: 200 (جهت بازدید)</t>
  </si>
  <si>
    <t>LC103984</t>
  </si>
  <si>
    <t>118J5026885</t>
  </si>
  <si>
    <t>خط و خش و قري و كسري هاي ظاهري به رؤيت مشتري مي باشد - ماندگاري بالا و افت مدل - موتور بد كار ميكند - چراغ چك روشن - ( بدليل محدوديت زمان شماره گذاري خودرو بنام ايران خودرو پلاك شده است )</t>
  </si>
  <si>
    <t>458-11د43</t>
  </si>
  <si>
    <t>شماره بدنه: LC103984</t>
  </si>
  <si>
    <t>شماره جایگاه: 199 (جهت بازدید)</t>
  </si>
  <si>
    <t>LC103341</t>
  </si>
  <si>
    <t>1400/12/29</t>
  </si>
  <si>
    <t>118J5026546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</si>
  <si>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</t>
  </si>
  <si>
    <t>791-10س92</t>
  </si>
  <si>
    <t>شماره بدنه: LC103341</t>
  </si>
  <si>
    <t>شماره جایگاه: 108 (جهت بازدید)</t>
  </si>
  <si>
    <t>LC103616</t>
  </si>
  <si>
    <t>118J5027184</t>
  </si>
  <si>
    <t>خط و خش و قري و كسري هاي ظاهري به رؤيت مشتري مي باشد - ماندگاري بالا و افت مدل - موتور خودرو ايراد فني اساسي دارد ( صداي غير عادي د دارد و تك كار ميكند ) - تيغه برف پاك كن راست خراب مي باشد - ( بدليل محدوديت زمان شماره گذاري خودرو بنام ايران خودرو پلاك شده است )</t>
  </si>
  <si>
    <t>856-66ج59</t>
  </si>
  <si>
    <t>شماره بدنه: LC103616</t>
  </si>
  <si>
    <t>شماره جایگاه: 121 (جهت بازدید)</t>
  </si>
  <si>
    <t>LC103281</t>
  </si>
  <si>
    <t>118J5026464</t>
  </si>
  <si>
    <t>576-66س19</t>
  </si>
  <si>
    <t>شماره بدنه: LC103281</t>
  </si>
  <si>
    <t>شماره جایگاه: 134 (جهت بازدید)</t>
  </si>
  <si>
    <t>سورن EF7 بنزيني كلاس18 مشكي متاليك</t>
  </si>
  <si>
    <t>LF650173</t>
  </si>
  <si>
    <t>147H0502850</t>
  </si>
  <si>
    <t>خط و خش و قري و كسري هاي ظاهري به رؤيت مشتري مي باشد - ماندگاري بالا و افت مدل - شكسته شدن كنسول وسط - زاپاس كاركرده و پنچر - باطري خراب و دشارژ - جانبودن سپر عقب و زه عقب سمت چپ - كسري آنتن و قالپاق - لاستيكها مستعمل و متفرقه - كسري فندك - خوردگي زه دربهاي راست و دربهاي چپ - كسري سردنده - صندليها مستعمل - چراغ سرويس روشن - كسري دكمه تنظيم آينه - خش دربها و گلگيرهاي چپ - خوردگي سپر جلو - خش درب صندوق و درب موتور - خوردگي گلگير جلو راست - خش دربها و گلگيرعقب - دفرمه بودن نوار دور شيشه ها - مات بودن چراغ جلو راست - كسري گيج روغن و يك عدد سوئيچ - زيرپايي ها و تيغه برف پاك كن مستعمل - آچارچرخ مستعمل - كسري شبرنگ - ( بدليل محدوديت زمان شماره گذاري خودرو بنام ايران خودرو پلاك شده است )</t>
  </si>
  <si>
    <t>343-40ي45</t>
  </si>
  <si>
    <t>شماره بدنه: LF650173</t>
  </si>
  <si>
    <t>شماره جایگاه: 16 (جهت بازدید)</t>
  </si>
  <si>
    <t>دنا كلاس 1 نقره اي متاليك</t>
  </si>
  <si>
    <t>EE003227</t>
  </si>
  <si>
    <t>1401/12/17</t>
  </si>
  <si>
    <t>147H0109607</t>
  </si>
  <si>
    <t>خط و خش و قري و كسري هاي ظاهري به رؤيت مشتري مي باشد - ايراد رنگي بدنه - زنگ زدگي بدنه - عدم عملكرد تنظيم صندليها و شكستگي قاب تنظيم - چراغ ايربك روشن - عدم عملكرد كيلومتر ( خراب مي باشد ) - خش داشبورد - شكستگي درب كنسول وسط - كسري ليوان - خش و قري و زنگ زدگي درب موتور - زنگ زدگي درب موتور و سقف و درب عقب و هلالي گلگير عقب راست و زير درب صندوق و درب جلو و عقب چپ - خوردگي سپرها و بكسل بند جلو و درب جلو و عقب و گلگير عقب و ركاب راست - ماليدگي گلگير جلو راست - زنگ زدگي ركابها و گلگير جلو راست و گلگيرهاي چپ - خش و قري دربهاي چپ و گلگير جلو چپ - كسري ميله درب موتور - مات بودن چراغ هاي جلو - خش درب صندوق - رنگ شدگي و بتونه كاري گلگير عقب چپ - باطري و نمدي درب موتور مستعمل - كسري يك عدد سوئيچ و كارت سوئيچ - زيرپايي ها و تيغه برف پاك كن مستعمل و متفرقه - خش آينه هاي جانبي - آنتن مستعمل - رينگ اسپرت خش دارد - لاستيك ها مستعمل و متفرقه - كسري آچارچرخ - زاپاس كاركرده</t>
  </si>
  <si>
    <t>817-99ب71</t>
  </si>
  <si>
    <t>کد کلاس: 70101</t>
  </si>
  <si>
    <t>شماره بدنه: EE003227</t>
  </si>
  <si>
    <t>شماره جایگاه: 37 (جهت بازدید)</t>
  </si>
  <si>
    <t>LC103629</t>
  </si>
  <si>
    <t>118J5026658</t>
  </si>
  <si>
    <t>935-11س14</t>
  </si>
  <si>
    <t>شماره بدنه: LC103629</t>
  </si>
  <si>
    <t>شماره جایگاه: 491 (جهت بازدید)</t>
  </si>
  <si>
    <t>LC103846</t>
  </si>
  <si>
    <t>118J5026871</t>
  </si>
  <si>
    <t>542-33ص27</t>
  </si>
  <si>
    <t>شماره بدنه: LC103846</t>
  </si>
  <si>
    <t>شماره جایگاه: 492 (جهت بازدید)</t>
  </si>
  <si>
    <t>LC103903</t>
  </si>
  <si>
    <t>118J5027145</t>
  </si>
  <si>
    <t>732-40ي16</t>
  </si>
  <si>
    <t>شماره بدنه: LC103903</t>
  </si>
  <si>
    <t>شماره جایگاه: 493 (جهت بازدید)</t>
  </si>
  <si>
    <t>LH308375</t>
  </si>
  <si>
    <t>164B0273043</t>
  </si>
  <si>
    <t>خط و خش و قري و كسري هاي ظاهري به رؤيت مشتري مي باشد - قسمت جلو موتور سوخته و حريقي ميباشد - لوازم موتوري سوخته و كسري قطعه دارد - بازبودن سيم پيچي هاي زير داشبورد قسمت راننده - دفرمه بودن رودري هاي درب هاي جلو و شكستگي قاب ركابها - سوختگي گلگيرهاي جلو و درب موتور و چرخ هاي جلو و تمامي سيم پيچي هاي داخل موتور و زيرخودرو و سوختگي تمامي قطعات موتوري - موتور خودرو حريقي ميباشد - كسري بسياري از قطعات موتوري و سپر جلو و چراغ هاي جلو و رادياتها و مجموعه كامل سيني فن و لوله ها و شيلنگ هاي داخل موتور و درپوش كولر و مخزن هاي هيدروليك و مخزن شيشه شور و راهنماهاي روي گلگيرهاي جلو - قري شديد سقف - خوردگي درب موتور و گلگيرجلو راست و گلگيرجلو چپ و سپر عقب - كسري درب راديات و درب روغن ترمز و درب روغن هيدروليك و درب روغن موتور و باطري و گيج روغن و اي سي يو و سنسور هوا و نمدي درب موتور و يك عدد سوئيچ و جلو پنجره و آنتن - سوختگي سيني زير موتور و تيغه برف پاك كن و اينه هاي جانبي - يك عدد قالپاق داخل صندوق - لاستيكهاي جلو تركيده - شكستگي شيشه جلو - موكت صندوق مستعمل - خودرو داراي يكعدد پلاك انتظامي مي باشد</t>
  </si>
  <si>
    <t>172-41س97</t>
  </si>
  <si>
    <t>شماره بدنه: LH308375</t>
  </si>
  <si>
    <t>شماره جایگاه: 504 (جهت بازدید)</t>
  </si>
  <si>
    <t>LC103836</t>
  </si>
  <si>
    <t>118J5026860</t>
  </si>
  <si>
    <t>114-11و15</t>
  </si>
  <si>
    <t>شماره بدنه: LC103836</t>
  </si>
  <si>
    <t>شماره جایگاه: 54 (جهت بازدید)</t>
  </si>
  <si>
    <t>LC104142</t>
  </si>
  <si>
    <t>118J5027017</t>
  </si>
  <si>
    <t>622-33ن57</t>
  </si>
  <si>
    <t>شماره بدنه: LC104142</t>
  </si>
  <si>
    <t>شماره جایگاه: 55 (جهت بازدید)</t>
  </si>
  <si>
    <t>پژو جي ال ايكس انژكتوري كلاس 37 نقره اي متاليك</t>
  </si>
  <si>
    <t>KK253168</t>
  </si>
  <si>
    <t>124K1420950</t>
  </si>
  <si>
    <t>خط و خش و قري و كسري هاي ظاهري به رؤيت مشتري مي باشد - ماندگاري بالا و افت مدل - كسري يك عدد سوئيچ و يك عدد درپوش گاز كولر - آچارخوردگي پيچ هاي درب موتور ( تعويضي كارخانه ) - كسري يك عدد زيرپايي و درب جعبه فيوز و فندك - شكستگي توري باند درب راننده - موتور خودرو ايراد فني اساسي دارد ( تايم رد كرده ) - كسري گج روغن و سنسور هوا و يك عدد قالپاق - ( بدليل محدوديت زمان شماره گذاري خودرو بنام ايران خودرو پلاك شده است )</t>
  </si>
  <si>
    <t>888-40ي43</t>
  </si>
  <si>
    <t>کد کلاس: 25637</t>
  </si>
  <si>
    <t>شماره بدنه: KK253168</t>
  </si>
  <si>
    <t>شماره جایگاه: 558 (جهت بازدید)</t>
  </si>
  <si>
    <t>LC104054</t>
  </si>
  <si>
    <t>118J5026829</t>
  </si>
  <si>
    <t>711-11ل39</t>
  </si>
  <si>
    <t>شماره بدنه: LC104054</t>
  </si>
  <si>
    <t>شماره جایگاه: 56 (جهت بازدید)</t>
  </si>
  <si>
    <t>LC103576</t>
  </si>
  <si>
    <t>118J5026567</t>
  </si>
  <si>
    <t>537-66س49</t>
  </si>
  <si>
    <t>شماره بدنه: LC103576</t>
  </si>
  <si>
    <t>شماره جایگاه: 57 (جهت بازدید)</t>
  </si>
  <si>
    <t>LC103872</t>
  </si>
  <si>
    <t>118J5024608</t>
  </si>
  <si>
    <t>918-33ن51</t>
  </si>
  <si>
    <t>شماره بدنه: LC103872</t>
  </si>
  <si>
    <t>شماره جایگاه: 58 (جهت بازدید)</t>
  </si>
  <si>
    <t>LC103928</t>
  </si>
  <si>
    <t>118J5026924</t>
  </si>
  <si>
    <t>566-33ص61</t>
  </si>
  <si>
    <t>شماره بدنه: LC103928</t>
  </si>
  <si>
    <t>شماره جایگاه: 59 (جهت بازدید)</t>
  </si>
  <si>
    <t>LC103956</t>
  </si>
  <si>
    <t>118J5027016</t>
  </si>
  <si>
    <t>798-11س34</t>
  </si>
  <si>
    <t>شماره بدنه: LC103956</t>
  </si>
  <si>
    <t>شماره جایگاه: 60 (جهت بازدید)</t>
  </si>
  <si>
    <t>LC103828</t>
  </si>
  <si>
    <t>118J5026886</t>
  </si>
  <si>
    <t>455-11س71</t>
  </si>
  <si>
    <t>شماره بدنه: LC103828</t>
  </si>
  <si>
    <t>شماره جایگاه: 61 (جهت بازدید)</t>
  </si>
  <si>
    <t>LC103809</t>
  </si>
  <si>
    <t>118J5026822</t>
  </si>
  <si>
    <t>373-33ق99</t>
  </si>
  <si>
    <t>شماره بدنه: LC103809</t>
  </si>
  <si>
    <t>شماره جایگاه: 62 (جهت بازدید)</t>
  </si>
  <si>
    <t>LC103862</t>
  </si>
  <si>
    <t>118J5026939</t>
  </si>
  <si>
    <t>932-11و71</t>
  </si>
  <si>
    <t>شماره بدنه: LC103862</t>
  </si>
  <si>
    <t>شماره جایگاه: 63 (جهت بازدید)</t>
  </si>
  <si>
    <t>سمند ال ايكسEF7 كلاس 11 سفيد دو پوششه</t>
  </si>
  <si>
    <t>FF504076</t>
  </si>
  <si>
    <t>1402/02/11</t>
  </si>
  <si>
    <t>147H0131862</t>
  </si>
  <si>
    <t>خط و خش و قري و كسري هاي ظاهري به رؤيت مشتري مي باشد - شكستگي چراغ جلو چپ - چراغ چك و ايربك روشن - صندليها و رودريها و داشبورد و كنسول وسط مستعمل و زدگي و پارگي دارند - شكستگي درب كنسول وسط - مغاير بودن صندلي راننده - خراب بودن جاسيگاري جلو - كسري قاب دور دستگيره درب عقب راست - خوردگي كف صندوق و گلگيرها و ركاب و دربهاي راست و ركاب چپ و درب جلو چپ و قري و خش درب عقب چپ - خش گلگير عقب چپ و گلگير جلو چپ و خوردگي درب موتور و سپرها و خش و رنگ پريدگي سقف - دفرمه بودن نوار دور شيشه ها - باز بودن و شكستگي هواكش و پارگي لوله هواكش - كسري دكمه قطع كن داخل موتور - خودرو روغن سوزي دارد - كسري فيوزهاي داخل موتور - شكستگي درب جعبه فيوز داخل موتور - صداي غيرعادي از موتور ( بدكار ميكند ) - باطري و نمدي درب موتور و زيرپايي ها و تيغه برف پاك كن و موكت صندوق مستعمل - خوردگي سيني زير موتور - كسري يك عدد سوئيچ و فندك و آنتن و شبرنگ - جلو پنجره متفرقه و شكسته - خش آينه هاي جانبي - كسري دو عدد رينگ اسپرت و دو عدد لوگوي وسط رينگ - لاستيكها مستعمل و متفرقه - شكستگي شيشه جلو و چراغ عقب راست - زاپاس رينگ اسپرت و كسري لوگوي وسط رينگ دارد و مستعمل و متفرقه</t>
  </si>
  <si>
    <t>566-55ج46</t>
  </si>
  <si>
    <t>کد کلاس: 29111</t>
  </si>
  <si>
    <t>شماره بدنه: FF504076</t>
  </si>
  <si>
    <t>شماره جایگاه: 634 (جهت بازدید)</t>
  </si>
  <si>
    <t>LC103605</t>
  </si>
  <si>
    <t>118J5026070</t>
  </si>
  <si>
    <t>999-40ي22</t>
  </si>
  <si>
    <t>شماره بدنه: LC103605</t>
  </si>
  <si>
    <t>شماره جایگاه: 64 (جهت بازدید)</t>
  </si>
  <si>
    <t>LC104055</t>
  </si>
  <si>
    <t>118J5027120</t>
  </si>
  <si>
    <t>711-33ن18</t>
  </si>
  <si>
    <t>شماره بدنه: LC104055</t>
  </si>
  <si>
    <t>شماره جایگاه: 65 (جهت بازدید)</t>
  </si>
  <si>
    <t>LC104131</t>
  </si>
  <si>
    <t>118J5027097</t>
  </si>
  <si>
    <t>459-11ص76</t>
  </si>
  <si>
    <t>شماره بدنه: LC104131</t>
  </si>
  <si>
    <t>شماره جایگاه: 66 (جهت بازدید)</t>
  </si>
  <si>
    <t>LC103894</t>
  </si>
  <si>
    <t>118J5026766</t>
  </si>
  <si>
    <t>784-66ب29</t>
  </si>
  <si>
    <t>شماره بدنه: LC103894</t>
  </si>
  <si>
    <t>شماره جایگاه: 67 (جهت بازدید)</t>
  </si>
  <si>
    <t>LC103827</t>
  </si>
  <si>
    <t>118J5026876</t>
  </si>
  <si>
    <t>924-33و19</t>
  </si>
  <si>
    <t>شماره بدنه: LC103827</t>
  </si>
  <si>
    <t>شماره جایگاه: 68 (جهت بازدید)</t>
  </si>
  <si>
    <t>LC103881</t>
  </si>
  <si>
    <t>118J5026755</t>
  </si>
  <si>
    <t>581-11ط48</t>
  </si>
  <si>
    <t>شماره بدنه: LC103881</t>
  </si>
  <si>
    <t>شماره جایگاه: 69 (جهت بازدید)</t>
  </si>
  <si>
    <t>LC103874</t>
  </si>
  <si>
    <t>118J5026874</t>
  </si>
  <si>
    <t>473-66س15</t>
  </si>
  <si>
    <t>شماره بدنه: LC103874</t>
  </si>
  <si>
    <t>شماره جایگاه: 70 (جهت بازدید)</t>
  </si>
  <si>
    <t>LC104141</t>
  </si>
  <si>
    <t>118J5027118</t>
  </si>
  <si>
    <t>623-33ن67</t>
  </si>
  <si>
    <t>شماره بدنه: LC104141</t>
  </si>
  <si>
    <t>شماره جایگاه: 71 (جهت بازدید)</t>
  </si>
  <si>
    <t>LC104172</t>
  </si>
  <si>
    <t>118J5026809</t>
  </si>
  <si>
    <t>524-66ج74</t>
  </si>
  <si>
    <t>شماره بدنه: LC104172</t>
  </si>
  <si>
    <t>شماره جایگاه: 72 (جهت بازدید)</t>
  </si>
  <si>
    <t>LC103692</t>
  </si>
  <si>
    <t>118J5026914</t>
  </si>
  <si>
    <t>235-33م31</t>
  </si>
  <si>
    <t>شماره بدنه: LC103692</t>
  </si>
  <si>
    <t>شماره جایگاه: 173 (جهت بازدید)</t>
  </si>
  <si>
    <t>LC103858</t>
  </si>
  <si>
    <t>118J5026771</t>
  </si>
  <si>
    <t>945-11و71</t>
  </si>
  <si>
    <t>شماره بدنه: LC103858</t>
  </si>
  <si>
    <t>شماره جایگاه: 175 (جهت بازدید)</t>
  </si>
  <si>
    <t>LC103701</t>
  </si>
  <si>
    <t>118J5026647</t>
  </si>
  <si>
    <t>588-33م31</t>
  </si>
  <si>
    <t>شماره بدنه: LC103701</t>
  </si>
  <si>
    <t>شماره جایگاه: 169 (جهت بازدید)</t>
  </si>
  <si>
    <t>LC104075</t>
  </si>
  <si>
    <t>118J5026993</t>
  </si>
  <si>
    <t>636-11ص78</t>
  </si>
  <si>
    <t>شماره بدنه: LC104075</t>
  </si>
  <si>
    <t>شماره جایگاه: 185 (جهت بازدید)</t>
  </si>
  <si>
    <t>LC103991</t>
  </si>
  <si>
    <t>118J5026636</t>
  </si>
  <si>
    <t>262-11ن93</t>
  </si>
  <si>
    <t>شماره بدنه: LC103991</t>
  </si>
  <si>
    <t>شماره جایگاه: 86 (جهت بازدید)</t>
  </si>
  <si>
    <t>LC103987</t>
  </si>
  <si>
    <t>118J5027040</t>
  </si>
  <si>
    <t>461-11ل63</t>
  </si>
  <si>
    <t>شماره بدنه: LC103987</t>
  </si>
  <si>
    <t>شماره جایگاه: 204 (جهت بازدید)</t>
  </si>
  <si>
    <t>LC104161</t>
  </si>
  <si>
    <t>118J5027128</t>
  </si>
  <si>
    <t>125-40ي45</t>
  </si>
  <si>
    <t>شماره بدنه: LC104161</t>
  </si>
  <si>
    <t>شماره جایگاه: 188 (جهت بازدید)</t>
  </si>
  <si>
    <t>LC103599</t>
  </si>
  <si>
    <t>118J5026613</t>
  </si>
  <si>
    <t>598-11م86</t>
  </si>
  <si>
    <t>شماره بدنه: LC103599</t>
  </si>
  <si>
    <t>LC104050</t>
  </si>
  <si>
    <t>118J5027119</t>
  </si>
  <si>
    <t>731-40ي16</t>
  </si>
  <si>
    <t>شماره بدنه: LC104050</t>
  </si>
  <si>
    <t>شماره جایگاه: 94 (جهت بازدید)</t>
  </si>
  <si>
    <t>LC104046</t>
  </si>
  <si>
    <t>118J5026016</t>
  </si>
  <si>
    <t>113-11ل75</t>
  </si>
  <si>
    <t>شماره بدنه: LC104046</t>
  </si>
  <si>
    <t>شماره جایگاه: 177 (جهت بازدید)</t>
  </si>
  <si>
    <t>LC104151</t>
  </si>
  <si>
    <t>118J5026602</t>
  </si>
  <si>
    <t>875-33ن51</t>
  </si>
  <si>
    <t>شماره بدنه: LC104151</t>
  </si>
  <si>
    <t>شماره جایگاه: 172 (جهت بازدید)</t>
  </si>
  <si>
    <t>LC103993</t>
  </si>
  <si>
    <t>118J5027113</t>
  </si>
  <si>
    <t>326-66ب57</t>
  </si>
  <si>
    <t>شماره بدنه: LC103993</t>
  </si>
  <si>
    <t>شماره جایگاه: 207 (جهت بازدید)</t>
  </si>
  <si>
    <t>LC103727</t>
  </si>
  <si>
    <t>118J5026735</t>
  </si>
  <si>
    <t>926-11و71</t>
  </si>
  <si>
    <t>شماره بدنه: LC103727</t>
  </si>
  <si>
    <t>شماره جایگاه: 152 (جهت بازدید)</t>
  </si>
  <si>
    <t>LC103876</t>
  </si>
  <si>
    <t>118J5026818</t>
  </si>
  <si>
    <t>799-11ط37</t>
  </si>
  <si>
    <t>شماره بدنه: LC103876</t>
  </si>
  <si>
    <t>شماره جایگاه: 233 (جهت بازدید)</t>
  </si>
  <si>
    <t>LC104063</t>
  </si>
  <si>
    <t>118J5026258</t>
  </si>
  <si>
    <t>خط و خش و قري و كسري هاي ظاهري به رؤيت مشتري مي باشد - ماندگاري بالا و افت مدل - چراغ چك روشن - ( بدليل محدوديت زمان شماره گذاري خودرو بنام ايران خودرو پلاك شده است )</t>
  </si>
  <si>
    <t>793-11ط46</t>
  </si>
  <si>
    <t>شماره بدنه: LC104063</t>
  </si>
  <si>
    <t>شماره جایگاه: 184 (جهت بازدید)</t>
  </si>
  <si>
    <t>LC103935</t>
  </si>
  <si>
    <t>118J5026615</t>
  </si>
  <si>
    <t>991-11س85</t>
  </si>
  <si>
    <t>شماره بدنه: LC103935</t>
  </si>
  <si>
    <t>شماره جایگاه: 192 (جهت بازدید)</t>
  </si>
  <si>
    <t>LC103805</t>
  </si>
  <si>
    <t>118J5026752</t>
  </si>
  <si>
    <t>668-11ه95</t>
  </si>
  <si>
    <t>شماره بدنه: LC103805</t>
  </si>
  <si>
    <t>شماره جایگاه: 77 (جهت بازدید)</t>
  </si>
  <si>
    <t>LC103555</t>
  </si>
  <si>
    <t>118J5026743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</si>
  <si>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كسري درپوش گاز كولر</t>
  </si>
  <si>
    <t>942-11م48</t>
  </si>
  <si>
    <t>شماره بدنه: LC103555</t>
  </si>
  <si>
    <t>شماره جایگاه: 135 (جهت بازدید)</t>
  </si>
  <si>
    <t>LC104114</t>
  </si>
  <si>
    <t>118J5027154</t>
  </si>
  <si>
    <t>932-33م44</t>
  </si>
  <si>
    <t>شماره بدنه: LC104114</t>
  </si>
  <si>
    <t>شماره جایگاه: 165 (جهت بازدید)</t>
  </si>
  <si>
    <t>LC103665</t>
  </si>
  <si>
    <t>118J5026706</t>
  </si>
  <si>
    <t>584-33و19</t>
  </si>
  <si>
    <t>شماره بدنه: LC103665</t>
  </si>
  <si>
    <t>شماره جایگاه: 150 (جهت بازدید)</t>
  </si>
  <si>
    <t>LC103815</t>
  </si>
  <si>
    <t>118J5026890</t>
  </si>
  <si>
    <t>496-11ه69</t>
  </si>
  <si>
    <t>شماره بدنه: LC103815</t>
  </si>
  <si>
    <t>شماره جایگاه: 156 (جهت بازدید)</t>
  </si>
  <si>
    <t>LC104042</t>
  </si>
  <si>
    <t>118J5026947</t>
  </si>
  <si>
    <t>211-33ن18</t>
  </si>
  <si>
    <t>شماره بدنه: LC104042</t>
  </si>
  <si>
    <t>شماره جایگاه: 160 (جهت بازدید)</t>
  </si>
  <si>
    <t>LC103930</t>
  </si>
  <si>
    <t>118J5026642</t>
  </si>
  <si>
    <t>499-33ن97</t>
  </si>
  <si>
    <t>شماره بدنه: LC103930</t>
  </si>
  <si>
    <t>شماره جایگاه: 205 (جهت بازدید)</t>
  </si>
  <si>
    <t>LC103637</t>
  </si>
  <si>
    <t>118J5026606</t>
  </si>
  <si>
    <t>خط و خش و قري و كسري هاي ظاهري به رؤيت مشتري مي باشد - ماندگاري بالا و افت مدل - ترك آينه بغل راست -( بدليل محدوديت زمان شماره گذاري خودرو بنام ايران خودرو پلاك شده است )</t>
  </si>
  <si>
    <t>992-11س85</t>
  </si>
  <si>
    <t>شماره بدنه: LC103637</t>
  </si>
  <si>
    <t>شماره جایگاه: 76 (جهت بازدید)</t>
  </si>
  <si>
    <t>LC103656</t>
  </si>
  <si>
    <t>118J5026039</t>
  </si>
  <si>
    <t>927-33و19</t>
  </si>
  <si>
    <t>شماره بدنه: LC103656</t>
  </si>
  <si>
    <t>LC103550</t>
  </si>
  <si>
    <t>118J5026502</t>
  </si>
  <si>
    <t>415-11د25</t>
  </si>
  <si>
    <t>شماره بدنه: LC103550</t>
  </si>
  <si>
    <t>شماره جایگاه: 170 (جهت بازدید)</t>
  </si>
  <si>
    <t>LC103852</t>
  </si>
  <si>
    <t>118J5026912</t>
  </si>
  <si>
    <t>497-11ي49</t>
  </si>
  <si>
    <t>شماره بدنه: LC103852</t>
  </si>
  <si>
    <t>شماره جایگاه: 193 (جهت بازدید)</t>
  </si>
  <si>
    <t>LC103979</t>
  </si>
  <si>
    <t>118J5026952</t>
  </si>
  <si>
    <t>258-88ب35</t>
  </si>
  <si>
    <t>شماره بدنه: LC103979</t>
  </si>
  <si>
    <t>شماره جایگاه: 166 (جهت بازدید)</t>
  </si>
  <si>
    <t>LC103554</t>
  </si>
  <si>
    <t>118J5026609</t>
  </si>
  <si>
    <t>762-33ص27</t>
  </si>
  <si>
    <t>شماره بدنه: LC103554</t>
  </si>
  <si>
    <t>شماره جایگاه: 197 (جهت بازدید)</t>
  </si>
  <si>
    <t>LC103715</t>
  </si>
  <si>
    <t>118J5027196</t>
  </si>
  <si>
    <t>149-11ه18</t>
  </si>
  <si>
    <t>شماره بدنه: LC103715</t>
  </si>
  <si>
    <t>شماره جایگاه: 167 (جهت بازدید)</t>
  </si>
  <si>
    <t>LC103769</t>
  </si>
  <si>
    <t>118J5026121</t>
  </si>
  <si>
    <t>371-11ص46</t>
  </si>
  <si>
    <t>شماره بدنه: LC103769</t>
  </si>
  <si>
    <t>شماره جایگاه: 154 (جهت بازدید)</t>
  </si>
  <si>
    <t>LC103631</t>
  </si>
  <si>
    <t>118J5026994</t>
  </si>
  <si>
    <t>193-33ق28</t>
  </si>
  <si>
    <t>شماره بدنه: LC103631</t>
  </si>
  <si>
    <t>شماره جایگاه: 93 (جهت بازدید)</t>
  </si>
  <si>
    <t>LC104176</t>
  </si>
  <si>
    <t>118J5027114</t>
  </si>
  <si>
    <t>652-11ط37</t>
  </si>
  <si>
    <t>شماره بدنه: LC104176</t>
  </si>
  <si>
    <t>شماره جایگاه: 139 (جهت بازدید)</t>
  </si>
  <si>
    <t>LC103856</t>
  </si>
  <si>
    <t>118J5026772</t>
  </si>
  <si>
    <t>633-11ه17</t>
  </si>
  <si>
    <t>شماره بدنه: LC103856</t>
  </si>
  <si>
    <t>شماره جایگاه: 74 (جهت بازدید)</t>
  </si>
  <si>
    <t>LC103978</t>
  </si>
  <si>
    <t>118J5027144</t>
  </si>
  <si>
    <t>945-66س16</t>
  </si>
  <si>
    <t>شماره بدنه: LC103978</t>
  </si>
  <si>
    <t>شماره جایگاه: 128 (جهت بازدید)</t>
  </si>
  <si>
    <t>LC103595</t>
  </si>
  <si>
    <t>118J5026080</t>
  </si>
  <si>
    <t>615-33س44</t>
  </si>
  <si>
    <t>شماره بدنه: LC103595</t>
  </si>
  <si>
    <t>شماره جایگاه: 140 (جهت بازدید)</t>
  </si>
  <si>
    <t>LC103953</t>
  </si>
  <si>
    <t>118J5026934</t>
  </si>
  <si>
    <t>531-11ط74</t>
  </si>
  <si>
    <t>شماره بدنه: LC103953</t>
  </si>
  <si>
    <t>شماره جایگاه: 151 (جهت بازدید)</t>
  </si>
  <si>
    <t>LC103832</t>
  </si>
  <si>
    <t>118J5026654</t>
  </si>
  <si>
    <t>713-11ه95</t>
  </si>
  <si>
    <t>شماره بدنه: LC103832</t>
  </si>
  <si>
    <t>شماره جایگاه: 190 (جهت بازدید)</t>
  </si>
  <si>
    <t>LC103625</t>
  </si>
  <si>
    <t>118J5026108</t>
  </si>
  <si>
    <t>349-11ل75</t>
  </si>
  <si>
    <t>شماره بدنه: LC103625</t>
  </si>
  <si>
    <t>شماره جایگاه: 81 (جهت بازدید)</t>
  </si>
  <si>
    <t>LC104051</t>
  </si>
  <si>
    <t>118J5026966</t>
  </si>
  <si>
    <t>477-66ط77</t>
  </si>
  <si>
    <t>شماره بدنه: LC104051</t>
  </si>
  <si>
    <t>شماره جایگاه: 111 (جهت بازدید)</t>
  </si>
  <si>
    <t>LC104069</t>
  </si>
  <si>
    <t>118J5026942</t>
  </si>
  <si>
    <t>287-66ص62</t>
  </si>
  <si>
    <t>شماره بدنه: LC104069</t>
  </si>
  <si>
    <t>شماره جایگاه: 178 (جهت بازدید)</t>
  </si>
  <si>
    <t>LC103996</t>
  </si>
  <si>
    <t>118J5027050</t>
  </si>
  <si>
    <t>خط و خش و قري و كسري هاي ظاهري به رؤيت مشتري مي باشد - ماندگاري بالا و افت مدل - تيغه برف پاك كن مستعمل - ( بدليل محدوديت زمان شماره گذاري خودرو بنام ايران خودرو پلاك شده است )</t>
  </si>
  <si>
    <t>673-66د34</t>
  </si>
  <si>
    <t>شماره بدنه: LC103996</t>
  </si>
  <si>
    <t>شماره جایگاه: 78 (جهت بازدید)</t>
  </si>
  <si>
    <t>LC103983</t>
  </si>
  <si>
    <t>118J5027112</t>
  </si>
  <si>
    <t>754-40ي16</t>
  </si>
  <si>
    <t>شماره بدنه: LC103983</t>
  </si>
  <si>
    <t>شماره جایگاه: 110 (جهت بازدید)</t>
  </si>
  <si>
    <t>LC104166</t>
  </si>
  <si>
    <t>118J5027150</t>
  </si>
  <si>
    <t>865-33ل91</t>
  </si>
  <si>
    <t>شماره بدنه: LC104166</t>
  </si>
  <si>
    <t>شماره جایگاه: 143 (جهت بازدید)</t>
  </si>
  <si>
    <t>LC104049</t>
  </si>
  <si>
    <t>118J5027162</t>
  </si>
  <si>
    <t>975-66س85</t>
  </si>
  <si>
    <t>شماره بدنه: LC104049</t>
  </si>
  <si>
    <t>شماره جایگاه: 208 (جهت بازدید)</t>
  </si>
  <si>
    <t>LC104013</t>
  </si>
  <si>
    <t>118J5026673</t>
  </si>
  <si>
    <t>خط و خش و قري و كسري هاي ظاهري به رؤيت مشتري مي باشد - ماندگاري بالا و افت مدل - بست خروسكي كابل منفي باطري ندارد - خراب بودن كليد بالابر راننده - ( بدليل محدوديت زمان شماره گذاري خودرو بنام ايران خودرو پلاك شده است )</t>
  </si>
  <si>
    <t>753-11ل53</t>
  </si>
  <si>
    <t>شماره بدنه: LC104013</t>
  </si>
  <si>
    <t>شماره جایگاه: 494 (جهت بازدید)</t>
  </si>
  <si>
    <t>LC103880</t>
  </si>
  <si>
    <t>118J5026851</t>
  </si>
  <si>
    <t>423-11ط36</t>
  </si>
  <si>
    <t>شماره بدنه: LC103880</t>
  </si>
  <si>
    <t>شماره جایگاه: 107 (جهت بازدید)</t>
  </si>
  <si>
    <t>LC104070</t>
  </si>
  <si>
    <t>118J5027041</t>
  </si>
  <si>
    <t>854-66ج59</t>
  </si>
  <si>
    <t>شماره بدنه: LC104070</t>
  </si>
  <si>
    <t>شماره جایگاه: 130 (جهت بازدید)</t>
  </si>
  <si>
    <t>LC103671</t>
  </si>
  <si>
    <t>118J5026744</t>
  </si>
  <si>
    <t>564-33ج18</t>
  </si>
  <si>
    <t>شماره بدنه: LC103671</t>
  </si>
  <si>
    <t>شماره جایگاه: 162 (جهت بازدید)</t>
  </si>
  <si>
    <t>LC103662</t>
  </si>
  <si>
    <t>118J5026737</t>
  </si>
  <si>
    <t>475-33ق74</t>
  </si>
  <si>
    <t>شماره بدنه: LC103662</t>
  </si>
  <si>
    <t>شماره جایگاه: 212 (جهت بازدید)</t>
  </si>
  <si>
    <t>LC103771</t>
  </si>
  <si>
    <t>118J5026839</t>
  </si>
  <si>
    <t>551-11ه98</t>
  </si>
  <si>
    <t>شماره بدنه: LC103771</t>
  </si>
  <si>
    <t>شماره جایگاه: 124 (جهت بازدید)</t>
  </si>
  <si>
    <t>LC103962</t>
  </si>
  <si>
    <t>118J5027042</t>
  </si>
  <si>
    <t>377-11س72</t>
  </si>
  <si>
    <t>شماره بدنه: LC103962</t>
  </si>
  <si>
    <t>شماره جایگاه: 194 (جهت بازدید)</t>
  </si>
  <si>
    <t>LC103746</t>
  </si>
  <si>
    <t>118J5026619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</si>
  <si>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عدم عملكرد شيشه بالابر راست</t>
  </si>
  <si>
    <t>464-33ق38</t>
  </si>
  <si>
    <t>شماره بدنه: LC103746</t>
  </si>
  <si>
    <t>شماره جایگاه: 112 (جهت بازدید)</t>
  </si>
  <si>
    <t>LC103669</t>
  </si>
  <si>
    <t>118J5026610</t>
  </si>
  <si>
    <t>183-11و76</t>
  </si>
  <si>
    <t>شماره بدنه: LC103669</t>
  </si>
  <si>
    <t>شماره جایگاه: 183 (جهت بازدید)</t>
  </si>
  <si>
    <t>LC103732</t>
  </si>
  <si>
    <t>118J5026812</t>
  </si>
  <si>
    <t>178-66د33</t>
  </si>
  <si>
    <t>شماره بدنه: LC103732</t>
  </si>
  <si>
    <t>شماره جایگاه: 88 (جهت بازدید)</t>
  </si>
  <si>
    <t>LC103717</t>
  </si>
  <si>
    <t>118J5026938</t>
  </si>
  <si>
    <t>131-40ي45</t>
  </si>
  <si>
    <t>شماره بدنه: LC103717</t>
  </si>
  <si>
    <t>شماره جایگاه: 123 (جهت بازدید)</t>
  </si>
  <si>
    <t>LC104073</t>
  </si>
  <si>
    <t>118J5027049</t>
  </si>
  <si>
    <t>672-11س21</t>
  </si>
  <si>
    <t>شماره بدنه: LC104073</t>
  </si>
  <si>
    <t>شماره جایگاه: 164 (جهت بازدید)</t>
  </si>
  <si>
    <t>LC103615</t>
  </si>
  <si>
    <t>118J5026791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</si>
  <si>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خش سپر جلو راست</t>
  </si>
  <si>
    <t>454-33ط22</t>
  </si>
  <si>
    <t>شماره بدنه: LC103615</t>
  </si>
  <si>
    <t>LC103838</t>
  </si>
  <si>
    <t>118J5026843</t>
  </si>
  <si>
    <t>731-11ه17</t>
  </si>
  <si>
    <t>شماره بدنه: LC103838</t>
  </si>
  <si>
    <t>شماره جایگاه: 496 (جهت بازدید)</t>
  </si>
  <si>
    <t>LC103606</t>
  </si>
  <si>
    <t>118J5026575</t>
  </si>
  <si>
    <t>126-11ن13</t>
  </si>
  <si>
    <t>شماره بدنه: LC103606</t>
  </si>
  <si>
    <t>شماره جایگاه: 98 (جهت بازدید)</t>
  </si>
  <si>
    <t>LC103684</t>
  </si>
  <si>
    <t>118J5026695</t>
  </si>
  <si>
    <t>782-11و76</t>
  </si>
  <si>
    <t>شماره بدنه: LC103684</t>
  </si>
  <si>
    <t>شماره جایگاه: 137 (جهت بازدید)</t>
  </si>
  <si>
    <t>LC103985</t>
  </si>
  <si>
    <t>118J5026982</t>
  </si>
  <si>
    <t>545-11س95</t>
  </si>
  <si>
    <t>شماره بدنه: LC103985</t>
  </si>
  <si>
    <t>شماره جایگاه: 142 (جهت بازدید)</t>
  </si>
  <si>
    <t>LC103754</t>
  </si>
  <si>
    <t>118J5026781</t>
  </si>
  <si>
    <t>922-11ه53</t>
  </si>
  <si>
    <t>شماره بدنه: LC103754</t>
  </si>
  <si>
    <t>شماره جایگاه: 187 (جهت بازدید)</t>
  </si>
  <si>
    <t>LC103569</t>
  </si>
  <si>
    <t>118J5026725</t>
  </si>
  <si>
    <t>631-11ن72</t>
  </si>
  <si>
    <t>شماره بدنه: LC103569</t>
  </si>
  <si>
    <t>شماره جایگاه: 75 (جهت بازدید)</t>
  </si>
  <si>
    <t>LC103839</t>
  </si>
  <si>
    <t>118J5026858</t>
  </si>
  <si>
    <t>318-11ه53</t>
  </si>
  <si>
    <t>شماره بدنه: LC103839</t>
  </si>
  <si>
    <t>شماره جایگاه: 127 (جهت بازدید)</t>
  </si>
  <si>
    <t>LC104137</t>
  </si>
  <si>
    <t>118J5026978</t>
  </si>
  <si>
    <t>285-33م32</t>
  </si>
  <si>
    <t>شماره بدنه: LC104137</t>
  </si>
  <si>
    <t>شماره جایگاه: 104 (جهت بازدید)</t>
  </si>
  <si>
    <t>LC103667</t>
  </si>
  <si>
    <t>118J5026093</t>
  </si>
  <si>
    <t>223-33س74</t>
  </si>
  <si>
    <t>شماره بدنه: LC103667</t>
  </si>
  <si>
    <t>شماره جایگاه: 115 (جهت بازدید)</t>
  </si>
  <si>
    <t>LC103781</t>
  </si>
  <si>
    <t>118J5026805</t>
  </si>
  <si>
    <t>587-11ه81</t>
  </si>
  <si>
    <t>شماره بدنه: LC103781</t>
  </si>
  <si>
    <t>شماره جایگاه: 141 (جهت بازدید)</t>
  </si>
  <si>
    <t>LC103579</t>
  </si>
  <si>
    <t>118J5025988</t>
  </si>
  <si>
    <t>423-11ن13</t>
  </si>
  <si>
    <t>شماره بدنه: LC103579</t>
  </si>
  <si>
    <t>شماره جایگاه: 186 (جهت بازدید)</t>
  </si>
  <si>
    <t>LC104136</t>
  </si>
  <si>
    <t>118J5027155</t>
  </si>
  <si>
    <t>خط و خش و قري و كسري هاي ظاهري به رؤيت مشتري مي باشد - ماندگاري بالا و افت مدل - ( بدليل محدوديت زمان شماره گذاري خودرو بنام ايران خودرو پلاك شده است )</t>
  </si>
  <si>
    <t>932-66ج75</t>
  </si>
  <si>
    <t>شماره بدنه: LC104136</t>
  </si>
  <si>
    <t>شماره جایگاه: 211 (جهت بازدید)</t>
  </si>
  <si>
    <t>LC103694</t>
  </si>
  <si>
    <t>118J5026617</t>
  </si>
  <si>
    <t>خط و خش و قري و كسري هاي ظاهري به رؤيت مشتري مي باشد - ماندگاري بالا و افت مدل - كسري قاب پشت برف پاك كن چپ ( بدليل محدوديت زمان شماره گذاري خودرو بنام ايران خودرو پلاك شده است )</t>
  </si>
  <si>
    <t>438-11م48</t>
  </si>
  <si>
    <t>شماره بدنه: LC103694</t>
  </si>
  <si>
    <t>شماره جایگاه: 73 (جهت بازدید)</t>
  </si>
  <si>
    <t>LC103742</t>
  </si>
  <si>
    <t>118J5026616</t>
  </si>
  <si>
    <t>196-11ه39</t>
  </si>
  <si>
    <t>شماره بدنه: LC103742</t>
  </si>
  <si>
    <t>شماره جایگاه: 109 (جهت بازدید)</t>
  </si>
  <si>
    <t>LC103796</t>
  </si>
  <si>
    <t>118J5026785</t>
  </si>
  <si>
    <t>641-11ه81</t>
  </si>
  <si>
    <t>شماره بدنه: LC103796</t>
  </si>
  <si>
    <t>شماره جایگاه: 145 (جهت بازدید)</t>
  </si>
  <si>
    <t>LC103919</t>
  </si>
  <si>
    <t>118J5026919</t>
  </si>
  <si>
    <t>331-33ن97</t>
  </si>
  <si>
    <t>شماره بدنه: LC103919</t>
  </si>
  <si>
    <t>شماره جایگاه: 174 (جهت بازدید)</t>
  </si>
  <si>
    <t>LC103643</t>
  </si>
  <si>
    <t>118J5026034</t>
  </si>
  <si>
    <t>خط و خش و قري و كسري هاي ظاهري به رؤيت مشتري مي باشد - ماندگاري بالا و افت مدل - باطري دشارژ - ( بدليل محدوديت زمان شماره گذاري خودرو بنام ايران خودرو پلاك شده است )</t>
  </si>
  <si>
    <t>293-11و76</t>
  </si>
  <si>
    <t>شماره بدنه: LC103643</t>
  </si>
  <si>
    <t>شماره جایگاه: 203 (جهت بازدید)</t>
  </si>
  <si>
    <t>LC103990</t>
  </si>
  <si>
    <t>118J5026787</t>
  </si>
  <si>
    <t>585-33ن57</t>
  </si>
  <si>
    <t>شماره بدنه: LC103990</t>
  </si>
  <si>
    <t>شماره جایگاه: 171 (جهت بازدید)</t>
  </si>
  <si>
    <t>LC103774</t>
  </si>
  <si>
    <t>118J5026806</t>
  </si>
  <si>
    <t>154-33ن69</t>
  </si>
  <si>
    <t>شماره بدنه: LC103774</t>
  </si>
  <si>
    <t>شماره جایگاه: 196 (جهت بازدید)</t>
  </si>
  <si>
    <t>LC103650</t>
  </si>
  <si>
    <t>118J5026712</t>
  </si>
  <si>
    <t>422-66ب93</t>
  </si>
  <si>
    <t>شماره بدنه: LC103650</t>
  </si>
  <si>
    <t>شماره جایگاه: 90 (جهت بازدید)</t>
  </si>
  <si>
    <t>LC103810</t>
  </si>
  <si>
    <t>118J5026776</t>
  </si>
  <si>
    <t>133-33ل91</t>
  </si>
  <si>
    <t>شماره بدنه: LC103810</t>
  </si>
  <si>
    <t>شماره جایگاه: 155 (جهت بازدید)</t>
  </si>
  <si>
    <t>LC104021</t>
  </si>
  <si>
    <t>118J5026974</t>
  </si>
  <si>
    <t>931-33م97</t>
  </si>
  <si>
    <t>شماره بدنه: LC104021</t>
  </si>
  <si>
    <t>شماره جایگاه: 195 (جهت بازدید)</t>
  </si>
  <si>
    <t>LC103895</t>
  </si>
  <si>
    <t>118J5026899</t>
  </si>
  <si>
    <t>865-11ط37</t>
  </si>
  <si>
    <t>شماره بدنه: LC103895</t>
  </si>
  <si>
    <t>شماره جایگاه: 87 (جهت بازدید)</t>
  </si>
  <si>
    <t>LC103612</t>
  </si>
  <si>
    <t>118J5026605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</si>
  <si>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دستگيره درب موتور شكسته</t>
  </si>
  <si>
    <t>397-11ن12</t>
  </si>
  <si>
    <t>شماره بدنه: LC103612</t>
  </si>
  <si>
    <t>شماره جایگاه: 113 (جهت بازدید)</t>
  </si>
  <si>
    <t>LC103680</t>
  </si>
  <si>
    <t>118J5026726</t>
  </si>
  <si>
    <t>519-33و22</t>
  </si>
  <si>
    <t>شماره بدنه: LC103680</t>
  </si>
  <si>
    <t>شماره جایگاه: 161 (جهت بازدید)</t>
  </si>
  <si>
    <t>LC103698</t>
  </si>
  <si>
    <t>118J5026694</t>
  </si>
  <si>
    <t>721-33ي43</t>
  </si>
  <si>
    <t>شماره بدنه: LC103698</t>
  </si>
  <si>
    <t>شماره جایگاه: 168 (جهت بازدید)</t>
  </si>
  <si>
    <t>LC103792</t>
  </si>
  <si>
    <t>118J5026835</t>
  </si>
  <si>
    <t>366-11ه53</t>
  </si>
  <si>
    <t>شماره بدنه: LC103792</t>
  </si>
  <si>
    <t>شماره جایگاه: 126 (جهت بازدید)</t>
  </si>
  <si>
    <t>LC104150</t>
  </si>
  <si>
    <t>118J5027123</t>
  </si>
  <si>
    <t>745-40ي16</t>
  </si>
  <si>
    <t>شماره بدنه: LC104150</t>
  </si>
  <si>
    <t>شماره جایگاه: 133 (جهت بازدید)</t>
  </si>
  <si>
    <t>LC104163</t>
  </si>
  <si>
    <t>118J5027148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</si>
  <si>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كسري يكعدد درپوش گاز كولر</t>
  </si>
  <si>
    <t>767-11ط37</t>
  </si>
  <si>
    <t>شماره بدنه: LC104163</t>
  </si>
  <si>
    <t>شماره جایگاه: 85 (جهت بازدید)</t>
  </si>
  <si>
    <t>LC103963</t>
  </si>
  <si>
    <t>118J5027046</t>
  </si>
  <si>
    <t>568-33ص61</t>
  </si>
  <si>
    <t>شماره بدنه: LC103963</t>
  </si>
  <si>
    <t>شماره جایگاه: 125 (جهت بازدید)</t>
  </si>
  <si>
    <t>LC104100</t>
  </si>
  <si>
    <t>118J5027047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</si>
  <si>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كسري آنتن</t>
  </si>
  <si>
    <t>164-33م45</t>
  </si>
  <si>
    <t>شماره بدنه: LC104100</t>
  </si>
  <si>
    <t>شماره جایگاه: 105 (جهت بازدید)</t>
  </si>
  <si>
    <t>LC103941</t>
  </si>
  <si>
    <t>118J5026980</t>
  </si>
  <si>
    <t>216-11د13</t>
  </si>
  <si>
    <t>شماره بدنه: LC103941</t>
  </si>
  <si>
    <t>شماره جایگاه: 102 (جهت بازدید)</t>
  </si>
  <si>
    <t>LC104084</t>
  </si>
  <si>
    <t>118J5026868</t>
  </si>
  <si>
    <t>646-66ج86</t>
  </si>
  <si>
    <t>شماره بدنه: LC104084</t>
  </si>
  <si>
    <t>شماره جایگاه: 149 (جهت بازدید)</t>
  </si>
  <si>
    <t>LC103879</t>
  </si>
  <si>
    <t>118J5026925</t>
  </si>
  <si>
    <t>126-11س72</t>
  </si>
  <si>
    <t>شماره بدنه: LC103879</t>
  </si>
  <si>
    <t>شماره جایگاه: 119 (جهت بازدید)</t>
  </si>
  <si>
    <t>LC103765</t>
  </si>
  <si>
    <t>118J5026685</t>
  </si>
  <si>
    <t>625-33م71</t>
  </si>
  <si>
    <t>شماره بدنه: LC103765</t>
  </si>
  <si>
    <t>شماره جایگاه: 500 (جهت بازدید)</t>
  </si>
  <si>
    <t>LC103601</t>
  </si>
  <si>
    <t>118J5026690</t>
  </si>
  <si>
    <t>972-11ن81</t>
  </si>
  <si>
    <t>شماره بدنه: LC103601</t>
  </si>
  <si>
    <t>شماره جایگاه: 114 (جهت بازدید)</t>
  </si>
  <si>
    <t>LC103873</t>
  </si>
  <si>
    <t>118J5026936</t>
  </si>
  <si>
    <t>396-33ق79</t>
  </si>
  <si>
    <t>شماره بدنه: LC103873</t>
  </si>
  <si>
    <t>شماره جایگاه: 198 (جهت بازدید)</t>
  </si>
  <si>
    <t>LC104038</t>
  </si>
  <si>
    <t>118J5027147</t>
  </si>
  <si>
    <t>197-11ص54</t>
  </si>
  <si>
    <t>شماره بدنه: LC104038</t>
  </si>
  <si>
    <t>شماره جایگاه: 148 (جهت بازدید)</t>
  </si>
  <si>
    <t>LC103786</t>
  </si>
  <si>
    <t>118J5026917</t>
  </si>
  <si>
    <t>758-33ل83</t>
  </si>
  <si>
    <t>شماره بدنه: LC103786</t>
  </si>
  <si>
    <t>شماره جایگاه: 497 (جهت بازدید)</t>
  </si>
  <si>
    <t>LC104164</t>
  </si>
  <si>
    <t>118J5027153</t>
  </si>
  <si>
    <t>557-11ط37</t>
  </si>
  <si>
    <t>شماره بدنه: LC104164</t>
  </si>
  <si>
    <t>شماره جایگاه: 180 (جهت بازدید)</t>
  </si>
  <si>
    <t>LC103633</t>
  </si>
  <si>
    <t>118J5026608</t>
  </si>
  <si>
    <t>773-11و76</t>
  </si>
  <si>
    <t>شماره بدنه: LC103633</t>
  </si>
  <si>
    <t>شماره جایگاه: 79 (جهت بازدید)</t>
  </si>
  <si>
    <t>LC103998</t>
  </si>
  <si>
    <t>118J5027135</t>
  </si>
  <si>
    <t>567-33ص61</t>
  </si>
  <si>
    <t>شماره بدنه: LC103998</t>
  </si>
  <si>
    <t>شماره جایگاه: 92 (جهت بازدید)</t>
  </si>
  <si>
    <t>LC103687</t>
  </si>
  <si>
    <t>118J5026604</t>
  </si>
  <si>
    <t>376-11ل89</t>
  </si>
  <si>
    <t>شماره بدنه: LC103687</t>
  </si>
  <si>
    <t>شماره جایگاه: 101 (جهت بازدید)</t>
  </si>
  <si>
    <t>LC103710</t>
  </si>
  <si>
    <t>118J5026662</t>
  </si>
  <si>
    <t>779-11و76</t>
  </si>
  <si>
    <t>شماره بدنه: LC103710</t>
  </si>
  <si>
    <t>LC103850</t>
  </si>
  <si>
    <t>118J5026956</t>
  </si>
  <si>
    <t>915-11ط15</t>
  </si>
  <si>
    <t>شماره بدنه: LC103850</t>
  </si>
  <si>
    <t>شماره جایگاه: 158 (جهت بازدید)</t>
  </si>
  <si>
    <t>LC103875</t>
  </si>
  <si>
    <t>118J5026997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</si>
  <si>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درپوش گاز كسري</t>
  </si>
  <si>
    <t>392-33ق79</t>
  </si>
  <si>
    <t>شماره بدنه: LC103875</t>
  </si>
  <si>
    <t>شماره جایگاه: 498 (جهت بازدید)</t>
  </si>
  <si>
    <t>LC103642</t>
  </si>
  <si>
    <t>118J5026841</t>
  </si>
  <si>
    <t>384-11و76</t>
  </si>
  <si>
    <t>شماره بدنه: LC103642</t>
  </si>
  <si>
    <t>شماره جایگاه: 100 (جهت بازدید)</t>
  </si>
  <si>
    <t>LC104034</t>
  </si>
  <si>
    <t>118J5027116</t>
  </si>
  <si>
    <t>171-11ص46</t>
  </si>
  <si>
    <t>شماره بدنه: LC104034</t>
  </si>
  <si>
    <t>شماره جایگاه: 122 (جهت بازدید)</t>
  </si>
  <si>
    <t>LC104071</t>
  </si>
  <si>
    <t>118J5027072</t>
  </si>
  <si>
    <t>894-11ص77</t>
  </si>
  <si>
    <t>شماره بدنه: LC104071</t>
  </si>
  <si>
    <t>شماره جایگاه: 84 (جهت بازدید)</t>
  </si>
  <si>
    <t>LC103724</t>
  </si>
  <si>
    <t>118J5026591</t>
  </si>
  <si>
    <t>433-33ق42</t>
  </si>
  <si>
    <t>شماره بدنه: LC103724</t>
  </si>
  <si>
    <t>شماره جایگاه: 80 (جهت بازدید)</t>
  </si>
  <si>
    <t>LC104102</t>
  </si>
  <si>
    <t>118J5027105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</si>
  <si>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كسري درپوش سي ان جي</t>
  </si>
  <si>
    <t>844-33ل52</t>
  </si>
  <si>
    <t>شماره بدنه: LC104102</t>
  </si>
  <si>
    <t>شماره جایگاه: 95 (جهت بازدید)</t>
  </si>
  <si>
    <t>LC103937</t>
  </si>
  <si>
    <t>118J5026896</t>
  </si>
  <si>
    <t>597-11م86</t>
  </si>
  <si>
    <t>شماره بدنه: LC103937</t>
  </si>
  <si>
    <t>شماره جایگاه: 230 (جهت بازدید)</t>
  </si>
  <si>
    <t>LC103578</t>
  </si>
  <si>
    <t>118J5026040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</si>
  <si>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كسري درپوش گاز كولر و ضامن درب موتور</t>
  </si>
  <si>
    <t>318-33م81</t>
  </si>
  <si>
    <t>شماره بدنه: LC103578</t>
  </si>
  <si>
    <t>شماره جایگاه: 118 (جهت بازدید)</t>
  </si>
  <si>
    <t>LC103543</t>
  </si>
  <si>
    <t>118J5026501</t>
  </si>
  <si>
    <t>133-40ي45</t>
  </si>
  <si>
    <t>شماره بدنه: LC103543</t>
  </si>
  <si>
    <t>شماره جایگاه: 99 (جهت بازدید)</t>
  </si>
  <si>
    <t>LC103915</t>
  </si>
  <si>
    <t>118J5026926</t>
  </si>
  <si>
    <t>131-11ط37</t>
  </si>
  <si>
    <t>شماره بدنه: LC103915</t>
  </si>
  <si>
    <t>شماره جایگاه: 201 (جهت بازدید)</t>
  </si>
  <si>
    <t>LC103673</t>
  </si>
  <si>
    <t>118J5026612</t>
  </si>
  <si>
    <t>خط و خش و قري و كسري هاي ظاهري به رؤيت مشتري مي باشد - ماندگاري بالا و افت مدل - شكستگي درب باك - ( بدليل محدوديت زمان شماره گذاري خودرو بنام ايران خودرو پلاك شده است )</t>
  </si>
  <si>
    <t>135-11و15</t>
  </si>
  <si>
    <t>شماره بدنه: LC103673</t>
  </si>
  <si>
    <t>شماره جایگاه: 499 (جهت بازدید)</t>
  </si>
  <si>
    <t>LC104030</t>
  </si>
  <si>
    <t>118J5027008</t>
  </si>
  <si>
    <t>519-33ل52</t>
  </si>
  <si>
    <t>شماره بدنه: LC104030</t>
  </si>
  <si>
    <t>شماره جایگاه: 106 (جهت بازدید)</t>
  </si>
  <si>
    <t>LC104080</t>
  </si>
  <si>
    <t>118J5027013</t>
  </si>
  <si>
    <t>خط و خش و قري و كسري هاي ظاهري به رؤيت مشتري مي باشد - ماندگاري بالا و افت مدل - خراب بودن كليد بالابر چپ ( گير دارد ) - ( بدليل محدوديت زمان شماره گذاري خودرو بنام ايران خودرو پلاك شده است )</t>
  </si>
  <si>
    <t>388-11ص54</t>
  </si>
  <si>
    <t>شماره بدنه: LC104080</t>
  </si>
  <si>
    <t>شماره جایگاه: 179 (جهت بازدید)</t>
  </si>
  <si>
    <t>LC103706</t>
  </si>
  <si>
    <t>118J5026739</t>
  </si>
  <si>
    <t>284-11و81</t>
  </si>
  <si>
    <t>شماره بدنه: LC103706</t>
  </si>
  <si>
    <t>شماره جایگاه: 82 (جهت بازدید)</t>
  </si>
  <si>
    <t>LC103729</t>
  </si>
  <si>
    <t>118J5026825</t>
  </si>
  <si>
    <t>982-11ه29</t>
  </si>
  <si>
    <t>شماره بدنه: LC103729</t>
  </si>
  <si>
    <t>شماره جایگاه: 96 (جهت بازدید)</t>
  </si>
  <si>
    <t>LC104115</t>
  </si>
  <si>
    <t>118J5027081</t>
  </si>
  <si>
    <t>752-40ي16</t>
  </si>
  <si>
    <t>شماره بدنه: LC104115</t>
  </si>
  <si>
    <t>شماره جایگاه: 117 (جهت بازدید)</t>
  </si>
  <si>
    <t>LC103679</t>
  </si>
  <si>
    <t>118J5026731</t>
  </si>
  <si>
    <t>469-33ق74</t>
  </si>
  <si>
    <t>شماره بدنه: LC103679</t>
  </si>
  <si>
    <t>شماره جایگاه: 144 (جهت بازدید)</t>
  </si>
  <si>
    <t>LC103871</t>
  </si>
  <si>
    <t>118J5026922</t>
  </si>
  <si>
    <t>766-33ن49</t>
  </si>
  <si>
    <t>شماره بدنه: LC103871</t>
  </si>
  <si>
    <t>شماره جایگاه: 176 (جهت بازدید)</t>
  </si>
  <si>
    <t>LC103811</t>
  </si>
  <si>
    <t>118J5026893</t>
  </si>
  <si>
    <t>737-11ه79</t>
  </si>
  <si>
    <t>شماره بدنه: LC103811</t>
  </si>
  <si>
    <t>شماره جایگاه: 495 (جهت بازدید)</t>
  </si>
  <si>
    <t>LC104062</t>
  </si>
  <si>
    <t>118J5026870</t>
  </si>
  <si>
    <t>341-11ص27</t>
  </si>
  <si>
    <t>شماره بدنه: LC104062</t>
  </si>
  <si>
    <t>شماره جایگاه: 116 (جهت بازدید)</t>
  </si>
  <si>
    <t>LC104107</t>
  </si>
  <si>
    <t>118J5027060</t>
  </si>
  <si>
    <t>653-11ص57</t>
  </si>
  <si>
    <t>شماره بدنه: LC104107</t>
  </si>
  <si>
    <t>شماره جایگاه: 129 (جهت بازدید)</t>
  </si>
  <si>
    <t>LC103604</t>
  </si>
  <si>
    <t>118J5026058</t>
  </si>
  <si>
    <t>617-33س44</t>
  </si>
  <si>
    <t>شماره بدنه: LC103604</t>
  </si>
  <si>
    <t>شماره جایگاه: 83 (جهت بازدید)</t>
  </si>
  <si>
    <t>LC104048</t>
  </si>
  <si>
    <t>118J5026953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</si>
  <si>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تيغه هاي برف پاك كن مستعمل</t>
  </si>
  <si>
    <t>141-40ي45</t>
  </si>
  <si>
    <t>شماره بدنه: LC104048</t>
  </si>
  <si>
    <t>شماره جایگاه: 91 (جهت بازدید)</t>
  </si>
  <si>
    <t>LC104019</t>
  </si>
  <si>
    <t>118J5027146</t>
  </si>
  <si>
    <t>985-11س85</t>
  </si>
  <si>
    <t>شماره بدنه: LC104019</t>
  </si>
  <si>
    <t>شماره جایگاه: 103 (جهت بازدید)</t>
  </si>
  <si>
    <t>LC104120</t>
  </si>
  <si>
    <t>118J5027127</t>
  </si>
  <si>
    <t>168-11ص81</t>
  </si>
  <si>
    <t>شماره بدنه: LC104120</t>
  </si>
  <si>
    <t>شماره جایگاه: 89 (جهت بازدید)</t>
  </si>
  <si>
    <t>پژو پارس سال با موتور XU7 P کلاس 1 سفيد دو پوششه</t>
  </si>
  <si>
    <t>NH442391</t>
  </si>
  <si>
    <t>125K0003953</t>
  </si>
  <si>
    <t>خط و خش و قري و كسري هاي ظاهري به رؤيت مشتري مي باشد - خودرو حركت نميكند (ديسك و صفحه كلاچ بريده ) - تصادفي بودن سرتاسر بدنه ( گلگير جلو راست ، درب موتور ، گلگير جلو و عقب چپ ) - آچارخوردگي پيچ هاي درب موتور و گلگيرهاي جلو ( تعويضي كارخانه ) - خش سپر جلو - رنگ پريدگي لبه درب جلو چپ - باز بودن قاب ركاب چپ - فنر درب صندوق ندارد - خش آينه ها - لاستيكها كاركرده - ( ايرادات غير قابل ريورك مطابق استاندارد كارخانه )</t>
  </si>
  <si>
    <t>شماره بدنه: NH442391</t>
  </si>
  <si>
    <t>شماره جایگاه: 258 (جهت بازدید)</t>
  </si>
  <si>
    <t>تندر 90 E1 - 1 Airbag مشكي پرشين متاليك</t>
  </si>
  <si>
    <t>EA232587</t>
  </si>
  <si>
    <t>مشكي پرشين متاليك</t>
  </si>
  <si>
    <t>1401/11/05</t>
  </si>
  <si>
    <t>100015406RD241407</t>
  </si>
  <si>
    <t>خط و خش و قري و كسري هاي ظاهري به رؤيت مشتري مي باشد - خش و قري و رنگ پريدگي درب موتور - زدگي داشبورد و رودريها و كنسول وسط - پارگي صندليها - خوردگي كف صندوق و درب صندوق و سپر عقب و درب هاي راست و گلگير عقب راست و خش و رنگ پريدگي گلگير جلو و ركاب چپ و گلگير عقب چپ - خش و قري و رنگ پريدگي دربهاي چپ - ايراد رنگي بدنه - مغاير بودن چراغ هاي جلو - موتور خودرو ايراد فني اساسي دارد - گيربكس خراب مي باشد - باطري مستعمل و دشارژ - كسري سيني زير موتور - سوئيچ ها مغاير و متفرقه - كسري فندك - زيرپايي ها مستعمل و متفرقه - خش جلو پنجره و آينه هاي جانبي - تيغه برف پاك كن مستعمل - شكستگي سه عدد قالپاق - لاستيكها مستعمل و متفرقه و مغاير - ترك شيشه جلو - زاپاس مستعمل و متفرقه - كسري شبرنگ - موكت صندوق مستعمل</t>
  </si>
  <si>
    <t>372-33س32</t>
  </si>
  <si>
    <t>کد کلاس: 56062</t>
  </si>
  <si>
    <t>شماره بدنه: EA232587</t>
  </si>
  <si>
    <t>شماره جایگاه: 639 (جهت بازدید)</t>
  </si>
  <si>
    <t>LC103761</t>
  </si>
  <si>
    <t>118J5026833</t>
  </si>
  <si>
    <t>خط و خش و قري و كسري هاي ظاهري به رؤيت مشتري مي باشد - ماندگاري بالا و افت مدل - صداي غيرعادي از موتور - ( بدليل محدوديت زمان شماره گذاري خودرو بنام ايران خودرو پلاك شده است )</t>
  </si>
  <si>
    <t>556-66ج52</t>
  </si>
  <si>
    <t>شماره بدنه: LC103761</t>
  </si>
  <si>
    <t>LC103970</t>
  </si>
  <si>
    <t>118J5027021</t>
  </si>
  <si>
    <t>خط و خش و قري و كسري هاي ظاهري به رؤيت مشتري مي باشد - ماندگاري بالا و افت مدل - كولر ايراد دارد - خودرو پس از روشن شدن خاموش مي شود ( بدليل محدوديت زمان شماره گذاري خودرو بنام ايران خودرو پلاك شده است )</t>
  </si>
  <si>
    <t>553-11ه39</t>
  </si>
  <si>
    <t>شماره بدنه: LC103970</t>
  </si>
  <si>
    <t>LC103663</t>
  </si>
  <si>
    <t>118J5026763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</si>
  <si>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كسري درپوش گاز كولر - درگير بودن برف پاك كن با لبه درب موتور - رنگ پريدگي لبه درب موتور</t>
  </si>
  <si>
    <t>679-33م45</t>
  </si>
  <si>
    <t>شماره بدنه: LC103663</t>
  </si>
  <si>
    <t>LC103760</t>
  </si>
  <si>
    <t>118J5026640</t>
  </si>
  <si>
    <t>984-11ب85</t>
  </si>
  <si>
    <t>شماره بدنه: LC103760</t>
  </si>
  <si>
    <t>LC103789</t>
  </si>
  <si>
    <t>118J5026793</t>
  </si>
  <si>
    <t>668-66ط46</t>
  </si>
  <si>
    <t>شماره بدنه: LC103789</t>
  </si>
  <si>
    <t>LC103728</t>
  </si>
  <si>
    <t>118J5026627</t>
  </si>
  <si>
    <t>173-11ه38</t>
  </si>
  <si>
    <t>شماره بدنه: LC103728</t>
  </si>
  <si>
    <t>LC103989</t>
  </si>
  <si>
    <t>118J5027043</t>
  </si>
  <si>
    <t>خط و خش و قري و كسري هاي ظاهري به رؤيت مشتري مي باشد - ماندگاري بالا و افت مدل - باطري دشارژ - كولر باد گرم ميدهد - ( بدليل محدوديت زمان شماره گذاري خودرو بنام ايران خودرو پلاك شده است )</t>
  </si>
  <si>
    <t>477-33م54</t>
  </si>
  <si>
    <t>شماره بدنه: LC103989</t>
  </si>
  <si>
    <t>LC103951</t>
  </si>
  <si>
    <t>118J5027055</t>
  </si>
  <si>
    <t>826-33م92</t>
  </si>
  <si>
    <t>شماره بدنه: LC103951</t>
  </si>
  <si>
    <t>LC103960</t>
  </si>
  <si>
    <t>118J5027071</t>
  </si>
  <si>
    <t>842-33ن97</t>
  </si>
  <si>
    <t>شماره بدنه: LC103960</t>
  </si>
  <si>
    <t>LC103924</t>
  </si>
  <si>
    <t>118J5026076</t>
  </si>
  <si>
    <t>296-66ج32</t>
  </si>
  <si>
    <t>شماره بدنه: LC103924</t>
  </si>
  <si>
    <t>LC103974</t>
  </si>
  <si>
    <t>118J5026960</t>
  </si>
  <si>
    <t>327-66ب57</t>
  </si>
  <si>
    <t>شماره بدنه: LC103974</t>
  </si>
  <si>
    <t>LC103807</t>
  </si>
  <si>
    <t>118J5026819</t>
  </si>
  <si>
    <t>283-11ه63</t>
  </si>
  <si>
    <t>شماره بدنه: LC103807</t>
  </si>
  <si>
    <t>LC103886</t>
  </si>
  <si>
    <t>118J5027018</t>
  </si>
  <si>
    <t>213-66س56</t>
  </si>
  <si>
    <t>شماره بدنه: LC103886</t>
  </si>
  <si>
    <t>LC103552</t>
  </si>
  <si>
    <t>118J5026888</t>
  </si>
  <si>
    <t>346-33ن97</t>
  </si>
  <si>
    <t>شماره بدنه: LC103552</t>
  </si>
  <si>
    <t>LC103689</t>
  </si>
  <si>
    <t>118J5026727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</si>
  <si>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چراغ چك روشن</t>
  </si>
  <si>
    <t>983-33م93</t>
  </si>
  <si>
    <t>شماره بدنه: LC103689</t>
  </si>
  <si>
    <t>LC103905</t>
  </si>
  <si>
    <t>118J5026768</t>
  </si>
  <si>
    <t>315-33ق93</t>
  </si>
  <si>
    <t>شماره بدنه: LC103905</t>
  </si>
  <si>
    <t>LC103740</t>
  </si>
  <si>
    <t>118J5026783</t>
  </si>
  <si>
    <t>777-40ي32</t>
  </si>
  <si>
    <t>شماره بدنه: LC103740</t>
  </si>
  <si>
    <t>LC103921</t>
  </si>
  <si>
    <t>118J5027083</t>
  </si>
  <si>
    <t>787-40ن91</t>
  </si>
  <si>
    <t>شماره بدنه: LC103921</t>
  </si>
  <si>
    <t>LC103884</t>
  </si>
  <si>
    <t>118J5026795</t>
  </si>
  <si>
    <t>خط و خش و قري و كسري هاي ظاهري به رؤيت مشتري مي باشد - ماندگاري بالا و افت مدل - باطري دشارژ - كسري آنتن و تسمه هيدروليك - شكستگي يك عدد قالپاق - ( بدليل محدوديت زمان شماره گذاري خودرو بنام ايران خودرو پلاك شده است )</t>
  </si>
  <si>
    <t>135-33ل91</t>
  </si>
  <si>
    <t>شماره بدنه: LC103884</t>
  </si>
  <si>
    <t>LC103557</t>
  </si>
  <si>
    <t>118J5026492</t>
  </si>
  <si>
    <t>961-66ص12</t>
  </si>
  <si>
    <t>شماره بدنه: LC103557</t>
  </si>
  <si>
    <t>LC103902</t>
  </si>
  <si>
    <t>118J5026948</t>
  </si>
  <si>
    <t>759-66ب54</t>
  </si>
  <si>
    <t>شماره بدنه: LC103902</t>
  </si>
  <si>
    <t>LC103573</t>
  </si>
  <si>
    <t>118J5026033</t>
  </si>
  <si>
    <t>777-40ي36</t>
  </si>
  <si>
    <t>شماره بدنه: LC103573</t>
  </si>
  <si>
    <t>LC103655</t>
  </si>
  <si>
    <t>118J5026724</t>
  </si>
  <si>
    <t>999-40ي23</t>
  </si>
  <si>
    <t>شماره بدنه: LC103655</t>
  </si>
  <si>
    <t>LC103709</t>
  </si>
  <si>
    <t>118J5026761</t>
  </si>
  <si>
    <t>623-11ب85</t>
  </si>
  <si>
    <t>شماره بدنه: LC103709</t>
  </si>
  <si>
    <t>LC103659</t>
  </si>
  <si>
    <t>118J5026709</t>
  </si>
  <si>
    <t>726-40و47</t>
  </si>
  <si>
    <t>شماره بدنه: LC103659</t>
  </si>
  <si>
    <t>LC103660</t>
  </si>
  <si>
    <t>118J5026827</t>
  </si>
  <si>
    <t>261-11و64</t>
  </si>
  <si>
    <t>شماره بدنه: LC103660</t>
  </si>
  <si>
    <t>LC103661</t>
  </si>
  <si>
    <t>118J5026753</t>
  </si>
  <si>
    <t>خط و خش و قري و كسري هاي ظاهري به رؤيت مشتري مي باشد - ماندگاري بالا و افت مدل - شبرنگ ندارد - ( بدليل محدوديت زمان شماره گذاري خودرو بنام ايران خودرو پلاك شده است )</t>
  </si>
  <si>
    <t>188-66ب59</t>
  </si>
  <si>
    <t>شماره بدنه: LC103661</t>
  </si>
  <si>
    <t>LC103617</t>
  </si>
  <si>
    <t>118J5026069</t>
  </si>
  <si>
    <t>712-11ن49</t>
  </si>
  <si>
    <t>شماره بدنه: LC103617</t>
  </si>
  <si>
    <t>LC103900</t>
  </si>
  <si>
    <t>118J5026916</t>
  </si>
  <si>
    <t>خط و خش و قري و كسري هاي ظاهري به رؤيت مشتري مي باشد - ماندگاري بالا و افت مدل - شكستگي دكمه قفل كن سمت راننده - ( بدليل محدوديت زمان شماره گذاري خودرو بنام ايران خودرو پلاك شده است )</t>
  </si>
  <si>
    <t>384-33ل91</t>
  </si>
  <si>
    <t>شماره بدنه: LC103900</t>
  </si>
  <si>
    <t>LC103772</t>
  </si>
  <si>
    <t>118J5026666</t>
  </si>
  <si>
    <t>343-33ق52</t>
  </si>
  <si>
    <t>شماره بدنه: LC103772</t>
  </si>
  <si>
    <t>LC103610</t>
  </si>
  <si>
    <t>118J5026059</t>
  </si>
  <si>
    <t>199-11ن72</t>
  </si>
  <si>
    <t>شماره بدنه: LC103610</t>
  </si>
  <si>
    <t>LC103614</t>
  </si>
  <si>
    <t>118J5026723</t>
  </si>
  <si>
    <t>444-40ي28</t>
  </si>
  <si>
    <t>شماره بدنه: LC103614</t>
  </si>
  <si>
    <t>LC103574</t>
  </si>
  <si>
    <t>118J5026521</t>
  </si>
  <si>
    <t>582-66س57</t>
  </si>
  <si>
    <t>شماره بدنه: LC103574</t>
  </si>
  <si>
    <t>LC103571</t>
  </si>
  <si>
    <t>118J5026209</t>
  </si>
  <si>
    <t>555-40ي27</t>
  </si>
  <si>
    <t>شماره بدنه: LC103571</t>
  </si>
  <si>
    <t>LC103602</t>
  </si>
  <si>
    <t>118J5026067</t>
  </si>
  <si>
    <t>547-66ج31</t>
  </si>
  <si>
    <t>شماره بدنه: LC103602</t>
  </si>
  <si>
    <t>LC103676</t>
  </si>
  <si>
    <t>118J5026713</t>
  </si>
  <si>
    <t>995-33م44</t>
  </si>
  <si>
    <t>شماره بدنه: LC103676</t>
  </si>
  <si>
    <t>LC103326</t>
  </si>
  <si>
    <t>118J5026514</t>
  </si>
  <si>
    <t>657-66ص13</t>
  </si>
  <si>
    <t>شماره بدنه: LC103326</t>
  </si>
  <si>
    <t>LC103589</t>
  </si>
  <si>
    <t>118J5026049</t>
  </si>
  <si>
    <t>999-40ي26</t>
  </si>
  <si>
    <t>شماره بدنه: LC103589</t>
  </si>
  <si>
    <t>LC103402</t>
  </si>
  <si>
    <t>118J5026515</t>
  </si>
  <si>
    <t>389-66ب28</t>
  </si>
  <si>
    <t>شماره بدنه: LC103402</t>
  </si>
  <si>
    <t>LC103572</t>
  </si>
  <si>
    <t>118J5026210</t>
  </si>
  <si>
    <t>763-11س13</t>
  </si>
  <si>
    <t>شماره بدنه: LC103572</t>
  </si>
  <si>
    <t>LC103782</t>
  </si>
  <si>
    <t>118J5026887</t>
  </si>
  <si>
    <t>خط و خش و قري و كسري هاي ظاهري به رؤيت مشتري مي باشد - ماندگاري بالا و افت مدل - كسري درپوش سي ان جي - ( بدليل محدوديت زمان شماره گذاري خودرو بنام ايران خودرو پلاك شده است )</t>
  </si>
  <si>
    <t>599-11م86</t>
  </si>
  <si>
    <t>شماره بدنه: LC103782</t>
  </si>
  <si>
    <t>LC103753</t>
  </si>
  <si>
    <t>118J5026782</t>
  </si>
  <si>
    <t>331-33ل76</t>
  </si>
  <si>
    <t>شماره بدنه: LC103753</t>
  </si>
  <si>
    <t>LC103801</t>
  </si>
  <si>
    <t>118J5026857</t>
  </si>
  <si>
    <t>خط و خش و قري و كسري هاي ظاهري به رؤيت مشتري مي باشد - ماندگاري بالا و افت مدل - كسري درپوش سي ان جي ( بدليل محدوديت زمان شماره گذاري خودرو بنام ايران خودرو پلاك شده است )</t>
  </si>
  <si>
    <t>999-40ي36</t>
  </si>
  <si>
    <t>شماره بدنه: LC103801</t>
  </si>
  <si>
    <t>LC103645</t>
  </si>
  <si>
    <t>118J5026117</t>
  </si>
  <si>
    <t>339-33و19</t>
  </si>
  <si>
    <t>شماره بدنه: LC103645</t>
  </si>
  <si>
    <t>LC103548</t>
  </si>
  <si>
    <t>118J5026494</t>
  </si>
  <si>
    <t>797-11ن34</t>
  </si>
  <si>
    <t>شماره بدنه: LC103548</t>
  </si>
  <si>
    <t>LC103634</t>
  </si>
  <si>
    <t>118J5026624</t>
  </si>
  <si>
    <t>خط و خش و قري و كسري هاي ظاهري به رؤيت مشتري مي باشد - ماندگاري بالا و افت مدل - خرابي دستگيره درب راست - ( بدليل محدوديت زمان شماره گذاري خودرو بنام ايران خودرو پلاك شده است )</t>
  </si>
  <si>
    <t>999-40ي28</t>
  </si>
  <si>
    <t>شماره بدنه: LC103634</t>
  </si>
  <si>
    <t>LC104182</t>
  </si>
  <si>
    <t>118J5026223</t>
  </si>
  <si>
    <t>583-66س57</t>
  </si>
  <si>
    <t>شماره بدنه: LC104182</t>
  </si>
  <si>
    <t>LC104083</t>
  </si>
  <si>
    <t>118J5027132</t>
  </si>
  <si>
    <t>243-66ج51</t>
  </si>
  <si>
    <t>شماره بدنه: LC104083</t>
  </si>
  <si>
    <t>LC104101</t>
  </si>
  <si>
    <t>118J5026603</t>
  </si>
  <si>
    <t>835-66ب55</t>
  </si>
  <si>
    <t>شماره بدنه: LC104101</t>
  </si>
  <si>
    <t>LC103820</t>
  </si>
  <si>
    <t>118J5026946</t>
  </si>
  <si>
    <t>777-40ي22</t>
  </si>
  <si>
    <t>شماره بدنه: LC103820</t>
  </si>
  <si>
    <t>LC103559</t>
  </si>
  <si>
    <t>118J5026413</t>
  </si>
  <si>
    <t>888-40ي22</t>
  </si>
  <si>
    <t>شماره بدنه: LC103559</t>
  </si>
  <si>
    <t>LC103640</t>
  </si>
  <si>
    <t>118J5026626</t>
  </si>
  <si>
    <t>444-40ي23</t>
  </si>
  <si>
    <t>شماره بدنه: LC103640</t>
  </si>
  <si>
    <t>LC103621</t>
  </si>
  <si>
    <t>118J5026620</t>
  </si>
  <si>
    <t>372-33م45</t>
  </si>
  <si>
    <t>شماره بدنه: LC103621</t>
  </si>
  <si>
    <t>LC103668</t>
  </si>
  <si>
    <t>118J5024454</t>
  </si>
  <si>
    <t>281-11ن56</t>
  </si>
  <si>
    <t>شماره بدنه: LC103668</t>
  </si>
  <si>
    <t>LC103675</t>
  </si>
  <si>
    <t>118J5026734</t>
  </si>
  <si>
    <t>766-40ن35</t>
  </si>
  <si>
    <t>شماره بدنه: LC103675</t>
  </si>
  <si>
    <t>LC103699</t>
  </si>
  <si>
    <t>118J5026732</t>
  </si>
  <si>
    <t>111-40ي26</t>
  </si>
  <si>
    <t>شماره بدنه: LC103699</t>
  </si>
  <si>
    <t>LC103738</t>
  </si>
  <si>
    <t>118J5026777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</si>
  <si>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كسري درب جعبه فيوز</t>
  </si>
  <si>
    <t>555-40ي23</t>
  </si>
  <si>
    <t>شماره بدنه: LC103738</t>
  </si>
  <si>
    <t>LC103969</t>
  </si>
  <si>
    <t>118J5027070</t>
  </si>
  <si>
    <t>932-66س17</t>
  </si>
  <si>
    <t>شماره بدنه: LC103969</t>
  </si>
  <si>
    <t>LC103712</t>
  </si>
  <si>
    <t>118J5026762</t>
  </si>
  <si>
    <t>خط و خش و قري و كسري هاي ظاهري به رؤيت مشتري مي باشد - ماندگاري بالا و افت مدل - ( بدليل محدوديت زمان شماره گذاري خودرو بنام ايران خودرو پلاك شده است ) - كسري درپوش گاز</t>
  </si>
  <si>
    <t>868-33م45</t>
  </si>
  <si>
    <t>شماره بدنه: LC103712</t>
  </si>
  <si>
    <t>LC103835</t>
  </si>
  <si>
    <t>118J5026957</t>
  </si>
  <si>
    <t>111-40ي28</t>
  </si>
  <si>
    <t>شماره بدنه: LC103835</t>
  </si>
  <si>
    <t>LC104228</t>
  </si>
  <si>
    <t>118J5026902</t>
  </si>
  <si>
    <t>737-66ص58</t>
  </si>
  <si>
    <t>شماره بدنه: LC104228</t>
  </si>
  <si>
    <t>LC103670</t>
  </si>
  <si>
    <t>118J5026703</t>
  </si>
  <si>
    <t>111-40ي23</t>
  </si>
  <si>
    <t>شماره بدنه: LC103670</t>
  </si>
  <si>
    <t>LC103648</t>
  </si>
  <si>
    <t>118J5026700</t>
  </si>
  <si>
    <t>خط و خش و قري و كسري هاي ظاهري به رؤيت مشتري مي باشد - ماندگاري بالا و افت مدل - كسري درب باك سي ان جي ( بدليل محدوديت زمان شماره گذاري خودرو بنام ايران خودرو پلاك شده است )</t>
  </si>
  <si>
    <t>875-40و47</t>
  </si>
  <si>
    <t>شماره بدنه: LC103648</t>
  </si>
  <si>
    <t>LC103652</t>
  </si>
  <si>
    <t>118J5026684</t>
  </si>
  <si>
    <t>269-11ل75</t>
  </si>
  <si>
    <t>شماره بدنه: LC103652</t>
  </si>
  <si>
    <t>LC104011</t>
  </si>
  <si>
    <t>118J5027085</t>
  </si>
  <si>
    <t>خط و خش و قري و كسري هاي ظاهري به رؤيت مشتري مي باشد - ماندگاري بالا و افت مدل - چراغ چك روشن ( بدليل محدوديت زمان شماره گذاري خودرو بنام ايران خودرو پلاك شده است )</t>
  </si>
  <si>
    <t>611-66ب56</t>
  </si>
  <si>
    <t>شماره بدنه: LC104011</t>
  </si>
  <si>
    <t>LC104132</t>
  </si>
  <si>
    <t>118J5027121</t>
  </si>
  <si>
    <t>خط و خش و قري و كسري هاي ظاهري به رؤيت مشتري مي باشد - ماندگاري بالا و افت مدل - كسري يك عدد درپوش گاز ( بدليل محدوديت زمان شماره گذاري خودرو بنام ايران خودرو پلاك شده است )</t>
  </si>
  <si>
    <t>473-66س58</t>
  </si>
  <si>
    <t>شماره بدنه: LC104132</t>
  </si>
  <si>
    <t>LC104045</t>
  </si>
  <si>
    <t>118J5025800</t>
  </si>
  <si>
    <t>977-66ج53</t>
  </si>
  <si>
    <t>شماره بدنه: LC104045</t>
  </si>
  <si>
    <t>LC103723</t>
  </si>
  <si>
    <t>118J5026847</t>
  </si>
  <si>
    <t>خط و خش و قري و كسري هاي ظاهري به رؤيت مشتري مي باشد - ماندگاري بالا و افت مدل - كسري درب باك بدنه ( بدليل محدوديت زمان شماره گذاري خودرو بنام ايران خودرو پلاك شده است )</t>
  </si>
  <si>
    <t>446-33م48</t>
  </si>
  <si>
    <t>شماره بدنه: LC103723</t>
  </si>
  <si>
    <t>LC103562</t>
  </si>
  <si>
    <t>118J5026498</t>
  </si>
  <si>
    <t>816-40و28</t>
  </si>
  <si>
    <t>شماره بدنه: LC103562</t>
  </si>
  <si>
    <t>LC103558</t>
  </si>
  <si>
    <t>118J5026504</t>
  </si>
  <si>
    <t>خط و خش و قري و كسري هاي ظاهري به رؤيت مشتري مي باشد - ماندگاري بالا و افت مدل - كسري آنتن ( بدليل محدوديت زمان شماره گذاري خودرو بنام ايران خودرو پلاك شده است )</t>
  </si>
  <si>
    <t>624-40و91</t>
  </si>
  <si>
    <t>شماره بدنه: LC103558</t>
  </si>
  <si>
    <t>LC103683</t>
  </si>
  <si>
    <t>118J5026618</t>
  </si>
  <si>
    <t>265-40و13</t>
  </si>
  <si>
    <t>شماره بدنه: LC103683</t>
  </si>
  <si>
    <t>LC103790</t>
  </si>
  <si>
    <t>118J5026686</t>
  </si>
  <si>
    <t>849-66ط45</t>
  </si>
  <si>
    <t>شماره بدنه: LC103790</t>
  </si>
  <si>
    <t>LC103849</t>
  </si>
  <si>
    <t>118J5026813</t>
  </si>
  <si>
    <t>666-40ي33</t>
  </si>
  <si>
    <t>شماره بدنه: LC103849</t>
  </si>
  <si>
    <t>LC103664</t>
  </si>
  <si>
    <t>118J5026710</t>
  </si>
  <si>
    <t>خط و خش و قري و كسري هاي ظاهري به رؤيت مشتري مي باشد - ماندگاري بالا و افت مدل - كسري بست منفي باطري - ( بدليل محدوديت زمان شماره گذاري خودرو بنام ايران خودرو پلاك شده است )</t>
  </si>
  <si>
    <t>919-11و71</t>
  </si>
  <si>
    <t>شماره بدنه: LC103664</t>
  </si>
  <si>
    <t>LC104076</t>
  </si>
  <si>
    <t>118J5027138</t>
  </si>
  <si>
    <t>645-66ب56</t>
  </si>
  <si>
    <t>شماره بدنه: LC104076</t>
  </si>
  <si>
    <t>LC104022</t>
  </si>
  <si>
    <t>118J5027140</t>
  </si>
  <si>
    <t>خط و خش و قري و كسري هاي ظاهري به رؤيت مشتري مي باشد - ماندگاري بالا و افت مدل - قري درب راست - چرخ راست پنچر - كسري درپوش سي ان جي - ( بدليل محدوديت زمان شماره گذاري خودرو بنام ايران خودرو پلاك شده است )</t>
  </si>
  <si>
    <t>555-40ي32</t>
  </si>
  <si>
    <t>شماره بدنه: LC104022</t>
  </si>
  <si>
    <t>LC103630</t>
  </si>
  <si>
    <t>118J5026708</t>
  </si>
  <si>
    <t>663-33م93</t>
  </si>
  <si>
    <t>شماره بدنه: LC103630</t>
  </si>
  <si>
    <t>LC103770</t>
  </si>
  <si>
    <t>118J5026572</t>
  </si>
  <si>
    <t>خط و خش و قري و كسري هاي ظاهري به رؤيت مشتري مي باشد - ماندگاري بالا و افت مدل - سائيدگي سپر جلو چپ - ( بدليل محدوديت زمان شماره گذاري خودرو بنام ايران خودرو پلاك شده است )</t>
  </si>
  <si>
    <t>151-33ن69</t>
  </si>
  <si>
    <t>شماره بدنه: LC103770</t>
  </si>
  <si>
    <t>793-11ص46</t>
  </si>
  <si>
    <t>LC103913</t>
  </si>
  <si>
    <t>118J5026644</t>
  </si>
  <si>
    <t>424-33ن84</t>
  </si>
  <si>
    <t>شماره بدنه: LC103913</t>
  </si>
  <si>
    <t>LC103906</t>
  </si>
  <si>
    <t>118J5026881</t>
  </si>
  <si>
    <t>421-33ن84</t>
  </si>
  <si>
    <t>شماره بدنه: LC103906</t>
  </si>
  <si>
    <t>LC103959</t>
  </si>
  <si>
    <t>118J5027059</t>
  </si>
  <si>
    <t>خط و خش و قري و كسري هاي ظاهري به رؤيت مشتري مي باشد - ماندگاري بالا و افت مدل - چراغ اي بي اس روشن - درگيربودن لبه برف پاك كن با لبه درب موتور - ( بدليل محدوديت زمان شماره گذاري خودرو بنام ايران خودرو پلاك شده است )</t>
  </si>
  <si>
    <t>454-11ل83</t>
  </si>
  <si>
    <t>شماره بدنه: LC103959</t>
  </si>
  <si>
    <t>LC104085</t>
  </si>
  <si>
    <t>118J5026955</t>
  </si>
  <si>
    <t>668-11س21</t>
  </si>
  <si>
    <t>شماره بدنه: LC104085</t>
  </si>
  <si>
    <t>LC104066</t>
  </si>
  <si>
    <t>118J5026869</t>
  </si>
  <si>
    <t>243-11س21</t>
  </si>
  <si>
    <t>شماره بدنه: LC104066</t>
  </si>
  <si>
    <t>LC103711</t>
  </si>
  <si>
    <t>118J5026831</t>
  </si>
  <si>
    <t>771-11ب85</t>
  </si>
  <si>
    <t>شماره بدنه: LC103711</t>
  </si>
  <si>
    <t>LC104020</t>
  </si>
  <si>
    <t>118J5026968</t>
  </si>
  <si>
    <t>575-33ص61</t>
  </si>
  <si>
    <t>شماره بدنه: LC104020</t>
  </si>
  <si>
    <t>LC104112</t>
  </si>
  <si>
    <t>118J5027024</t>
  </si>
  <si>
    <t>خط و خش و قري و كسري هاي ظاهري به رؤيت مشتري مي باشد - ماندگاري بالا و افت مدل - عدم عملكرد برف پاك كن ها - ( بدليل محدوديت زمان شماره گذاري خودرو بنام ايران خودرو پلاك شده است )</t>
  </si>
  <si>
    <t>818-33م64</t>
  </si>
  <si>
    <t>شماره بدنه: LC104112</t>
  </si>
  <si>
    <t>LC103845</t>
  </si>
  <si>
    <t>118J5026840</t>
  </si>
  <si>
    <t>898-11و59</t>
  </si>
  <si>
    <t>شماره بدنه: LC103845</t>
  </si>
  <si>
    <t>LC103778</t>
  </si>
  <si>
    <t>118J5026836</t>
  </si>
  <si>
    <t>764-33ل65</t>
  </si>
  <si>
    <t>شماره بدنه: LC103778</t>
  </si>
  <si>
    <t>LC103986</t>
  </si>
  <si>
    <t>118J5027082</t>
  </si>
  <si>
    <t>525-11د43</t>
  </si>
  <si>
    <t>شماره بدنه: LC103986</t>
  </si>
  <si>
    <t>LC103721</t>
  </si>
  <si>
    <t>118J5026944</t>
  </si>
  <si>
    <t>251-33م31</t>
  </si>
  <si>
    <t>شماره بدنه: LC103721</t>
  </si>
  <si>
    <t>LC100711</t>
  </si>
  <si>
    <t>118J5023944</t>
  </si>
  <si>
    <t>349-40ي45</t>
  </si>
  <si>
    <t>شماره بدنه: LC100711</t>
  </si>
  <si>
    <t>LC103964</t>
  </si>
  <si>
    <t>118J5027063</t>
  </si>
  <si>
    <t>خط و خش و قري و كسري هاي ظاهري به رؤيت مشتري مي باشد - ماندگاري بالا و افت مدل - سيستم فرمان سفت عمل ميكند - ( بدليل محدوديت زمان شماره گذاري خودرو بنام ايران خودرو پلاك شده است )</t>
  </si>
  <si>
    <t>296-33م92</t>
  </si>
  <si>
    <t>شماره بدنه: LC103964</t>
  </si>
  <si>
    <t>LC103958</t>
  </si>
  <si>
    <t>118J5026442</t>
  </si>
  <si>
    <t>922-33ن51</t>
  </si>
  <si>
    <t>شماره بدنه: LC103958</t>
  </si>
  <si>
    <t>LC103841</t>
  </si>
  <si>
    <t>118J5027179</t>
  </si>
  <si>
    <t>479-11ه69</t>
  </si>
  <si>
    <t>شماره بدنه: LC103841</t>
  </si>
  <si>
    <t>LC103741</t>
  </si>
  <si>
    <t>118J5026645</t>
  </si>
  <si>
    <t>خط و خش و قري و كسري هاي ظاهري به رؤيت مشتري مي باشد - ماندگاري بالا و افت مدل - كولر صداي غيرعادي دارد - ( بدليل محدوديت زمان شماره گذاري خودرو بنام ايران خودرو پلاك شده است )</t>
  </si>
  <si>
    <t>626-33م71</t>
  </si>
  <si>
    <t>شماره بدنه: LC103741</t>
  </si>
  <si>
    <t>LC103988</t>
  </si>
  <si>
    <t>118J5027080</t>
  </si>
  <si>
    <t>885-33م87</t>
  </si>
  <si>
    <t>شماره بدنه: LC103988</t>
  </si>
  <si>
    <t>LC103929</t>
  </si>
  <si>
    <t>118J5027056</t>
  </si>
  <si>
    <t>خط و خش و قري و كسري هاي ظاهري به رؤيت مشتري مي باشد - ماندگاري بالا و افت مدل - درب داشبورد ايراد دارد - ( بدليل محدوديت زمان شماره گذاري خودرو بنام ايران خودرو پلاك شده است )</t>
  </si>
  <si>
    <t>372-33ن97</t>
  </si>
  <si>
    <t>شماره بدنه: LC103929</t>
  </si>
  <si>
    <t>LC103997</t>
  </si>
  <si>
    <t>118J5026674</t>
  </si>
  <si>
    <t>791-33م44</t>
  </si>
  <si>
    <t>شماره بدنه: LC103997</t>
  </si>
  <si>
    <t>LC103936</t>
  </si>
  <si>
    <t>118J5027073</t>
  </si>
  <si>
    <t>خط و خش و قري و كسري هاي ظاهري به رؤيت مشتري مي باشد - ماندگاري بالا و افت مدل - كسري چراغ راهنماي روي گلگير جلو چپ - رنگ پريدگي لبه درب راست - ( بدليل محدوديت زمان شماره گذاري خودرو بنام ايران خودرو پلاك شده است )</t>
  </si>
  <si>
    <t>913-33م97</t>
  </si>
  <si>
    <t>شماره بدنه: LC103936</t>
  </si>
  <si>
    <t>LC103593</t>
  </si>
  <si>
    <t>118J5026652</t>
  </si>
  <si>
    <t>758-11س14</t>
  </si>
  <si>
    <t>شماره بدنه: LC103593</t>
  </si>
  <si>
    <t>LC103596</t>
  </si>
  <si>
    <t>118J5026030</t>
  </si>
  <si>
    <t>666-40ي27</t>
  </si>
  <si>
    <t>شماره بدنه: LC103596</t>
  </si>
  <si>
    <t>LC103696</t>
  </si>
  <si>
    <t>118J5026697</t>
  </si>
  <si>
    <t>خط و خش و قري و كسري هاي ظاهري به رؤيت مشتري مي باشد - ماندگاري بالا و افت مدل - كسري درپوش گاز كولر - ( بدليل محدوديت زمان شماره گذاري خودرو بنام ايران خودرو پلاك شده است )</t>
  </si>
  <si>
    <t>849-66ب54</t>
  </si>
  <si>
    <t>شماره بدنه: LC103696</t>
  </si>
  <si>
    <t>LC103609</t>
  </si>
  <si>
    <t>118J5026054</t>
  </si>
  <si>
    <t>555-40ي26</t>
  </si>
  <si>
    <t>شماره بدنه: LC103609</t>
  </si>
  <si>
    <t>LC103611</t>
  </si>
  <si>
    <t>118J5026060</t>
  </si>
  <si>
    <t>616-33س44</t>
  </si>
  <si>
    <t>شماره بدنه: LC103611</t>
  </si>
  <si>
    <t>LC103896</t>
  </si>
  <si>
    <t>118J5026875</t>
  </si>
  <si>
    <t>858-66س17</t>
  </si>
  <si>
    <t>شماره بدنه: LC103896</t>
  </si>
  <si>
    <t>LC103909</t>
  </si>
  <si>
    <t>118J5026972</t>
  </si>
  <si>
    <t>خط و خش و قري و كسري هاي ظاهري به رؤيت مشتري مي باشد - ماندگاري بالا و افت مدل - چراغ اي بي اس روشن -( بدليل محدوديت زمان شماره گذاري خودرو بنام ايران خودرو پلاك شده است )</t>
  </si>
  <si>
    <t>794-33ن49</t>
  </si>
  <si>
    <t>شماره بدنه: LC103909</t>
  </si>
  <si>
    <t>LC104023</t>
  </si>
  <si>
    <t>118J5027029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</si>
  <si>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كسري شيشه آينه راست و درپوش گاز</t>
  </si>
  <si>
    <t>586-66ب56</t>
  </si>
  <si>
    <t>شماره بدنه: LC104023</t>
  </si>
  <si>
    <t>LC103608</t>
  </si>
  <si>
    <t>118J5026406</t>
  </si>
  <si>
    <t>492-11ن34</t>
  </si>
  <si>
    <t>شماره بدنه: LC103608</t>
  </si>
  <si>
    <t>شماره جایگاه: 214 (جهت بازدید)</t>
  </si>
  <si>
    <t>LC103763</t>
  </si>
  <si>
    <t>118J5026716</t>
  </si>
  <si>
    <t>697-66ط46</t>
  </si>
  <si>
    <t>شماره بدنه: LC103763</t>
  </si>
  <si>
    <t>شماره جایگاه: 215 (جهت بازدید)</t>
  </si>
  <si>
    <t>LC103904</t>
  </si>
  <si>
    <t>118J5026923</t>
  </si>
  <si>
    <t>787-40و28</t>
  </si>
  <si>
    <t>شماره بدنه: LC103904</t>
  </si>
  <si>
    <t>شماره جایگاه: 216 (جهت بازدید)</t>
  </si>
  <si>
    <t>LC103757</t>
  </si>
  <si>
    <t>118J5026661</t>
  </si>
  <si>
    <t>321-11ه53</t>
  </si>
  <si>
    <t>شماره بدنه: LC103757</t>
  </si>
  <si>
    <t>شماره جایگاه: 217 (جهت بازدید)</t>
  </si>
  <si>
    <t>LC103817</t>
  </si>
  <si>
    <t>118J5026928</t>
  </si>
  <si>
    <t>888-11س29</t>
  </si>
  <si>
    <t>شماره بدنه: LC103817</t>
  </si>
  <si>
    <t>شماره جایگاه: 218 (جهت بازدید)</t>
  </si>
  <si>
    <t>LC103925</t>
  </si>
  <si>
    <t>118J5026935</t>
  </si>
  <si>
    <t>خط و خش و قري و كسري هاي ظاهري به رؤيت مشتري مي باشد - ماندگاري بالا و افت مدل - دنده ها سفت جا ميرود - ( بدليل محدوديت زمان شماره گذاري خودرو بنام ايران خودرو پلاك شده است )</t>
  </si>
  <si>
    <t>735-40ي16</t>
  </si>
  <si>
    <t>شماره بدنه: LC103925</t>
  </si>
  <si>
    <t>شماره جایگاه: 219 (جهت بازدید)</t>
  </si>
  <si>
    <t>LC103927</t>
  </si>
  <si>
    <t>118J5026945</t>
  </si>
  <si>
    <t>976-11س22</t>
  </si>
  <si>
    <t>شماره بدنه: LC103927</t>
  </si>
  <si>
    <t>شماره جایگاه: 220 (جهت بازدید)</t>
  </si>
  <si>
    <t>LC103946</t>
  </si>
  <si>
    <t>118J5027066</t>
  </si>
  <si>
    <t>117-33م54</t>
  </si>
  <si>
    <t>شماره بدنه: LC103946</t>
  </si>
  <si>
    <t>شماره جایگاه: 221 (جهت بازدید)</t>
  </si>
  <si>
    <t>LC101644</t>
  </si>
  <si>
    <t>118J5024852</t>
  </si>
  <si>
    <t>363-40ي45</t>
  </si>
  <si>
    <t>شماره بدنه: LC101644</t>
  </si>
  <si>
    <t>شماره جایگاه: 222 (جهت بازدید)</t>
  </si>
  <si>
    <t>LC103818</t>
  </si>
  <si>
    <t>118J5026940</t>
  </si>
  <si>
    <t>275-33م32</t>
  </si>
  <si>
    <t>شماره بدنه: LC103818</t>
  </si>
  <si>
    <t>شماره جایگاه: 223 (جهت بازدید)</t>
  </si>
  <si>
    <t>LC103920</t>
  </si>
  <si>
    <t>118J5026672</t>
  </si>
  <si>
    <t>861-33ن51</t>
  </si>
  <si>
    <t>شماره بدنه: LC103920</t>
  </si>
  <si>
    <t>شماره جایگاه: 224 (جهت بازدید)</t>
  </si>
  <si>
    <t>LC103808</t>
  </si>
  <si>
    <t>118J5026804</t>
  </si>
  <si>
    <t>867-11ب88</t>
  </si>
  <si>
    <t>شماره بدنه: LC103808</t>
  </si>
  <si>
    <t>شماره جایگاه: 225 (جهت بازدید)</t>
  </si>
  <si>
    <t>LC103939</t>
  </si>
  <si>
    <t>118J5027002</t>
  </si>
  <si>
    <t>277-33م32</t>
  </si>
  <si>
    <t>شماره بدنه: LC103939</t>
  </si>
  <si>
    <t>شماره جایگاه: 226 (جهت بازدید)</t>
  </si>
  <si>
    <t>LC103722</t>
  </si>
  <si>
    <t>118J5026665</t>
  </si>
  <si>
    <t>898-33ط21</t>
  </si>
  <si>
    <t>شماره بدنه: LC103722</t>
  </si>
  <si>
    <t>شماره جایگاه: 227 (جهت بازدید)</t>
  </si>
  <si>
    <t>LC103755</t>
  </si>
  <si>
    <t>118J5026711</t>
  </si>
  <si>
    <t>883-11د43</t>
  </si>
  <si>
    <t>شماره بدنه: LC103755</t>
  </si>
  <si>
    <t>شماره جایگاه: 228 (جهت بازدید)</t>
  </si>
  <si>
    <t>LC104053</t>
  </si>
  <si>
    <t>118J5027092</t>
  </si>
  <si>
    <t>خط و خش و قري و كسري هاي ظاهري به رؤيت مشتري مي باشد - ماندگاري بالا و افت مدل - فرمان سفت ميباشد - ( بدليل محدوديت زمان شماره گذاري خودرو بنام ايران خودرو پلاك شده است )</t>
  </si>
  <si>
    <t>692-33ن18</t>
  </si>
  <si>
    <t>شماره بدنه: LC104053</t>
  </si>
  <si>
    <t>شماره جایگاه: 229 (جهت بازدید)</t>
  </si>
  <si>
    <t>LC104044</t>
  </si>
  <si>
    <t>118J5026663</t>
  </si>
  <si>
    <t>437-33م76</t>
  </si>
  <si>
    <t>شماره بدنه: LC104044</t>
  </si>
  <si>
    <t>LC103551</t>
  </si>
  <si>
    <t>118J5026503</t>
  </si>
  <si>
    <t>546-66ج52</t>
  </si>
  <si>
    <t>شماره بدنه: LC103551</t>
  </si>
  <si>
    <t>LC104031</t>
  </si>
  <si>
    <t>118J5027136</t>
  </si>
  <si>
    <t>165-33م45</t>
  </si>
  <si>
    <t>شماره بدنه: LC104031</t>
  </si>
  <si>
    <t>شماره جایگاه: 234 (جهت بازدید)</t>
  </si>
  <si>
    <t>LC103594</t>
  </si>
  <si>
    <t>118J5026671</t>
  </si>
  <si>
    <t>418-33م55</t>
  </si>
  <si>
    <t>شماره بدنه: LC103594</t>
  </si>
  <si>
    <t>شماره جایگاه: 235 (جهت بازدید)</t>
  </si>
  <si>
    <t>LC103785</t>
  </si>
  <si>
    <t>118J5026031</t>
  </si>
  <si>
    <t>خط و خش و قري و كسري هاي ظاهري به رؤيت مشتري مي باشد - ماندگاري بالا و افت مدل - كسري درب جعبه فيوز - ( بدليل محدوديت زمان شماره گذاري خودرو بنام ايران خودرو پلاك شده است )</t>
  </si>
  <si>
    <t>662-11س72</t>
  </si>
  <si>
    <t>شماره بدنه: LC103785</t>
  </si>
  <si>
    <t>شماره جایگاه: 236 (جهت بازدید)</t>
  </si>
  <si>
    <t>LC104116</t>
  </si>
  <si>
    <t>118J5026238</t>
  </si>
  <si>
    <t>خط و خش و قري و كسري هاي ظاهري به رؤيت مشتري مي باشد - ماندگاري بالا و افت مدل -( بدليل محدوديت زمان شماره گذاري خودرو بنام ايران خودرو پلاك شده است )</t>
  </si>
  <si>
    <t>482-66س16</t>
  </si>
  <si>
    <t>شماره بدنه: LC104116</t>
  </si>
  <si>
    <t>شماره جایگاه: 237 (جهت بازدید)</t>
  </si>
  <si>
    <t>LC103866</t>
  </si>
  <si>
    <t>118J5026799</t>
  </si>
  <si>
    <t>976-66ص14</t>
  </si>
  <si>
    <t>شماره بدنه: LC103866</t>
  </si>
  <si>
    <t>شماره جایگاه: 238 (جهت بازدید)</t>
  </si>
  <si>
    <t>LC103766</t>
  </si>
  <si>
    <t>118J5026216</t>
  </si>
  <si>
    <t>111-40ي36</t>
  </si>
  <si>
    <t>شماره بدنه: LC103766</t>
  </si>
  <si>
    <t>شماره جایگاه: 239 (جهت بازدید)</t>
  </si>
  <si>
    <t>LC103719</t>
  </si>
  <si>
    <t>118J5026718</t>
  </si>
  <si>
    <t>777-40ي26</t>
  </si>
  <si>
    <t>شماره بدنه: LC103719</t>
  </si>
  <si>
    <t>شماره جایگاه: 240 (جهت بازدید)</t>
  </si>
  <si>
    <t>LC103804</t>
  </si>
  <si>
    <t>118J5026824</t>
  </si>
  <si>
    <t>116-66ط57</t>
  </si>
  <si>
    <t>شماره بدنه: LC103804</t>
  </si>
  <si>
    <t>شماره جایگاه: 241 (جهت بازدید)</t>
  </si>
  <si>
    <t>LC103847</t>
  </si>
  <si>
    <t>118J5026859</t>
  </si>
  <si>
    <t>658-66ب54</t>
  </si>
  <si>
    <t>شماره بدنه: LC103847</t>
  </si>
  <si>
    <t>شماره جایگاه: 242 (جهت بازدید)</t>
  </si>
  <si>
    <t>LC104024</t>
  </si>
  <si>
    <t>118J5026505</t>
  </si>
  <si>
    <t>712-66ب55</t>
  </si>
  <si>
    <t>شماره بدنه: LC104024</t>
  </si>
  <si>
    <t>LC103541</t>
  </si>
  <si>
    <t>118J5026356</t>
  </si>
  <si>
    <t>694-33م45</t>
  </si>
  <si>
    <t>شماره بدنه: LC103541</t>
  </si>
  <si>
    <t>LC103228</t>
  </si>
  <si>
    <t>118J5026478</t>
  </si>
  <si>
    <t>177-66ب29</t>
  </si>
  <si>
    <t>شماره بدنه: LC103228</t>
  </si>
  <si>
    <t>LC103563</t>
  </si>
  <si>
    <t>118J5026496</t>
  </si>
  <si>
    <t>739-66ج31</t>
  </si>
  <si>
    <t>شماره بدنه: LC103563</t>
  </si>
  <si>
    <t>LC103888</t>
  </si>
  <si>
    <t>118J5027058</t>
  </si>
  <si>
    <t>669-33ن98</t>
  </si>
  <si>
    <t>شماره بدنه: LC103888</t>
  </si>
  <si>
    <t>شماره جایگاه: 248 (جهت بازدید)</t>
  </si>
  <si>
    <t>LC104012</t>
  </si>
  <si>
    <t>118J5026057</t>
  </si>
  <si>
    <t>376-66س53</t>
  </si>
  <si>
    <t>شماره بدنه: LC104012</t>
  </si>
  <si>
    <t>شماره جایگاه: 249 (جهت بازدید)</t>
  </si>
  <si>
    <t>LC103813</t>
  </si>
  <si>
    <t>118J5026903</t>
  </si>
  <si>
    <t>519-66ج31</t>
  </si>
  <si>
    <t>شماره بدنه: LC103813</t>
  </si>
  <si>
    <t>شماره جایگاه: 250 (جهت بازدید)</t>
  </si>
  <si>
    <t>LC103826</t>
  </si>
  <si>
    <t>118J5026873</t>
  </si>
  <si>
    <t>368-66ط58</t>
  </si>
  <si>
    <t>شماره بدنه: LC103826</t>
  </si>
  <si>
    <t>شماره جایگاه: 251 (جهت بازدید)</t>
  </si>
  <si>
    <t>LC103869</t>
  </si>
  <si>
    <t>118J5026815</t>
  </si>
  <si>
    <t>218-66ب29</t>
  </si>
  <si>
    <t>شماره بدنه: LC103869</t>
  </si>
  <si>
    <t>شماره جایگاه: 252 (جهت بازدید)</t>
  </si>
  <si>
    <t>LC103762</t>
  </si>
  <si>
    <t>118J5026765</t>
  </si>
  <si>
    <t>461-33ن69</t>
  </si>
  <si>
    <t>شماره بدنه: LC103762</t>
  </si>
  <si>
    <t>شماره جایگاه: 253 (جهت بازدید)</t>
  </si>
  <si>
    <t>LC103944</t>
  </si>
  <si>
    <t>118J5027067</t>
  </si>
  <si>
    <t>267-33ن98</t>
  </si>
  <si>
    <t>شماره بدنه: LC103944</t>
  </si>
  <si>
    <t>شماره جایگاه: 254 (جهت بازدید)</t>
  </si>
  <si>
    <t>LC103688</t>
  </si>
  <si>
    <t>118J5027020</t>
  </si>
  <si>
    <t>766-40ن91</t>
  </si>
  <si>
    <t>شماره بدنه: LC103688</t>
  </si>
  <si>
    <t>شماره جایگاه: 255 (جهت بازدید)</t>
  </si>
  <si>
    <t>LC103992</t>
  </si>
  <si>
    <t>118J5027007</t>
  </si>
  <si>
    <t>283-33م66</t>
  </si>
  <si>
    <t>شماره بدنه: LC103992</t>
  </si>
  <si>
    <t>شماره جایگاه: 256 (جهت بازدید)</t>
  </si>
  <si>
    <t>LC103982</t>
  </si>
  <si>
    <t>118J5027010</t>
  </si>
  <si>
    <t>683-33ل82</t>
  </si>
  <si>
    <t>شماره بدنه: LC103982</t>
  </si>
  <si>
    <t>شماره جایگاه: 257 (جهت بازدید)</t>
  </si>
  <si>
    <t>LC103565</t>
  </si>
  <si>
    <t>118J5026061</t>
  </si>
  <si>
    <t>خط و خش و قري و كسري هاي ظاهري به رؤيت مشتري مي باشد - ماندگاري بالا و افت مدل - كسري درپوش كف صندوق - ( بدليل محدوديت زمان شماره گذاري خودرو بنام ايران خودرو پلاك شده است )</t>
  </si>
  <si>
    <t>777-40ي23</t>
  </si>
  <si>
    <t>شماره بدنه: LC103565</t>
  </si>
  <si>
    <t>LC103995</t>
  </si>
  <si>
    <t>118J5026933</t>
  </si>
  <si>
    <t>423-33ن84</t>
  </si>
  <si>
    <t>شماره بدنه: LC103995</t>
  </si>
  <si>
    <t>شماره جایگاه: 259 (جهت بازدید)</t>
  </si>
  <si>
    <t>LC103973</t>
  </si>
  <si>
    <t>118J5026941</t>
  </si>
  <si>
    <t>879-33ن97</t>
  </si>
  <si>
    <t>شماره بدنه: LC103973</t>
  </si>
  <si>
    <t>LC103977</t>
  </si>
  <si>
    <t>118J5027038</t>
  </si>
  <si>
    <t>872-33ن97</t>
  </si>
  <si>
    <t>شماره بدنه: LC103977</t>
  </si>
  <si>
    <t>شماره جایگاه: 261 (جهت بازدید)</t>
  </si>
  <si>
    <t>LC103814</t>
  </si>
  <si>
    <t>118J5026872</t>
  </si>
  <si>
    <t>888-40ي23</t>
  </si>
  <si>
    <t>شماره بدنه: LC103814</t>
  </si>
  <si>
    <t>شماره جایگاه: 262 (جهت بازدید)</t>
  </si>
  <si>
    <t>LC104129</t>
  </si>
  <si>
    <t>118J5026028</t>
  </si>
  <si>
    <t>976-66ج75</t>
  </si>
  <si>
    <t>شماره بدنه: LC104129</t>
  </si>
  <si>
    <t>شماره جایگاه: 263 (جهت بازدید)</t>
  </si>
  <si>
    <t>LC103899</t>
  </si>
  <si>
    <t>118J5026704</t>
  </si>
  <si>
    <t>542-66س55</t>
  </si>
  <si>
    <t>شماره بدنه: LC103899</t>
  </si>
  <si>
    <t>شماره جایگاه: 264 (جهت بازدید)</t>
  </si>
  <si>
    <t>LC104196</t>
  </si>
  <si>
    <t>118J5026131</t>
  </si>
  <si>
    <t>873-33ن51</t>
  </si>
  <si>
    <t>شماره بدنه: LC104196</t>
  </si>
  <si>
    <t>LC103639</t>
  </si>
  <si>
    <t>118J5026635</t>
  </si>
  <si>
    <t>471-33م45</t>
  </si>
  <si>
    <t>شماره بدنه: LC103639</t>
  </si>
  <si>
    <t>شماره جایگاه: 266 (جهت بازدید)</t>
  </si>
  <si>
    <t>LC103795</t>
  </si>
  <si>
    <t>118J5026882</t>
  </si>
  <si>
    <t>786-11س45</t>
  </si>
  <si>
    <t>شماره بدنه: LC103795</t>
  </si>
  <si>
    <t>شماره جایگاه: 267 (جهت بازدید)</t>
  </si>
  <si>
    <t>پژو جي ال ايكس دوگانه سوز کلاس 35 نقره اي متاليك</t>
  </si>
  <si>
    <t>LK568499</t>
  </si>
  <si>
    <t>1401/11/25</t>
  </si>
  <si>
    <t>124K1450520</t>
  </si>
  <si>
    <t>خط و خش و قري و كسري هاي ظاهري به رؤيت مشتري مي باشد - ايراد رنگي دارد - ايراد رنگي درب موتور و درب صندوق و سقف و گلگير هاي جلو و درب جلو راست - شكستگي درب داشبورد - چراغ چك روشن - رنگ پريدگي سپر جلو - خش و قري درب موتور و درب عقب راست - خش گلگير عقب راست و درب صندوق و پليت عقب چپ و گلگير جلو و عقب چپ - موتور بد كار ميكند و صداي غير عادي مي دهد - باطري مستعمل - كسري يك عدد سوئيچ - شكستگي آينه جانبي چپ - لاستيك ها كاركرده - كسري درپوش سي ان جي و شبرنگ - جك و آچارچرخ كار كرده</t>
  </si>
  <si>
    <t>543-35ي85</t>
  </si>
  <si>
    <t>کد کلاس: 27235</t>
  </si>
  <si>
    <t>شماره بدنه: LK568499</t>
  </si>
  <si>
    <t>شماره جایگاه: 29 (جهت بازدید)</t>
  </si>
  <si>
    <t>LC103580</t>
  </si>
  <si>
    <t>118J5026115</t>
  </si>
  <si>
    <t>628-40و91</t>
  </si>
  <si>
    <t>شماره بدنه: LC103580</t>
  </si>
  <si>
    <t>شماره جایگاه: 43 (جهت بازدید)</t>
  </si>
  <si>
    <t>LC103587</t>
  </si>
  <si>
    <t>118J5026046</t>
  </si>
  <si>
    <t>خط و خش و قري و كسري هاي ظاهري به رؤيت مشتري مي باشد - ماندگاري بالا و افت مدل - رنگ پريدگي لبه كلاف درب جلو چپ -زدگي جلوپنجره - ( بدليل محدوديت زمان شماره گذاري خودرو بنام ايران خودرو پلاك شده است )</t>
  </si>
  <si>
    <t>221-33م45</t>
  </si>
  <si>
    <t>شماره بدنه: LC103587</t>
  </si>
  <si>
    <t>شماره جایگاه: 44 (جهت بازدید)</t>
  </si>
  <si>
    <t>LC103674</t>
  </si>
  <si>
    <t>118J5025995</t>
  </si>
  <si>
    <t>943-66ج53</t>
  </si>
  <si>
    <t>شماره بدنه: LC103674</t>
  </si>
  <si>
    <t>شماره جایگاه: 45 (جهت بازدید)</t>
  </si>
  <si>
    <t>LC103592</t>
  </si>
  <si>
    <t>118J5026036</t>
  </si>
  <si>
    <t>399-11ن58</t>
  </si>
  <si>
    <t>شماره بدنه: LC103592</t>
  </si>
  <si>
    <t>شماره جایگاه: 46 (جهت بازدید)</t>
  </si>
  <si>
    <t>LC103690</t>
  </si>
  <si>
    <t>118J5026696</t>
  </si>
  <si>
    <t>179-33م93</t>
  </si>
  <si>
    <t>شماره بدنه: LC103690</t>
  </si>
  <si>
    <t>شماره جایگاه: 47 (جهت بازدید)</t>
  </si>
  <si>
    <t>LC103545</t>
  </si>
  <si>
    <t>118J5026729</t>
  </si>
  <si>
    <t>666-40ي23</t>
  </si>
  <si>
    <t>شماره بدنه: LC103545</t>
  </si>
  <si>
    <t>شماره جایگاه: 48 (جهت بازدید)</t>
  </si>
  <si>
    <t>LC104004</t>
  </si>
  <si>
    <t>118J5026629</t>
  </si>
  <si>
    <t>623-66ب56</t>
  </si>
  <si>
    <t>شماره بدنه: LC104004</t>
  </si>
  <si>
    <t>شماره جایگاه: 49 (جهت بازدید)</t>
  </si>
  <si>
    <t>پژو پارس کلاس 42 خاكستري متاليك</t>
  </si>
  <si>
    <t>MK068591</t>
  </si>
  <si>
    <t>1402/03/07</t>
  </si>
  <si>
    <t>124K1583561</t>
  </si>
  <si>
    <t>خط و خش و قري و كسري هاي ظاهري به رؤيت مشتري مي باشد - خودرو ايراد فني و موتوري دارد - مجموعه كامل جعبه فرمان ايراد دارد - خودرو سوابق تعميراتي متعددي داشته كه هنوز بعضي از ايرادات آن رفع نگرديده - خش و رنگ پريدگي درب موتور و درب صندوق - خوردگي و رنگ شدگي پليت عقب - قري درب عقب چپ - خش گلگيرها و دربهاي چپ - خش و رنگ پريدگي سپرها - خش دربها و گلگير عقب راست - قري گلگير عقب راست و گلگير عقب چپ - كليد درب صندوق مغاير و كسري - جلوبندي ايراد دارد - كسري يك عدد زير پايي جلو - تيغه برف پاك كن مستعمل - شكستگي يك عدد قالپاق - لاستيكها كار كرده - باطري مستعمل و تركيده و پاشش اسيد باطري به محوطه داخل موتور</t>
  </si>
  <si>
    <t>247-40ي72</t>
  </si>
  <si>
    <t>کد کلاس: 28242</t>
  </si>
  <si>
    <t>شماره بدنه: MK068591</t>
  </si>
  <si>
    <t>شماره جایگاه: 5 (جهت بازدید)</t>
  </si>
  <si>
    <t>LC103600</t>
  </si>
  <si>
    <t>118J5026401</t>
  </si>
  <si>
    <t>454-66ج74</t>
  </si>
  <si>
    <t>شماره بدنه: LC103600</t>
  </si>
  <si>
    <t>شماره جایگاه: 50 (جهت بازدید)</t>
  </si>
  <si>
    <t>LC103705</t>
  </si>
  <si>
    <t>118J5026832</t>
  </si>
  <si>
    <t>176-33م93</t>
  </si>
  <si>
    <t>شماره بدنه: LC103705</t>
  </si>
  <si>
    <t>LC103975</t>
  </si>
  <si>
    <t>118J5026954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</si>
  <si>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كسري يكعدد درپوش گاز - خش درب راننده</t>
  </si>
  <si>
    <t>796-11س34</t>
  </si>
  <si>
    <t>شماره بدنه: LC103975</t>
  </si>
  <si>
    <t>LC103636</t>
  </si>
  <si>
    <t>118J5026650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</si>
  <si>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سيستم فرمان سفت عمل ميكند</t>
  </si>
  <si>
    <t>151-11و15</t>
  </si>
  <si>
    <t>شماره بدنه: LC103636</t>
  </si>
  <si>
    <t>LC104126</t>
  </si>
  <si>
    <t>118J5026749</t>
  </si>
  <si>
    <t>خط و خش و قري و كسري هاي ظاهري به رؤيت مشتري مي باشد - ماندگاري بالا و افت مدل - چراغ چك روشن - كولر خراب مي باشد - فرمان سفت مي باشد - خالي بودن مخزن هيدروليك - ( بدليل محدوديت زمان شماره گذاري خودرو بنام ايران خودرو پلاك شده است )</t>
  </si>
  <si>
    <t>448-11د97</t>
  </si>
  <si>
    <t>شماره بدنه: LC104126</t>
  </si>
  <si>
    <t>LC103897</t>
  </si>
  <si>
    <t>118J5026909</t>
  </si>
  <si>
    <t>713-66ب88</t>
  </si>
  <si>
    <t>شماره بدنه: LC103897</t>
  </si>
  <si>
    <t>KK253062</t>
  </si>
  <si>
    <t>124K1417186</t>
  </si>
  <si>
    <t>خط و خش و قري و كسري هاي ظاهري به رؤيت مشتري مي باشد - ماندگاري بالا و افت مدل - كسري لوله بخار روغن - آچار خوردگي پيچ هاي درب موتور و گلگير جلو چپ ( تعويضي كارخانه ) - خوردگي سپر جلو - شكستگي چراغ جلو و راهنما جلو راست - خوردگي گلگيرهاي جلو و ركاب چپ - زنگ زدگي نقاطي از بدنه - قري درب صندوق - كسري درب جعبه فيوز و مجموعه كامل فندك - خوردگي درب موتور - كسري تيغه برف پاك كن جلو چپ و سنسور هوا و نمدي درب موتور و دو عدد سوئيچ و فندك و يك عدد زيرپايي جلو - شكستگي جلو پنجره - تيغه برف پاك كن مستعمل - كسري شبرنگ - ( بدليل محدوديت زمان شماره گذاري خودرو بنام ايران خودرو پلاك شده است ) - عدم تست فني خودرو</t>
  </si>
  <si>
    <t>666-40ي44</t>
  </si>
  <si>
    <t>شماره بدنه: KK253062</t>
  </si>
  <si>
    <t>شماره جایگاه: 562 (جهت بازدید)</t>
  </si>
  <si>
    <t>LC103748</t>
  </si>
  <si>
    <t>118J5026176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</si>
  <si>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)- چراغ اي بي اس روشن</t>
  </si>
  <si>
    <t>222-40ي36</t>
  </si>
  <si>
    <t>شماره بدنه: LC103748</t>
  </si>
  <si>
    <t>LC103672</t>
  </si>
  <si>
    <t>118J5026611</t>
  </si>
  <si>
    <t>573-33و19</t>
  </si>
  <si>
    <t>شماره بدنه: LC103672</t>
  </si>
  <si>
    <t>LC103783</t>
  </si>
  <si>
    <t>118J5026849</t>
  </si>
  <si>
    <t>خط و خش و قري و كسري هاي ظاهري به رؤيت مشتري مي باشد - ماندگاري بالا و افت مدل - خراب بودن درب داشبورد - ( بدليل محدوديت زمان شماره گذاري خودرو بنام ايران خودرو پلاك شده است )</t>
  </si>
  <si>
    <t>888-40ي32</t>
  </si>
  <si>
    <t>شماره بدنه: LC103783</t>
  </si>
  <si>
    <t>LC103864</t>
  </si>
  <si>
    <t>118J5026950</t>
  </si>
  <si>
    <t>478-66ط72</t>
  </si>
  <si>
    <t>شماره بدنه: LC103864</t>
  </si>
  <si>
    <t>LC103588</t>
  </si>
  <si>
    <t>118J5026607</t>
  </si>
  <si>
    <t>خط و خش و قري و كسري هاي ظاهري به رؤيت مشتري مي باشد - ماندگاري بالا و افت مدل - دفرمه بودن درب داشبورد - ( بدليل محدوديت زمان شماره گذاري خودرو بنام ايران خودرو پلاك شده است )</t>
  </si>
  <si>
    <t>111-40ي32</t>
  </si>
  <si>
    <t>شماره بدنه: LC103588</t>
  </si>
  <si>
    <t>LC104074</t>
  </si>
  <si>
    <t>118J5026010</t>
  </si>
  <si>
    <t>418-66ج74</t>
  </si>
  <si>
    <t>شماره بدنه: LC104074</t>
  </si>
  <si>
    <t>LC103575</t>
  </si>
  <si>
    <t>118J5025977</t>
  </si>
  <si>
    <t>225-11ن72</t>
  </si>
  <si>
    <t>شماره بدنه: LC103575</t>
  </si>
  <si>
    <t>LC103775</t>
  </si>
  <si>
    <t>118J5026797</t>
  </si>
  <si>
    <t>خط و خش و قري و كسري هاي ظاهري به رؤيت مشتري مي باشد - ماندگاري بالا و افت مدل - خرابي درب داشبورد - ( بدليل محدوديت زمان شماره گذاري خودرو بنام ايران خودرو پلاك شده است )</t>
  </si>
  <si>
    <t>468-33ن69</t>
  </si>
  <si>
    <t>شماره بدنه: LC103775</t>
  </si>
  <si>
    <t>LC103752</t>
  </si>
  <si>
    <t>118J5026866</t>
  </si>
  <si>
    <t>999-40ي27</t>
  </si>
  <si>
    <t>شماره بدنه: LC103752</t>
  </si>
  <si>
    <t>LC104059</t>
  </si>
  <si>
    <t>118J5025968</t>
  </si>
  <si>
    <t>574-66ج74</t>
  </si>
  <si>
    <t>شماره بدنه: LC104059</t>
  </si>
  <si>
    <t>LC103802</t>
  </si>
  <si>
    <t>118J5026878</t>
  </si>
  <si>
    <t>888-40ي36</t>
  </si>
  <si>
    <t>شماره بدنه: LC103802</t>
  </si>
  <si>
    <t>LC104057</t>
  </si>
  <si>
    <t>118J5026676</t>
  </si>
  <si>
    <t>951-66ج53</t>
  </si>
  <si>
    <t>شماره بدنه: LC104057</t>
  </si>
  <si>
    <t>LC103955</t>
  </si>
  <si>
    <t>118J5027003</t>
  </si>
  <si>
    <t>836-33ن97</t>
  </si>
  <si>
    <t>شماره بدنه: LC103955</t>
  </si>
  <si>
    <t>LC104017</t>
  </si>
  <si>
    <t>118J5027057</t>
  </si>
  <si>
    <t>خط و خش و قري و كسري هاي ظاهري به رؤيت مشتري مي باشد - ماندگاري بالا و افت مدل - چراغ ايربك روشن - برف پاك كن چپ مستعمل - ( بدليل محدوديت زمان شماره گذاري خودرو بنام ايران خودرو پلاك شده است )</t>
  </si>
  <si>
    <t>621-66ب56</t>
  </si>
  <si>
    <t>شماره بدنه: LC104017</t>
  </si>
  <si>
    <t>LC103954</t>
  </si>
  <si>
    <t>118J5026989</t>
  </si>
  <si>
    <t>887-33م81</t>
  </si>
  <si>
    <t>شماره بدنه: LC103954</t>
  </si>
  <si>
    <t>LC103540</t>
  </si>
  <si>
    <t>118J5026038</t>
  </si>
  <si>
    <t>824-40و28</t>
  </si>
  <si>
    <t>شماره بدنه: LC103540</t>
  </si>
  <si>
    <t>LC103686</t>
  </si>
  <si>
    <t>118J5025709</t>
  </si>
  <si>
    <t>595-33م86</t>
  </si>
  <si>
    <t>شماره بدنه: LC103686</t>
  </si>
  <si>
    <t>LC104111</t>
  </si>
  <si>
    <t>118J5026794</t>
  </si>
  <si>
    <t>538-66ج52</t>
  </si>
  <si>
    <t>شماره بدنه: LC104111</t>
  </si>
  <si>
    <t>LC103885</t>
  </si>
  <si>
    <t>118J5026915</t>
  </si>
  <si>
    <t>468-66د35</t>
  </si>
  <si>
    <t>شماره بدنه: LC103885</t>
  </si>
  <si>
    <t>LC104088</t>
  </si>
  <si>
    <t>118J5026937</t>
  </si>
  <si>
    <t>336-66س53</t>
  </si>
  <si>
    <t>شماره بدنه: LC104088</t>
  </si>
  <si>
    <t>LC103830</t>
  </si>
  <si>
    <t>118J5026811</t>
  </si>
  <si>
    <t>555-40ي28</t>
  </si>
  <si>
    <t>شماره بدنه: LC103830</t>
  </si>
  <si>
    <t>LC103620</t>
  </si>
  <si>
    <t>118J5026002</t>
  </si>
  <si>
    <t>خط و خش و قري و كسري هاي ظاهري به رؤيت مشتري مي باشد - ماندگاري بالا و افت مدل - كسري يك عدد زير سري - ( بدليل محدوديت زمان شماره گذاري خودرو بنام ايران خودرو پلاك شده است )</t>
  </si>
  <si>
    <t>333-40ي28</t>
  </si>
  <si>
    <t>شماره بدنه: LC103620</t>
  </si>
  <si>
    <t>LC104144</t>
  </si>
  <si>
    <t>118J5026271</t>
  </si>
  <si>
    <t>121-66س15</t>
  </si>
  <si>
    <t>شماره بدنه: LC104144</t>
  </si>
  <si>
    <t>LC104147</t>
  </si>
  <si>
    <t>118J5027004</t>
  </si>
  <si>
    <t>731-66ص16</t>
  </si>
  <si>
    <t>شماره بدنه: LC104147</t>
  </si>
  <si>
    <t>LC103657</t>
  </si>
  <si>
    <t>118J5026094</t>
  </si>
  <si>
    <t>خط و خش و قري و كسري هاي ظاهري به رؤيت مشتري مي باشد - ماندگاري بالا و افت مدل - كسري جك - ( بدليل محدوديت زمان شماره گذاري خودرو بنام ايران خودرو پلاك شده است )</t>
  </si>
  <si>
    <t>578-33م97</t>
  </si>
  <si>
    <t>شماره بدنه: LC103657</t>
  </si>
  <si>
    <t>LC103931</t>
  </si>
  <si>
    <t>118J5025362</t>
  </si>
  <si>
    <t>779-66د56</t>
  </si>
  <si>
    <t>شماره بدنه: LC103931</t>
  </si>
  <si>
    <t>LC103586</t>
  </si>
  <si>
    <t>118J5026122</t>
  </si>
  <si>
    <t>112-33م45</t>
  </si>
  <si>
    <t>شماره بدنه: LC103586</t>
  </si>
  <si>
    <t>LC104028</t>
  </si>
  <si>
    <t>118J5027054</t>
  </si>
  <si>
    <t>498-33و22</t>
  </si>
  <si>
    <t>شماره بدنه: LC104028</t>
  </si>
  <si>
    <t>LC103747</t>
  </si>
  <si>
    <t>118J5015342</t>
  </si>
  <si>
    <t>111-40ي27</t>
  </si>
  <si>
    <t>شماره بدنه: LC103747</t>
  </si>
  <si>
    <t>LC103898</t>
  </si>
  <si>
    <t>118J5026746</t>
  </si>
  <si>
    <t>668-33ن98</t>
  </si>
  <si>
    <t>شماره بدنه: LC103898</t>
  </si>
  <si>
    <t>LC103806</t>
  </si>
  <si>
    <t>118J5026837</t>
  </si>
  <si>
    <t>222-40ي37</t>
  </si>
  <si>
    <t>شماره بدنه: LC103806</t>
  </si>
  <si>
    <t>LC104162</t>
  </si>
  <si>
    <t>118J5027152</t>
  </si>
  <si>
    <t>867-66س17</t>
  </si>
  <si>
    <t>شماره بدنه: LC104162</t>
  </si>
  <si>
    <t>LC103542</t>
  </si>
  <si>
    <t>118J5026013</t>
  </si>
  <si>
    <t>322-66ج46</t>
  </si>
  <si>
    <t>شماره بدنه: LC103542</t>
  </si>
  <si>
    <t>LC103860</t>
  </si>
  <si>
    <t>118J5026911</t>
  </si>
  <si>
    <t>498-66ب58</t>
  </si>
  <si>
    <t>شماره بدنه: LC103860</t>
  </si>
  <si>
    <t>LC103716</t>
  </si>
  <si>
    <t>118J5026820</t>
  </si>
  <si>
    <t>خط و خش و قري و كسري هاي ظاهري به رؤيت مشتري مي باشد - ماندگاري بالا و افت مدل - قري درب موتور - ( بدليل محدوديت زمان شماره گذاري خودرو بنام ايران خودرو پلاك شده است )</t>
  </si>
  <si>
    <t>129-40ي45</t>
  </si>
  <si>
    <t>شماره بدنه: LC103716</t>
  </si>
  <si>
    <t>LC103878</t>
  </si>
  <si>
    <t>118J5026547</t>
  </si>
  <si>
    <t>945-66ج54</t>
  </si>
  <si>
    <t>شماره بدنه: LC103878</t>
  </si>
  <si>
    <t>LC103561</t>
  </si>
  <si>
    <t>118J5026119</t>
  </si>
  <si>
    <t>764-66س51</t>
  </si>
  <si>
    <t>شماره بدنه: LC103561</t>
  </si>
  <si>
    <t>LC103583</t>
  </si>
  <si>
    <t>118J5026403</t>
  </si>
  <si>
    <t>838-66ب54</t>
  </si>
  <si>
    <t>شماره بدنه: LC103583</t>
  </si>
  <si>
    <t>LC103644</t>
  </si>
  <si>
    <t>118J5026714</t>
  </si>
  <si>
    <t>771-11ن34</t>
  </si>
  <si>
    <t>شماره بدنه: LC103644</t>
  </si>
  <si>
    <t>LC103646</t>
  </si>
  <si>
    <t>118J5026682</t>
  </si>
  <si>
    <t>951-33م79</t>
  </si>
  <si>
    <t>شماره بدنه: LC103646</t>
  </si>
  <si>
    <t>LC103560</t>
  </si>
  <si>
    <t>118J5025996</t>
  </si>
  <si>
    <t>181-33م81</t>
  </si>
  <si>
    <t>شماره بدنه: LC103560</t>
  </si>
  <si>
    <t>LC103917</t>
  </si>
  <si>
    <t>118J5026921</t>
  </si>
  <si>
    <t>297-11س24</t>
  </si>
  <si>
    <t>شماره بدنه: LC103917</t>
  </si>
  <si>
    <t>NH457349</t>
  </si>
  <si>
    <t>125K0032243</t>
  </si>
  <si>
    <t>خط و خش و قري و كسري هاي ظاهري به رؤيت مشتري مي باشد - تصادفي بودن درب موتور و گلگير جلو چپ و چراغ جلو دوطرف و سيني فن و بكسل بند جلو و رادياتورها و سپر جلو - كسري دستگيره موكت صندوق - شكستگي ابرويي چپ و جلوپنجره - خوردگي سرشاسي جلو چپ - كسري آرم روي درب صندوق و آنتن و شبرنگ - ( ايرادات غيرقابل ريورك مطابق استاندارد كارخانه )</t>
  </si>
  <si>
    <t>شماره بدنه: NH457349</t>
  </si>
  <si>
    <t>MH685513</t>
  </si>
  <si>
    <t>139B0251236</t>
  </si>
  <si>
    <t>خط و خش و قري و كسري هاي ظاهري به رؤيت مشتري مي باشد - ماندگاري بالا و افت مدل - باطري دشارژ - كسري يك عدد سوئيچ - تيغه برف پاك كن مستعمل - خش آينه هاي جانبي - لاستيكها كاركرده - جك و آچارچرخ و موكت صندوق مستعمل - - زاپاس كاركرده - موتور خودرو بد كار ميكند و لرزش دارد - خودرو حركت نميكند ( ايراد فني دارد ) - تصادفي بودن سرشاسي جلو چپ و گلگير جلو چپ و درب موتور و گلگير جلو راست - خراشيدگي بكسل بند - شكستگي سپر عقب - آسيب ديدگي رودري جلو چپ - شكستگي قالپاق - چراغ چك و اي بي اس روشن - شكستگي قاب دور دستگيره درب جلو راست - كسري قاب زير ترمزدستي - آچارخوردگي پيچ هاي درب موتور و درب صندوق و گلگيرهاي جلو ( تعويضي كارخانه ) - ( ايرادات غير قابل ريورك مطابق استاندارد كارخانه )</t>
  </si>
  <si>
    <t>شماره بدنه: MH685513</t>
  </si>
  <si>
    <t>سورن EF7 بنزيني کلاس 19 سفيد دوپوششه كانزاي</t>
  </si>
  <si>
    <t>MF082080</t>
  </si>
  <si>
    <t>147H0616774</t>
  </si>
  <si>
    <t>خط و خش و قري و كسري هاي ظاهري به رؤيت مشتري مي باشد - ماندگاري بالا و افت مدل - قري شديد سقف - تصادفي بودن درب موتور و درب جلو و عقب چپ - قري و خراشيدگي گلگير عقب چپ و گلگير جلو راست و درب جلو و عقب راست - كسري درب باك و شبرنگ - زاپاس پنچر و كاركرده - درب جاسيگاري شكسته - چراغ ايربك روشن - عدم عملكرد شيشه بالابرهاي جلو - كسري درب جعبه فيوز - خوردگي گلگير جلو راست - خش درب صندوق - اچارخوردگي گلگير جلو راست ( تعويضي كارخانه ) - لاستيكها كاركرده - ( ايرادات غير قابل ريورك مطابق استاندارد كارخانه )</t>
  </si>
  <si>
    <t>کد کلاس: 57519</t>
  </si>
  <si>
    <t>شماره بدنه: MF082080</t>
  </si>
  <si>
    <t>شماره جایگاه: 337 (جهت بازدید)</t>
  </si>
  <si>
    <t>MJ632133</t>
  </si>
  <si>
    <t>165A0197431</t>
  </si>
  <si>
    <t>خط و خش و قري و كسري هاي ظاهري به رؤيت مشتري مي باشد - تصادفي بودن سرشاسي جلو چپ و گلگير جلو چپ و سپر جلو و جلوبندي و اكسل چپ - كسري درب جعبه فيوز و يك عدد زيرسري - رنگ پريدگي لبه درب جلو چپ - شكستگي شمشيري جلو - كسري دكمه ضبط روي فرمان - عدم عملكرد برف پاك كن جلو - شكستگي ابرويي جلو چپ - كسري قاب فيوزهاي مثبت باطري - كسري آنتن - قالپاق چپ شكسته - كسري درب باك فلزي - ( ايرادات غير قابل ريورك مطابق استاندارد كارخانه )</t>
  </si>
  <si>
    <t>شماره بدنه: MJ632133</t>
  </si>
  <si>
    <t>شماره جایگاه: 447 (جهت بازدید)</t>
  </si>
  <si>
    <t>MK169861</t>
  </si>
  <si>
    <t>1401/12/03</t>
  </si>
  <si>
    <t>124K1663872</t>
  </si>
  <si>
    <t>خط و خش و قري و كسري هاي ظاهري به رؤيت مشتري مي باشد - ايراد رنگي بدنه ( ايراد رنگي درب موتور و درب صندوق ) - شكستگي مه شكن جلو راست - خوردگي سپر جلو و سائيدگي سپر عقب و گلگير عقب چپ - قري درب جلو راست و خش و رنگ پريدگي درب جلو راست - خش و ايراد رنگي سقف - پارگي نوار دور درب جلو راست - سائيدگي آينه جانبي راست - لاستيكها كاركرده</t>
  </si>
  <si>
    <t>792-66ط46</t>
  </si>
  <si>
    <t>شماره بدنه: MK169861</t>
  </si>
  <si>
    <t>شماره جایگاه: 9 (جهت بازدید)</t>
  </si>
  <si>
    <t>NH440923</t>
  </si>
  <si>
    <t>خوردگي</t>
  </si>
  <si>
    <t>125K0002212</t>
  </si>
  <si>
    <t>خط و خش و قري و كسري هاي ظاهري به رؤيت مشتري مي باشد - تصادفي بودن گلگيرهاي عقب و سقف و درب موتور و سيني زير موتور و قاب چراغ آينه بغل راست - چراغ چك روشن - عدم چسبندگي ضربگير دربها - مغاير بودن رنگ درب باك - ايراد رنگي كف صندوق - كسري درپوش گاز كولر - تصادفي بودن گلگير جلو راست و سپر جلو - آچار خوردگي پيچ هاي درب موتور و گلگيرهاي جلو دو طرف ( تعويضي كارخانه ) - كسري كوركن روي داشبورد - صداي غير عادي موتور - اثر ضربه سپر عقب - شكستگي چراغ عقب راست - كسري راهنما آينه بغل راست - خوردگي درب جلو چپ - آچار خوردگي پيچ هاي درب صندوق ( تعويضي كارخانه ) - خوردگي ستون عقب راست و درب عقب راست و درب صندوق - لاستيك ها كار كرده - مغاير بودن رنگ درب باك - ( ايرادات غيرقابل ريورك مطابق استاندارد كارخانه )</t>
  </si>
  <si>
    <t>شماره بدنه: NH440923</t>
  </si>
  <si>
    <t>شماره جایگاه: 537 (جهت بازدید)</t>
  </si>
  <si>
    <t>سمند - ال ايكس کلاس 57 سفيد دو پوششه</t>
  </si>
  <si>
    <t>MF844579</t>
  </si>
  <si>
    <t>1401/12/14</t>
  </si>
  <si>
    <t>124K1608723</t>
  </si>
  <si>
    <t>خط و خش و قري و كسري هاي ظاهري به رؤيت مشتري مي باشد - باطري دشارژ - دفرمه بودن قاب دور ترمز دستي</t>
  </si>
  <si>
    <t>424-57ه53</t>
  </si>
  <si>
    <t>کد کلاس: 29357</t>
  </si>
  <si>
    <t>شماره بدنه: MF844579</t>
  </si>
  <si>
    <t>شماره جایگاه: 28 (جهت بازدید)</t>
  </si>
  <si>
    <t>دنا كلاس18 سفيد دوپوششه كانزاي</t>
  </si>
  <si>
    <t>KE161599</t>
  </si>
  <si>
    <t>1402/02/24</t>
  </si>
  <si>
    <t>147H0446949</t>
  </si>
  <si>
    <t>خط و خش و قري و كسري هاي ظاهري به رؤيت مشتري مي باشد - كسري دوربين عقب - خوردگي سپرها - رنگ شدگي گلگير جلو راست - خوردگي و رنگ پريدگي درب موتور - قري و خش دربهاي چپ - خش گلگير جلو چپ - رنگ پريدگي دربهاي چپ - خش گلگير عقب چپ - خش و رنگ پريدگي درب صندوق - خوردگي گلگير عقب راست - خش و قري و رنگ پريدگي دربهاي راست - كسري درب جاسيگاري عقب - زنگ زدگي نقاطي از بدنه - خش سقف و ترك ستون عقب روي سقف - صداي غير عادي از منبع اگزوز - زنگ زدگي كلاف دربها - موتور خودرو لرزش دارد - تيغه برف پاك كن مستعمل - خش آينه هاي جانبي - لاستيك ها كار كرده - شكستگي چراغ عقب راست - زاپاس كاركرده - كسري شبرنگ</t>
  </si>
  <si>
    <t>895-40ي72</t>
  </si>
  <si>
    <t>کد کلاس: 70118</t>
  </si>
  <si>
    <t>شماره بدنه: KE161599</t>
  </si>
  <si>
    <t>شماره جایگاه: 38 (جهت بازدید)</t>
  </si>
  <si>
    <t>پژو جي ال ايكس دوگانه سوز کلاس 35 خاكستري متال</t>
  </si>
  <si>
    <t>LK565737</t>
  </si>
  <si>
    <t>خاكستري متال</t>
  </si>
  <si>
    <t>124K1425081</t>
  </si>
  <si>
    <t>خط و خش و قري و كسري هاي ظاهري به رؤيت مشتري مي باشد - ايراد رنگي بدنه ( زنگ زدگي در ناحيه پليت صندوق عقب و ركابها ) - ايراد رنگي در ناحيه درب موتور - شكستگي سپر جلو - رنگ پريدگي كف صندوق عقب - قري و خش دربهاي راست - رنگ پريدگي گلگيرها و درب عقب راست - آچارخوردگي پيچ هاي درب موتور و گلگيرهاي جلو - مات بودن چراغ جلو راست - شكستگي چراغ راهنماي جلو راست - كسري درپوش گازكولر - رنگ پريدگي گلگير جلو راست - قري و خش و رنگ پريدگي دربهاي چپ - خوردگي گلگير عقب چپ - پوسيدگي نوار دور شيشه هاي دربها - پوسيدگي و زنگ زدگي كل بدنه - خش داشبورد و كنسول وسط - صندليها و رودريها مستعمل - پارگي رودري درب راننده و دربهاي عقب - كسري پيچ جلو پنجره و لامپ چراغ هاي عقب - باطري دشارژ و خراب - نمدي درب موتور مستعمل - خوردگي سيني زير موتور - زيرپايي ها و تيغه برف پاك كن مستعمل - رنگ پريدگي جلو پنجره - خش آينه هاي جانبي - كسري يك عدد قالپاق و رنگ پريدگي قالپاق ها - لاستيك ها مستعمل و متفرقه - شكستگي شيشه جلو و چراغ هاي عقب - كسري درب باك سي ان جي - زاپاس كاركرده و متفرقه - كسري دستگيره موكت صندوق - موتور خودرو بد كار ميكند</t>
  </si>
  <si>
    <t>473-56ط63</t>
  </si>
  <si>
    <t>شماره بدنه: LK565737</t>
  </si>
  <si>
    <t>شماره جایگاه: 557 (جهت بازدید)</t>
  </si>
  <si>
    <t>پژو 206 1600 سي سي كلاس 15 سفيد دو پوششه</t>
  </si>
  <si>
    <t>GJ893309</t>
  </si>
  <si>
    <t>163B0287916</t>
  </si>
  <si>
    <t>خط و خش و قري و كسري هاي ظاهري به رؤيت مشتري مي باشد - آچارخوردگي پيچ هاي گلگير جلو چپ - كسري كليد تنظيم آينه ها - شكستگي پايه نگهدارنده آفتابگيرها و فلاپ عقب - خراب بودن جك درب صندوق - خش عميق و قري گلگير جلو راست و خش و قري و رنگ پريدگي دربهاي راست و گلگير عقب راست - خوردگي ركاب راست - خش و رنگ پريدگي و زنگ زدگي درب صندوق - خوردگي سپرها - خش و رنگ پريدگي گلگيرها و دربهاي چپ و رنگ پريدگي ركاب راست - رنگ شدگي گلگير جلو چپ - خش و رنگ پريدگي و زنگ زدگي درب موتور - زنگ زدگي نقاطي از بدنه - خش و رنگ پريدگي سقف - پارگي رودري عقب راست - كسري فيوزهاي داخل موتور - - صداي غيرعادي از موتور - كسري بست نگهدارنده باطري - كسري سيني زير موتور و يك عدد سوئيچ و فندك - تيغه برف پاك كن و زيرپايي ها مستعمل - رنگ پريدگي جلو پنجره - خش آينه هاي جانبي - كسري قالپاق ها - لاستيكها مستعمل و متفرقه - تيغه برف پاك كن مستعمل - آچارچرخ و شبرنگ و موكت صندوق مستعمل - زاپاس مستعمل و متفرقه</t>
  </si>
  <si>
    <t>818-10ب41</t>
  </si>
  <si>
    <t>206TU5</t>
  </si>
  <si>
    <t>کد کلاس: 26815</t>
  </si>
  <si>
    <t>شماره بدنه: GJ893309</t>
  </si>
  <si>
    <t>شماره جایگاه: 637 (جهت بازدید)</t>
  </si>
  <si>
    <t>سورن EF7 بنزيني کلاس 19 سفيد دو پوششه</t>
  </si>
  <si>
    <t>NF150108</t>
  </si>
  <si>
    <t>147H0624992</t>
  </si>
  <si>
    <t>خط و خش و قري و كسري هاي ظاهري به رؤيت مشتري مي باشد - اثر ضربه و خوردگي سقف و دربهاي چپ - كسري شبرنگ و فندك - قلم گيري فلاپ صندوق - كسري سروالفها و قاب وسط ستون جلو چپ - ايراد رنگي بدنه -( ايرادات غير قابل ريورك مطابق استاندارد كارخانه ) - زاپاس كاركرده و متفرقه</t>
  </si>
  <si>
    <t>شماره بدنه: NF150108</t>
  </si>
  <si>
    <t>شماره جایگاه: 349 (جهت بازدید)</t>
  </si>
  <si>
    <t>NH442136</t>
  </si>
  <si>
    <t>125K0003684</t>
  </si>
  <si>
    <t>خط و خش و قري و كسري هاي ظاهري به رؤيت مشتري مي باشد - تصادفي بودن گلگير جلو چپ و سرشاسي جلو راست و دفرمگي بكسل بند جلو - قري درب موتور - خش درب عقب چپ - شكستگي ابرويي جلو چپ - جانبودن مه شكن جلو راست - تصادفي بودن گلگير جلو راست - آچار خوردگي پيچ هاي درب موتور و گلگيرهاي جلو و درب صندوق ( تعويضي كارخانه ) - چراغ چك روشن - موتور بدكار ميكند و گاز نميخورد ( شتاب ندارد ) - قري گلگيرهاي جلو و درب موتور - كسري سنسور هوا - ( ايرادات غير قابل ريورك مطابق استاندارد كارخانه )</t>
  </si>
  <si>
    <t>شماره بدنه: NH442136</t>
  </si>
  <si>
    <t>شماره جایگاه: 540 (جهت بازدید)</t>
  </si>
  <si>
    <t>سورن EF7 بنزيني کلاس 19 مشكي متاليك</t>
  </si>
  <si>
    <t>NF167790</t>
  </si>
  <si>
    <t>1402/03/28</t>
  </si>
  <si>
    <t>147H0650866</t>
  </si>
  <si>
    <t>خط و خش و قري و كسري هاي ظاهري به رؤيت مشتري مي باشد - موتور خودرو ايراد دارد - ايراد فني و موتوري دارد ( خاموش شدن حين حركت و ريپ زدن موتور و شكستگي فنر سوپاپ و عدم عملكرد سوپاپ و كاهش فشار كمپرسور ) - خش درب صندوق و گلگير عقب راست و سپر جلو - كسري يك عدد سوئيچ - جلو پنجره مستعمل - لاستيك ها كار كرده - خش چراغ عقب چپ</t>
  </si>
  <si>
    <t>199-98د51</t>
  </si>
  <si>
    <t>شماره بدنه: NF167790</t>
  </si>
  <si>
    <t>شماره جایگاه: 19 (جهت بازدید)</t>
  </si>
  <si>
    <t>NH878722</t>
  </si>
  <si>
    <t>1402/03/26</t>
  </si>
  <si>
    <t>139B0285793</t>
  </si>
  <si>
    <t>خط و خش و قري و كسري هاي ظاهري به رؤيت مشتري مي باشد - قسمت جلوي خودرو و موتور سوخته - لوازم موتوري سوخته و كسري مي باشد - كسري مجموعه كامل فن و سيني فن و رادياتها و شيلنگ ها و تمامي سيم پيچي هاي داخل موتور و تسمه ها و جعبه فيوز و چراغ هاي جلو و سپر جلو - كليه قطعات موتوري دچار حريق شده - سوختگي درب موتور و گلگيرهاي جلو و سيني زير شيشه جلو و آثار حريق روي درب هاي جلو و ركاب ها و زير خودرو - موج ورق دربهاي راست - كسري مجموعه كامل هواكش و آرم بغل روي گلگير جلو چپ - بازبودن سيم پيچي هاي زير فرمان و قاب دور فرمان و زير فرمان - كسري درب راديات و درب روغن و درب روغن ترمز و درب روغن هيدروليك و باطري و گيج روغن و اي سي يو و سنسور هوا و نمدي درب موتور و جلو پنجره و تيغه برف پاك كن و آنتن و شبرنگ و آرم سوئيچ و يك عدد قالپاق - لاستيك ها كاركرده - شكستگي شيشه جلو - خودرو داراي يكعدد پلاك انتظامي مي باشد</t>
  </si>
  <si>
    <t>311-34ج72</t>
  </si>
  <si>
    <t>شماره بدنه: NH878722</t>
  </si>
  <si>
    <t>شماره جایگاه: 508 (جهت بازدید)</t>
  </si>
  <si>
    <t>پژو جي ال ايكس انژكتوري كلاس 37 خاكستري متال</t>
  </si>
  <si>
    <t>LK536454</t>
  </si>
  <si>
    <t>124K1439726</t>
  </si>
  <si>
    <t>خط و خش و قري و كسري هاي ظاهري به رؤيت مشتري مي باشد - ماندگاري بالا و افت مدل - چراغ چك روشن - شكستگي قاب كمك جلو چپ - كسري راهنما جلو چپ - شكستگي جلو پنجره و ابرويي جلو راست - كسري قاب برف پاك كن چپ و درپوش رم روي كنسول وسط - ترمزدستي خراب مي باشد - كسري درب جعبه فيوز و لامپ چراغ عقب راست و دستگيره موكت صندوق - خوردگي گلگير جلو راست - شكستگي سيني روي رادياتها - خش گلگير عقب چپ - دفرمه بودن سپر عقب - كسري زبانه درب موتور - موتور خودرو بد كار ميكند - كسري بست منفي باطري - باطري مستعمل - كسري يك عدد سوئيچ و يك عدد زيرپايي جلو - تيغه برف پاك كن خراب مي باشد - شكستگي آنتن - كسري قالپاقها - لاستيكها كاركرده - كسري آچارچرخ - زاپاس پنچر - كسري شبرنگ - ( بدليل محدوديت زمان شماره گذاري خودرو بنام ايران خودرو پلاك شده است )</t>
  </si>
  <si>
    <t>385-40ي46</t>
  </si>
  <si>
    <t>شماره بدنه: LK536454</t>
  </si>
  <si>
    <t>شماره جایگاه: 559 (جهت بازدید)</t>
  </si>
  <si>
    <t>NJ292789</t>
  </si>
  <si>
    <t>182A0177385</t>
  </si>
  <si>
    <t>خط و خش و قري و كسري هاي ظاهري به رؤيت مشتري مي باشد - تصادفي بودن گلگير جلو و درب جلو راست - خط و خش قالپاق جلو راست - كسري فندك - ( ايرادات غير قابل ريورك مطابق استاندارد كارخانه )</t>
  </si>
  <si>
    <t>شماره بدنه: NJ292789</t>
  </si>
  <si>
    <t>شماره جایگاه: 442 (جهت بازدید)</t>
  </si>
  <si>
    <t>MT325387</t>
  </si>
  <si>
    <t>172B0083785</t>
  </si>
  <si>
    <t>خط و خش و قري و كسري هاي ظاهري به رؤيت مشتري مي باشد - ايراد رنگي بدنه - رنگ پريدگي نقاطي از بدنه - ايراد رنگي درب موتور و گلگير جلو راست - شكستگي شيشه جلو - رنگ شدگي پيچ هاي درب موتور ( تعويضي كارخانه ) - پوسته شدن چراغ هاي جلو - ماندگاري بالا و افت مدل - فندك متفرقه - ( ايرادات غير قابل ريورك مطابق استاندارد كارخانه )</t>
  </si>
  <si>
    <t>شماره بدنه: MT325387</t>
  </si>
  <si>
    <t>شماره جایگاه: 405 (جهت بازدید)</t>
  </si>
  <si>
    <t>MF910796</t>
  </si>
  <si>
    <t>147H0591744</t>
  </si>
  <si>
    <t>خط و خش و قري و كسري هاي ظاهري به رؤيت مشتري مي باشد - ماندگاري بالا و افت مدل - تصادفي بودن بكسل بند جلو و سپر جلو و گلگير جلو راست - خراشيدگي رنگ درب صندوق - خرابي دستگيره درب بازكن بيروني درب جلو چپ و راست - رنگ پريدگي دستگيره درب بازكن درب عقب چپ - كسري ضربگير درب عقب راست - سائيدگي و رنگ پريدگي سپر عقب - خوردگي گلگير جلو راست - شكستگي مه شكن هاي جلو - كسري بكسل بند جلو - رنگ شدگي پيچ هاي درب صندوق ( تعويضي كارخانه ) - خش درب صندوق - دفرمه بودن زه دربها - رنگ پريدگي زه درب عقب و دستگيره درب عقب چپ - شكستگي دستگيره درب عقب و جلو چپ - شكستگي جاسيگاري جلو - خش آينه هاي جانبي - لاستيك ها كاركرده - زاپاس پنچر و با چرخ عقب چپ تعويض شده - كسري شبرنگ - ( ايرادات غير قابل ريورك مطابق استاندارد كارخانه )</t>
  </si>
  <si>
    <t>شماره بدنه: MF910796</t>
  </si>
  <si>
    <t>شماره جایگاه: 361 (جهت بازدید)</t>
  </si>
  <si>
    <t>MF084974</t>
  </si>
  <si>
    <t>147H0622698</t>
  </si>
  <si>
    <t>خط و خش و قري و كسري هاي ظاهري به رؤيت مشتري مي باشد - ماندگاري بالا و افت مدل - تصادفي بودن گلگيرها و دربهاي راست و سپر جلو - شكستگي مه شكن جلو راست - خرابي دستگيره بيروني درب عقب چپ - لاستيك زاپاس كار كرده و پنچر و كاور درب موتور - خوردگي ركاب راست - رنگ پريدگي سپر عقب - خراب بودن تنظيم صندلي هاي جلو - ( ايرادات غير قابل ريورك مطابق استاندارد كارخانه )</t>
  </si>
  <si>
    <t>شماره بدنه: MF084974</t>
  </si>
  <si>
    <t>شماره جایگاه: 331 (جهت بازدید)</t>
  </si>
  <si>
    <t>NH440929</t>
  </si>
  <si>
    <t>125K0002098</t>
  </si>
  <si>
    <t>خط و خش و قري و كسري هاي ظاهري به رؤيت مشتري مي باشد - تصادفي بودن گلگير جلو و گلگير عقب راست - شكستگي چراغ عقب راست - تصادفي بودن هلالي گلگير عقب چپ - اثر ضربه سپر عقب - تصادفي بودن پليت صندوق - قري گلگير جلو چپ - خش جلو پنجره - رنگ پريدگي درب جلو چپ - چراغ اي بي اس روشن - پارگي موكت صندوق - كسري دستگيره موكت صندوق - ايراد رنگي بدنه دارد - آچار خوردگي پيچهاي گلگيرهاي جلو ( تعويضي كارخانه) - اثر ضربه سپر جلو - قري درب جلو و عقب راست - قري درب موتور - خش قاب آينه راست - عدم جذب ضربگير دربها - كسري آنتن - لاستيكها كاركرده - ( ايرادات غير قابل ريورك مطابق استاندارد كارخانه )</t>
  </si>
  <si>
    <t>شماره بدنه: NH440929</t>
  </si>
  <si>
    <t>شماره جایگاه: 545 (جهت بازدید)</t>
  </si>
  <si>
    <t>MF080273</t>
  </si>
  <si>
    <t>147H0610614</t>
  </si>
  <si>
    <t>خط و خش و قري و كسري هاي ظاهري به رؤيت مشتري مي باشد - ماندگاري بالا و افت مدل - تصادفي بودن گلگير عقب چپ و گلگير جلو راست و درب موتور و درب جلو راست و درب عقب راست - قري و خراشيدگي درب جلو چپ - خرابي دستگيره بيروني درب عقب چپ - خراشيدگي سپر جلو - عدم عملكرد صندوق پران - آچار خوردگي پيچ هاي درب موتور و گلگير جلو راست ( تعويضي كارخانه ) - چراغ اي بي اس و چراغ سرويس روشن - باطري دشارژ - كسري شبرنگ - لاستيكها كاركرده - ( ايرادات غير قابل ريورك مطابق استاندارد كارخانه )</t>
  </si>
  <si>
    <t>شماره بدنه: MF080273</t>
  </si>
  <si>
    <t>شماره جایگاه: 334 (جهت بازدید)</t>
  </si>
  <si>
    <t>NH210847</t>
  </si>
  <si>
    <t>139B0292194</t>
  </si>
  <si>
    <t>خط و خش و قري و كسري هاي ظاهري به رؤيت مشتري مي باشد - تصادفي بودن سپرها و درب موتور و سقف چپ و شكستگي شيشه عقب - تصادفي بودن گلگير عقب راست و چپ و پليت صندوق و چراغ هاي عقب و جلو - كسري دو عدد قالپاق - تصادفي بودن شاسي عقب و كف صندوق و ستون عقب چپ و سيني فن رادياتور و ابرويي زير چراغ هاي جلو - شكستگي جلو پنجره و چراغ هاي عقب - كسري آنتن و شبرنگ - ( ايرادات غير قابل ريورك مطابق استاندارد كارخانه )</t>
  </si>
  <si>
    <t>شماره بدنه: NH210847</t>
  </si>
  <si>
    <t>NF168368</t>
  </si>
  <si>
    <t>1402/03/16</t>
  </si>
  <si>
    <t>147H0651349</t>
  </si>
  <si>
    <t>خط و خش و قري و كسري هاي ظاهري به رؤيت مشتري مي باشد - ايراد رنگي بدنه ( زردشدگي درب عقب و ركاب و گلگير عقب راست ) - كسري درب جعبه فيوز - قري درب عقب راست - لاستيكها كاركرده</t>
  </si>
  <si>
    <t>561-78د59</t>
  </si>
  <si>
    <t>شماره بدنه: NF168368</t>
  </si>
  <si>
    <t>شماره جایگاه: 15 (جهت بازدید)</t>
  </si>
  <si>
    <t>NF168902</t>
  </si>
  <si>
    <t>1402/03/19</t>
  </si>
  <si>
    <t>147H0650689</t>
  </si>
  <si>
    <t>خط و خش و قري و كسري هاي ظاهري به رؤيت مشتري مي باشد - ايراد رنگي بدنه ( سقف و درب موتور و دربهاي عقب ) - خش درب عقب چپ و گلگير جلو چپ و درب جلو راست و گلگير عقب و درب عقب راست - لاستيك ها كار كرده</t>
  </si>
  <si>
    <t>666-40ي28</t>
  </si>
  <si>
    <t>شماره بدنه: NF168902</t>
  </si>
  <si>
    <t>شماره جایگاه: 20 (جهت بازدید)</t>
  </si>
  <si>
    <t>LK532110</t>
  </si>
  <si>
    <t>124K1427298</t>
  </si>
  <si>
    <t>خط و خش و قري و كسري هاي ظاهري به رؤيت مشتري مي باشد - ماندگاري بالا و افت مدل - پمپ بنزين خراب ميباشد - پوسيدگي نوار دور شيشه ها - آچارخوردگي پيچ هاي درب موتور و گلگير جلو چپ ( تعويضي كارخانه ) - چراغ هاي جلو مات ميباشد - كسري باند دربهاي جلو و درب جعبه فيوز و ولوم ضبط و زيرپايي هاي عقب - خش درب عقب چپ - خودرو استارت ميخورد ولي روشن نميشود - عدم عملكرد بالابرها و كولر و بخاري - باطري دشارژ - كسري نمدي درب موتور - كسري فندك و شيشه آينه هاي جانبي - قالپاق ها مغاير - ( بدليل محدوديت زمان شماره گذاري خودرو بنام ايران خودرو پلاك شده است ) - كسري ولوم ضبط -</t>
  </si>
  <si>
    <t>888-40ي37</t>
  </si>
  <si>
    <t>شماره بدنه: LK532110</t>
  </si>
  <si>
    <t>شماره جایگاه: 561 (جهت بازدید)</t>
  </si>
  <si>
    <t>NH453590</t>
  </si>
  <si>
    <t>125K0021745</t>
  </si>
  <si>
    <t>خط و خش و قري و كسري هاي ظاهري به رؤيت مشتري مي باشد - قري درب عقب و جلو راست و گلگير جلو و عقب چپ ( تصادفي ) - آچار خوردگي پيچ هاي درب موتور و گلگيرهاي جلو ( تعويضي كارخانه ) - تصادفي درب موتور - خش چراغ عقب چپ - زاپاس پنچر - خش درب صندوق - ( ايرادات غيرقابل ريورك مطابق استاندارد كارخانه )</t>
  </si>
  <si>
    <t>شماره بدنه: NH453590</t>
  </si>
  <si>
    <t>شماره جایگاه: 532 (جهت بازدید)</t>
  </si>
  <si>
    <t>پژو پارس سال با موتور XU7 P کلاس 3 سفيد دو پوششه</t>
  </si>
  <si>
    <t>NH446072</t>
  </si>
  <si>
    <t>125K0009791</t>
  </si>
  <si>
    <t>خط و خش و قري و كسري هاي ظاهري به رؤيت مشتري مي باشد - خوردگي گلگير عقب راست و درب عقب راست و گلگير جلو راست - قري درب موتور و درب و گلگير عقب چپ و گلگير جلو چپ - آچار خوردگي پيچ هاي درب موتور و گلگيرهاي جلو و درب صندوق ( تعويضي كارخانه ) - خراب بودن قفل كن درب داشبورد - ( ايرادات غير قابل ريورك مطابق استاندارد كارخانه )</t>
  </si>
  <si>
    <t>کد کلاس: 35103</t>
  </si>
  <si>
    <t>شماره بدنه: NH446072</t>
  </si>
  <si>
    <t>شماره جایگاه: 527 (جهت بازدید)</t>
  </si>
  <si>
    <t>NK466058</t>
  </si>
  <si>
    <t>125K0019404</t>
  </si>
  <si>
    <t>خط و خش و قري و كسري هاي ظاهري به رؤيت مشتري مي باشد - كسري زيرپايي جلو راننده و زه درب عقب چپ - چراغ اي بي اس روشن - خراب بودن دسته تنظيم صندلي - تعويضي بودن درب عقب چپ و درب موتور - قري و رنگ پريدگي گلگير جلو راست - ايراد رنگي بدنه - خوردگي درب موتور - كسري درب جعبه فيوز - رنگ پريدگي سپر عقب - خش ركاب سمت راست - قري درب جلو راست - ايراد رنگي گلگير عقب و درب عقب چپ - سائيدگي رنگ درب عقب چپ و قاب ركاب چپ - آچارخوردگي پيچ هاي درب موتور و گلگيرهاي جلو ( تعويضي كارخانه ) - قري گلگير جلو چپ - ماشين گاز خالي ميخورد - كسري جك و آچارچرخ و شبرنگ - ( ايرادات غير قابل ريورك مطابق استاندارد كارخانه )</t>
  </si>
  <si>
    <t>شماره بدنه: NK466058</t>
  </si>
  <si>
    <t>شماره جایگاه: 530 (جهت بازدید)</t>
  </si>
  <si>
    <t>NH442916</t>
  </si>
  <si>
    <t>125K0003988</t>
  </si>
  <si>
    <t>خط و خش و قري و كسري ظاهري به رؤيت مشتري مي باشد - نشتي اسيد باتري و اسيدي بودن محوطه موتور و گيربكس و شاسي - كسري درب جعبه فيوز - دفرمگي درب جاسيگاري - رنگ پريدگي سپر عقب - ايراد رنگي درب موتور - رنگ پريدگي لبه درب موتور - شكستگي سپر عقب - ( ايرادات غير قابل ريورك مطابق استاندارد كارخانه )</t>
  </si>
  <si>
    <t>شماره بدنه: NH442916</t>
  </si>
  <si>
    <t>شماره جایگاه: 553 (جهت بازدید)</t>
  </si>
  <si>
    <t>NF163938</t>
  </si>
  <si>
    <t>147H0645021</t>
  </si>
  <si>
    <t>خط و خش و قري و كسري هاي ظاهري به رؤيت مشتري مي باشد - خوردگي زير خودرو - صداي غير عادي موتور - لاستيكها كاركرده - شكستگي چراغ عقب راست - قري و دفرمگي گلگير عقب چپ و درب موتور - درب عقب راست تعويضي - قري ركاب چپ - رنگ پريدگي سپر عقب - رينگها متفرقه - مستعمل يودن موكت صندوق - كاتاليزور سوراخ است - آچارخوردگي پيچ هاي درب موتور ( تعويضي كارخانه ) - قري سقف سمت راست - خش درب صندوق - سوختگي سپر عقب - كسري پيچ دسته موتور</t>
  </si>
  <si>
    <t>شماره بدنه: NF163938</t>
  </si>
  <si>
    <t>شماره جایگاه: 338 (جهت بازدید)</t>
  </si>
  <si>
    <t>MJ633265</t>
  </si>
  <si>
    <t>182A0166828</t>
  </si>
  <si>
    <t>خط و خش و قري و كسري هاي ظاهري به رؤيت مشتري مي باشد - خودرو تحت تست هاي عملكردي بوده است - ماندگاري بالا و افت مدل - ايراد رنگي بدنه - لاستيكها كاركرده - كسري آنتن ( ايرادات غير قابل ريورك مطابق استاندارد كارخانه )</t>
  </si>
  <si>
    <t>شماره بدنه: MJ633265</t>
  </si>
  <si>
    <t>شماره جایگاه: 435 (جهت بازدید)</t>
  </si>
  <si>
    <t>MF918425</t>
  </si>
  <si>
    <t>ايرادات بدنه اي</t>
  </si>
  <si>
    <t>1401/12/08</t>
  </si>
  <si>
    <t>147H0607052</t>
  </si>
  <si>
    <t>خط و خش و قري و كسري هاي ظاهري به رؤيت مشتري مي باشد - ايراد بدنه اي دارد - خارج شدن شيشه درب جلو راست از ريل خود ( افتادن شيشه ) - خش رينگ هاي چرخ جلو و درب عقب چپ - سائيدگي سپر عقب - باطري مستعمل و متفرقه - - زيرپايي ها و تيغه برف پاك كن مستعمل - لاستيكها كاركرده - خراب بودن شيشه بالابر سمت راست</t>
  </si>
  <si>
    <t>175-40س21</t>
  </si>
  <si>
    <t>شماره بدنه: MF918425</t>
  </si>
  <si>
    <t>شماره جایگاه: 21 (جهت بازدید)</t>
  </si>
  <si>
    <t>NT370857</t>
  </si>
  <si>
    <t>172B0089265</t>
  </si>
  <si>
    <t>خط و خش و قري و كسري هاي ظاهري به رؤيت مشتري مي باشد - تصادفي بودن ركاب راست و گلگير جلو درب جلو راست - شكستگي آينه بغل راست - آسيب ديدگي رينگ چرخ جلو راست - كسري قالپاق جلو راست - سائيدگي سپر جلو راست - كسري دستگيره موكت صندوق - خط و خش سپر عقب - قري درب جلو چپ - ( ايرادات غير قابل ريورك مطابق استاندارد كارخانه )</t>
  </si>
  <si>
    <t>شماره بدنه: NT370857</t>
  </si>
  <si>
    <t>شماره جایگاه: 400 (جهت بازدید)</t>
  </si>
  <si>
    <t>MT323474</t>
  </si>
  <si>
    <t>172B0082746</t>
  </si>
  <si>
    <t>خط و خش و قري و كسري ظاهري به رؤيت مشتري مي باشد - ايراد رنگي بدنه - رنگ پريدگي نقاط مختلف بدنه - ايراد رنگي درب موتور و گلگير جلو راست - قري درب جلو راست و چپ - ماندگاري بالا و افت مدل - ( ايرادات غير قابل ريورك مطابق استاندارد كارخانه )</t>
  </si>
  <si>
    <t>شماره بدنه: MT323474</t>
  </si>
  <si>
    <t>شماره جایگاه: 409 (جهت بازدید)</t>
  </si>
  <si>
    <t>MT325329</t>
  </si>
  <si>
    <t>167B0144267</t>
  </si>
  <si>
    <t>خط و خش و قري و كسري هاي ظاهري به رؤيت مشتري مي باشد - ماندگاري بالا و افت مدل - رنگ پريدگي كل بدنه - كسري درب جعبه فيوز - خش و گرده رنگ چراغ هاي جلو - كسري آنتن و فندك - ( ايرادات غيرقابل ريورك مطابق استاندارد كارخانه )</t>
  </si>
  <si>
    <t>شماره بدنه: MT325329</t>
  </si>
  <si>
    <t>شماره جایگاه: 408 (جهت بازدید)</t>
  </si>
  <si>
    <t>NK901043</t>
  </si>
  <si>
    <t>124K1671162</t>
  </si>
  <si>
    <t>خط و خش و قري و كسري هاي ظاهري به رؤيت مشتري مي باشد - تيغه برف پاك كن مستعمل و متفرقه و خراب - باطري دشارژ - كسري يك عدد زيرپايي جلو - ايراد رنگي بدنه دارد - ايراد رنگي سقف و ستون - درب سمت راننده جلو باز نمي شود</t>
  </si>
  <si>
    <t>288-65و36</t>
  </si>
  <si>
    <t>شماره بدنه: NK901043</t>
  </si>
  <si>
    <t>شماره جایگاه: 4 (جهت بازدید)</t>
  </si>
  <si>
    <t>LK530026</t>
  </si>
  <si>
    <t>124K1421361</t>
  </si>
  <si>
    <t>خط و خش و قري و كسري هاي ظاهري به رؤيت مشتري مي باشد - ماندگاري بالا و افت مدل - خودرو استارت ميخورد ولي روشن نميشود - عدم تست فني خودرو - شكستگي جلو پنجره - كسري يك عدد تيغه برف پاك كن - نوارهاي آبگير شيشه مستعمل - كسري درب رادياتور و درب روغن ترمز و سنسور هوا و نمدي درب موتور و فندك - تيغه برف پاك كن خراب - كسري آنتن و جك و آچارچرخ - زاپاس مستعمل و متفرقه - باطري دشارژ - ( بدليل محدوديت زمان شماره گذاري خودرو بنام ايران خودرو پلاك شده است )</t>
  </si>
  <si>
    <t>777-40ي42</t>
  </si>
  <si>
    <t>شماره بدنه: LK530026</t>
  </si>
  <si>
    <t>شماره جایگاه: 560 (جهت بازدید)</t>
  </si>
  <si>
    <t>MF085160</t>
  </si>
  <si>
    <t>147H0618703</t>
  </si>
  <si>
    <t>خط و خش و قري و كسري هاي ظاهري به رؤيت مشتري مي باشد - قري و خش سقف و كلاف درب جلو و عقب راست - ماندگاري بالا و افت مدل - ( ايرادات غير قابل ريورك مطابق استاندارد كارخانه )</t>
  </si>
  <si>
    <t>شماره بدنه: MF085160</t>
  </si>
  <si>
    <t>شماره جایگاه: 356 (جهت بازدید)</t>
  </si>
  <si>
    <t>NH453836</t>
  </si>
  <si>
    <t>125K0027384</t>
  </si>
  <si>
    <t>خط و خش و قري و كسري هاي ظاهري به رؤيت مشتري مي باشد - قري درب عقب راست و گلگير عقب راست - ايراد رنگي درب عقب راست و هلالي گلگير عقب راست - ايراد رنگي سقف - ( ايرادات غير قابل ريورك مطابق استاندارد كارخانه )</t>
  </si>
  <si>
    <t>شماره بدنه: NH453836</t>
  </si>
  <si>
    <t>شماره جایگاه: 550 (جهت بازدید)</t>
  </si>
  <si>
    <t>MF084968</t>
  </si>
  <si>
    <t>147H0618447</t>
  </si>
  <si>
    <t>شماره بدنه: MF084968</t>
  </si>
  <si>
    <t>شماره جایگاه: 350 (جهت بازدید)</t>
  </si>
  <si>
    <t>سورن EF7 بنزيني کلاس 23 سفيد دوپوششه كانزاي</t>
  </si>
  <si>
    <t>MF081427</t>
  </si>
  <si>
    <t>147H0612779</t>
  </si>
  <si>
    <t>خط و خش و قري و كسري هاي ظاهري به رؤيت مشتري مي باشد - ماندگاري بالا و افت مدل - - شكستگي شيشه عقب چپ - رنگ پريدگي زه دربهاي چپ و درب جلو راست - موج ورق دربهاي چپ - كسري آرم روي سوئيچ ( ايرادات غير قابل ريورك مطابق استاندارد كارخانه )</t>
  </si>
  <si>
    <t>کد کلاس: 57523</t>
  </si>
  <si>
    <t>شماره بدنه: MF081427</t>
  </si>
  <si>
    <t>شماره جایگاه: 336 (جهت بازدید)</t>
  </si>
  <si>
    <t>NK846068</t>
  </si>
  <si>
    <t>125K0028213</t>
  </si>
  <si>
    <t>خط و خش و قري و كسري ظاهري به رؤيت مشتري مي باشد - تصادفي بودن درب جلو و گلگير جلو و ركاب راست - كسري يك عدد قالپاق - ( ايرادات غير قابل ريورك مطابق استاندارد كارخانه )</t>
  </si>
  <si>
    <t>شماره بدنه: NK846068</t>
  </si>
  <si>
    <t>شماره جایگاه: 554 (جهت بازدید)</t>
  </si>
  <si>
    <t>MF083900</t>
  </si>
  <si>
    <t>147H0619683</t>
  </si>
  <si>
    <t>خط و خش و قري و كسري هاي ظاهري به رؤيت مشتري مي باشد - ايراد رنگي سقف - شكستگي ترمز لولاي درب صندوق - ماندگاري بالا و افت مدل - سائيدگي و رنگ پريدگي كف صندوق - خط و خش سپر جلو - روشن بودن چراغ ايربك - استارت نمي خورد (ايراد فني دارد ) - ( ايرادات غير قابل ريورك مطابق استاندارد كارخانه )</t>
  </si>
  <si>
    <t>شماره بدنه: MF083900</t>
  </si>
  <si>
    <t>شماره جایگاه: 342 (جهت بازدید)</t>
  </si>
  <si>
    <t>NF167729</t>
  </si>
  <si>
    <t>147H0652832</t>
  </si>
  <si>
    <t>خط و خش و قري و كسري هاي ظاهري به رؤيت مشتري مي باشد - قري سقف - تصادفي بودن درب عقب راست و چپ - قري درب جلو چپ - آچارخوردگي پيچ هاي درب موتور و گلگيرهاي جلو ( تعويضي كارخانه ) - ( ايرادات غير قابل ريورك مطابق استاندارد كارخانه )</t>
  </si>
  <si>
    <t>شماره بدنه: NF167729</t>
  </si>
  <si>
    <t>شماره جایگاه: 339 (جهت بازدید)</t>
  </si>
  <si>
    <t>MF085992</t>
  </si>
  <si>
    <t>147H0621246</t>
  </si>
  <si>
    <t>خط و خش و قري و كسري هاي ظاهري به رؤيت مشتري مي باشد - ماندگاري بالا و افت مدل - تصادفي بودن گلگير عقب چپ و درب جلو چپ و گلگير جلو چپ و درب عقب راست و سپر عقب - قري گلگير عقب راست و درب موتور - خراشيدگي سپر جلو - كسري كاور روي موتور ( سرسيلندر ) - رينگ جلو راست فولادي - كسري يك عدد سوئيچ - قري درب جلو راست - رنگ پريدگي سپر جلو - كسري ميله درب موتور - آچارخوردگي پيچ هاي درب موتور و گلگير جلو چپ ( تعويضي كارخانه ) - شكستگي دستگيره درب عقب راست - كسري آفتابگير سمت راننده - كسري زاپاس و شبرنگ - لاستيكها كاركرده - ( ايرادات غير قابل ريورك مطابق استاندارد كارخانه )</t>
  </si>
  <si>
    <t>شماره بدنه: MF085992</t>
  </si>
  <si>
    <t>شماره جایگاه: 333 (جهت بازدید)</t>
  </si>
  <si>
    <t>NF162644</t>
  </si>
  <si>
    <t>147H0641749</t>
  </si>
  <si>
    <t>خط و خش و قري و كسري هاي ظاهري به رؤيت مشتري مي باشد - تصادفي بودن گلگير عقب و درب عقب راست - خراشيدگي سپر جلو - لاستيكها كاركرده - شكستگي دريچه كولر سمت شاگرد - كسري زاپاس - خش سپر عقب - ( ايرادات غير قابل ريورك مطابق استاندارد كارخانه )</t>
  </si>
  <si>
    <t>شماره بدنه: NF162644</t>
  </si>
  <si>
    <t>شماره جایگاه: 340 (جهت بازدید)</t>
  </si>
  <si>
    <t>MT324167</t>
  </si>
  <si>
    <t>172B0083048</t>
  </si>
  <si>
    <t>خط و خش و قري و كسري هاي ظاهري به رؤيت مشتري مي باشد - خودرو تحت تست عملكردي بوده است - ماندگاري بالا و افت مدل - رنگ پريدگي بكسل بند - خراشيدگي سپر عقب - كسري ليوان - ( ايرادات غير قابل ريورك مطابق استاندارد كارخانه )</t>
  </si>
  <si>
    <t>شماره بدنه: MT324167</t>
  </si>
  <si>
    <t>شماره جایگاه: 412 (جهت بازدید)</t>
  </si>
  <si>
    <t>MT322749</t>
  </si>
  <si>
    <t>172B0082321</t>
  </si>
  <si>
    <t>خط و خش و قري و كسري هاي ظاهري به رؤيت مشتري مي باشد - خودرو تحت تست عملكردي بوده است - ماندگاري بالا و افت مدل - خط و خش شيشه عقب - ( ايرادات غيرقابل ريورك مطابق استاندارد كارخانه )</t>
  </si>
  <si>
    <t>شماره بدنه: MT322749</t>
  </si>
  <si>
    <t>شماره جایگاه: 407 (جهت بازدید)</t>
  </si>
  <si>
    <t>NH457826</t>
  </si>
  <si>
    <t>125K0034247</t>
  </si>
  <si>
    <t>خط و خش و قري و كسري هاي ظاهري به رؤيت مشتري مي باشد - ايراد رنگي درب موتور - خش درب صندوق - چراغ ايربك روشن - كسري آنتن - ( ايرادات غيرقابل ريورك مطابق استاندارد كارخانه )</t>
  </si>
  <si>
    <t>شماره بدنه: NH457826</t>
  </si>
  <si>
    <t>شماره جایگاه: 533 (جهت بازدید)</t>
  </si>
  <si>
    <t>NH869723</t>
  </si>
  <si>
    <t>139B0275758</t>
  </si>
  <si>
    <t>خط و خش و قري و كسري هاي ظاهري به رؤيت مشتري مي باشد - تصادفي بودن سپر جلو و درب موتور و سقف و گلگير عقب راست - شكستگي شيشه عقب و سيني فن رادياتور - كسري آينه بغل راست و درب باك بدنه و بست باطري و فنر درب صندوق و آرم روي درب صندوق و لامپ هاي چراغ عقب راست و زيرابرويي چراغ هاي جلو - خوردگي سپر جلو و چراغ هاي جلو و سيني روي رادياتها و رادياتها و گلگير جلو راست و شاسي عقب راست و درب صندوق و كف صندوق و سپر عقب و پليت عقب و كنار قفل درب عقب راست از داخل - شكستگي جلو پنجره - كسري آنتن - شكستگي چراغ عقب راست - ( ايرادات غيرقابل ريورك مطابق استاندارد كارخانه )</t>
  </si>
  <si>
    <t>شماره بدنه: NH869723</t>
  </si>
  <si>
    <t>NH455895</t>
  </si>
  <si>
    <t>قري بدنه</t>
  </si>
  <si>
    <t>125K0031282</t>
  </si>
  <si>
    <t>خط و خش و قري و كسري هاي ظاهري به رؤيت مشتري مي باشد - قري و خش سقف و گلگير عقب راست و گلگير عقب چپ - كسري يك عدد قالپاق و قاب آينه جلو راست - شكستگي آب پاش تيغه برف پاك كن - كسري آنتن - ( ايرادات غير قابل ريورك مطابق استاندارد كارخانه )</t>
  </si>
  <si>
    <t>شماره بدنه: NH455895</t>
  </si>
  <si>
    <t>شماره جایگاه: 539 (جهت بازدید)</t>
  </si>
  <si>
    <t>NF155315</t>
  </si>
  <si>
    <t>147H0632978</t>
  </si>
  <si>
    <t>خط و خش و قري و كسري هاي ظاهري به رؤيت مشتري مي باشد - تصادفي بودن كف صندوق و درب موتور - قري ركاب عقب راست - خش سپر جلو - آچارخوردگي پيچ هاي درب موتور ( تعويضي كارخانه ) - قري درب عقب چپ - رنگ پريدگي سپر عقب - كسري آنتن - ( ايرادات غير قابل ريورك مطابق استاندارد كارخانه )</t>
  </si>
  <si>
    <t>شماره بدنه: NF155315</t>
  </si>
  <si>
    <t>شماره جایگاه: 359 (جهت بازدید)</t>
  </si>
  <si>
    <t>پژو پارس سال با موتور XU7 P کلاس 1 مشكي متاليك</t>
  </si>
  <si>
    <t>NH442825</t>
  </si>
  <si>
    <t>125K0003916</t>
  </si>
  <si>
    <t>خط و خش و قري و كسري هاي ظاهري به رؤيت مشتري مي باشد - ايراد رنگي بدنه - كسري دستگيره موكت صندوق - عدم چسبندگي زه درب عقب چپ - كسري آنتن - ( ايرادات غير قابل ريورك مطابق استاندارد كارخانه )</t>
  </si>
  <si>
    <t>شماره بدنه: NH442825</t>
  </si>
  <si>
    <t>شماره جایگاه: 552 (جهت بازدید)</t>
  </si>
  <si>
    <t>NT360487</t>
  </si>
  <si>
    <t>172B0083862</t>
  </si>
  <si>
    <t>خط وخش و قري و كسري هاي ظاهري به رؤيت مشتري مي باشد - تصادفي بودن گلگير عقب راست - رنگ شدگي پيچ هاي درب موتور ( تعويضي كارخانه ) - خش قاب آينه چپ - اثر ضربه و خوردگي درب جلو و عقب راست - خراشيدگي قالپاق عقب راست - كسري صفحه نمايشگر روي داشبورد - كسري قاب دور دنده و سردنده - عدم عملكرد آمپرهاي چهارگانه - كسري ليوان - خرابي كولر - ايرادات غير قابل ريورك مطابق استاندارد كارخانه - كسري شبرنگ</t>
  </si>
  <si>
    <t>شماره بدنه: NT360487</t>
  </si>
  <si>
    <t>شماره جایگاه: 402 (جهت بازدید)</t>
  </si>
  <si>
    <t>NH443022</t>
  </si>
  <si>
    <t>125K0004246</t>
  </si>
  <si>
    <t>خط و خش و قري و كسري هاي ظاهري به رؤيت مشتري مي باشد - ايراد رنگي بدنه - خش گلگير عقب راست - چراغ اي بي اس روشن - كيلومتر خراب است - ( ايرادات غير قابل ريورك مطابق استاندارد كارخانه )</t>
  </si>
  <si>
    <t>شماره بدنه: NH443022</t>
  </si>
  <si>
    <t>شماره جایگاه: 544 (جهت بازدید)</t>
  </si>
  <si>
    <t>NH442832</t>
  </si>
  <si>
    <t>125K0003917</t>
  </si>
  <si>
    <t>خط و خش و قري و كسري هاي ظاهري به رؤيت مشتري مي باشد - ايراد رنگي بدنه - سائيدگي قاب آينه چپ - ( ايرادات غير قابل ريورك مطابق استاندارد كارخانه )</t>
  </si>
  <si>
    <t>شماره بدنه: NH442832</t>
  </si>
  <si>
    <t>شماره جایگاه: 547 (جهت بازدید)</t>
  </si>
  <si>
    <t>NH451904</t>
  </si>
  <si>
    <t>125K0022619</t>
  </si>
  <si>
    <t>خط و خش و قري و كسري هاي ظاهري به رؤيت مشتري مي باشد - قري شديد زير خودرو كنار باك - قري درب جلو راست - شكستگي آرم جلو پنجره - رنگ پريدگي و سائيدگي سپر - كسري قاب آينه چپ و آنتن - ( ايرادات غير قابل ريورك مطابق استاندارد كارخانه )</t>
  </si>
  <si>
    <t>شماره بدنه: NH451904</t>
  </si>
  <si>
    <t>شماره جایگاه: 549 (جهت بازدید)</t>
  </si>
  <si>
    <t>NH443111</t>
  </si>
  <si>
    <t>125K0003991</t>
  </si>
  <si>
    <t>خط و خش و قري و كسري هاي ظاهري به رؤيت مشتري مي باشد - ايراد رنگي بدنه - كسري دستگيره موكت صندوق - خش درب موتور و درب صندوق و سقف - كسري آنتن - ( ايرادات غير قابل ريورك مطابق استاندارد كارخانه )</t>
  </si>
  <si>
    <t>شماره بدنه: NH443111</t>
  </si>
  <si>
    <t>شماره جایگاه: 548 (جهت بازدید)</t>
  </si>
  <si>
    <t>NH455384</t>
  </si>
  <si>
    <t>125K0020972</t>
  </si>
  <si>
    <t>خط و خش و قري و كسري هاي ظاهري به رؤيت مشتري مي باشد - كسري آنتن - ايراد رنگي درب جلو راست ( تعويضي كارخانه ) - عدم چسبندگي زه درب جلو راست - ( ايرادات غير قابل ريورك مطابق استاندارد كارخانه )</t>
  </si>
  <si>
    <t>شماره بدنه: NH455384</t>
  </si>
  <si>
    <t>شماره جایگاه: 551 (جهت بازدید)</t>
  </si>
  <si>
    <t>NH442828</t>
  </si>
  <si>
    <t>125K0003918</t>
  </si>
  <si>
    <t>خط و خش و قري و كسري هاي ظاهري به رؤيت مشتري مي باشد - ايراد رنگي بدنه - رنگ پريدگي نقاطي از بدنه - كسري ضربگير درب جلو چپ - عدم چسبندگي ضربگير دربها - زدگي روي فرمان - قري گلگير سمت چپ و درب عقب چپ - ( ايرادات غير قابل ريورك مطابق استاندارد كارخانه )</t>
  </si>
  <si>
    <t>شماره بدنه: NH442828</t>
  </si>
  <si>
    <t>شماره جایگاه: 546 (جهت بازدید)</t>
  </si>
  <si>
    <t>NH453569</t>
  </si>
  <si>
    <t>125K0025767</t>
  </si>
  <si>
    <t>خط و خش و قري و كسري هاي ظاهري به رؤيت مشتري مي باشد - ايراد رنگي گلگير عقب چپ ( گلگير رنگ شده ) - قري درب جلو راست - ( ايرادات غير قابل ريورك مطابق استاندارد كارخانه )</t>
  </si>
  <si>
    <t>شماره بدنه: NH453569</t>
  </si>
  <si>
    <t>شماره جایگاه: 542 (جهت بازدید)</t>
  </si>
  <si>
    <t>NF168630</t>
  </si>
  <si>
    <t>147H0651615</t>
  </si>
  <si>
    <t>خط و خش و قري و كسري هاي ظاهري به رؤيت مشتري مي باشد - تصادفي بودن كف صندوق و درب موتور - كسري رينگ و لاستيك زاپاس - قري درب جلو راست - خراب بودن آمپر بنزين - آچارخوردگي پيچ هاي درب موتور ( تعويضي كارخانه ) - لاستيكها كاركرده - ( ايرادات غير قابل ريورك مطابق استاندارد كارخانه )</t>
  </si>
  <si>
    <t>شماره بدنه: NF168630</t>
  </si>
  <si>
    <t>شماره جایگاه: 358 (جهت بازدید)</t>
  </si>
  <si>
    <t>NF169632</t>
  </si>
  <si>
    <t>147H0651848</t>
  </si>
  <si>
    <t>خط و خش و قري و كسري هاي ظاهري به رؤيت مشتري مي باشد - قري و خش جلو سقف - قري درب عقب چپ - گيرداشتن و باز نشدن درب عقب چپ - دفرمگي و آسيب ديدگي ضربگير درب جلو چپ - قري و رنگ پريدگي درب موتور - شكستگي چراغ عقب راست - خراشيدگي بكسل بند جلو - خراشيدگي و رنگ پريدگي سپرها - كسري كليدهاي بالابر درب جلو چپ - زاپاس كاركرده و پنچر - درب عقب باز نمي شود - آچارخوردگي پيچ هاي درب موتور ( تعويضي كارخانه ) - قري درب عقب راست - خش درب صندوق - چراغ سرويس و اي بي اس روشن - كسري يك عدد سوئيچ و زيرپايي ها - لاستيكها كاركرده - مغايرت رنگ درب باك ( ايرادات غير قابل ريورك مطابق استاندارد كارخانه )</t>
  </si>
  <si>
    <t>شماره بدنه: NF169632</t>
  </si>
  <si>
    <t>شماره جایگاه: 335 (جهت بازدید)</t>
  </si>
  <si>
    <t>NH457630</t>
  </si>
  <si>
    <t>125K0034106</t>
  </si>
  <si>
    <t>خط و خش و قري و كسري هاي ظاهري به رؤيت مشتري مي باشد - ايراد رنگي درب موتور - كسري يك عدد سوئيچ - ( ايرادات غيرقابل ريورك مطابق استاندارد كارخانه )</t>
  </si>
  <si>
    <t>شماره بدنه: NH457630</t>
  </si>
  <si>
    <t>NH442827</t>
  </si>
  <si>
    <t>125K0003987</t>
  </si>
  <si>
    <t>خط و خش و قري و كسري هاي ظاهري به رؤيت مشتري مي باشد - ايراد رنگي بدنه - رنگ پريدگي نقاطي از بدنه - خش گلگير جلو چپ - ( ايرادات غير قابل ريورك مطابق استاندارد كارخانه )</t>
  </si>
  <si>
    <t>شماره بدنه: NH442827</t>
  </si>
  <si>
    <t>شماره جایگاه: 543 (جهت بازدید)</t>
  </si>
  <si>
    <t>NH442823</t>
  </si>
  <si>
    <t>125K0003885</t>
  </si>
  <si>
    <t>خط و خش و قري و كسري هاي ظاهري به رؤيت مشتري مي باشد - ايراد رنگي بدنه - كسري دستگيره موكت صندوق - قري درب جلو راست و درب عقب چپ - ( ايرادات غير قابل ريورك مطابق استاندارد كارخانه )</t>
  </si>
  <si>
    <t>شماره بدنه: NH442823</t>
  </si>
  <si>
    <t>شماره جایگاه: 541 (جهت بازدید)</t>
  </si>
  <si>
    <t>NT371456</t>
  </si>
  <si>
    <t>172B0089592</t>
  </si>
  <si>
    <t>خط و خش و قري و كسري هاي ظاهري به رؤيت مشتري مي باشد - تصادفي بودن بكسل بند و سپر جلو و سيني زير موتور - قري درب جلو چپ - رنگ پريدگي سپر عقب - كسري آنتن - ( ايرادات غير قابل ريورك مطابق استاندارد كارخانه )</t>
  </si>
  <si>
    <t>شماره بدنه: NT371456</t>
  </si>
  <si>
    <t>شماره جایگاه: 399 (جهت بازدید)</t>
  </si>
  <si>
    <t>NT364351</t>
  </si>
  <si>
    <t>167B0156331</t>
  </si>
  <si>
    <t>خط و خش و قري و كسري هاي ظاهري به رؤيت مشتري مي باشد - تصادفي بودن درب موتور و گلگير جلو راست و درب عقب راست و گلگير عقب راست - كسري درب جعبه فيوز - تصادفي بودن درب جلو راست - كسري كوركن روي يو اس پي - چراغ چك روشن - ( ايرادات غير قابل ريورك مطابق استاندارد كارخانه )</t>
  </si>
  <si>
    <t>شماره بدنه: NT364351</t>
  </si>
  <si>
    <t>شماره جایگاه: 397 (جهت بازدید)</t>
  </si>
  <si>
    <t>NJ280864</t>
  </si>
  <si>
    <t>165A0198819</t>
  </si>
  <si>
    <t>خط و خش و قري و كسري هاي ظاهري به رؤيت مشتري مي باشد - تصادفي بودن گلگير جلو چپ و سپر جلو - ايراد رنگي سقف و درب موتور - شكستگي و قري درب موتور - كسري درب جعبه فيوز - ( ايرادات غير قابل ريورك مطابق استاندارد كارخانه )</t>
  </si>
  <si>
    <t>شماره بدنه: NJ280864</t>
  </si>
  <si>
    <t>شماره جایگاه: 444 (جهت بازدید)</t>
  </si>
  <si>
    <t>NT372060</t>
  </si>
  <si>
    <t>172B0089667</t>
  </si>
  <si>
    <t>خط و خش و قري و كسري هاي ظاهري به رؤيت مشتري مي باشد - تصادفي بودن گلگير جلو چپ و درب جلو چپ و هلالي گلگير عقب چپ - خراش رينگ جلو چپ - قري درب جلو راست - خرابي و سائيدگي قالپاق - ( ايرادات غير قابل ريورك مطابق استاندارد كارخانه )</t>
  </si>
  <si>
    <t>شماره بدنه: NT372060</t>
  </si>
  <si>
    <t>شماره جایگاه: 404 (جهت بازدید)</t>
  </si>
  <si>
    <t>سورن EF7 بنزيني کلاس 16 سفيد دو پوششه</t>
  </si>
  <si>
    <t>KF610003</t>
  </si>
  <si>
    <t>147H0446832</t>
  </si>
  <si>
    <t>خط و خش و قري و كسري هاي ظاهري به رؤيت مشتري مي باشد - ماندگاري بالا و افت مدل - لاستيكها كاركرده - خش و رنگ پريدگي سپر جلو - رنگ شدگي پيچ هاي درب موتور (تعويضي) - كسري شبرنگ - ( بدليل محدوديت زمان شماره گذاري خودرو بنام ايران خودرو پلاك شده است )</t>
  </si>
  <si>
    <t>444-40ي37</t>
  </si>
  <si>
    <t>کد کلاس: 57516</t>
  </si>
  <si>
    <t>شماره بدنه: KF610003</t>
  </si>
  <si>
    <t>شماره جایگاه: 569 (جهت بازدید)</t>
  </si>
  <si>
    <t>دنا كلاس 1 خاكستري متاليك</t>
  </si>
  <si>
    <t>FE036932</t>
  </si>
  <si>
    <t>147H0178413</t>
  </si>
  <si>
    <t>خط و خش و قري و كسري هاي ظاهري به رؤيت مشتري مي باشد - چراغ سرويس روشن - خراب بودن دستگيره داخلي جلو چپ - زنگ زدگي نقاطي از بدنه - مات بودن چراغ هاي جلو - خوردگي درب موتور و گلگير جلو چپ و درب جلو چپ و سپر جلو و درب جلو راست و ركاب راست و سپر جلو - مغاير بودن دستگيره بيروني درب عقب چپ و آينه بغل راست - خش و قري درب عقب چپ و گلگير عقب چپ و درب عقب راست - خش گلگير عقب راست - خوردگي ركاب چپ - خش عميق درب صندوق - كسري لوگوي وسط رينگ چرخ عقب راست - كسري ليوان - ديسك و صفحه كلاچ ضعيف مي باشد - باطري مستعمل و متفرقه - نمدي درب موتور مستعمل - شكستگي تيغه يك عدد سوئيچ - زيرپايي ها و تيغه برف پاك كن مستعمل - رنگ پريدگي جلو پنجره - شكستگي آينه بغل چپ - رينگ اسپرت خش و خوردگي دارد - لاستيكها مستعمل و متفرقه - رنگ پريدگي درب باك - زاپاس كاركرده و متفرقه - موكت صندوق مستعمل</t>
  </si>
  <si>
    <t>135-33ج69</t>
  </si>
  <si>
    <t>شماره بدنه: FE036932</t>
  </si>
  <si>
    <t>شماره جایگاه: 631 (جهت بازدید)</t>
  </si>
  <si>
    <t>NF169326</t>
  </si>
  <si>
    <t>147H0652448</t>
  </si>
  <si>
    <t>خط و خش و قري و كسري هاي ظاهري به رؤيت مشتري مي باشد - خط و خش و قري سقف - خش و رنگ پريدگي كلاف درب جلو چپ و عقب چپ - كسري دستگيره موكت صندوق و قاب قفل صندوق و دستگيره درب جلو راست و تيغه برف پاك كن جلو راست - شكستگي درب باك - سائيدگي درب داشبورد - ( ايرادات غير قابل ريورك مطابق استاندارد كارخانه )</t>
  </si>
  <si>
    <t>شماره بدنه: NF169326</t>
  </si>
  <si>
    <t>شماره جایگاه: 355 (جهت بازدید)</t>
  </si>
  <si>
    <t>NJ281237</t>
  </si>
  <si>
    <t>165A0197993</t>
  </si>
  <si>
    <t>خط وخش و قري و كسري هاي ظاهري به رؤيت مشتري مي باشد - تصادفي بودن گلگير عقب چپ - رنگ شدگي پيچ هاي درب موتور ( تعويضي كارخانه ) - اثر ضربه درب عقب راست - ( ايرادات غير قابل ريورك مطابق استاندارد كارخانه ) - كسري سوئيچ اصلي</t>
  </si>
  <si>
    <t>شماره بدنه: NJ281237</t>
  </si>
  <si>
    <t>شماره جایگاه: 446 (جهت بازدید)</t>
  </si>
  <si>
    <t>NJ280503</t>
  </si>
  <si>
    <t>165A0197660</t>
  </si>
  <si>
    <t>خط و خش و قري و كسري هاي ظاهري به رؤيت مشتري مي باشد - ايراد رنگي سقف ( ايرادات غير قابل ريورك مطابق استاندارد كارخانه ) - قري درب جلو راست و درب موتور - آچارخوردگي پيچ هاي درب موتور ( تعويضي كارخانه )</t>
  </si>
  <si>
    <t>شماره بدنه: NJ280503</t>
  </si>
  <si>
    <t>شماره جایگاه: 443 (جهت بازدید)</t>
  </si>
  <si>
    <t>NH454172</t>
  </si>
  <si>
    <t>125K0025836</t>
  </si>
  <si>
    <t>خط و خش و قري و كسري هاي ظاهري به رؤيت مشتري مي باشد - قري و خش گلگير جلو چپ ( ايراد رنگي دارد ) - كسري دستگيره موكت صندوق - خش درب صندوق - ايراد رنگي سقف - رنگ پريدگي سپر جلو - كسري ضربگير جلو چپ - شكستگي آينه بغل راست - قري درب عقب راست - كسري آنتن و شبرنگ - ( ايرادات غير قابل ريورك مطابق استاندارد كارخانه )</t>
  </si>
  <si>
    <t>شماره بدنه: NH454172</t>
  </si>
  <si>
    <t>شماره جایگاه: 535 (جهت بازدید)</t>
  </si>
  <si>
    <t>NF151748</t>
  </si>
  <si>
    <t>147H0626054</t>
  </si>
  <si>
    <t>خط و خش و قري و كسري هاي ظاهري به رؤيت مشتري مي باشد - قري و خش سقف و كلاف درب جلو و عقب راست - زاپاس كاركرده - قري درب جلو چپ و درب جلو راست - ( ايرادات غير قابل ريورك مطابق استاندارد كارخانه )</t>
  </si>
  <si>
    <t>شماره بدنه: NF151748</t>
  </si>
  <si>
    <t>شماره جایگاه: 354 (جهت بازدید)</t>
  </si>
  <si>
    <t>NT367066</t>
  </si>
  <si>
    <t>167B0162720</t>
  </si>
  <si>
    <t>خط و خش و قري و كسري هاي ظاهري به رؤيت مشتري مي باشد - ايراد رنگي سقف و درب صندوق - قري درب جلو راست - روشن بودن چراغ سرويس - قري درب جلو چپ - ( ايرادات غيرقابل ريورك مطابق استاندارد كارخانه )</t>
  </si>
  <si>
    <t>شماره بدنه: NT367066</t>
  </si>
  <si>
    <t>شماره جایگاه: 401 (جهت بازدید)</t>
  </si>
  <si>
    <t>NJ295652</t>
  </si>
  <si>
    <t>182A0178318</t>
  </si>
  <si>
    <t>خط و خش و قري و كسري هاي ظاهري به رؤيت مشتري مي باشد - قري و خش سقف - ( ايرادات غيرقابل ريورك مطابق استاندارد كارخانه )</t>
  </si>
  <si>
    <t>شماره بدنه: NJ295652</t>
  </si>
  <si>
    <t>شماره جایگاه: 439 (جهت بازدید)</t>
  </si>
  <si>
    <t>NJ281657</t>
  </si>
  <si>
    <t>165A0198304</t>
  </si>
  <si>
    <t>خط و خش و قري و كسري هاي ظاهري به رؤيت مشتري مي باشد - ايراد رنگي سقف ( ايرادات غير قابل ريورك مطابق استاندارد كارخانه )</t>
  </si>
  <si>
    <t>شماره بدنه: NJ281657</t>
  </si>
  <si>
    <t>شماره جایگاه: 437 (جهت بازدید)</t>
  </si>
  <si>
    <t>NF151699</t>
  </si>
  <si>
    <t>147H0626366</t>
  </si>
  <si>
    <t>خط و خش و قري و كسري هاي ظاهري به رؤيت مشتري مي باشد - ايراد رنگي بدنه دارد - قري درب عقب چپ - كسري يك عدد سوئيچ - ( ايرادات غير قابل ريورك مطابق استاندارد كارخانه )</t>
  </si>
  <si>
    <t>شماره بدنه: NF151699</t>
  </si>
  <si>
    <t>شماره جایگاه: 357 (جهت بازدید)</t>
  </si>
  <si>
    <t>NJ292785</t>
  </si>
  <si>
    <t>182A0177373</t>
  </si>
  <si>
    <t>خط و خش و قري و كسري هاي ظاهري به رؤيت مشتري مي باشد - تصادفي بودن گلگير عقب راست و درب عقب راست - كسري زيرسري ها - ( ايرادات غيرقابل ريورك مطابق استاندارد كارخانه )</t>
  </si>
  <si>
    <t>شماره بدنه: NJ292785</t>
  </si>
  <si>
    <t>شماره جایگاه: 438 (جهت بازدید)</t>
  </si>
  <si>
    <t>سورن EF7 بنزيني کلاس 19 خاكستري متال</t>
  </si>
  <si>
    <t>MF917058</t>
  </si>
  <si>
    <t>147H0607215</t>
  </si>
  <si>
    <t>خط و خش و قري و كسري هاي ظاهري به رؤيت مشتري مي باشد - ايراد رنگي بدنه- ايراد رنگي سقف - ماندگاري بالا و افت مدل - زاپاس كار كرده - قري درب عقب چپ - ( ايرادات غير قابل ريورك مطابق استاندارد كارخانه )</t>
  </si>
  <si>
    <t>شماره بدنه: MF917058</t>
  </si>
  <si>
    <t>شماره جایگاه: 348 (جهت بازدید)</t>
  </si>
  <si>
    <t>NJ289362</t>
  </si>
  <si>
    <t>165A0198631</t>
  </si>
  <si>
    <t>خط و خش و قري و كسري هاي ظاهري به رؤيت مشتري مي باشد - ايراد رنگي درب موتور - كسري قاب آينه جلو چپ - زدگي ضربگير سپر جلو - كسري آنتن - ( ايرادات غيرقابل ريورك مطابق استاندارد كارخانه )</t>
  </si>
  <si>
    <t>شماره بدنه: NJ289362</t>
  </si>
  <si>
    <t>شماره جایگاه: 436 (جهت بازدید)</t>
  </si>
  <si>
    <t>NJ294645</t>
  </si>
  <si>
    <t>165A0201686</t>
  </si>
  <si>
    <t>خط و خش و قري و كسري ظاهري به رؤيت مشتري مي باشد - اثر ضربه و قري و خش سقف و ستون جلو چپ و سايد روي سقف جلو چپ - ( ايرادات غير قابل ريورك مطابق استاندارد كارخانه )</t>
  </si>
  <si>
    <t>شماره بدنه: NJ294645</t>
  </si>
  <si>
    <t>شماره جایگاه: 434 (جهت بازدید)</t>
  </si>
  <si>
    <t>NJ291962</t>
  </si>
  <si>
    <t>165A0200794</t>
  </si>
  <si>
    <t>خط و خش و قري و كسري ظاهري به رؤيت مشتري مي باشد - ايراد رنگي بدنه - خش گلگيرهاي عقب و درب صندوق - كسري زيرپايي هاي عقب - قري درب جلو راست و درب عقب چپ - رنگ پريدگي قسمت هاي عقب بدنه - ايراد رنگي شيشه عقب زير درب صندوق - ( ايرادات غير قابل ريورك مطابق استاندارد كارخانه )</t>
  </si>
  <si>
    <t>شماره بدنه: NJ291962</t>
  </si>
  <si>
    <t>شماره جایگاه: 445 (جهت بازدید)</t>
  </si>
  <si>
    <t>NF168061</t>
  </si>
  <si>
    <t>147H0650778</t>
  </si>
  <si>
    <t>خط و خش و قري و كسري هاي ظاهري به رؤيت مشتري مي باشد - خوردگي ركابها و دربهاي عقب و درب جلو چپ - خش درب موتور - آچارخوردگي پيچ هاي درب موتور و گلگير جلو چپ ( تعويضي كارخانه ) - بالا بودن آمپر آب ( ايراد فني ) - كسري درب جعبه فيوز و زه درب عقب راست - لاستيكها كاركرده - ( ايرادات غير قابل ريورك مطابق استاندارد كارخانه )</t>
  </si>
  <si>
    <t>شماره بدنه: NF168061</t>
  </si>
  <si>
    <t>شماره جایگاه: 360 (جهت بازدید)</t>
  </si>
  <si>
    <t>NH443026</t>
  </si>
  <si>
    <t>125K0003948</t>
  </si>
  <si>
    <t>خط و خش و قري و كسري هاي ظاهري به رؤيت مشتري مي باشد - ايراد رنگي بدنه - كسري ضربگير دربها و درب جعبه فيوز و آنتن - خش درب صندوق - لاستيكها كاركرده - ( ايرادات غير قابل ريورك مطابق استاندارد كارخانه )</t>
  </si>
  <si>
    <t>شماره بدنه: NH443026</t>
  </si>
  <si>
    <t>شماره جایگاه: 536 (جهت بازدید)</t>
  </si>
  <si>
    <t>پژو 206 معمولي كلاس 31 مشكي متاليك</t>
  </si>
  <si>
    <t>NJ285040</t>
  </si>
  <si>
    <t>182A0169458</t>
  </si>
  <si>
    <t>خط و خش و قري و كسري هاي ظاهري به رؤيت مشتري مي باشد - ايراد رنگي بدنه - قري درب عقب راست - چراغ چك روشن - كولر خراب مي باشد - ( ايرادات غيرقابل ريورك مطابق استاندارد كارخانه )</t>
  </si>
  <si>
    <t>شماره بدنه: NJ285040</t>
  </si>
  <si>
    <t>شماره جایگاه: 440 (جهت بازدید)</t>
  </si>
  <si>
    <t>پژو پارس سال با موتور XU7 P کلاس 3 خاكستري متاليك</t>
  </si>
  <si>
    <t>NK851370</t>
  </si>
  <si>
    <t>125K0041357</t>
  </si>
  <si>
    <t>خط و خش و قري و كسري هاي ظاهري به رؤيت مشتري مي باشد - تصادفي سقف - قري درب راننده - ( ايرادات غير قابل ريورك مطابق استاندارد كارخانه )</t>
  </si>
  <si>
    <t>شماره بدنه: NK851370</t>
  </si>
  <si>
    <t>شماره جایگاه: 528 (جهت بازدید)</t>
  </si>
  <si>
    <t>NH443020</t>
  </si>
  <si>
    <t>125K0004143</t>
  </si>
  <si>
    <t>خط و خش و قري و كسري هاي ظاهري به رؤيت مشتري مي باشد - ايراد رنگي بدنه - لاستيكها كاركرده - عدم جذب ضربگير سپر جلو چپ - قري درب جلو راست - خش درب صندوق - ( ايرادات غيرقابل ريورك مطابق استاندارد كارخانه )</t>
  </si>
  <si>
    <t>شماره بدنه: NH443020</t>
  </si>
  <si>
    <t>شماره جایگاه: 534 (جهت بازدید)</t>
  </si>
  <si>
    <t>NF150121</t>
  </si>
  <si>
    <t>147H0624574</t>
  </si>
  <si>
    <t>خط و خش و قري و كسري هاي ظاهري به رؤيت مشتري مي باشد - تصادفي بودن زيرشاسي جلو چپ و گلگير جلو چپ و درب موتور و سپر جلو - قري و خش درب عقب راست - شكستگي مه شكن جلو راست - كسري درب باك و كليدهاي بالابر درب جلو چپ و كاور روي موتور و دستگيره ضامن كشويي كمربند جلو چپ و توري باند جلو راست و درب جعبه فيوز - باز نشدن صندوق از داخل - كسري پيچ ترمز درب عقب راست - آچارخوردگي پيچ هاي درب صندوق و درب موتور و گلگير جلو چپ ( تعويضي كارخانه ) - باز بودن سيم پيچي هاي داخل صندوق - لاستيكها كاركرده - ( ايرادات غير قابل ريورك مطابق استاندارد كارخانه )</t>
  </si>
  <si>
    <t>شماره بدنه: NF150121</t>
  </si>
  <si>
    <t>شماره جایگاه: 332 (جهت بازدید)</t>
  </si>
  <si>
    <t>NH442829</t>
  </si>
  <si>
    <t>125K0003911</t>
  </si>
  <si>
    <t>خط و خش و قري و كسري هاي ظاهري به رؤيت مشتري مي باشد - ايراد رنگي بدنه - كسري ضربگير درب جلو راست - كسري آنتن و شبرنگ - ( ايرادات غيرقابل ريورك مطابق استاندارد كارخانه )</t>
  </si>
  <si>
    <t>شماره بدنه: NH442829</t>
  </si>
  <si>
    <t>شماره جایگاه: 538 (جهت بازدید)</t>
  </si>
  <si>
    <t>NH459452</t>
  </si>
  <si>
    <t>125K0035535</t>
  </si>
  <si>
    <t>خط و خش و قري و كسري هاي ظاهري به رؤيت مشتري مي باشد - اثر ضربه و شكستگي شيشه جلو - اثر ضربه و قري كلاف درب جلو راست و چپ - اثر ضربه و قري سقف - رنگ پريدگي سپر جلو ( ايرادات غيرقابل ريورك مطابق استاندارد كارخانه )</t>
  </si>
  <si>
    <t>شماره بدنه: NH459452</t>
  </si>
  <si>
    <t>NH457586</t>
  </si>
  <si>
    <t>125K0034248</t>
  </si>
  <si>
    <t>خط و خش و قري و كسري هاي ظاهري به رؤيت مشتري مي باشد - تصادفي بودن سپرها و درب موتور و سقف چپ و شكستگي شيشه عقب و تصادفي بودن گلگيرهاي عقب و پليت عقب و چراغ هاي عقب و جلو پنجره و رادياتور و درب صندوق و شاسي عقب و كف صندوق و ستون عقب چپ و مه شكن جلو راست و چراغ جلو راست و ابرويي زير چراغ هاي جلو - ( ايرادات غير قابل ريورك مطابق استاندارد كارخانه )</t>
  </si>
  <si>
    <t>شماره بدنه: NH457586</t>
  </si>
  <si>
    <t>NK846751</t>
  </si>
  <si>
    <t>125K0028913</t>
  </si>
  <si>
    <t>خط و خش و قري و كسري هاي ظاهري به رؤيت مشتري مي باشد - اثر ضربه و قري و خش سقف - اثر ضربه و رنگ پريدگي كلاف درب جلو راست و چپ - موتور خودرو استارت مي خورد ولي روشن نمي شود - قري و خش درب جلو راست -( ايرادات غيرقابل ريورك مطابق استاندارد كارخانه )</t>
  </si>
  <si>
    <t>شماره بدنه: NK846751</t>
  </si>
  <si>
    <t>NT369162</t>
  </si>
  <si>
    <t>172B0087866</t>
  </si>
  <si>
    <t>خط و خش و قري و كسري هاي ظاهري به رؤيت مشتري مي باشد - قري و رنگ پريدگي گلگير جلو راست و درب موتور - رنگ شدگي پيچ هاي درب موتور ( تعويضي كارخانه ) - ( ايرادات غير قابل ريورك مطابق استاندارد كارخانه )</t>
  </si>
  <si>
    <t>شماره بدنه: NT369162</t>
  </si>
  <si>
    <t>شماره جایگاه: 398 (جهت بازدید)</t>
  </si>
  <si>
    <t>NJ281622</t>
  </si>
  <si>
    <t>165A0198301</t>
  </si>
  <si>
    <t>شماره بدنه: NJ281622</t>
  </si>
  <si>
    <t>شماره جایگاه: 441 (جهت بازدید)</t>
  </si>
  <si>
    <t>دنا+ (پلاس) كلاس9 سفيد دوپوششه كانزاي</t>
  </si>
  <si>
    <t>KE184630</t>
  </si>
  <si>
    <t>1401/11/23</t>
  </si>
  <si>
    <t>147H0462132</t>
  </si>
  <si>
    <t>خط و خش و قري و كسري هاي ظاهري به رؤيت مشتري مي باشد - ايراد رنگي بدنه - زنگ زدگي زير ابرويي پلاك عقب - زنگ زدگي درب صندوق - ايراد زنگ زدگي گلگير عقب راست و هلالي گلگير عقب راست و عقب چپ - چراغ ي بي اس و آچار روشن - كسري ليوان - زنگ زدگي گلگيرهاي جلو و درب موتور - خوردگي سپر عقب و سپر جلو - شكستگي پايه مه شكن جلو چپ - خش و رنگ پريدگي دربهاي راست و دربهاي چپ - باطري مستعمل و دشارژ - زيرپايي ها و تيغه برف پاك كن مستعمل - لاستيكها كاركرده و عقب چپ پنچر - جك و آچارچرخ و موكت صندوق مستعمل - زاپاس تركيده</t>
  </si>
  <si>
    <t>694-34ي38</t>
  </si>
  <si>
    <t>DENA+EF7-MT</t>
  </si>
  <si>
    <t>کد کلاس: 70309</t>
  </si>
  <si>
    <t>شماره بدنه: KE184630</t>
  </si>
  <si>
    <t>شماره جایگاه: 40 (جهت بازدید)</t>
  </si>
  <si>
    <t>NH878607</t>
  </si>
  <si>
    <t>139B0284539</t>
  </si>
  <si>
    <t>خط و خش و قري و كسري هاي ظاهري به رؤيت مشتري مي باشد - تصادفي بودن درب جلو چپ و گلگير جلو چپ - شكستگي رودري جلو چپ و پدال گاز - پنچربودن چرخ عقب چپ - كسري سوئيچ ها - كسري دو عدد قالپاق - كسري قاب پشت برف پاك كن - شكستگي دستگيره درب راننده - كسري دكمه قفل كن درب راننده -</t>
  </si>
  <si>
    <t>شماره بدنه: NH878607</t>
  </si>
  <si>
    <t>NH448474</t>
  </si>
  <si>
    <t>125K0013766</t>
  </si>
  <si>
    <t>خط و خش و قري و كسري ظاهري به رؤيت مشتري مي باشد - قري و رنگ پريدگي گلگير جلو راست و رنگ پريدگي درب موتور و درب جلو راست و سپر جلو - ( ايرادات غير قابل ريورك مطابق استاندارد كارخانه )</t>
  </si>
  <si>
    <t>شماره بدنه: NH448474</t>
  </si>
  <si>
    <t>رانا کلاس 15 خاكستري متاليك</t>
  </si>
  <si>
    <t>NT363771</t>
  </si>
  <si>
    <t>167B0155702</t>
  </si>
  <si>
    <t>خط و خش و قري و كسري هاي ظاهري به رؤيت مشتري مي باشد - تصادفي بودن گلگير عقب چپ - شكستگي خار چراغ سقف - كسري درب جعبه فيوز - قري درب عقب راست - كسري بكسل بند - شبرنگ متفرقه - ( ايرادات غيرقابل ريورك مطابق استاندارد كارخانه )</t>
  </si>
  <si>
    <t>شماره بدنه: NT363771</t>
  </si>
  <si>
    <t>شماره جایگاه: 403 (جهت بازدید)</t>
  </si>
  <si>
    <t>NK464888</t>
  </si>
  <si>
    <t>125K0017494</t>
  </si>
  <si>
    <t>خط و خش و قري و كسري هاي ظاهري به رؤيت مشتري مي باشد - كيلومتر خراب مي باشد - كسري آنتن - ايراد رنگي زير كار در ناحيه درب موتور و درب صندوق ( راست ) - كسري آرم سوئيچ - ( ايرادات غير قابل ريورك مطابق استاندارد كارخانه )</t>
  </si>
  <si>
    <t>شماره بدنه: NK464888</t>
  </si>
  <si>
    <t>شماره جایگاه: 529 (جهت بازدید)</t>
  </si>
  <si>
    <t>پژو پارس سال با موتور XU7 P کلاس 3 مشكي متاليك</t>
  </si>
  <si>
    <t>NH450263</t>
  </si>
  <si>
    <t>125K0017824</t>
  </si>
  <si>
    <t>خط و خش و قري و كسري هاي ظاهري به رؤيت مشتري مي باشد - ايراد رنگي بدنه - رنگ پريدگي گلگير جلو راست - كسري ولوم ضبط - قري درب جلو راست و درب جلو چپ - ( ايرادات غيرقابل ريورك مطابق استاندارد كارخانه )</t>
  </si>
  <si>
    <t>شماره بدنه: NH450263</t>
  </si>
  <si>
    <t>NH446863</t>
  </si>
  <si>
    <t>125K0009995</t>
  </si>
  <si>
    <t>خط و خش و قري و كسري هاي ظاهري به رؤيت مشتري مي باشد - ايراد رنگي درب موتور - خش درب صندوق - ( ايرادات غيرقابل ريورك مطابق استاندارد كارخانه )</t>
  </si>
  <si>
    <t>شماره بدنه: NH446863</t>
  </si>
  <si>
    <t>شماره جایگاه: 531 (جهت بازدید)</t>
  </si>
  <si>
    <t>NH459026</t>
  </si>
  <si>
    <t>125K0038097</t>
  </si>
  <si>
    <t>خط و خش و قري و كسري هاي ظاهري به رؤيت مشتري مي باشد - ايراد رنگي درب عقب چپ - رنگ پريدگي درب عقب چپ - روشن ماندن چراغ چك - موج ورق دربهاي جلو - موتور بد كار مي كند و لرزش دارد - ( ايرادات غيرقابل ريورك مطابق استاندارد كارخانه )</t>
  </si>
  <si>
    <t>شماره بدنه: NH459026</t>
  </si>
  <si>
    <t>NF168356</t>
  </si>
  <si>
    <t>147H0651152</t>
  </si>
  <si>
    <t>خط و خش و قري و كسري هاي ظاهري به رؤيت مشتري مي باشد - قري و خش سقف و درب موتور - كسري تنظيم آينه ها - آچارخوردگي پيچ هاي درب موتور و درب صندوق ( تعويضي كارخانه ) - شكستگي داشبورد و كسري دريچه كولر - قري درب عقب راست - اثر ضربه روي بكسل بند جلو - آويزان بودن سيم كشي هاي دربها - خش سپر عقب - كسري جك كاپوت و درب جعبه فيوز - خوردگي سپر جلو - لاستيكها كاركرده - ( ايرادات غير قابل ريورك مطابق استاندارد كارخانه )</t>
  </si>
  <si>
    <t>شماره بدنه: NF168356</t>
  </si>
  <si>
    <t>شماره جایگاه: 341 (جهت بازدید)</t>
  </si>
  <si>
    <t>NH444382</t>
  </si>
  <si>
    <t>125K0005421</t>
  </si>
  <si>
    <t>خط و خش و قري و كسري هاي ظاهري به رؤيت مشتري مي باشد - ايراد رنگي درب صندوق و زير درب صندوق - قري درب جلو چپ و درب جلو راست - عدم چسبندگي زه دربها - كسري آنتن - ( ايرادات غير قابل ريورك مطابق استاندارد كارخانه )</t>
  </si>
  <si>
    <t>شماره بدنه: NH444382</t>
  </si>
  <si>
    <t>NH459782</t>
  </si>
  <si>
    <t>125K0035956</t>
  </si>
  <si>
    <t>خط و خش و قري و كسري هاي ظاهري به رؤيت مشتري مي باشد - قري و خش سقف - خراشيدگي و رنگ پريدگي كلاف درب عقب چپ - پروژكتور جلو راست شكسته - كسري آنتن - ( ايرادات غير قابل ريورك مطابق استاندارد كارخانه )</t>
  </si>
  <si>
    <t>شماره بدنه: NH459782</t>
  </si>
  <si>
    <t>شماره جایگاه: 526 (جهت بازدید)</t>
  </si>
  <si>
    <t>NH442830</t>
  </si>
  <si>
    <t>125K0003884</t>
  </si>
  <si>
    <t>خط و خش و قري و كسري هاي ظاهري به رؤيت مشتري مي باشد - ايراد رنگي در نقاطي از بدنه - خودرو استارت نمي خورد و روشن نميشود - ( ايرادات غير قابل ريورك مطابق استاندارد كارخانه )</t>
  </si>
  <si>
    <t>شماره بدنه: NH442830</t>
  </si>
  <si>
    <t>NT372792</t>
  </si>
  <si>
    <t>172B0090639</t>
  </si>
  <si>
    <t>خط و خش و قري و كسري هاي ظاهري به رؤيت مشتري مي باشد - ايراد رنگي درب صندوق - كسري آرم صندوق - آچارخوردگي پيچ هاي درب صندوق ( تعويضي كارخانه ) - كولر خراب مي باشد - ( ايرادات غير قابل ريورك مطابق استاندارد كارخانه )</t>
  </si>
  <si>
    <t>شماره بدنه: NT372792</t>
  </si>
  <si>
    <t>شماره جایگاه: 396 (جهت بازدید)</t>
  </si>
  <si>
    <t>NK460439</t>
  </si>
  <si>
    <t>125K0004558</t>
  </si>
  <si>
    <t>خط و خش و قري و كسري هاي ظاهري به رؤيت مشتري مي باشد - ايراد رنگي سقف (سوختگي رنگ سقف در چند ناحيه ) - كسري شبرنگ - ( ايرادات غير قابل ريورك مطابق استاندارد كارخانه )</t>
  </si>
  <si>
    <t>شماره بدنه: NK460439</t>
  </si>
  <si>
    <t>شماره جایگاه: 521 (جهت بازدید)</t>
  </si>
  <si>
    <t>رانا کلاس 15 مشكي متاليك</t>
  </si>
  <si>
    <t>NT368776</t>
  </si>
  <si>
    <t>172B0087576</t>
  </si>
  <si>
    <t>خط و خش و قري و كسري ظاهري به رؤيت مشتري مي باشد - ايراد رنگي بدنه - ايراد رنگي درب موتور (دورنگي دارد ) - قري درب عقب راست بالاي دستگيره - ( ايرادات غير قابل ريورك مطابق استاندارد كارخانه )</t>
  </si>
  <si>
    <t>شماره بدنه: NT368776</t>
  </si>
  <si>
    <t>شماره جایگاه: 410 (جهت بازدید)</t>
  </si>
  <si>
    <t>KF610001</t>
  </si>
  <si>
    <t>147H0446840</t>
  </si>
  <si>
    <t>خط و خش و قري و كسري هاي ظاهري به رؤيت مشتري ميباشد -ماندگاري بالا و افت مدل - شكستگي دستگيره موكت صندوق - رنگ پريدگي زه درب جلو راست - مات بودن چراغ جلو - باز نشدن درب صندوق - خش سپر جلو - لاستيكها كاركرده - كسري شبرنگ و آنتن - ( ايرادات غيرقابل ريورك مطابق استاندارد كارخانه )</t>
  </si>
  <si>
    <t>137-40ي45</t>
  </si>
  <si>
    <t>شماره بدنه: KF610001</t>
  </si>
  <si>
    <t>شماره جایگاه: 570 (جهت بازدید)</t>
  </si>
  <si>
    <t>KF610005</t>
  </si>
  <si>
    <t>147H0446834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</si>
  <si>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رنگ پريدگي سپر عقب - خش گلگير عقب چپ - قري درب جلو راست</t>
  </si>
  <si>
    <t>999-40ي42</t>
  </si>
  <si>
    <t>شماره بدنه: KF610005</t>
  </si>
  <si>
    <t>شماره جایگاه: 571 (جهت بازدید)</t>
  </si>
  <si>
    <t>KF610004</t>
  </si>
  <si>
    <t>147H0446841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</si>
  <si>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رنگ پريدگي فلاپ عقب و زه درب عقب چپ - كسري دستگيره موكت صندوق - خرابي راديوپخش و بخاري و كولر - كسري دكمه تنظيم صندلي راننده</t>
  </si>
  <si>
    <t>111-40ي37</t>
  </si>
  <si>
    <t>شماره بدنه: KF610004</t>
  </si>
  <si>
    <t>شماره جایگاه: 572 (جهت بازدید)</t>
  </si>
  <si>
    <t>NT373366</t>
  </si>
  <si>
    <t>167B0175216</t>
  </si>
  <si>
    <t>خط و خش و قري و كسري هاي ظاهري به رؤيت مشتري مي باشد - ايراد رنگي درب عقب راست ( تعويضي ) - قري درب عقب چپ و درب جلو راست - ( ايرادات غيرقابل ريورك مطابق استاندارد كارخانه )</t>
  </si>
  <si>
    <t>شماره بدنه: NT373366</t>
  </si>
  <si>
    <t>شماره جایگاه: 411 (جهت بازدید)</t>
  </si>
  <si>
    <t>NF167904</t>
  </si>
  <si>
    <t>147H0650714</t>
  </si>
  <si>
    <t>خط و خش و قري و كسري هاي ظاهري به رؤيت مشتري مي باشد - ايراد رنگي بدنه - ايراد رنگي درب جلو چپ ( دورنگ مي باشد ) - جابجايي زاپاس با چرخ جلو - ( ايرادات غير قابل ريورك مطابق استاندارد كارخانه )</t>
  </si>
  <si>
    <t>شماره بدنه: NF167904</t>
  </si>
  <si>
    <t>شماره جایگاه: 353 (جهت بازدید)</t>
  </si>
  <si>
    <t>NF162194</t>
  </si>
  <si>
    <t>147H0645226</t>
  </si>
  <si>
    <t>خط و خش و قري و كسري هاي ظاهري به رؤيت مشتري مي باشد - رنگ پريدگي نقاط مختلف بدنه - كليد صندوق پران خراب مي باشد - ( ايرادات غيرقابل ريورك مطابق استاندارد كارخانه )</t>
  </si>
  <si>
    <t>شماره بدنه: NF162194</t>
  </si>
  <si>
    <t>شماره جایگاه: 351 (جهت بازدید)</t>
  </si>
  <si>
    <t>NH458454</t>
  </si>
  <si>
    <t>125K0034690</t>
  </si>
  <si>
    <t>خط و خش و قري و كسري هاي ظاهري به رؤيت مشتري مي باشد - ايراد رنگي درب صندوق - كسري آرم درب صندوق و درب جعبه فيوز و تيغه برف پاك كن چپ - آچارخوردگي پيچ هاي درب صندوق ( تعويضي كارخانه ) - كسري قفل كن درب باك - موتور خودرو استارت مي خورد ولي روشن نمي شود - عدم تست فني خودرو - ( ايرادات غيرقابل ريورك مطابق استاندارد كارخانه )</t>
  </si>
  <si>
    <t>شماره بدنه: NH458454</t>
  </si>
  <si>
    <t>NH402607</t>
  </si>
  <si>
    <t>125K0040009</t>
  </si>
  <si>
    <t>خط و خش و قري و كسري هاي ظاهري به رؤيت مشتري مي باشد - قري و خش سقف - خش ركاب چپ - سائيدگي و رنگ پريدگي سپر جلو - موتور خودرو استارت ميخورد ولي روشن نميشود - باطري دشارژ - كسري يك عدد سوئيچ - رنگ پريدگي آينه راست - ( ايرادات غير قابل ريورك مطابق استاندارد كارخانه )</t>
  </si>
  <si>
    <t>شماره بدنه: NH402607</t>
  </si>
  <si>
    <t>NT374542</t>
  </si>
  <si>
    <t>172B0091496</t>
  </si>
  <si>
    <t>خط و خش و قري و كسري هاي ظاهري به رؤيت مشتري مي باشد - ايراد رنگي درب عقب چپ - قري درب عقب راست - ( ايرادات غيرقابل ريورك مطابق استاندارد كارخانه )</t>
  </si>
  <si>
    <t>شماره بدنه: NT374542</t>
  </si>
  <si>
    <t>شماره جایگاه: 406 (جهت بازدید)</t>
  </si>
  <si>
    <t>NF151009</t>
  </si>
  <si>
    <t>147H0624777</t>
  </si>
  <si>
    <t>خط و خش و قري و كسري هاي ظاهري به رؤيت مشتري مي باشد - قري و خش سقف و كلاف درب جلو و عقب راست - قري درب جلو راست - ( ايرادات غير قابل ريورك مطابق استاندارد كارخانه )</t>
  </si>
  <si>
    <t>شماره بدنه: NF151009</t>
  </si>
  <si>
    <t>شماره جایگاه: 344 (جهت بازدید)</t>
  </si>
  <si>
    <t>KE189399</t>
  </si>
  <si>
    <t>1401/08/11</t>
  </si>
  <si>
    <t>147H0461535</t>
  </si>
  <si>
    <t>خط و خش و قري و كسري هاي ظاهري به رؤيت مشتري مي باشد - ايراد رنگي بدنه دارد - ايراد زنگ زدگي لولاي درب موتور و سمت چپ بدنه و محوطه زير سيني جلو چپ و زير درب جلو راست و زير نوار خط كلاف درب جلو و عقب راست و زير درب صندوق و زير نوار خط درب عقب چپ و پشت كلاف درب جلو چپ - رنگ پريدگي و خش سپر جلو - ماليدگي و قري هلالي گلگير عقب چپ و درب عقب چپ - خش و رنگ پريدگي سپر عقب - رنگ پريدگي و قري گلگير عقب راست - رنگ پريدگي فلاپ ركاب راست - ايراد زنگ زدگي محوطه موتور و گلگير جلو چپ - كسري فندك - تيغه برف پاك كن مستعمل - خش آينه جانبي چپ - - لاستيك ها مستعمل و متفرقه - زاپاس مستعمل</t>
  </si>
  <si>
    <t>236-91س75</t>
  </si>
  <si>
    <t>شماره بدنه: KE189399</t>
  </si>
  <si>
    <t>شماره جایگاه: 39 (جهت بازدید)</t>
  </si>
  <si>
    <t>پژو 206 معمولي كلاس 30 سفيد دو پوششه</t>
  </si>
  <si>
    <t>JJ568898</t>
  </si>
  <si>
    <t>1401/12/21</t>
  </si>
  <si>
    <t>182A0043014</t>
  </si>
  <si>
    <t>خط و خش و قري و كسري هاي ظاهري به رؤيت مشتري مي باشد - عدم تست فني خودرو - شكستگي فلاپ عقب - زنگ زدگي جك هاي درب صندوق - رنگ پريدگي سيني پشت سپر عقب - ايراد رنگي كف صندوق و خوردگي كف صندوق و خش و قري و رنگ پريدگي دربهاي راست و خش و رنگ پريدگي گلگير جلو راست و گلگير عقب راست و درب صندوق و سپر عقب و خوردگي سپر جلو و شكستگي مه شكن جلو چپ - خش و رنگ پريدگي درب موتور - قري و خش و رنگ پريدگي دربهاي چپ و گلگير جلو چپ و گلگير عقب چپ و رنگ پريدگي ركاب چپ - شكستگي خار نگهدارنده فيوزهاي داخل اتاق و كسري فيوزهاي داخل اتاق - باطري مستعمل و دشارژ - كسري سيني زير موتور و يك عدد سوئيچ و فندك - زيرپايي ها و تيغه برف پاك كن مستعمل - خش و رنگ پريدگي جلو پنجره - دو عدد قالپاق متفرقه - لاستيكها مستعمل و متفرقه - شكستگي شيشه جلو - زاپاس مستعمل و متفرقه و مغاير</t>
  </si>
  <si>
    <t>585-33ص83</t>
  </si>
  <si>
    <t>کد کلاس: 26030</t>
  </si>
  <si>
    <t>شماره بدنه: JJ568898</t>
  </si>
  <si>
    <t>شماره جایگاه: 638 (جهت بازدید)</t>
  </si>
  <si>
    <t>سمند LX دوگانه سوز كلاس 17 سفيد دو پوششه</t>
  </si>
  <si>
    <t>KF625010</t>
  </si>
  <si>
    <t>124K1336670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</si>
  <si>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شكستگي شيشه جلو - كسري تيغه برف پاك كن راست و بست منفي باطري - رنگ پريدگي سپر جلو</t>
  </si>
  <si>
    <t>666-40ي32</t>
  </si>
  <si>
    <t>LX XU7 CNG</t>
  </si>
  <si>
    <t>کد کلاس: 29817</t>
  </si>
  <si>
    <t>شماره بدنه: KF625010</t>
  </si>
  <si>
    <t>شماره جایگاه: 590 (جهت بازدید)</t>
  </si>
  <si>
    <t>سورن EF7 بنزيني کلاس 21 سفيد دو پوششه</t>
  </si>
  <si>
    <t>LF652124</t>
  </si>
  <si>
    <t>147H0529595</t>
  </si>
  <si>
    <t>خط و خش و قري و كسري هاي ظاهري به رؤيت مشتري مي باشد - ايراد رنگي بدنه - خش و رنگ پريدگي درب موتور - قري گلگير عقب چپ - چراغ سرويس روشن - خش داشبورد و كنسول وسط - قري و خش درب عقب چپ - خش و رنگ پريدگي درب جلو چپ - رنگ پريدگي زه دربهاي چپ - خوردگي سپر عقب - خش و لكه گيري درب صندوق - قري درب عقب راست - رنگ پريدگي زه دربهاي راست و لبه درب جلو راست - سائيدگي سپر جلو - لامپ مه شكن جلو چپ سوخته - شكستگي جاسيگاري جلو - زيرپايي ها و تيغه برف پاك كن مستعمل - خش آينه جانبي راست - قالپاق ها دو عدد شكسته و خش دارند - لاستيكها مستعمل و متفرقه - خش چراغ عقب راست - زاپاس كاركرده و متفرقه</t>
  </si>
  <si>
    <t>418-10ص17</t>
  </si>
  <si>
    <t>کد کلاس: 57521</t>
  </si>
  <si>
    <t>شماره بدنه: LF652124</t>
  </si>
  <si>
    <t>شماره جایگاه: 566 (جهت بازدید)</t>
  </si>
  <si>
    <t>شماره جایگاه: 585 (جهت بازدید)</t>
  </si>
  <si>
    <t>KF625006</t>
  </si>
  <si>
    <t>124K1336672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</si>
  <si>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كسري درپوش سي ان جي - قري دربهاي چپ - دفرمگي زه درب راننده - خش عميق گلگير عقب چپ - رنگ پريدگي سپرها</t>
  </si>
  <si>
    <t>222-40ي43</t>
  </si>
  <si>
    <t>شماره بدنه: KF625006</t>
  </si>
  <si>
    <t>شماره جایگاه: 586 (جهت بازدید)</t>
  </si>
  <si>
    <t>KF625011</t>
  </si>
  <si>
    <t>124K1336671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</si>
  <si>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رودري درب راننده مستعمل و پاره</t>
  </si>
  <si>
    <t>157-40ي45</t>
  </si>
  <si>
    <t>شماره بدنه: KF625011</t>
  </si>
  <si>
    <t>شماره جایگاه: 587 (جهت بازدید)</t>
  </si>
  <si>
    <t>KF625007</t>
  </si>
  <si>
    <t>124K1336675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</si>
  <si>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رنگ پريدگي سپر جلو</t>
  </si>
  <si>
    <t>119-40ي45</t>
  </si>
  <si>
    <t>شماره بدنه: KF625007</t>
  </si>
  <si>
    <t>شماره جایگاه: 588 (جهت بازدید)</t>
  </si>
  <si>
    <t>KF625008</t>
  </si>
  <si>
    <t>124K1336678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</si>
  <si>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خرابي آمپر بنزين</t>
  </si>
  <si>
    <t>134-40ي45</t>
  </si>
  <si>
    <t>شماره بدنه: KF625008</t>
  </si>
  <si>
    <t>شماره جایگاه: 589 (جهت بازدید)</t>
  </si>
  <si>
    <t>رانا پلاس با موتور TU5P و گيربکس 6 سرعته دستي کلاس 3 خاكستري متاليك</t>
  </si>
  <si>
    <t>NT343240</t>
  </si>
  <si>
    <t>188B0006229</t>
  </si>
  <si>
    <t>خط و خش و قري و كسري هاي ظاهري به رؤيت مشتري مي باشد - تصادفي بودن سرشاسي جلو راست و گلگير جلو راست - شكستگي گلگير جلو راست و سپر جلو و جراغ جلو راست - قري درب جلو چپ - باز بودن سوكت زير سپر - كسري درب جعبه فيوز و آنتن - ( ايرادات غير قابل ريورك مطابق استاندارد كارخانه )</t>
  </si>
  <si>
    <t>+TU5</t>
  </si>
  <si>
    <t>کد کلاس: 61503</t>
  </si>
  <si>
    <t>شماره بدنه: NT343240</t>
  </si>
  <si>
    <t>شماره جایگاه: 515 (جهت بازدید)</t>
  </si>
  <si>
    <t>NF233163</t>
  </si>
  <si>
    <t>147H0658854</t>
  </si>
  <si>
    <t>خط و خش و قري و كسري هاي ظاهري به رؤيت مشتري مي باشد - قري و خش هلالي گلگير عقب راست و درب عقب راست - كسري آنتن ( ايرادات غير قابل ريورك مطابق استاندارد كارخانه )</t>
  </si>
  <si>
    <t>شماره بدنه: NF233163</t>
  </si>
  <si>
    <t>شماره جایگاه: 345 (جهت بازدید)</t>
  </si>
  <si>
    <t>سورن EF7 بنزيني کلاس 23 مشكي متاليك</t>
  </si>
  <si>
    <t>NF155757</t>
  </si>
  <si>
    <t>147H0632867</t>
  </si>
  <si>
    <t>خط و خش و قري و كسري هاي ظاهري به رؤيت مشتري مي باشد - ايراد رنگي درب موتور و درب صندوق - كسري دستگيره موكت صندوق - خش درب راننده - كسري يك عدد سوئيچ - ( ايرادات غير قابل ريورك مطابق استاندارد كارخانه )</t>
  </si>
  <si>
    <t>شماره بدنه: NF155757</t>
  </si>
  <si>
    <t>شماره جایگاه: 343 (جهت بازدید)</t>
  </si>
  <si>
    <t>NF159876</t>
  </si>
  <si>
    <t>147H0640833</t>
  </si>
  <si>
    <t>خط و خش و قري و كسري هاي ظاهري به رؤيت مشتري مي باشد - قري درب جلو راست ( ايراد رنگي دارد و دورنگ مي باشد ) - كسري ضربگير درب جلو راست ( ايرادات غير قابل ريورك مطابق استاندارد كارخانه )</t>
  </si>
  <si>
    <t>شماره بدنه: NF159876</t>
  </si>
  <si>
    <t>شماره جایگاه: 346 (جهت بازدید)</t>
  </si>
  <si>
    <t>NF168088</t>
  </si>
  <si>
    <t>147H0651751</t>
  </si>
  <si>
    <t>خط و خش و قري و كسري هاي ظاهري به رؤيت مشتري مي باشد - لاستيك ها كار كرده - جوشكاري در ناحيه شاسي از زير بدنه سمت جلو راست ( تعمير پارگي ورق زير بدنه ) - ايراد رنگي بدنه در ناحيه جوشكاري - خش و قري گلگير جلو چپ - سائيدگي سپر جلو - ايراد رنگي درب باك - ( ايرادات غيرقابل ريورك مطابق استاندارد كارخانه )</t>
  </si>
  <si>
    <t>شماره بدنه: NF168088</t>
  </si>
  <si>
    <t>شماره جایگاه: 347 (جهت بازدید)</t>
  </si>
  <si>
    <t>NT344874</t>
  </si>
  <si>
    <t>188B0007633</t>
  </si>
  <si>
    <t>خط و خش و قري و كسري هاي ظاهري به رؤيت مشتري مي باشد - تصادفي بودن گلگير عقب چپ - ايراد رنگي سقف - شكستگي آرم صندوق - قري درب عقب راست - ايراد رنگي درب موتور - باطري دشارژ - ( ايرادات غير قابل ريورك مطابق استاندارد كارخانه )</t>
  </si>
  <si>
    <t>شماره بدنه: NT344874</t>
  </si>
  <si>
    <t>شماره جایگاه: 519 (جهت بازدید)</t>
  </si>
  <si>
    <t>رانا پلاس با موتور TU5P و گيربکس 6 سرعته دستي کلاس 2 سفيد دو پوششه</t>
  </si>
  <si>
    <t>MT300128</t>
  </si>
  <si>
    <t>188B0000175</t>
  </si>
  <si>
    <t>خط و خش و قري و كسري هاي ظاهري به رؤيت مشتري مي باشد - ايراد رنگي سقف و درب صندوق و گلگير عقب راست - كسري فندك و جاسيگاري - آمپر بنزين خراب مي باشد - چراغ چك روشن - ( ايرادات غير قابل ريورك مطابق استاندارد كارخانه )</t>
  </si>
  <si>
    <t>کد کلاس: 61502</t>
  </si>
  <si>
    <t>شماره بدنه: MT300128</t>
  </si>
  <si>
    <t>شماره جایگاه: 518 (جهت بازدید)</t>
  </si>
  <si>
    <t>LF650634</t>
  </si>
  <si>
    <t>147H0515433</t>
  </si>
  <si>
    <t>خط و خش و قري و كسري هاي ظاهري به رؤيت مشتري مي باشد - ماندگاري بالا و افت مدل - باطري و زيرپايي ها و تيغه برف پاك كن مستعمل - كسري فندك - شكستگي جلو پنجره - كسري آنتن و دو عدد قالپاق - لاستيكها كاركرده - زاپاس مستعمل و متفرقه و پنچر - چراغ سرويس و اي بي اس روشن - رنگ پريدگي زه دربها - كف صندوق آثار روغن دارد - قري سقف و درب عقب راست - رنگ پريدگي سپر جلو و گلگير عقب چپ - ( بدليل محدوديت زمان شماره گذاري خودرو بنام ايران خودرو پلاك شده است )</t>
  </si>
  <si>
    <t>333-40ي26</t>
  </si>
  <si>
    <t>شماره بدنه: LF650634</t>
  </si>
  <si>
    <t>شماره جایگاه: 565 (جهت بازدید)</t>
  </si>
  <si>
    <t>LJ174107</t>
  </si>
  <si>
    <t>1401/12/04</t>
  </si>
  <si>
    <t>182A0122014</t>
  </si>
  <si>
    <t>خط و خش و قري و كسري هاي ظاهري به رؤيت مشتري مي باشد - ايراد رنگي بدنه ( سقف و درب موتور ) - خوردگي لبه گلگير جلو راست - خش سپر جلو - خش و قري درب جلو راست و ركاب راست و گلگير عقب راست و درب عقب راست - خش و رنگ پريدگي سپر عقب - خش درب صندوق - خش و رنگ پريدگي گلگير عقب چپ - خش و قري درب عقب چپ - خش و رنگ پريدگي درب جلو چپ - خوردگي گلگير جلو چپ - خش ركاب چپ - باطري مستعمل و متفرقه - نمدي درب موتور و زيرپايي و تيغه برف پاك كن مستعمل - سائيدگي آينه هاي جانبي - قالپاق ها رنگ پريدگي دارد - لاستيكها مستعمل - موكت صندوق مستعمل و متفرقه - موتور خودرو لرزش دارد</t>
  </si>
  <si>
    <t>شماره بدنه: LJ174107</t>
  </si>
  <si>
    <t>شماره جایگاه: 595 (جهت بازدید)</t>
  </si>
  <si>
    <t>رانا پلاس با موتور TU5P و گيربکس 6 سرعته دستي کلاس 3 سفيد دو پوششه</t>
  </si>
  <si>
    <t>NT341672</t>
  </si>
  <si>
    <t>188B0004708</t>
  </si>
  <si>
    <t>خط و خش و قري و كسري هاي ظاهري به رؤيت مشتري مي باشد - ايراد رنگي سقف و درب صندوق - ( ايرادات غير قابل ريورك مطابق استاندارد كارخانه ) - آچارخوردگي پيچ هاي درب صندوق ( تعويضي كارخانه ) و پيچ پايه نگهدارنده دسته موتور بالا</t>
  </si>
  <si>
    <t>شماره بدنه: NT341672</t>
  </si>
  <si>
    <t>شماره جایگاه: 514 (جهت بازدید)</t>
  </si>
  <si>
    <t>NT346065</t>
  </si>
  <si>
    <t>خودرو تحت تست</t>
  </si>
  <si>
    <t>188B0009418</t>
  </si>
  <si>
    <t>خط و خش و قري و كسري هاي ظاهري به رؤيت مشتري مي باشد - خودرو تحت تست عملكردي بوده است - ايراد رنگي سقف ( عدم پاشش كيلر روي رنگ و عدم پاشش رنگ كافي روي سقف - قري گلگير عقب راست - شكستگي سردنده و ضامن روي دنده ( خودرو حالت دنده عقب نمي رود ) - ( ايرادات غير قابل ريورك مطابق استاندارد كارخانه )</t>
  </si>
  <si>
    <t>شماره بدنه: NT346065</t>
  </si>
  <si>
    <t>شماره جایگاه: 517 (جهت بازدید)</t>
  </si>
  <si>
    <t>NT341245</t>
  </si>
  <si>
    <t>188B0004362</t>
  </si>
  <si>
    <t>خط و خش و قري و كسري هاي ظاهري به رؤيت مشتري مي باشد - ايراد رنگي سقف و درب موتور و درب صندوق - قري درب جلو راست - ( ايرادات غيرقابل ريورك مطابق استاندارد كارخانه )</t>
  </si>
  <si>
    <t>شماره بدنه: NT341245</t>
  </si>
  <si>
    <t>شماره جایگاه: 516 (جهت بازدید)</t>
  </si>
  <si>
    <t>NT346214</t>
  </si>
  <si>
    <t>188B0009296</t>
  </si>
  <si>
    <t>خط و خش و قري و كسري هاي ظاهري به رؤيت مشتري مي باشد - قري درب جلو راست و خش و قري گلگير عقب چپ - قري درب عقب راست - ايراد رنگي درب جلو راست - ( ايرادات غيرقابل ريورك مطابق استاندارد كارخانه )</t>
  </si>
  <si>
    <t>شماره بدنه: NT346214</t>
  </si>
  <si>
    <t>شماره جایگاه: 520 (جهت بازدید)</t>
  </si>
  <si>
    <t>رانا کلاس 14 قرمز رژ</t>
  </si>
  <si>
    <t>LT251482</t>
  </si>
  <si>
    <t>قرمز رژ</t>
  </si>
  <si>
    <t>166B0039913</t>
  </si>
  <si>
    <t>خط و خش و قري و كسري هاي ظاهري به رؤيت مشتري مي باشد - ماندگاري بالا و افت مدل - ايراد رنگي نقاطي از بدنه - ( بدليل محدوديت زمان شماره گذاري خودرو بنام ايران خودرو پلاك شده است )</t>
  </si>
  <si>
    <t>222-40ي44</t>
  </si>
  <si>
    <t>کد کلاس: 61014</t>
  </si>
  <si>
    <t>شماره بدنه: LT251482</t>
  </si>
  <si>
    <t>شماره جایگاه: 594 (جهت بازدید)</t>
  </si>
  <si>
    <t>پژو پارس TU5 کلاس 27 مشكي متاليك</t>
  </si>
  <si>
    <t>NH871650</t>
  </si>
  <si>
    <t>164B0299479</t>
  </si>
  <si>
    <t>خط و خش و قري و كسري هاي ظاهري به رؤيت مشتري مي باشد - تصادفي بودن درب موتور و جلو پنجره و چراغ هاي جلو و سپر جلو و سقف و پليت درب صندوق و سپر عقب - خط و خش چراغ هاي عقب - كسري ابرويي دوطرف - خوردگي سيني فن و رادياتها - شكستگي قفل درب موتور - كسري فنر درب صندوق - استارت ايراد دارد - خودرو بد استارت مي خورد و موتور ايراد دارد - موتور خودرو جوش آورده - درب صندوق بسته نمي شود - كسري آنتن - ( ايرادات غير قابل ريورك مطابق استاندارد كارخانه )</t>
  </si>
  <si>
    <t>کد کلاس: 28527</t>
  </si>
  <si>
    <t>شماره بدنه: NH871650</t>
  </si>
  <si>
    <t>شماره جایگاه: 8 (جهت بازدید)</t>
  </si>
  <si>
    <t>NF152631</t>
  </si>
  <si>
    <t>147H0632069</t>
  </si>
  <si>
    <t>خط و خش و قري و كسري هاي ظاهري به رؤيت مشتري مي باشد - ايراد رنگي بدنه - ايراد رنگي سقف - قري درب جلو راست - ( ايرادات غير قابل ريورك مطابق استاندارد كارخانه )</t>
  </si>
  <si>
    <t>شماره بدنه: NF152631</t>
  </si>
  <si>
    <t>شماره جایگاه: 352 (جهت بازدید)</t>
  </si>
  <si>
    <t>MH685090</t>
  </si>
  <si>
    <t>164B0294186</t>
  </si>
  <si>
    <t>خط و خش و قري و كسري هاي ظاهري به رؤيت مشتري مي باشد - شكستگي ورق لبه درب موتور - خش درب صندوق و گلگير عقب راست - كسري قاب صندلي بچه - اثر ضربه زير خودرو - قري گلگيرهاي جلو - تصادفي درب جلو چپ - كسري ابرويي زير چراغ جلو چپ - شكستگي قاب بلنگوي چپ - عدم نصب قاب شيشه بالابرهاي جلو چپ - زدگي داشبورد - زاپاس كاركرده و پنچر - تصادفي درب عقب چپ و سپر عقب - سائيدگي قالپاق ها - كسري قاب اي سي يو و درپوش گازها - آچارخوردگي پيچ هاي درب موتور و گلگيرهاي جلو ( تعويضي كارخانه) - شكستگي خار چراغ سقف - خوردگي گلگير عقب چپ و راست - قري درب جلو راست - اچار خوردگي پيچ هاي درب صندوق ( تعويضي ) - خوردگي گلگير جلو راست - كسري پيچ جلو پنجره و درپوش هاي گاز كولر - عدم جذب ضربگير درب عقب راست - ( ايرادات غير قابل ريورك مطابق استاندارد كارخانه )</t>
  </si>
  <si>
    <t>شماره بدنه: MH685090</t>
  </si>
  <si>
    <t>MH672031</t>
  </si>
  <si>
    <t>139B0235927</t>
  </si>
  <si>
    <t>خط و خش و قري و كسري هاي ظاهري به رؤيت مشتري مي باشد - آچارخوردگي پيچ هاي درب موتور و گلگيرهاي جلو ( تعويضي ) - صندلي ها مستعمل - پارگي صندلي راننده - پارگي شيلنگ برف پاك كن - خش درب صندوق - رنگ پريدگي سپر عقب - خش گلگير عقب و درب عقب چپ - رنگ پريدگي لبه درب جلو چپ و سپر جلو - قري درب عقب راست - خش و رنگ پريدگي درب جلو راست - خش گلگير عقب راست - دفرمه بودن قاب دكمه شيشه بالابر درب جلو راست و قاب روي رودري درب عقب راست و درب عقب چپ - شكستگي چراغ هاي جلو و خار سپر جلو از زير خودرو و سيني فن و راديات - آسيب ديدگي مدولاتور اي بي اس - باطري دشارژ - زيرپايي ها و تيغه برف پاك كن مستعمل - خش آينه هاي جانبي - لاستيك ها و زاپاس كار كرده - كسري شبرنگ - تعويضي بودن گلگير جلو چپ</t>
  </si>
  <si>
    <t>672-24د32</t>
  </si>
  <si>
    <t>شماره بدنه: MH672031</t>
  </si>
  <si>
    <t>شماره جایگاه: 13 (جهت بازدید)</t>
  </si>
  <si>
    <t>خط و خش و قري و كسري هاي ظاهري به رؤيت مشتري مي باشد - تيغه برف پاك كن مستعمل و متفرقه و خراب - باطري دشارژ - كسري يك عدد زيرپايي جلو - ايراد رنگي بدنه دارد ( درب موتور و جلو پنجره و گلگيرهاي جلو ) - ايراد رنگي سقف و ستون - درب سمت راننده جلو باز نمي شود</t>
  </si>
  <si>
    <t>شماره جایگاه: 513 (جهت بازدید)</t>
  </si>
  <si>
    <t>پژو پارس معمولي دوگانه سوز كلاس 14 سفيد دو پوششه</t>
  </si>
  <si>
    <t>FR571312</t>
  </si>
  <si>
    <t>1402/04/12</t>
  </si>
  <si>
    <t>124K0662121</t>
  </si>
  <si>
    <t>خط و خش و قري و كسري هاي ظاهري به رؤيت مشتري مي باشد - آچارخوردگي پيچ هاي درب موتور و گلگيرهاي جلو - خوردگي كف صندوق و درب موتور و گلگيرهاي جلو و سپرها و درب صندوق و ركاب چپ و دربها و گلگير عقب چپ و گلگير عقب دربهاي راست - ايراد رنگي بدنه ( زنگ زدگي ) - صندليها و رودريها و داشبورد و كنسول وسط مستعمل و زدگي و خش دارد - پارگي نوار دور شيشه درب راننده - پوسته شدن چراغ هاي جلو - خوردگي بكسل بند جلو - چراغ اي بي اس و ايربك روشن - خراب بودن شيشه بالابر درب راننده - مستعمل بودن نمدي درب موتور و زيرپايي ها و تيغه برف پاك كن - خوردگي سيني زير موتور - كسري يك عدد سوئيچ - رنگ پريدگي جلو پنجره - خوردگي آينه هاي جانبي - قالپاق ها مستعمل - لاستيكها كاركرده - شكستگي شيشه جلو - خش شيشه عقب - شكستگي چراغ هاي عقب - كسري درب باك سي ان جي - جك و آچارچرخ و موكت صندوق مستعمل - زاپاس مستعمل و تركيده - كسري شبرنگ</t>
  </si>
  <si>
    <t>PARS XU7 CNG</t>
  </si>
  <si>
    <t>کد کلاس: 28314</t>
  </si>
  <si>
    <t>شماره بدنه: FR571312</t>
  </si>
  <si>
    <t>پژو 207i دستي کلاس 10 سفيد دو پوششه</t>
  </si>
  <si>
    <t>MJ530300</t>
  </si>
  <si>
    <t>178B0070168</t>
  </si>
  <si>
    <t>خط و خش و قري و كسري هاي ظاهري به رؤيت مشتري مي باشد - تصادفي بودن جلوي خودرو و سپر جلو و گلگير جلو و سرشاسي جلو چپ و چرخ جلو چپ و سيني تقويتي زير خودرو ( محور عرضي ) و جلو پنجره و رادياتها - كسري مه شكن جلو چپ - خوردگي سيني فن - كسري ناخني درب عقب راست - خش سپر عقب - خوردگي پلوس و مجموعه سيني فن - جابجايي قطعات موتوري - خوردگي سيني زير موتور - كسري يك عدد سوئيچ - شكستگي جلو پنجره - كسري آنتن - شكستگي رينگ جلو چپ - موتور خودرو استارت ميخورد ولي روشن نميشود - ( ايرادات غير قابل ريورك مطابق استاندارد كارخانه )</t>
  </si>
  <si>
    <t>207i-MT</t>
  </si>
  <si>
    <t>کد کلاس: 60010</t>
  </si>
  <si>
    <t>شماره بدنه: MJ530300</t>
  </si>
  <si>
    <t>شماره جایگاه: 489 (جهت بازدید)</t>
  </si>
  <si>
    <t>پژو پارس TU5 كلاس20 مشكي متاليك</t>
  </si>
  <si>
    <t>NH879895</t>
  </si>
  <si>
    <t>164B0300782</t>
  </si>
  <si>
    <t>خط و خش و قري و كسري هاي ظاهري به رؤيت مشتري مي باشد - تصادفي بودن گلگير جلو راست و سپر جلو - خراش چراغ جلو راست و آسيب ديدگي محور عرضي شاسي در ناحيه اتصال بكسل بند - ايراد رنگي بدنه - قري درب عقب چپ و درب عقب راست - خرابي رينگ جلو راست - شكستگي پايه مه شكن جلو راست - زيرپايي ها مستعمل - ( ايرادات غير قابل ريورك مطابق استاندارد كارخانه )</t>
  </si>
  <si>
    <t>شماره بدنه: NH879895</t>
  </si>
  <si>
    <t>شماره جایگاه: 575 (جهت بازدید)</t>
  </si>
  <si>
    <t>MH751789</t>
  </si>
  <si>
    <t>139B0260107</t>
  </si>
  <si>
    <t>خط و خش و قري و كسري هاي ظاهري به رؤيت مشتري مي باشد - ماندگاري بالا و افت مدل - دفرمگي ورق كمربند ايمني روي ستون چپ - كسري دستگيره كاپوت پران و ولوم ضبط - رنگ پريدگي درب موتور - خوردگي گلگير جلو چپ - دفرمه بودن زه دربهاي چپ - قري درب عقب چپ و راست - دفرمه بودن زه دربهاي راست - قري درب موتور - سائيدگي قالپاق ها( ايرادات غير قابل ريورك مطابق استاندارد كارخانه )</t>
  </si>
  <si>
    <t>شماره بدنه: MH751789</t>
  </si>
  <si>
    <t>MH687667</t>
  </si>
  <si>
    <t>164B0295321</t>
  </si>
  <si>
    <t>خط و خش و قري و كسري هاي ظاهري به رؤيت مشتري مي باشد - كسري يك عدد سوئيچ و دكمه هاي بالابر و زيرپايي ها و دو عدد زيرسري - لاستيكها كاركرده - شكستگي درب باك - كسري زاپاس و شبرنگ - ماندگاري بالا و افت مدل - تصادفي بودن سپر جلو و شكستگي مه شكن جلو راست - قري گلگير جلو چپ - تصادفي بودن درب جلو و عقب چپ و سپر عقب و درب صندوق و هلالي گلگير عقب چپ و درب جلو و عقب راست - مات شدن چراغ هاي جلو - كسري درب جعبه فيوز - آچار خوردگي پيچ هاي درب موتور و درب صندوق ( تعويضي كارخانه ) - چراغ ايربگ روشن - كسري دكمه ايربك - شكستگي قاب پشت آينه درب راننده - آسيب ديدگي كنسول وسط - ( ايرادات غير قابل ريورك مطابق استاندارد كارخانه )</t>
  </si>
  <si>
    <t>شماره بدنه: MH687667</t>
  </si>
  <si>
    <t>MH683020</t>
  </si>
  <si>
    <t>139B0246504</t>
  </si>
  <si>
    <t>خط و خش و قري و كسري هاي ظاهري به رؤيت مشتري ميباشد - خوردگي سپر جلو و خوردگي كف صندوق درب عقب چپ و گلگيرهاي عقب و گلگير جلو راست و درب جلوي راست و درب عقب راست و درب صندوق و سپر عقب و درب صندوق و جلوي خودرو و درب موتور - چراغ عقب شكسته - قري درب موتور و دفرمه بودن درب موتور و آچار خوردگي پيچ هاي درب موتور (تعويضي كارخانه) و رنگ پريدگي قاب آينه و تصادفي بودن گلگير عقب - رنگ پريدگي ركاب ها و كثيفي داخل صندوق - شكستگي چراغ عقب راست و قري درب عقب چپ - قري و رنگ پريدگي درب جلوي چپ - پارگي ورق كف پايي عقب دو طرف - ( ايرادات غير قابل ريورك طبق استاندارد كارخانه اي)</t>
  </si>
  <si>
    <t>شماره بدنه: MH683020</t>
  </si>
  <si>
    <t>شماره جایگاه: 573 (جهت بازدید)</t>
  </si>
  <si>
    <t>MH688234</t>
  </si>
  <si>
    <t>139B0254033</t>
  </si>
  <si>
    <t>خط و خش و قري و كسري هاي ظاهري به رؤيت مشتري ميباشد -تصادقي درب عقب چپ و سپر عقب و قري درب موتور و قري درب جلوي چپ و رنگ پريدگي سپر جلو - شكستگي مه شكن جلو چپ و راست - ساِييدگي سپر جلو - گلگير جلو چپ و راست تصادفي - كسري قاب دور دستگيره جلو راست - كسري دكمه تنظيم صندلي جلوي راست - سائيدگي سپر عقب راست و رنگ پريدگي لبه درب عقب و گلگير عقب راست - عدم جذب بال درب صندوق عقب - عدم جذب ضربگير دربها و پارگي رودري درب عقب چپ - خوردگي گلگير عقب چپ - كسري آنتن - كثيفي داخل خودرو - ( ايرادات غير قابل ريورك مطابق استاندارد كارخانه )</t>
  </si>
  <si>
    <t>شماره بدنه: MH688234</t>
  </si>
  <si>
    <t>NK183567</t>
  </si>
  <si>
    <t>167B0158365</t>
  </si>
  <si>
    <t>خط و خش و قري و كسري هاي ظاهري به رؤيت مشتري مي باشد - تصادفي بودن درب جلو چپ و گلگير جلو چپ ( غير قابل ريورك مطابق استاندارد كارخانه ) - شكستگي شيشه جلو و شيشه درب راننده و درب كنسول وسط - باطري دشارژ و كسري بست منفي باطري - جك و آچارچرخ ندارد</t>
  </si>
  <si>
    <t>شماره بدنه: NK183567</t>
  </si>
  <si>
    <t>MK150223</t>
  </si>
  <si>
    <t>1401/11/19</t>
  </si>
  <si>
    <t>167B0139318</t>
  </si>
  <si>
    <t>خط و خش و قري و كسري هاي ظاهري به رؤيت مشتري مي باشد - ايراد رنگ و بدنه دارد - ايراد پارگي ورق درب موتور - زه درب جلو چپ ول مي باشد و با لبه گلگير جلو چپ درگير مي باشد - نيش قري درب جلو راست - تيغه برف پاك كن مستعمل</t>
  </si>
  <si>
    <t>426-63ج27</t>
  </si>
  <si>
    <t>شماره بدنه: MK150223</t>
  </si>
  <si>
    <t>شماره جایگاه: 11 (جهت بازدید)</t>
  </si>
  <si>
    <t>MK074308</t>
  </si>
  <si>
    <t>1402/05/05</t>
  </si>
  <si>
    <t>124K1601998</t>
  </si>
  <si>
    <t>خط و خش و قري و كسري هاي ظاهري به رؤيت مشتري مي باشد - خش جزئي درب عقب چپ - چراغ ايربك روشن است - ايراد فني دارد ( خودرو داراي ايراد سخت افزاري ايربگ ها مي باشد و سيستم ايربگ ايراد دارد ) - كسري يكعدد سوئيچ</t>
  </si>
  <si>
    <t>333-40ي45</t>
  </si>
  <si>
    <t>شماره بدنه: MK074308</t>
  </si>
  <si>
    <t>شماره جایگاه: 512 (جهت بازدید)</t>
  </si>
  <si>
    <t>NH208428</t>
  </si>
  <si>
    <t>167B0174024</t>
  </si>
  <si>
    <t>خط و خش و قري و كسري هاي ظاهري به رؤيت مشتري مي باشد - تصادفي بودن گلگير عقب راست و چپ و درب عقب راست و درب موتور - قري و رنگ پريدگي درب صندوق - ايراد رنگي بدنه - كندگي كنسول وسط - آچار خوردگي پيچ هاي درب موتور و گلگير جلو چپ و درب صندوق ( تعويضي كارخانه ) - قري درب عقب و جلو چپ - ( ايرادات غير قابل ريورك مطابق استاندارد كارخانه )</t>
  </si>
  <si>
    <t>شماره بدنه: NH208428</t>
  </si>
  <si>
    <t>NH876186</t>
  </si>
  <si>
    <t>1402/04/02</t>
  </si>
  <si>
    <t>139B0282791</t>
  </si>
  <si>
    <t>خط و خش و قري و كسري هاي ظاهري به رؤيت مشتري مي باشد - نفوذ آب از دربهاي جلو و عقب چپ و عقب راست - ايراد بدنه اي دارد - رنگ پريدگي سپر جلو - خش گلگير عقب چپ و سپر عقب - قري درب جلو چپ - خش درب صندوق - زنگ زدگي داخل محوطه موتور - تيغه برف پاك كن مستعمل - رنگ پريدگي آينه هاي جانبي - كسري دو عدد قالپاق - لاستيكها كار كرده - خش چراغ هاي عقب</t>
  </si>
  <si>
    <t>232-76د69</t>
  </si>
  <si>
    <t>شماره بدنه: NH876186</t>
  </si>
  <si>
    <t>شماره جایگاه: 10 (جهت بازدید)</t>
  </si>
  <si>
    <t>MJ432486</t>
  </si>
  <si>
    <t>1402/03/12</t>
  </si>
  <si>
    <t>178B0055237</t>
  </si>
  <si>
    <t>خط و خش و قري و كسري هاي ظاهري به رؤيت مشتري مي باشد - خودرو سوابق ايرادات برقي و الكتريكالي متعدد دارد - خودرو بدليل انواع ايرادات برقي حين حركت و گرم شدن موتور خاموش مي شود - رنگ پريدگي لبه گلگير جلو چپ و سپر جلو چپ - خودرو ايراد فني و برقي دارد - تيغه برف پاك كن مستعمل - خش آينه هاي جانبي و رينگ اسپرت - لاستيكها كاركرده - ( ايرادات غير قابل ريورك مطابق استاندارد كارخانه )</t>
  </si>
  <si>
    <t>111-40ي33</t>
  </si>
  <si>
    <t>شماره بدنه: MJ432486</t>
  </si>
  <si>
    <t>شماره جایگاه: 33 (جهت بازدید)</t>
  </si>
  <si>
    <t>پژو پارس سال با موتور XU7 P کلاس 3 سفيد دوپوششه كانزاي</t>
  </si>
  <si>
    <t>NK848698</t>
  </si>
  <si>
    <t>1402/05/22</t>
  </si>
  <si>
    <t>125K0032789</t>
  </si>
  <si>
    <t>خط و خش و قري و كسري هاي ظاهري به رؤيت مشتري مي باشد - داخل موتور و درب موتور دچار حريق شده - لوازم موتوري سوخته و كسري دارد - آثار حريق روي بدنه خودرو وجود دارد - سوختگي زه درب جلو راست و ركاب راست و گلگير و زه روي گلگير جلو راست و چراغ هاي جلو و سيني روي رادياتها و تمامي قطعات موتوري و مخزن آب برف پاك كن ها و قاب روي كمك فنرها و مجموعه كامل هواكش و شيلنگ ها و سيم پيچي ها و قاب روي موتور و درپوش كولر و گلگيرهاي جلو چپ و سيني زير موتور و سيم بازكن درب موتور - كسري درب روغن موتور و باطري و گيج روغن و سنسور هوا و نمدي درب موتور و دو عدد سوئيچ - سوختگي سيني زير موتور - زيرپايي ها يك عدد كسري - سوختگي جلو پنجره - رنگ پريدگي آينه بغل راست - لاستيكها كاركرده - كسري شبرنگ - جك و آچارچرخ و زاپاس و موكت صندوق رؤيت نشده</t>
  </si>
  <si>
    <t>127-85ط65</t>
  </si>
  <si>
    <t>شماره بدنه: NK848698</t>
  </si>
  <si>
    <t>شماره جایگاه: 510 (جهت بازدید)</t>
  </si>
  <si>
    <t>MK068152</t>
  </si>
  <si>
    <t>1402/04/05</t>
  </si>
  <si>
    <t>124K1578333</t>
  </si>
  <si>
    <t>خط و خش و قري و كسري هاي ظاهري به رؤيت مشتري مي باشد - ايراد رنگي بدنه ( سقف و درب موتور و درب صندوق ) - خش و قري گلگير جلو و درب جلو راست و درب عقب راست و گلگير عقب راست - خوردگي سپر عقب - خش درب صندوق - قري گلگير عقب چپ - خش دربها و گلگير جلو چپ - خش سپر جلو - خوردگي پليت عقب - تيغه برف پاك كن مستعمل - خش آينه هاي جانبي - لاستيكها كاركرده - درب باك مغاير</t>
  </si>
  <si>
    <t>126-40ي45</t>
  </si>
  <si>
    <t>شماره بدنه: MK068152</t>
  </si>
  <si>
    <t>NH211197</t>
  </si>
  <si>
    <t>139B0292113</t>
  </si>
  <si>
    <t>خط و خش و قري و كسري هاي ظاهري به رؤيت مشتري مي باشد - قري و خش سقف سمت چپ و قري درب جلو راست - ( ايرادات غير قابل ريورك مطابق استاندارد كارخانه )</t>
  </si>
  <si>
    <t>شماره بدنه: NH211197</t>
  </si>
  <si>
    <t>دنا كلاس17 سفيد دوپوششه كانزاي</t>
  </si>
  <si>
    <t>ME322587</t>
  </si>
  <si>
    <t>147H0580332</t>
  </si>
  <si>
    <t>خط و خش و قري و كسري هاي ظاهري به رؤيت مشتري مي باشد – اسيدي بودن محفظه موتور و پوسته گيربكس - خش ريز بدنه - تعويضي بودن و ايراد رنگي درب موتور ( ايرادات غير قابل ريورك طبق استاندارد كارخانه )</t>
  </si>
  <si>
    <t>شماره بدنه: ME322587</t>
  </si>
  <si>
    <t>شماره جایگاه: 370 (جهت بازدید)</t>
  </si>
  <si>
    <t>MJ230553</t>
  </si>
  <si>
    <t>166B0057379</t>
  </si>
  <si>
    <t>خط و خش و قري و كسري هاي ظاهري به رؤيت مشتري مي باشد - تصادفي بودن درب جلو و گلگير جلو چپ - شكستگي جام آينه جلو چپ - ماندگاري بالا و افت مدل - كسري دكمه تنظيم اينه ها - چراغ ايربك روشن - دكمه هاي زير پنل ضبط خراب مي باشد - خاموش بودن نشان دهنده تنظيم كولر و خاموش نشدن كولر خودرو ( كولر يكسره كار مي كند ) - كنده شدن زه درب راننده - كسري بست نگهدارنده اگزوز - گيربكس در هنگام حركت صدا مي دهد - رنگ پريدگي درب عقب چپ - خوردگي سپر عقب - كسري فندك و آنتن و آچار چرخ -( ايرادات غيرقابل ريورك مطابق استاندارد كارخانه )</t>
  </si>
  <si>
    <t>شماره بدنه: MJ230553</t>
  </si>
  <si>
    <t>شماره جایگاه: 490 (جهت بازدید)</t>
  </si>
  <si>
    <t>MH674560</t>
  </si>
  <si>
    <t>139B0231465</t>
  </si>
  <si>
    <t>خط و خش و قري و كسري هاي ظاهري به رؤيت مشتري مي باشد - خودرو تحت تست عملكردي بوده است - ماندگاري بالا و افت مدل - قري درب عقب راست - ( ايرادات غير قابل ريورك مطابق استاندارد كارخانه )</t>
  </si>
  <si>
    <t>شماره بدنه: MH674560</t>
  </si>
  <si>
    <t>شماره جایگاه: 568 (جهت بازدید)</t>
  </si>
  <si>
    <t>MH689360</t>
  </si>
  <si>
    <t>139B0244061</t>
  </si>
  <si>
    <t>خط و خش و قري و كسري هاي ظاهري به رؤيت مشتري مي باشد - خودرو تحت تست هاي عملكردي بوده است - ماندگاري بالا و افت مدل - عدم جذب ضربگير دربهاي جلو ( ايرادات غيرقابل ريورك مطابق استاندارد كارخانه )</t>
  </si>
  <si>
    <t>شماره بدنه: MH689360</t>
  </si>
  <si>
    <t>MH689112</t>
  </si>
  <si>
    <t>139B0244052</t>
  </si>
  <si>
    <t>خط و خش و قري و كسري هاي ظاهري به رؤيت مشتري مي باشد - خودرو تحت تست هاي عملكردي بوده است - ماندگاري بالا و افت مدل - شكستگي خار درب جعبه فيوز - چراغ چك روشن - دفرمگي زه درب راننده - ( ايرادات غيرقابل ريورك مطابق استاندارد كارخانه )</t>
  </si>
  <si>
    <t>شماره بدنه: MH689112</t>
  </si>
  <si>
    <t>MH675837</t>
  </si>
  <si>
    <t>139B0231477</t>
  </si>
  <si>
    <t>خط و خش و قري و كسري هاي ظاهري به رؤيت مشتري مي باشد - خودرو تحت تست عملكردي بوده است - ماندگاري بالا و افت مدل - ( ايرادات غير قابل ريورك مطابق استاندارد كارخانه )</t>
  </si>
  <si>
    <t>شماره بدنه: MH675837</t>
  </si>
  <si>
    <t>شماره جایگاه: 567 (جهت بازدید)</t>
  </si>
  <si>
    <t>پژو پارس TU5 كلاس20 سفيد دوپوششه كانزاي</t>
  </si>
  <si>
    <t>MH753160</t>
  </si>
  <si>
    <t>139B0263097</t>
  </si>
  <si>
    <t>خط و خش و قري و كسري هاي ظاهري به رؤيت مشتري ميباشد - خش و رنگ پريدگي درب صندوق - خش و رنگ پريدگي گلگير عقب چپ و اثر زنگ زدگي روي درب صندوق - آچار خوردگي پيچ هاي درب موتور و گلگيرهاي جلو (تعويضي كارخانه) - قري گلگير عقب راست و خط و خش و رنگ پريدگي - تصادفي بودن دربهاي راست و گلگير عقب راست - قري سقف وستون عقب راست - قري درب موتور - دفرمگي سپر جلو - عدم نصب ضربگير - كسري زه ضربگير درب هاي راست - خوردگي سقف و ستون عقب سمت راست و خوردگي عقب و درب صندوق و رنگ پريدگي گلگيرهاي عقب - خوردگي دربهاي چپ و خوردگي گلگيرعقب و صندوق و رنگ پريدگي گلگيرهاي عقب - دفرمه بودن سپر عقب - عدم جذب زه دربهاي چپ و درب جلوي راست - خوردگي گلگير جلوي راست - رنگ پريدگي سپر جلو - دفرمگي سپر عقب - ( ايرادات غير قابل ريورك مطابق استاندارد كارخانه )</t>
  </si>
  <si>
    <t>شماره بدنه: MH753160</t>
  </si>
  <si>
    <t>MH676280</t>
  </si>
  <si>
    <t>139B0231467</t>
  </si>
  <si>
    <t>خط و خش و قري و كسري هاي ظاهري به رؤيت مشتري مي باشد - خودرو تحت تست عملكردي بوده است - ماندگاري بالا و افت مدل - كسري درپوش گاز كولر - لاستيكها كاركرده - ( ايرادات غير قابل ريورك مطابق استاندارد كارخانه )</t>
  </si>
  <si>
    <t>شماره بدنه: MH676280</t>
  </si>
  <si>
    <t>شماره جایگاه: 598 (جهت بازدید)</t>
  </si>
  <si>
    <t>MH675595</t>
  </si>
  <si>
    <t>139B0231466</t>
  </si>
  <si>
    <t>خط و خش و قري و كسري هاي ظاهري به رؤيت مشتري مي باشد - خودرو تحت تست عملكردي بوده است - ماندگاري بالا و افت مدل - چراغ چك روشن - تيغه برف پاك كن مستعمل - كسري يك عدد زيرسري - ( ايرادات غير قابل ريورك مطابق استاندارد كارخانه )</t>
  </si>
  <si>
    <t>شماره بدنه: MH675595</t>
  </si>
  <si>
    <t>MH675591</t>
  </si>
  <si>
    <t>139B0231473</t>
  </si>
  <si>
    <t>خط و خش و قري و كسري هاي ظاهري به رؤيت مشتري مي باشد - خودرو تحت تست عملكردي بوده است - ماندگاري بالا و افت مدل - كسري يك عدد قالپاق و آنتن - چراغ چك روشن - رنگ پريدگي آينه جانبي چپ - ( ايرادات غير قابل ريورك مطابق استاندارد كارخانه )</t>
  </si>
  <si>
    <t>شماره بدنه: MH675591</t>
  </si>
  <si>
    <t>شماره جایگاه: 599 (جهت بازدید)</t>
  </si>
  <si>
    <t>MH689154</t>
  </si>
  <si>
    <t>139B0244070</t>
  </si>
  <si>
    <t>خط و خش و قري و كسري هاي ظاهري به رؤيت مشتري مي باشد - خودرو تحت تست هاي عملكردي بوده است - ماندگاري بالا و افت مدل - آچارخوردگي پيچ هاي درب موتور ( تعويضي كارخانه ) - لاستيكها كاركرده - رنگ پريدگي قالپاق ها - كسري درب جعبه فيوز - چراغ چك روشن - پارگي رودري سمت راننده - كسري آنتن - قري درب موتور - ( ايرادات غير قابل ريورك مطابق استاندارد كارخانه )</t>
  </si>
  <si>
    <t>شماره بدنه: MH689154</t>
  </si>
  <si>
    <t>شماره جایگاه: 563 (جهت بازدید)</t>
  </si>
  <si>
    <t>MH675978</t>
  </si>
  <si>
    <t>139B0231478</t>
  </si>
  <si>
    <t>خط و خش و قري و كسري هاي ظاهري به رؤيت مشتري مي باشد - ماندگاري بالا و افت مدل - شكستگي مه شكن جلو راست - خراشيدگي سپر عقب - رنگ پريدگي سپر عقب - ( ايرادات غير قابل ريورك مطابق استاندارد كارخانه )</t>
  </si>
  <si>
    <t>شماره بدنه: MH675978</t>
  </si>
  <si>
    <t>شماره جایگاه: 564 (جهت بازدید)</t>
  </si>
  <si>
    <t>ME326161</t>
  </si>
  <si>
    <t>147H0627176</t>
  </si>
  <si>
    <t>خط و خش و قري و كسري هاي ظاهري به رؤيت مشتري مي باشد - دورنگي درب جلو راست ( تعويضي در كارخانه ) - ماندگاري بالا و افت مدل - كسري درب باك بدنه - رنگ شدگي پيچ هاي درب موتور ( تعويضي در كارخانه ) - رنگ پريدگي سپر عقب - ايراد رنگي درب صندوق - عدم جذب ابرويي صندوق - قري درب عقب راست - ( ايرادات غير قابل ريورك طبق استاندارد كارخانه اي)</t>
  </si>
  <si>
    <t>شماره بدنه: ME326161</t>
  </si>
  <si>
    <t>شماره جایگاه: 365 (جهت بازدید)</t>
  </si>
  <si>
    <t>MH672191</t>
  </si>
  <si>
    <t>1401/08/26</t>
  </si>
  <si>
    <t>164B0288133</t>
  </si>
  <si>
    <t>خط و خش و قري و كسري هاي ظاهري به رؤيت مشتري مي باشد - ايراد رنگي بدنه - ايراد رنگي سقف و درب موتور و درب صندوق - خش سپر عقب - تيغه برف پاك كن مستعمل و لاستيك ها كاركرده</t>
  </si>
  <si>
    <t>423-83ج83</t>
  </si>
  <si>
    <t>شماره بدنه: MH672191</t>
  </si>
  <si>
    <t>شماره جایگاه: 12 (جهت بازدید)</t>
  </si>
  <si>
    <t>NH458544</t>
  </si>
  <si>
    <t>1402/07/06</t>
  </si>
  <si>
    <t>125K0049062</t>
  </si>
  <si>
    <t>خط و خش و قري و كسري هاي ظاهري به رؤيت مشتري مي باشد - ايراد رنگي بدنه ( تعويضي بودن درب موتور ) - لاستيكها كاركرده - كسري آنتن و شبرنگ - رنگ پريدگي سپر جلو - موتور بد كار ميكند</t>
  </si>
  <si>
    <t>935-40ج82</t>
  </si>
  <si>
    <t>شماره بدنه: NH458544</t>
  </si>
  <si>
    <t>MH675975</t>
  </si>
  <si>
    <t>139B0231464</t>
  </si>
  <si>
    <t>خط و خش و قري و كسري هاي ظاهري به رؤيت مشتري مي باشد - خودرو تحت تست عملكردي بوده است - ماندگاري بالا و افت مدل - كسري يك عدد قالپاق و فندك - ( ايرادات غير قابل ريورك مطابق استاندارد كارخانه )</t>
  </si>
  <si>
    <t>شماره بدنه: MH675975</t>
  </si>
  <si>
    <t>MH675916</t>
  </si>
  <si>
    <t>139B0231472</t>
  </si>
  <si>
    <t>خط و خش و قري و كسري هاي ظاهري به رؤيت مشتري مي باشد - خودرو تحت تست عملكردي بوده است - ماندگاري بالا و افت مدل - كسري چراغ سقف - ( ايرادات غير قابل ريورك مطابق استاندارد كارخانه )</t>
  </si>
  <si>
    <t>شماره بدنه: MH675916</t>
  </si>
  <si>
    <t>پژو 207i دستي كلاس 6 سفيد دو پوششه</t>
  </si>
  <si>
    <t>MJ428341</t>
  </si>
  <si>
    <t>166B0050407</t>
  </si>
  <si>
    <t>خط و خش و قري و كسري هاي ظاهري به رؤيت مشتري مي باشد - ماندگاري بالا و افت مدل - ايراد رنگي بدنه - لاستيك ها كاركرده - خراشيدگي سپر عقب و رنگ پريدگي بكسل بند عقب - كسري قاب بكسل بند سپر جلو راست و درب جعبه فيوز - خودرو تحت تست عملكردي بوده است - ( ايرادات غيرقابل ريورك مطابق استاندارد كارخانه )</t>
  </si>
  <si>
    <t>کد کلاس: 60006</t>
  </si>
  <si>
    <t>شماره بدنه: MJ428341</t>
  </si>
  <si>
    <t>شماره جایگاه: 465 (جهت بازدید)</t>
  </si>
  <si>
    <t>ME325309</t>
  </si>
  <si>
    <t>147H0614723</t>
  </si>
  <si>
    <t>خط و خش و قري و كسري هاي ظاهري به رؤيت مشتري مي باشد - خودروي تست آلايندگي ( سري اول توليد ) - ماندگاري بالا و افت مدل - شكستگي و اثر ضربه قالپاق جلو راست و رينگ چرخ جلو راست - خش سپر عقب - ايراد رنگي بدنه - ايرادات غير قابل ريورك مطابق استاندارد كارخانه</t>
  </si>
  <si>
    <t>شماره بدنه: ME325309</t>
  </si>
  <si>
    <t>شماره جایگاه: 369 (جهت بازدید)</t>
  </si>
  <si>
    <t>MH667282</t>
  </si>
  <si>
    <t>139B0230920</t>
  </si>
  <si>
    <t>خط و خش و قري و كسري هاي ظاهري به رؤيت مشتري مي باشد - خودرو تحت تست عملكردي بوده است - ماندگاري بالا و افت مدل - دفرمگي زه درب راننده - ( ايرادات غير قابل ريورك مطابق استاندارد كارخانه )</t>
  </si>
  <si>
    <t>شماره بدنه: MH667282</t>
  </si>
  <si>
    <t>NH868999</t>
  </si>
  <si>
    <t>139B0274140</t>
  </si>
  <si>
    <t>خط و خش و قري و كسري هاي ظاهري به رؤيت مشتري مي باشد - قري و خوردگي درب موتور و سقف و گلگيرهاي جلو و دربهاي راست و درب صندوق و درب جلو چپ - درب باك شكسته - كسري بست منفي باطري - آچارخوردگي پيچ هاي گلگيرهاي جلو و درب صندوق ( تعويضي كارخانه ) - خرابي كليد صندوق پران - فاصله غير استاندارد درب صندوق با بدنه - كسري قاب پشت برف پاك كن</t>
  </si>
  <si>
    <t>شماره بدنه: NH868999</t>
  </si>
  <si>
    <t>پژو پارس TU5 کلاس 27 سفيد دو پوششه</t>
  </si>
  <si>
    <t>NH211584</t>
  </si>
  <si>
    <t>164B0303090</t>
  </si>
  <si>
    <t>خط و خش و قري و كسري هاي ظاهري به رؤيت مشتري مي باشد - تصادفي بودن درب موتور و گلگير جلو چپ و چراغ هاي جلو و سيني فن و بكسل بند جلو و رادياتور و محور عرضي شاسي و سپر جلو - شكستگي چراغ هاي جلو - رنگ پريدگي لبه درب جلو چپ - كسري درب راديات و بست باطري و جلو پنجره - ( ايرادات غير قابل ريورك مطابق استاندارد كارخانه )</t>
  </si>
  <si>
    <t>شماره بدنه: NH211584</t>
  </si>
  <si>
    <t>ME325548</t>
  </si>
  <si>
    <t>147H0618625</t>
  </si>
  <si>
    <t>خط و خش و قري و كسري هاي ظاهري به رؤيت مشتري مي باشد - خودروي تست آلايندگي ( سري اول توليد ) - ماندگاري بالا و افت مدل - كسري قاب دستگيره جلو چپ - سائيدگي سپر جلو و گلگيرهاي عقب - خش درب عقب چپ - قري گلگير عقب و درب عقب چپ - خش سپر عقب - ايراد رنگي بدنه - ايرادات غير قابل ريورك مطابق استاندارد كارخانه</t>
  </si>
  <si>
    <t>شماره بدنه: ME325548</t>
  </si>
  <si>
    <t>شماره جایگاه: 368 (جهت بازدید)</t>
  </si>
  <si>
    <t>ME325285</t>
  </si>
  <si>
    <t>147H0614729</t>
  </si>
  <si>
    <t>خط و خش و قري و كسري هاي ظاهري به رؤيت مشتري مي باشد - خودروي تست آلايندگي ( سري اول توليد ) - ماندگاري بالا و افت مدل - كسري قاب دستگيره جلو چپ - رنگ پريدگي سپر عقب - ايراد رنگي بدنه - ايرادات غير قابل ريورك مطابق استاندارد كارخانه</t>
  </si>
  <si>
    <t>شماره بدنه: ME325285</t>
  </si>
  <si>
    <t>شماره جایگاه: 366 (جهت بازدید)</t>
  </si>
  <si>
    <t>دنا پلاس اتوماتيك با موتور EF7_TC كلاس2 سفيد دو پوششه</t>
  </si>
  <si>
    <t>NE541960</t>
  </si>
  <si>
    <t>153H0084625</t>
  </si>
  <si>
    <t>خط و خش و قري و كسري هاي ظاهري به رؤيت مشتري مي باشد - تصادفي بودن درب صندوق و دربهاي عقب چپ و راست و گلگير عقب راست و چپ و كف صندوق و شاسي هاي صندوق عقب و درب موتور و سپر جلو و اگزوز و درگيربودن سپر عقب با چرخ عقب چپ - كسري سنسورهاي عقب - شكستگي فلاپ عقب و مه شكن عقب - پارگي لاستيك عقب - رنگ پريدگي جلو پنجره - شكستگي چراغ هاي عقب - زاپاس پنچر - موكت صندوق مستعمل - موتور خودرو لرزش دارد - ( ايرادات غيرقابل ريورك مطابق استاندارد كارخانه )</t>
  </si>
  <si>
    <t>DENA+EF7TC A</t>
  </si>
  <si>
    <t>کد کلاس: 70702</t>
  </si>
  <si>
    <t>شماره بدنه: NE541960</t>
  </si>
  <si>
    <t>ME325575</t>
  </si>
  <si>
    <t>147H0617422</t>
  </si>
  <si>
    <t>خط و خش و قري و كسري هاي ظاهري به رويت مشتري مي باشد - ايراد رنگي سقف و درب موتور و بدنه ( ايرادات غير قابل ريورك طبق استاندارد كارخانه اي) - قري درب عقب راست - خودروي تستي ( خودرو تحت تست آلايندگي بوده است )</t>
  </si>
  <si>
    <t>شماره بدنه: ME325575</t>
  </si>
  <si>
    <t>شماره جایگاه: 367 (جهت بازدید)</t>
  </si>
  <si>
    <t>MD910557</t>
  </si>
  <si>
    <t>187B0000610</t>
  </si>
  <si>
    <t>خط و خش و قري و كسري هاي ظاهري به رؤيت مشتري مي باشد - خودرو ايراد فني موتوري دارد - خاموش شدن خودرو در حين حركت - آچار خوردگي پيچ هاي گلگيرهاي جلو ( تعويضي ) - خش و قري و رنگ پريدگي درب عقب چپ و خش و رنگ پريدگي درب جلو چپ - خش گلگير جلو و عقب چپ - سائيدگي و رنگ پريدگي سپر جلو - خش و رنگ پريدگي درب موتور - خش گلگير جلو راست و درب جلو راست - قري و خش درب عقب راست - خش سقف و درب صندوق - خش و رنگ پريدگي سپر عقب - باطري دشارژ - كسري يك عدد سوئيچ - تيغه برف پاك كن مستعمل - خش آينه هاي جانبي - شكستگي يك عدد قالپاق - لاستيك ها كار كرده</t>
  </si>
  <si>
    <t>632-30ط76</t>
  </si>
  <si>
    <t>شماره بدنه: MD910557</t>
  </si>
  <si>
    <t>شماره جایگاه: 1 (جهت بازدید)</t>
  </si>
  <si>
    <t>NJ494340</t>
  </si>
  <si>
    <t>1402/04/01</t>
  </si>
  <si>
    <t>178B0095325</t>
  </si>
  <si>
    <t>خط و خش و قري و كسري هاي ظاهري به رؤيت مشتري مي باشد - كسري طاغچه عقب و نوار دور كلاف دربهاي جلو - ايراد فني دارد - بالا رفتن دماي آب - قري درب جلو چپ - زيرپايي ها و تيغه برف پاك كن مستعمل - لاستيك ها كار كرده</t>
  </si>
  <si>
    <t>481-34ي73</t>
  </si>
  <si>
    <t>شماره بدنه: NJ494340</t>
  </si>
  <si>
    <t>شماره جایگاه: 31 (جهت بازدید)</t>
  </si>
  <si>
    <t>NJ261038</t>
  </si>
  <si>
    <t>1402/03/21</t>
  </si>
  <si>
    <t>178B0078428</t>
  </si>
  <si>
    <t>خط و خش و قري و كسري هاي ظاهري به رؤيت مشتري مي باشد - ايراد رنگي بدنه - صداي غيرعادي از سمت راست خودرو - كشيدن فرمان در حين حركت - تيغه برف پاك كن مستعمل - لاستيك ها كار كرده</t>
  </si>
  <si>
    <t>888-40ي26</t>
  </si>
  <si>
    <t>شماره بدنه: NJ261038</t>
  </si>
  <si>
    <t>شماره جایگاه: 32 (جهت بازدید)</t>
  </si>
  <si>
    <t>دنا پلاس اتوماتيك با موتور EF7_TC كلاس2 سفيد دوپوششه كانزاي</t>
  </si>
  <si>
    <t>NE480912</t>
  </si>
  <si>
    <t>153H0048343</t>
  </si>
  <si>
    <t>خط و خش و قري و كسري هاي ظاهري به رؤيت مشتري مي باشد - تصادفي بودن سرشاسي هاي جلو و محور عرضي سيني فن و درب موتور و گلگيرهاي جلو و شكستگي چراغ هاي جلو و آسيب ديدگي رادياتها و سپر جلو - كسري كليد صندوق پران - رنگ پريدگي درب جلو راست - چراغ هاي پشت آمپر روشن - شكستگي سپر جلو و داخل خودرو مي باشد و كسري دارد - سيني زير موتور خوردگي دارد - كسري جلو پنجره ( ايرادات غير قابل ريورك مطابق استاندارد كارخانه )</t>
  </si>
  <si>
    <t>شماره بدنه: NE480912</t>
  </si>
  <si>
    <t>NJ486922</t>
  </si>
  <si>
    <t>178B0095896</t>
  </si>
  <si>
    <t>خط و خش و قري و كسري هاي ظاهري به رؤيت مشتري مي باشد - تصادفي بودن گلگير عقب راست - كسري قالپاق چرخ عقب راست و يك عدد بالابر عقب - قري درب جلو راست و درب عقب چپ - ايرادات غير قابل ريورك مطابق استاندارد كارخانه</t>
  </si>
  <si>
    <t>شماره بدنه: NJ486922</t>
  </si>
  <si>
    <t>شماره جایگاه: 462 (جهت بازدید)</t>
  </si>
  <si>
    <t>NH205529</t>
  </si>
  <si>
    <t>164B0300525</t>
  </si>
  <si>
    <t>خط و خش و قري و كسري هاي ظاهري به رؤيت مشتري مي باشد - تصادفي بودن درب عقب چپ و راست و گلگير جلو و عقب راست و گلگير جلو چپ و درب موتور - خراشيدگي سپر جلو - شكستگي چراغ جلو راست و ابرويي زير چراغ - قري درب جلو راست - آمپر خراب مي باشد - آچار خوردگي پيچ هاي گلگير جلو چپ ( تعويضي كارخانه ) - كسري آنتن - خراب بودن ضبط و كولر - ايراد برقي دارد -( ايرادات غير قابل ريورك مطابق استاندارد كارخانه )</t>
  </si>
  <si>
    <t>شماره بدنه: NH205529</t>
  </si>
  <si>
    <t>شماره جایگاه: 647 (جهت بازدید)</t>
  </si>
  <si>
    <t>NH206837</t>
  </si>
  <si>
    <t>164B0301750</t>
  </si>
  <si>
    <t>خط و خش و قري و كسري هاي ظاهري به رؤيت مشتري مي باشد - تصادفي بودن گلگير جلو و درب جلو و عقب راست و سپر جلو - خوردگي درب جلو چپ - زدگي رينگ چرخ جلو راست - كسري نوار آبگير شيشه عقب راست و آينه جلو راست و زه نوار لچكي عقب - خش چراغ عقب راست - كسري درپوش گاز كولر - ( ايرادات غير قابل ريورك مطابق استاندارد كارخانه )</t>
  </si>
  <si>
    <t>شماره بدنه: NH206837</t>
  </si>
  <si>
    <t>پژو 207i دستي کلاس 10 مشكي متاليك</t>
  </si>
  <si>
    <t>MJ224653</t>
  </si>
  <si>
    <t>178B0078475</t>
  </si>
  <si>
    <t>خط و خش و قري و كسري ظاهري به رؤيت مشتري مي باشد - ايراد رنگي بدنه - رنگ پريدگي نقاط مختلف بدنه - ماندگاري بالا و افت مدل - ايراد رنگي درب موتور و گلگير جلو راست - موادي بودن قاب دور كيلومتر - ( ايرادات غير قابل ريورك مطابق استاندارد كارخانه )</t>
  </si>
  <si>
    <t>شماره بدنه: MJ224653</t>
  </si>
  <si>
    <t>شماره جایگاه: 476 (جهت بازدید)</t>
  </si>
  <si>
    <t>NK190641</t>
  </si>
  <si>
    <t>139B0280364</t>
  </si>
  <si>
    <t>خط و خش و قري و كسري هاي ظاهري به رؤيت مشتري مي باشد - تصادفي بودن گلگير عقب و درب عقب راست و درب عقب چپ و درب صندوق - آچارخوردگي پيچ هاي درب موتور ( تعويضي كارخانه ) - زاپاس كاركرده و متفرقه و پنچر - شكستگي چراغ عقب راست - كسري شبرنگ - خش جلو پنجره - كسري درب جعبه فيوز - خش و قري درب جلو راست - خش داشبورد - سائيدگي گلگير جلو چپ و گلگير جلو راست - كسري زيرپايي ها و زيرسري ها - لاستيكها كاركرده و متفرقه - كسري شبرنگ - ( ايرادات غير قابل ريورك مطابق استاندارد كارخانه )</t>
  </si>
  <si>
    <t>شماره بدنه: NK190641</t>
  </si>
  <si>
    <t>NK691974</t>
  </si>
  <si>
    <t>167B0175784</t>
  </si>
  <si>
    <t>خط و خش و قري و كسري هاي ظاهري به رؤيت مشتري مي باشد - تصادفي بودن سپر عقب و گلگير عقب چپ و شكستگي چراغ عقب چپ - تصادفي بودن پليت صندوق - ايراد رنگي بدنه - كسري يك عدد قالپاق و درب رادياتور - دفرمگي قسمتي از بكسل بند عقب - درب صندوق باز نمي شود - خوردگي كف صندوق - لاستيكهاي جلو كاركرده - ( ايرادات غير قابل ريورك مطابق استاندارد كارخانه )</t>
  </si>
  <si>
    <t>شماره بدنه: NK691974</t>
  </si>
  <si>
    <t>NH206777</t>
  </si>
  <si>
    <t>164B0301595</t>
  </si>
  <si>
    <t>خط و خش و قري و كسري هاي ظاهري به رؤيت مشتري مي باشد - تصادفي بودن گلگير عقب و درب عقب چپ و درب عقب راست - قري درب موتور و پليت صندوق - آسيب ديدگي سپر عقب - خراشيدگي سپر جلو - پنچر بودن چرخ عقب چپ ( با زاپاس تعويض شده ) - عدم جذب چراغ خطر عقب - آچار خوردگي پيچ هاي درب موتور ( تعويضي كارخانه ) - شكستگي چراغ عقب چپ - ( ايرادات غيرقابل ريورك مطابق استاندارد كارخانه )</t>
  </si>
  <si>
    <t>شماره بدنه: NH206777</t>
  </si>
  <si>
    <t>شماره جایگاه: 600 (جهت بازدید)</t>
  </si>
  <si>
    <t>NH418296</t>
  </si>
  <si>
    <t>164B0298523</t>
  </si>
  <si>
    <t>خط و خش و قري و كسري هاي ظاهري به رؤيت مشتري مي باشد - ايراد رنگي بدنه - تصادفي بودن ستون عقب راست - خش محل نصب پلاك عقب - كسري آنتن - ( ايرادات غيرقابل ريورك مطابق استاندارد كارخانه )</t>
  </si>
  <si>
    <t>شماره بدنه: NH418296</t>
  </si>
  <si>
    <t>شماره جایگاه: 574 (جهت بازدید)</t>
  </si>
  <si>
    <t>دنا پلاس اتوماتيك با موتور EF7_TC كلاس2 مشكي متاليك</t>
  </si>
  <si>
    <t>LE240740</t>
  </si>
  <si>
    <t>1402/06/02</t>
  </si>
  <si>
    <t>153H0014650</t>
  </si>
  <si>
    <t>خط و خش و قري و كسري هاي ظاهري به رؤيت مشتري مي باشد - خودرو ايراد فني و موتوري دارد - عدم تست فني خودرو - باطري مستعمل - كسري پيچ نگهدارنده تيغه سوئيچ - كسري يكعدد سوئيچ و سيستم راديوپخش و فندك - مستعمل بودن لاستيكهاي كف پايي و تيغه برف پاك كن ها - خش آينه ها - لاستيكها كاركرده - خش چراغها - زاپاس مستعمل و كاركرده - موكت صندوق مستعمل - خودرو سوابق تعميراتي متعدد داشته و هنوز داراي ايرادات متعدد فني مي باشد - خوردگي سپر جلو - خش گلگير جلو چپ ( رنگ پريدگي و قري دارد ) - خش و رنگ پريدگي دربهاي چپ و ركاب چپ و گلگير عقب چپ و سقف و درب صندوق - خوردگي سپر عقب - خش گلگير هاي راست و دربهاي راست - چراغ چك روشن است - چراغ اي بي اس و چراغ سرويس روشن است - عدم عملكرد سيستم برق داخل خودرو ( احتمال كسري قطعه اي سي يوي داخل اتاق وجود دارد ) - خش و قري درب موتور</t>
  </si>
  <si>
    <t>899-55د94</t>
  </si>
  <si>
    <t>شماره بدنه: LE240740</t>
  </si>
  <si>
    <t>NH868062</t>
  </si>
  <si>
    <t>139B0273873</t>
  </si>
  <si>
    <t>خط و خش و قري و كسري هاي ظاهري به رؤيت مشتري مي باشد - تصادفي بودن گلگير جلو راست و چپ و درب عقب راست و ستون عقب چپ و درب جلو راست و لبه درب موتور دوطرف - كسري راهنما و ضربگير گلگير جلو راست - تصادفي بودن سپر جلو - آچار خوردگي پيچ هاي درب موتور و گلگيرهاي جلو (تعويضي كارخانه ) - عدم جذب ضربگير دربها - اثر ضربه گلگير جلو چپ - قري دربهاي چپ - ( ايرادات غير قابل ريورك مطابق استاندارد كارخانه ) - كسري آنتن - خراب بودن كولر و بخاري</t>
  </si>
  <si>
    <t>شماره بدنه: NH868062</t>
  </si>
  <si>
    <t>NH416283</t>
  </si>
  <si>
    <t>164B0297169</t>
  </si>
  <si>
    <t>خط و خش و قري و كسري هاي ظاهري به رؤيت مشتري مي باشد - ايراد رنگي بدنه - رنگ پريدگي نقاطي از بدنه - كسري درب جعبه فيوز و بست باطري - ( ايرادات غير قابل ريورك مطابق استاندارد كارخانه )</t>
  </si>
  <si>
    <t>شماره بدنه: NH416283</t>
  </si>
  <si>
    <t>LE240379</t>
  </si>
  <si>
    <t>153H0013849</t>
  </si>
  <si>
    <t>خط و خش و قري و كسري هاي ظاهري به رؤيت مشتري مي باشد - خش و رنگ پريدگي درب موتور - كسري بست نگهدارنده شيلنگ جلو موتور - چراغ چك روشن - شكستگي قاب روي موتور - كسري دو عدد لوگوي وسط رينگ - لاستيك عقب چپ با زاپاس تعويض شده - كسري قاب پشت درب صندوق - آچار خوردگي پيچ هاي گلگيرهاي جلو و درب موتور - سائيدگي و رنگ پريدگي سپر عقب و سپر جلو - خش گلگيرها و دربهاي چپ - رنگ پريدگي لبه دربهاي چپ - خش درب صندوق و گلگير عقب راست - قري و خش و رنگ پريدگي دربهاي راست - خش گلگير جلو راست و ركاب راست و سقف - بازبودن سيم پيچي هاي زير صندلي راننده - خودرو ايراد فني دارد - دماي آب بالا مي باشد - خودرو سوابق تعميراتي داشته - موتور بد كار مي كند و لرزش دارد - باطري دشارژ - خوردگي سيني زير موتور - كسري يك عدد سوئيچ - زيرپايي ها مستعمل - خوردگي جلو پنجره - تيغه برف پاك كن مستعمل - خش و رنگ پريدگي آينه هاي جانبي - لاستيك ها كار كرده - شكستگي چراغ عقب راست - زاپاس كاركرده و پنچر - موكت صندوق مستعمل</t>
  </si>
  <si>
    <t>415-33ص96</t>
  </si>
  <si>
    <t>شماره بدنه: LE240379</t>
  </si>
  <si>
    <t>NT344870</t>
  </si>
  <si>
    <t>1402/07/04</t>
  </si>
  <si>
    <t>188B0007933</t>
  </si>
  <si>
    <t>خط و خش و قري و كسري هاي ظاهري به رؤيت مشتري مي باشد - ايراد فني موتوري دارد ( موتور خودرو دود آبي ميدهد ) - باطري دشارژ - زيرپايي ها و تيغه برف پاك كن مستعمل - خش آينه هاي جانبي - لاستيكها كاركرده - چراغ چك روشن - رنگ پريدگي لبه درب جلو راست - خش درب عقب راست</t>
  </si>
  <si>
    <t>677-72ه81</t>
  </si>
  <si>
    <t>شماره بدنه: NT344870</t>
  </si>
  <si>
    <t>شماره جایگاه: 591 (جهت بازدید)</t>
  </si>
  <si>
    <t>NH871371</t>
  </si>
  <si>
    <t>1402/03/25</t>
  </si>
  <si>
    <t>164B0299161</t>
  </si>
  <si>
    <t>خط و خش و قري و كسري هاي ظاهري به رؤيت مشتري مي باشد - كسري تيغه برف پاك كن - ايراد رنگي بدنه ( سقف و درب موتور و درب صندوق ) - خش گلگير عقب چپ و درب عقب چپ و درب جلو چپ - كسري فندك و آنتن</t>
  </si>
  <si>
    <t>436-93و94</t>
  </si>
  <si>
    <t>شماره بدنه: NH871371</t>
  </si>
  <si>
    <t>شماره جایگاه: 6 (جهت بازدید)</t>
  </si>
  <si>
    <t>NH480307</t>
  </si>
  <si>
    <t>139B0298931</t>
  </si>
  <si>
    <t>خط و خش و قري و كسري هاي ظاهري به رؤيت مشتري مي باشد - تصادفي بودن درب عقب و جلو و ركاب راست و درب جلو و عقب و گلگير عقب چپ و چراغ عقب و سپر عقب و چرخ عقب و پليت عقب و اكسل - رنگ پريدگي سپر جلو و كسري لامپ چراغ عقب چپ و يك عدد قالپاق - چراغ عقب چپ شكسته - ( ايرادات غيرقابل ريورك مطابق استاندارد كارخانه )</t>
  </si>
  <si>
    <t>شماره بدنه: NH480307</t>
  </si>
  <si>
    <t>شماره جایگاه: 629 (جهت بازدید)</t>
  </si>
  <si>
    <t>NH418969</t>
  </si>
  <si>
    <t>1402/03/29</t>
  </si>
  <si>
    <t>164B0298731</t>
  </si>
  <si>
    <t>خط و خش و قري و كسري هاي ظاهري به رؤيت مشتري مي باشد - ايراد رنگي بدنه - ايراد رنگي درب موتور و سقف و صندوق - خوردگي پلاك جلو - ول بودن زه درب جلو چپ - كسري يك عدد سوئيچ</t>
  </si>
  <si>
    <t>795-15ج93</t>
  </si>
  <si>
    <t>شماره بدنه: NH418969</t>
  </si>
  <si>
    <t>شماره جایگاه: 7 (جهت بازدید)</t>
  </si>
  <si>
    <t>NH206933</t>
  </si>
  <si>
    <t>139B0291730</t>
  </si>
  <si>
    <t>خط و خش و قري و كسري هاي ظاهري به رؤيت مشتري مي باشد - ايراد رنگي بدنه - قري درب جلو چپ - خش درب صندوق و درب موتور - ( ايرادات غيرقابل ريورك مطابق استاندارد كارخانه )</t>
  </si>
  <si>
    <t>شماره بدنه: NH206933</t>
  </si>
  <si>
    <t>NH867085</t>
  </si>
  <si>
    <t>139B0272046</t>
  </si>
  <si>
    <t>خط و خش و قري و كسري ظاهري به رؤيت مشتري مي باشد - ايراد رنگي بدنه - قري سقف و درب جلو راست - خش درب صندوق - ( ايرادات غير قابل ريورك مطابق استاندارد كارخانه )</t>
  </si>
  <si>
    <t>شماره بدنه: NH867085</t>
  </si>
  <si>
    <t>NH417823</t>
  </si>
  <si>
    <t>164B0298549</t>
  </si>
  <si>
    <t>خط و خش و قري و كسري هاي ظاهري به رؤيت مشتري مي باشد - ايراد رنگي بدنه - خط و خش ريز بدنه - عدم چسبندگي زه هاي دربهاي جانبي - ( ايرادات غيرقابل ريورك مطابق استاندارد كارخانه )</t>
  </si>
  <si>
    <t>شماره بدنه: NH417823</t>
  </si>
  <si>
    <t>پژو 207i دستي كلاس 6 مشكي متاليك</t>
  </si>
  <si>
    <t>NJ485106</t>
  </si>
  <si>
    <t>178B0089267</t>
  </si>
  <si>
    <t>خط و خش و قري و كسري هاي ظاهري به رؤيت مشتري مي باشد - ايراد رنگي بدنه در قسمت سقف - ( ايرادات غيرقابل ريورك مطابق استاندارد كارخانه )</t>
  </si>
  <si>
    <t>شماره بدنه: NJ485106</t>
  </si>
  <si>
    <t>شماره جایگاه: 463 (جهت بازدید)</t>
  </si>
  <si>
    <t>NH877076</t>
  </si>
  <si>
    <t>139B0283707</t>
  </si>
  <si>
    <t>خط و خش و قري و كسري هاي ظاهري به رؤيت مشتري مي باشد - قري درب موتور - ايراد رنگي درب موتور ( تعويضي كارخانه ) - ( ايرادات غيرقابل ريورك مطابق استاندارد كارخانه )</t>
  </si>
  <si>
    <t>شماره بدنه: NH877076</t>
  </si>
  <si>
    <t>NH418543</t>
  </si>
  <si>
    <t>164B0298646</t>
  </si>
  <si>
    <t>خط و خش و قري و كسري هاي ظاهري به رؤيت مشتري مي باشد - ايراد رنگي بدنه - كسري درب باك - قري درب جلو راست - كولر خراب مي باشد - ( ايرادات غير قابل ريورك مطابق استاندارد كارخانه )</t>
  </si>
  <si>
    <t>شماره بدنه: NH418543</t>
  </si>
  <si>
    <t>NH212357</t>
  </si>
  <si>
    <t>139B0293389</t>
  </si>
  <si>
    <t>خط و خش و قري و كسري هاي ظاهري به رؤيت مشتري مي باشد - ايراد رنگي درب موتور - آچار خوردگي پيچ هاي درب موتور ( تعويضي كارخانه ) - شكستگي جلو پنجره - كسري دستگيره موكت صندوق - ( ايرادات غيرقابل ريورك مطابق استاندارد كارخانه )</t>
  </si>
  <si>
    <t>شماره بدنه: NH212357</t>
  </si>
  <si>
    <t>شماره جایگاه: 593 (جهت بازدید)</t>
  </si>
  <si>
    <t>NH879894</t>
  </si>
  <si>
    <t>164B0300815</t>
  </si>
  <si>
    <t>خط و خش و قري و كسري هاي ظاهري به رؤيت مشتري مي باشد - ايراد رنگي بدنه - كسري دستگيره موكت صندوق - باطري دشارژ - خش درب موتور و درب صندوق - قري درب عقب چپ و درب عقب راست - ( ايرادات غيرقابل ريورك مطابق استاندارد كارخانه )</t>
  </si>
  <si>
    <t>شماره بدنه: NH879894</t>
  </si>
  <si>
    <t>NH418292</t>
  </si>
  <si>
    <t>164B0297724</t>
  </si>
  <si>
    <t>خط و خش و قري و كسري هاي ظاهري به رؤيت مشتري مي باشد - ايراد رنگي بدنه - خش درب صندوق - درب جلو راست باز نمي شود - قري درب عقب چپ - خش كلاف درب جلو چپ - قري درب جلو راست - عدم جذب زه درب جلو راست - خش درب موتور - قفل كن روي سوئيچ ها خراب مي باشد - سوئيچ ها فاقد كيت الكترونيكي مي باشند - ( ايرادات غيرقابل ريورك مطابق استاندارد كارخانه )</t>
  </si>
  <si>
    <t>شماره بدنه: NH418292</t>
  </si>
  <si>
    <t>شماره جایگاه: 597 (جهت بازدید)</t>
  </si>
  <si>
    <t>NH869964</t>
  </si>
  <si>
    <t>139B0275386</t>
  </si>
  <si>
    <t>خط و خش و قري و كسري هاي ظاهري به رؤيت مشتري مي باشد - رنگ پريدگي نقاطي از بدنه - شكستگي شيشه عقب - كسري يك عدد قالپاق - ( ايرادات غيرقابل ريورك مطابق استاندارد كارخانه )</t>
  </si>
  <si>
    <t>شماره بدنه: NH869964</t>
  </si>
  <si>
    <t>شماره جایگاه: 592 (جهت بازدید)</t>
  </si>
  <si>
    <t>NH211144</t>
  </si>
  <si>
    <t>139B0292493</t>
  </si>
  <si>
    <t>خط و خش و قري و كسري هاي ظاهري به رؤيت مشتري مي باشد - قري و رنگ پريدگي گلگير جلو راست - تصادفي بودن گلگير عقب چپ - شكستگي جلو پنجره - ( ايرادات غير قابل ريورك مطابق استاندارد كارخانه )</t>
  </si>
  <si>
    <t>شماره بدنه: NH211144</t>
  </si>
  <si>
    <t>NH877178</t>
  </si>
  <si>
    <t>139B0284392</t>
  </si>
  <si>
    <t>خط و خش و قري و كسري هاي ظاهري به رؤيت مشتري مي باشد - قري هلالي گلگير عقب راست و درب عقب راست - ايراد رنگي درب عقب و گلگير عقب راست - باطري دشارژ - كسري اهرم صندلي راننده و دستگيره موكت صندوق و قالپاق ها و شبرنگ - عدم جذب ضربگير درب عقب راست - ( ايرادات غيرقابل ريورك مطابق استاندارد كارخانه )</t>
  </si>
  <si>
    <t>شماره بدنه: NH877178</t>
  </si>
  <si>
    <t>NH867162</t>
  </si>
  <si>
    <t>139B0272473</t>
  </si>
  <si>
    <t>خط و خش و قري و كسري هاي ظاهري به رؤيت مشتري مي باشد - ايراد رنگي بدنه - قري درب عقب چپ - كسري ضربگير درب جلو چپ - خش درب صندوق و درب موتور - ( ايرادات غيرقابل ريورك مطابق استاندارد كارخانه )</t>
  </si>
  <si>
    <t>شماره بدنه: NH867162</t>
  </si>
  <si>
    <t>شماره جایگاه: 596 (جهت بازدید)</t>
  </si>
  <si>
    <t>NK186155</t>
  </si>
  <si>
    <t>167B0164472</t>
  </si>
  <si>
    <t>خط و خش و قري و كسري هاي ظاهري به رؤيت مشتري مي باشد - ايراد رنگي گلگير جلو و عقب راست و درب جلو و عقب راست ( ايرادات غير قابل ريورك مطابق استاندارد كارخانه )</t>
  </si>
  <si>
    <t>شماره بدنه: NK186155</t>
  </si>
  <si>
    <t>NJ485460</t>
  </si>
  <si>
    <t>178B0089686</t>
  </si>
  <si>
    <t>خط و خش و قري و كسري هاي ظاهري به رؤيت مشتري مي باشد - ايراد رنگي بدنه - رنگ پريدگي نقاطي از بدنه - خش جلو پنجره - ( ايرادات غير قابل ريورك مطابق استاندارد كارخانه )</t>
  </si>
  <si>
    <t>شماره بدنه: NJ485460</t>
  </si>
  <si>
    <t>شماره جایگاه: 464 (جهت بازدید)</t>
  </si>
  <si>
    <t>MJ225844</t>
  </si>
  <si>
    <t>166B0056270</t>
  </si>
  <si>
    <t>خط و خش و قري و كسري هاي ظاهري به رؤيت مشتري مي باشد - خودرو تحت تست عملكردي بوده است ( تست آلايندگي ) - ماندگاري بالا و افت مدل - رنگ پريدگي سپر عقب - ( ايرادات غير قابل ريورك مطابق استاندارد كارخانه )</t>
  </si>
  <si>
    <t>شماره بدنه: MJ225844</t>
  </si>
  <si>
    <t>شماره جایگاه: 477 (جهت بازدید)</t>
  </si>
  <si>
    <t>NH876438</t>
  </si>
  <si>
    <t>139B0282717</t>
  </si>
  <si>
    <t>خط و خش و قري و كسري هاي ظاهري به رؤيت مشتري مي باشد - شكستگي زير سپر جلو - قري هلالي گلگير عقب چپ - قري و خش لبه درب عقب چپ - خش بكسل بند جلو - كسري گيره موكت صندوق - قري درب عقب راست - كسري آنتن ( ايرادات غير قابل ريورك مطابق استاندارد كارخانه )</t>
  </si>
  <si>
    <t>شماره بدنه: NH876438</t>
  </si>
  <si>
    <t>NH877549</t>
  </si>
  <si>
    <t>164B0299870</t>
  </si>
  <si>
    <t>خط و خش و قري و كسري هاي ظاهري به رؤيت مشتري مي باشد - اثر ضربه بكسل بند جلو - قري درب موتور و گلگيرهاي جلو و درب جلو و عقب راست - شكستگي سپر جلو - چراغ آچار روشن - قري درب عقب چپ - آچار خوردگي پيچ هاي درب موتور و گلگير جلو راست ( تعويضي كارخانه ) - كسري آنتن ( ايرادات غير قابل ريورك مطابق استاندارد كارخانه )</t>
  </si>
  <si>
    <t>شماره بدنه: NH877549</t>
  </si>
  <si>
    <t>پژو پارس TU5 كلاس20 خاكستري متاليك</t>
  </si>
  <si>
    <t>NK190877</t>
  </si>
  <si>
    <t>139B0279762</t>
  </si>
  <si>
    <t>خط و خش و قري و كسري هاي ظاهري به رؤيت مشتري مي باشد - ايراد رنگي زير كار در ناحيه درب موتور و درب صندوق - زاپاس كار كرده - قري درب جلو و عقب راست - آمپر آب كمي از خط وسط بالاتر مي رود - ( ايرادات غير قابل ريورك مطابق استاندارد كارخانه )</t>
  </si>
  <si>
    <t>شماره بدنه: NK190877</t>
  </si>
  <si>
    <t>NK193281</t>
  </si>
  <si>
    <t>139B0286328</t>
  </si>
  <si>
    <t>خط و خش و قري و كسري هاي ظاهري به رؤيت مشتري مي باشد - خوردگي ستون عقب راست و كلاف درب عقب راست و درب جلو راست - سائيدگي ضربگير سپر جلو چپ ( ايرادات غير قابل ريورك مطابق استاندارد كارخانه )</t>
  </si>
  <si>
    <t>شماره بدنه: NK193281</t>
  </si>
  <si>
    <t>NK186579</t>
  </si>
  <si>
    <t>167B0164133</t>
  </si>
  <si>
    <t>خط و خش و قري و كسري هاي ظاهري به رؤيت مشتري مي باشد - شكستگي شيشه آينه راست - دفرمگي و پارگي ورق زير بدنه اطراف حرارت گير اگزوز - قري پليت صندوق و هلالي گلگير عقب راست - آسيب ديدگي سپر عقب - قري درب عقب چپ - ( ايرادات غير قابل ريورك مطابق استاندارد كارخانه )</t>
  </si>
  <si>
    <t>شماره بدنه: NK186579</t>
  </si>
  <si>
    <t>دنا+ (پلاس) کلاس 14 سفيد دو پوششه</t>
  </si>
  <si>
    <t>ME361049</t>
  </si>
  <si>
    <t>147H0620466</t>
  </si>
  <si>
    <t>خط و خش و قري و كسري هاي ظاهري به رؤيت مشتري مي باشد - خودرو تحت تست عملكردي بوده است - ماندگاري بالا و افت مدل - خط و خش سپر جلو و عقب - اثر ضربه و دفرمگي سپر عقب - شكستگي قاب كنسول وسط و قاب غربيلك فرمان - ايراد رنگي بدنه - رنگ پريدگي و سائيدگي سپر جلو - كسري ليوان - ( ايرادات غير قابل ريورك مطابق استاندارد كارخانه )</t>
  </si>
  <si>
    <t>کد کلاس: 70314</t>
  </si>
  <si>
    <t>شماره بدنه: ME361049</t>
  </si>
  <si>
    <t>شماره جایگاه: 390 (جهت بازدید)</t>
  </si>
  <si>
    <t>MF919307</t>
  </si>
  <si>
    <t>147H0610937</t>
  </si>
  <si>
    <t>خط و خش وقري و كسري هاي ظاهري به رؤيت مشتري مي باشد - ايراد رنگي درب جلو راست ( تعويضي كارخانه ) - خراشيدگي دستگيره درب جلو راست - رنگ پريدگي قاب آينه جلو راست - ماندگاري بالا و افت مدل - كسري يك عدد سوئيچ - قري دربهاي جلو - كسري آنتن - ( ايرادات غيرقابل ريورك مطابق استاندارد كارخانه )</t>
  </si>
  <si>
    <t>شماره بدنه: MF919307</t>
  </si>
  <si>
    <t>شماره جایگاه: 282 (جهت بازدید)</t>
  </si>
  <si>
    <t>MF918184</t>
  </si>
  <si>
    <t>147H0608827</t>
  </si>
  <si>
    <t>خط و خش و قري و كسري هاي ظاهري به رؤيت مشتري مي باشد - ماندگاري بالا و افت مدل - شكستگي شيشه عقب - جانبودن دريچه هاي هواكش - قري درب جلو راست و درب عقب چپ - رنگ پريدگي لبه درب موتور - ( ايرادات غيرقابل ريورك مطابق استاندارد كارخانه )</t>
  </si>
  <si>
    <t>شماره بدنه: MF918184</t>
  </si>
  <si>
    <t>شماره جایگاه: 294 (جهت بازدید)</t>
  </si>
  <si>
    <t>دنا+ (پلاس) کلاس 17 مشكي متاليك</t>
  </si>
  <si>
    <t>ME357128</t>
  </si>
  <si>
    <t>147H0593487</t>
  </si>
  <si>
    <t>خط و خش و قري و كسري ظاهري به رؤيت مشتري مي باشد - ايراد رنگي بدنه - رنگ پريدگي نقاط مختلف بدنه - ايراد رنگي درب موتور و گلگير جلو راست - كسري ميله درب موتور - خش چراغ هاي عقب - ماندگاري بالا و افت مدل - ( ايرادات غير قابل ريورك مطابق استاندارد كارخانه )</t>
  </si>
  <si>
    <t>کد کلاس: 70317</t>
  </si>
  <si>
    <t>شماره بدنه: ME357128</t>
  </si>
  <si>
    <t>شماره جایگاه: 394 (جهت بازدید)</t>
  </si>
  <si>
    <t>NF161847</t>
  </si>
  <si>
    <t>147H0643334</t>
  </si>
  <si>
    <t>خط و خش و قري و كسري هاي ظاهري به رؤيت مشتري مي باشد - كسري قاب روي موتور - آچارخوردگي پيچ هاي درب موتور ( تعويضي كارخانه ) - رنگ پريدگي سپر عقب - خوردگي دربهاي چپ - كسري بكسل بند و خوردگي اطراف بكسل بند جلو و سپر جلو - قري درب عقب راست - كسري قاب دورفرمان و شيشه بالابر درب جلو چپ و درب جعبه فيوز - زاپاس كاركرده و پنچر - كسري درب باك و قفل دستگيره درب جلو چپ - آسيب ديدگي محور عرضي شاسي جلو - خراب بودن برف پاك كن - شكستگي سيني زير موتور - زيرپايي ها مستعمل - ( ايرادات غيرقابل ريورك مطابق استاندارد كارخانه )</t>
  </si>
  <si>
    <t>شماره بدنه: NF161847</t>
  </si>
  <si>
    <t>شماره جایگاه: 293 (جهت بازدید)</t>
  </si>
  <si>
    <t>سورن EF7 بنزيني کلاس 23 خاكستري متال</t>
  </si>
  <si>
    <t>MF080826</t>
  </si>
  <si>
    <t>147H0614015</t>
  </si>
  <si>
    <t>خط وخش و قري و كسري هاي ظاهري به رؤيت مشتري ميباشد - ماندگاري بالا و افت مدل - تصادفي بودن درب جلو و عقب راست و ركاب راست - عدم جذب ضربگير دربها - كسري قاب دور دستگيره قفل جلو چپ - كسري توپي داخل رينگ جلو راست - ( ايرادات غيرقابل ريورك مطابق استاندارد كارخانه )</t>
  </si>
  <si>
    <t>شماره بدنه: MF080826</t>
  </si>
  <si>
    <t>شماره جایگاه: 303 (جهت بازدید)</t>
  </si>
  <si>
    <t>NT368880</t>
  </si>
  <si>
    <t>172B0087736</t>
  </si>
  <si>
    <t>خط و خش وقري و كسري هاي ظاهري به رؤيت مشتري مي باشد - تصادفي بودن گلگيرهاي جلو - قري درب جلو راست - خش سپر عقب و دربهاي راست - كسري قاب آينه هاي بغل - قري درب جلو و عقب چپ و دربهاي راست - رنگ پريدگي لبه درب موتور -( ايرادات غيرقابل ريورك مطابق استاندارد كارخانه )</t>
  </si>
  <si>
    <t>شماره بدنه: NT368880</t>
  </si>
  <si>
    <t>شماره جایگاه: 309 (جهت بازدید)</t>
  </si>
  <si>
    <t>MK112450</t>
  </si>
  <si>
    <t>1402/02/04</t>
  </si>
  <si>
    <t>139B0198077</t>
  </si>
  <si>
    <t>خط و خش و قري و كسري هاي ظاهري به رؤيت مشتري مي باشد - ايراد فني دارد ( ضعيف بودن ترمز ) - خودرو در اثر نقص فني ترمز دچار حادثه شده و در اثر آن اتاق تعويضي مي باشد و مراتب تعويضي بودن اتاق در شناسنامه مالكيت ناجا ( برگه سبز پليس ) ثبت شده است - كليدهاي تنظيم صندلي هاي جلو بر عكس عمل ميكند - خوردگي سپرها - قري درب جلو راست - رنگ پريدگي ركاب راست - قري درب عقب راست - رنگ پريدگي ستگيره درب راننده - دفرمه بودن نوار دور شيشه درب عقب راست - رنگ پريدگي ركاب چپ - باطري و تيغه برف پاك كن مستعمل - خوردگي اينه هاي جانبي - موكت صندوق مستعمل</t>
  </si>
  <si>
    <t>شماره بدنه: MK112450</t>
  </si>
  <si>
    <t>شماره جایگاه: 509 (جهت بازدید)</t>
  </si>
  <si>
    <t>دنا+ (پلاس) کلاس 14 خاكستري متاليك</t>
  </si>
  <si>
    <t>ME350447</t>
  </si>
  <si>
    <t>147H0576859</t>
  </si>
  <si>
    <t>خط و خش و قري و كسري هاي ظاهري به رؤيت مشتري مي باشد -ايراد رنگي روي رنگ بدنه - ( ايرادات غير قابل ريورك مطابق استاندارد كارخانه )</t>
  </si>
  <si>
    <t>شماره بدنه: ME350447</t>
  </si>
  <si>
    <t>شماره جایگاه: 395 (جهت بازدید)</t>
  </si>
  <si>
    <t>دنا+ (پلاس) کلاس 17 سفيد دوپوششه كانزاي</t>
  </si>
  <si>
    <t>ME361801</t>
  </si>
  <si>
    <t>147H0624513</t>
  </si>
  <si>
    <t>خط و خش و قري و كسري هاي ظاهري به رؤيت مشتري مي باشد - ايراد رنگي درب عقب چپ - كسري دستگيره موكت صندوق - چراغهاي سرويس و اي بي اس و ئي بي اس همگي روشن - ماندگاري بالا و افت مدل - ( ايرادات غير قابل ريورك مطابق استاندارد كارخانه )</t>
  </si>
  <si>
    <t>شماره بدنه: ME361801</t>
  </si>
  <si>
    <t>شماره جایگاه: 389 (جهت بازدید)</t>
  </si>
  <si>
    <t>NJ301246</t>
  </si>
  <si>
    <t>182A0179460</t>
  </si>
  <si>
    <t>خط و خش و قري و كسري هاي ظاهري به رؤيت مشتري مي باشد - تصادفي بودن سرشاسي جلو و گلگير جلو چپ و سپر جلو و رينگ چرخ جلو چپ - خراشيدگي رنگ درب جلو چپ - رنگ پريدگي لبه درب موتور - شكستگي مه شكن جلو چپ و پايه چراغ جلو - كسري آچارچرخ - ( ايرادات غيرقابل ريورك مطابق استاندارد كارخانه )</t>
  </si>
  <si>
    <t>شماره بدنه: NJ301246</t>
  </si>
  <si>
    <t>شماره جایگاه: 272 (جهت بازدید)</t>
  </si>
  <si>
    <t>MF087214</t>
  </si>
  <si>
    <t>147H0622059</t>
  </si>
  <si>
    <t>خط و خش و قري و كسري هاي ظاهري به رؤيت مشتري ميباشد - ماندگاري بالا و افت مدل - تصادفي بودن زير بدنه ( محل عبور لوله اگزوز ) - قري درب عقب راست - ( ايرادات غيرقابل ريورك مطابق استاندارد كارخانه )</t>
  </si>
  <si>
    <t>شماره بدنه: MF087214</t>
  </si>
  <si>
    <t>شماره جایگاه: 280 (جهت بازدید)</t>
  </si>
  <si>
    <t>MF084356</t>
  </si>
  <si>
    <t>147H0620606</t>
  </si>
  <si>
    <t>خط و خش و قري و كسري هاي ظاهري به رؤيت مشتري مي باشد - ماندگاري بالا و افت مدل - شكستگي شيشه عقب - چراغ ايربك روشن - قري درب عقب چپ - ( ايرادات غيرقابل ريورك مطابق استاندارد كارخانه )</t>
  </si>
  <si>
    <t>شماره بدنه: MF084356</t>
  </si>
  <si>
    <t>شماره جایگاه: 292 (جهت بازدید)</t>
  </si>
  <si>
    <t>MD916589</t>
  </si>
  <si>
    <t>1401/12/18</t>
  </si>
  <si>
    <t>187B0009475</t>
  </si>
  <si>
    <t>خط و خش و قري و كسري ظاهري به رؤيت مشتري مي باشد - ايراد رنگي بدنه ( لبه گلگيرها ) - كسري زيرپايي شاگرد - سائيدگي سپر عقب - خط و خش سپرها - خرابي قفل درب راننده - رنگ پريدگي سپرها - خط و خش آينه ها - كسري آنتن</t>
  </si>
  <si>
    <t>149-73ل46</t>
  </si>
  <si>
    <t>شماره بدنه: MD916589</t>
  </si>
  <si>
    <t>شماره جایگاه: 2 (جهت بازدید)</t>
  </si>
  <si>
    <t>MD911233</t>
  </si>
  <si>
    <t>1402/06/16</t>
  </si>
  <si>
    <t>187B0001571</t>
  </si>
  <si>
    <t>خط و خش و قري و كسري هاي ظاهري به رؤيت مشتري مي باشد - گيربكس ايراد دارد - ايراد فني دارد - زيرپايي ها و تيغه برف پاك كن مستعمل - لاستيكها كاركرده - خش چراغ عقب چپ - صداي غير عادي از ناحيه فرمان - عدم همسطحي درب جلو و عقب چپ - خودرو سوابق تعميراتي متعددي داشته كه بعضي از ايرادات آن رفع نگرديده است - رنگ پريدگي سپر جلو و لبه درب موتور - قري و رنگ پريدگي درب عقب راست</t>
  </si>
  <si>
    <t>529-99ق41</t>
  </si>
  <si>
    <t>شماره بدنه: MD911233</t>
  </si>
  <si>
    <t>شماره جایگاه: 3 (جهت بازدید)</t>
  </si>
  <si>
    <t>MF919143</t>
  </si>
  <si>
    <t>147H0611129</t>
  </si>
  <si>
    <t>خط و خش و قري و كسري هاي ظاهري به رؤيت مشتري مي باشد - كسري درب باك - ترك رنگ گلگير عقب چپ - خوردگي درب عقب چپ - كسري زه درب عقب چپ - خوردگي درب جلو و عقب راست - عدم عملكرد شيشه بالابر جلو راست و آينه بغل راست - زخمي بودن زه درب جلو راست - آچارخوردگي پيچ هاي درب موتور ( تعويضي كارخانه ) - ايراد رنگي سقف و گلگير عقب چپ - قري درب موتور - ماندگاري بالا و افت مدل - ( ايرادات غيرقابل ريورك مطابق استاندارد كارخانه )</t>
  </si>
  <si>
    <t>شماره بدنه: MF919143</t>
  </si>
  <si>
    <t>شماره جایگاه: 302 (جهت بازدید)</t>
  </si>
  <si>
    <t>شماره جایگاه: 307 (جهت بازدید)</t>
  </si>
  <si>
    <t>شماره جایگاه: 310 (جهت بازدید)</t>
  </si>
  <si>
    <t>LE241053</t>
  </si>
  <si>
    <t>1401/06/02</t>
  </si>
  <si>
    <t>153H0015119</t>
  </si>
  <si>
    <t>خط و خش و قري و كسري هاي ظاهري به رؤيت مشتري مي باشد - موتور خودرو ايراد فني و برقي دارد - باطري دشارژ - تيغه برف پاك كن و لاستيكها مستعمل - كسري شبرنگ - خودرو ايرادات فني و برقي متعددي داشته كه رفع گرديده ولي امكان دارد مجدداً دچار ايراد شود - رنگ پريدگي لبه درب موتور - سائيدگي سپر عقب - خش درب عقب راست و درب جلو راست و سپر جلو و خش و رنگ پريدگي دربهاي چپ</t>
  </si>
  <si>
    <t>734-40ب89</t>
  </si>
  <si>
    <t>شماره بدنه: LE241053</t>
  </si>
  <si>
    <t>شماره جایگاه: 42 (جهت بازدید)</t>
  </si>
  <si>
    <t>NH440328</t>
  </si>
  <si>
    <t>125K0001436</t>
  </si>
  <si>
    <t>خط و خش و قري و كسري هاي ظاهري به رؤيت مشتري ميباشد - خودرو تحت تست بوده است - كسري شبرنگ - شكستگي شيشه جلو - آچارخوردگي پيچ هاي درب موتور و گلگيرهاي جلو و درب صندوق ( تعويضي كارخانه ) - شكستگي قاب روي كمك فنر جلو - خوردگي درب موتور و گلگير جلو راست و درب جلو راست و درب عقب راست - خوردگي سپر عقب و درب صندوق - عدم جذب زه دربها - خوردگي سپر عقب چپ و گلگير عقب چپ و سپرها و درب موتور قري درب صندوق - خوردگي درب جلو و گلگير جلو چپ - سردنده ايراد دارد - چراغ ايربگ روشن - ( ايرادات غير قابل ريورك مطابق استاندارد كارخانه )</t>
  </si>
  <si>
    <t>شماره بدنه: NH440328</t>
  </si>
  <si>
    <t>MH669366</t>
  </si>
  <si>
    <t>139B0228857</t>
  </si>
  <si>
    <t>خط و خش و قري و كسري هاي ظاهري به رؤيت مشتري مي باشد - ايراد فني دارد ( جلوبندي و چرخ هاي جلو ايراد دارد ) - بدليل مشكل جلوبندي از ناحيه جلو سمت چپ تصادف شديد داشته - پارگي و دفرمه بودن رودري درب راننده - جعبه فرمان ايراد دارد - آچارخوردگي پيچ هاي گلگير جلو چپ - قري و رنگ پريدگي درب جلو چپ و قري و خش درب عقب چپ - خش ركاب چپ و گلگير عقب چپ - خوردگي سپر عقب - خش دربهاي راست و ركاب راست - رنگ پريدگي سپر جلو و لبه درب موتور - زيرپايي ها و تيغه برف پاك كن مستعمل - خش آينه هاي جانبي - كسري يك عدد قالپاق - لاستيكها كاركرده - موكت صندوق مستعمل</t>
  </si>
  <si>
    <t>444-40ي27</t>
  </si>
  <si>
    <t>شماره بدنه: MH669366</t>
  </si>
  <si>
    <t>شماره جایگاه: 507 (جهت بازدید)</t>
  </si>
  <si>
    <t>پژو پارس معمولي دوگانه سوز کلاس 21 خاكستري متاليك</t>
  </si>
  <si>
    <t>LK001589</t>
  </si>
  <si>
    <t>1402/06/30</t>
  </si>
  <si>
    <t>124K1461701</t>
  </si>
  <si>
    <t>خط و خش و قري و كسري هاي ظاهري به رؤيت مشتري مي باشد - ماندگاري بالا و افت مدل - قري دربهاي جلو ( بدليل محدوديت زمان شماره گذاري خودرو بنام ايران خودرو پلاك شده است )</t>
  </si>
  <si>
    <t>628-33ب43</t>
  </si>
  <si>
    <t>کد کلاس: 28321</t>
  </si>
  <si>
    <t>شماره بدنه: LK001589</t>
  </si>
  <si>
    <t>دنا کلاس 23 سفيد دو پوششه</t>
  </si>
  <si>
    <t>LE226417</t>
  </si>
  <si>
    <t>1402/06/27</t>
  </si>
  <si>
    <t>147H0515908</t>
  </si>
  <si>
    <t>خط و خش و قري و كسري هاي ظاهري به رؤيت مشتري مي باشد - ايراد فني ( موتوري ) دارد - خودرو سابق تعميراتي متعددي داشته كه هنوز بعضي از ايرادات آن رفع نگرديده - در حالت درجا ، پس از گرم شدن موتور صداي غيرعادي از ناحيه سرسيلندر مي دهد - خوردگي سپر عقب - خش درب صندوق - آچارخوردگي پيچ هاي گلگير جلو چپ ( تعويضي ) - قري و خش و رنگ پريدگي دربهاي چپ - رنگ پريدگي گلگير عقب چپ - خش ركاب چپ - خوردگي سپر جلو - قري و رنگ پريدگي و خش درب جلو راست - قري درب عقب راست - سائيدگي گلگير عقب راست - خش و رنگ پريدگي درب موتور - قلم گيري روي فلاپ عقب - زيرپايي ها متفرقه - تيغه برف پاك كن مستعمل - خش آينه بغل چپ - سائيدگي قالپاق هاي جلو چپ و عقب راست - لاستيكها مستعمل - شكستگي دستگيره موكت صندوق - شبرنگ مستعمل</t>
  </si>
  <si>
    <t>888-40ي27</t>
  </si>
  <si>
    <t>کد کلاس: 70123</t>
  </si>
  <si>
    <t>شماره بدنه: LE226417</t>
  </si>
  <si>
    <t>NF153239</t>
  </si>
  <si>
    <t>147H0631221</t>
  </si>
  <si>
    <t>خط و خش و قري و كسري هاي ظاهري به رؤيت مشتري مي باشد - ايراد فني موتوري دارد - صداي غير عادي از موتور ( احتمالاً سرسيلندر ايراد دارد و بايد تعويض گردد ) - رنگ پريدگي زه درب عقب چپ و درب جلو راست و سپر جلو - خش كنسول وسط - زيرپايي ها و تيغه برف پاك كن مستعمل - لاستيكها كاركرده</t>
  </si>
  <si>
    <t>367-87ط64</t>
  </si>
  <si>
    <t>شماره بدنه: NF153239</t>
  </si>
  <si>
    <t>NJ276427</t>
  </si>
  <si>
    <t>167B0160268</t>
  </si>
  <si>
    <t>خط و خش و قري و كسري هاي ظاهري به رؤيت مشتري مي باشد - تصادفي بودن سرشاسي جلو راست و بكسل بند جلو - خط و خش و رنگ پريدگي سپر جلو - كسري درب جعبه فيوز و زيرپايي جلو چپ - قري درب جلو راست - ( ايرادات غير قابل ريورك مطابق استاندارد كارخانه )</t>
  </si>
  <si>
    <t>شماره بدنه: NJ276427</t>
  </si>
  <si>
    <t>شماره جایگاه: 467 (جهت بازدید)</t>
  </si>
  <si>
    <t>دنا+ (پلاس) کلاس 17 خاكستري متاليك</t>
  </si>
  <si>
    <t>NE524164</t>
  </si>
  <si>
    <t>147H0661302</t>
  </si>
  <si>
    <t>خط و خش و قري و كسري هاي ظاهري به رؤيت مشتري مي باشد - تصادفي بودن گلگير عقب راست و درب جلو و عقب راست - خش درب موتور و خش عميق درب صندوق - آچار خوردگي پيچ هاي درب صندوق و درب موتور ( تعويضي كارخانه ) - ( ايرادات غير قابل ريورك مطابق استاندارد كارخانه )</t>
  </si>
  <si>
    <t>شماره بدنه: NE524164</t>
  </si>
  <si>
    <t>شماره جایگاه: 388 (جهت بازدید)</t>
  </si>
  <si>
    <t>ND930355</t>
  </si>
  <si>
    <t>187B0009737</t>
  </si>
  <si>
    <t>خط و خش و قري و كسري هاي ظاهري به رؤيت مشتري مي باشد - تصادفي بودن سقف و گلگير جلو راست و چپ و درب موتور - خراشيدگي لبه درب جلو راست - ( ايرادات غير قابل ريورك مطابق استاندارد كارخانه ) - شكستگي آفتابگير جلو چپ - خط روي داشبورد سمت راست - زدگي قالپاق جلو راست - شكستگي قاب لچكي شيشه عقب راست - كسري قاب روي موتور - تصادفي بودن كلاف درب عقب راست - كسري آنتن</t>
  </si>
  <si>
    <t>شماره بدنه: ND930355</t>
  </si>
  <si>
    <t>شماره جایگاه: 416 (جهت بازدید)</t>
  </si>
  <si>
    <t>NH416328</t>
  </si>
  <si>
    <t>164B0297363</t>
  </si>
  <si>
    <t>خط و خش و قري و كسري هاي ظاهري به رؤيت مشتري مي باشد - دربهاي جلو دو طرف داراي خوردگي بوده اند كه بازسازي شده اند اما پس از بازسازي دچار ايراد رنگي و دورنگي شده اند - چراغ چك روشن - شكستگي جلوي درب موتور - كسري سروالف ها ( ايرادات غير قابل ريورك مطابق استاندارد كارخانه )</t>
  </si>
  <si>
    <t>شماره بدنه: NH416328</t>
  </si>
  <si>
    <t>شماره جایگاه: 671 (جهت بازدید)</t>
  </si>
  <si>
    <t>NJ494814</t>
  </si>
  <si>
    <t>167B0170543</t>
  </si>
  <si>
    <t>خط و خش و قري و كسري هاي ظاهري به رؤيت مشتري مي باشد - گلگير جلو چپ تصادف داشته كه بازسازي شده اما پس از بازسازي دچار دورنگي و خرابي رنگ شده است - خش لبه درب جلو چپ و رينگ چرخ جلو چپ - كسري كليد تنظيم آينه - سائيدگي سپر جلو چپ - كسري فندك - ( ايرادات غير قابل ريورك مطابق استاندارد كارخانه )</t>
  </si>
  <si>
    <t>شماره بدنه: NJ494814</t>
  </si>
  <si>
    <t>شماره جایگاه: 470 (جهت بازدید)</t>
  </si>
  <si>
    <t>NJ509935</t>
  </si>
  <si>
    <t>178B0092322</t>
  </si>
  <si>
    <t>خط و خش و قري و كسري ظاهري به رؤيت مشتري مي باشد - ايراد رنگي بدنه - رنگ پريدگي نقاط مختلف بدنه - ايراد رنگي درب موتور و گلگير جلو راست - رنگ پريدگي درب صندوق - كسري شبرنگ و آنتن - ( ايرادات غير قابل ريورك مطابق استاندارد كارخانه )</t>
  </si>
  <si>
    <t>شماره بدنه: NJ509935</t>
  </si>
  <si>
    <t>شماره جایگاه: 480 (جهت بازدید)</t>
  </si>
  <si>
    <t>NJ275719</t>
  </si>
  <si>
    <t>166B0061820</t>
  </si>
  <si>
    <t>خط و خش و قري و كسري هاي ظاهري به رؤيت مشتري مي باشد - قري كل بدنه در اثر بارش تگرگ - كسري دو عدد سوئيچ - تصادفي بودن گلگير جلو چپ و جلو پنجره - خش ستون وسط درب عقب چپ - قري درب جلو و عقب چپ - ( ايرادات غير قابل ريورك مطابق استاندارد كارخانه )</t>
  </si>
  <si>
    <t>شماره بدنه: NJ275719</t>
  </si>
  <si>
    <t>شماره جایگاه: 459 (جهت بازدید)</t>
  </si>
  <si>
    <t>NJ509263</t>
  </si>
  <si>
    <t>178B0091141</t>
  </si>
  <si>
    <t>خط و خش و قري و كسري ظاهري به رؤيت مشتري مي باشد - ايراد رنگي بدنه - رنگ پريدگي نقاط مختلف بدنه - ايراد رنگي درب موتور و گلگير جلو راست - كسري قفل صندوق و زبانه قفل درب صندوق - قري درب عقب راست - خش درب صندوق - ( ايرادات غير قابل ريورك مطابق استاندارد كارخانه )</t>
  </si>
  <si>
    <t>شماره بدنه: NJ509263</t>
  </si>
  <si>
    <t>شماره جایگاه: 479 (جهت بازدید)</t>
  </si>
  <si>
    <t>NH871729</t>
  </si>
  <si>
    <t>164B0299282</t>
  </si>
  <si>
    <t>خط و خش و قري و كسري هاي ظاهري به رؤيت مشتري مي باشد - ايراد رنگي بدنه - آچار خوردگي پيچ هاي درب موتور ( تعويضي كارخانه ) - ( ايرادات غير قابل ريورك مطابق استاندارد كارخانه )</t>
  </si>
  <si>
    <t>شماره بدنه: NH871729</t>
  </si>
  <si>
    <t>شماره جایگاه: 662 (جهت بازدید)</t>
  </si>
  <si>
    <t>NJ298189</t>
  </si>
  <si>
    <t>165A0203095</t>
  </si>
  <si>
    <t>خط و خش وقري و كسري هاي ظاهري به رؤيت مشتري مي باشد - تصادفي بودن گلگير جلو راست و درب جلو و عقب راست و ستون جلو راست - شكستگي آينه بغل راست - كسري شيشه اينه بغل چپ - قري گلگير جلو چپ - كسري آنتن - ( ايرادات غيرقابل ريورك مطابق استاندارد كارخانه )</t>
  </si>
  <si>
    <t>شماره بدنه: NJ298189</t>
  </si>
  <si>
    <t>شماره جایگاه: 269 (جهت بازدید)</t>
  </si>
  <si>
    <t>NF152963</t>
  </si>
  <si>
    <t>147H0628832</t>
  </si>
  <si>
    <t>خط و خش وقري و كسري هاي ظاهري به رؤيت مشتري مي باشد - قري و سائيدگي سقف و كلاف درب جلو عقب چپ - كسري زيرسري جلو راست - ( ايرادات غيرقابل ريورك مطابق استاندارد كارخانه )</t>
  </si>
  <si>
    <t>شماره بدنه: NF152963</t>
  </si>
  <si>
    <t>شماره جایگاه: 283 (جهت بازدید)</t>
  </si>
  <si>
    <t>NJ491327</t>
  </si>
  <si>
    <t>178B0092932</t>
  </si>
  <si>
    <t>خط و خش و قري و كسري هاي ظاهري به رؤيت مشتري مي باشد - رنگ پريدگي در نواحي مختلف بدنه - شكستگي شيشه سقف - قري درب جلو راست - كسري شبرنگ - ( ايرادات غير قابل ريورك مطابق استاندارد كارخانه )</t>
  </si>
  <si>
    <t>شماره بدنه: NJ491327</t>
  </si>
  <si>
    <t>شماره جایگاه: 469 (جهت بازدید)</t>
  </si>
  <si>
    <t>NT374682</t>
  </si>
  <si>
    <t>172B0091536</t>
  </si>
  <si>
    <t>خط و خش و قري و كسري هاي ظاهري به رؤيت مشتري مي باشد - تصادف از جلو ( دفرمگي شاسي پشت چراغ جلو راست ) - قري گلگير جلو راست - شكستگي چراغ جلو راست - ايراد رنگي درب موتور - كسري دستگيره موكت صندوق و يكعدد قالپاق - قري درب جلو چپ ( ايرادات غير قابل ريورك مطابق استاندارد كارخانه )</t>
  </si>
  <si>
    <t>شماره بدنه: NT374682</t>
  </si>
  <si>
    <t>شماره جایگاه: 273 (جهت بازدید)</t>
  </si>
  <si>
    <t>NT363589</t>
  </si>
  <si>
    <t>167B0150891</t>
  </si>
  <si>
    <t>خط و خش و قري و كسري هاي ظاهري به رؤيت مشتري مي باشد - ايراد رنگي بدنه - كسري قاب شبرنگ و بكسل بند جلو - ( ايرادات غير قابل ريورك مطابق استاندارد كارخانه )</t>
  </si>
  <si>
    <t>شماره بدنه: NT363589</t>
  </si>
  <si>
    <t>شماره جایگاه: 274 (جهت بازدید)</t>
  </si>
  <si>
    <t>NH445300</t>
  </si>
  <si>
    <t>1402/03/18</t>
  </si>
  <si>
    <t>125K0005594</t>
  </si>
  <si>
    <t>خط و خش و قري و كسري هاي ظاهري به رؤيت مشتري مي باشد - ايراد فني دارد ( سيستم ترمز ايراد دارد ) - آسيب ديدگي گلگيرهاي جلو - چراغ اي بي اس و اي بي دي روشن - قري درب جلو راست - سائيدگي سپر جلو - باطري خراب - كسري يك عدد سوئيچ - تيغه برف پاك كن مستعمل - لاستيكها كار كرده - خراب بودن شيشه بالابرهاي جلو - خراب بودن كولر و بخاري</t>
  </si>
  <si>
    <t>247-78د15</t>
  </si>
  <si>
    <t>شماره بدنه: NH445300</t>
  </si>
  <si>
    <t>شماره جایگاه: 511 (جهت بازدید)</t>
  </si>
  <si>
    <t>پژو پارس معمولي دوگانه سوز کلاس 21 سفيد دو پوششه</t>
  </si>
  <si>
    <t>MK092158</t>
  </si>
  <si>
    <t>1402/08/28</t>
  </si>
  <si>
    <t>124K1441628</t>
  </si>
  <si>
    <t>خط و خش و قري و كسري هاي ظاهري به رؤيت مشتري مي باشد - ماندگاري بالا و افت مدل - خودرو تحت تست بوده است - قري درب عقب راست - لاستيكها كار كرده - ايراد رنگي - كسري كليد بالابر جلو راست و ولوم راديوپخش - زاپاس پنچر و كاركرده - كسري ابرويي چراغ جلو راست - قري درب عقب راست - كسري درپوش گاز - رنگ شدگي پيچ هاي درب موتور و گلگيرهاي جلو ( تعويضي كارخانه ) - دفرمه بودن رودريهاي جلو - قري درب جلو چپ و درب عقب راست - كسري فندك و درب باك سي ان جي - كسري شبرنگ - موكت صندوق مستعمل - ( بدليل محدوديت زمان شماره گذاري خودرو بنام ايران خودرو پلاك شده است )</t>
  </si>
  <si>
    <t>853-11ج97</t>
  </si>
  <si>
    <t>شماره بدنه: MK092158</t>
  </si>
  <si>
    <t>NF152427</t>
  </si>
  <si>
    <t>1402/06/23</t>
  </si>
  <si>
    <t>147H0632240</t>
  </si>
  <si>
    <t>خط و خش و قري و كسري هاي ظاهري به رؤيت مشتري مي باشد - ايراد رنگي بدنه - ايراد رنگي درب موتور و درب صندوق - خش گلگير عقب و درب عقب راست و درب جلو و عقب چپ - لاستيكها كاركرده</t>
  </si>
  <si>
    <t>738-75ل57</t>
  </si>
  <si>
    <t>شماره بدنه: NF152427</t>
  </si>
  <si>
    <t>NH871783</t>
  </si>
  <si>
    <t>164B0299283</t>
  </si>
  <si>
    <t>خط و خش و قري و كسري هاي ظاهري به رؤيت مشتري مي باشد - ايراد رنگي بدنه - روشن ماندن چراغ هاي پشت آمپر - كسري ولوم راديو پخش - قري درب عقب چپ - كسري شبرنگ - ( ايرادات غيرقابل ريورك مطابق استاندارد كارخانه )</t>
  </si>
  <si>
    <t>شماره بدنه: NH871783</t>
  </si>
  <si>
    <t>شماره جایگاه: 672 (جهت بازدید)</t>
  </si>
  <si>
    <t>NH871385</t>
  </si>
  <si>
    <t>164B0299412</t>
  </si>
  <si>
    <t>خط و خش و قري و كسري هاي ظاهري به رؤيت مشتري مي باشد - ايراد رنگي بدنه - خش گلگير جلو چپ و درب موتور - ( ايرادات غير قابل ريورك مطابق استاندارد كارخانه )</t>
  </si>
  <si>
    <t>شماره بدنه: NH871385</t>
  </si>
  <si>
    <t>شماره جایگاه: 657 (جهت بازدید)</t>
  </si>
  <si>
    <t>NE526935</t>
  </si>
  <si>
    <t>147H0668287</t>
  </si>
  <si>
    <t>خط و خش و قري و كسري هاي ظاهري به رؤيت مشتري مي باشد - تصادفي بودن كف صندوق محل زاپاس - قري درب صندوق - دفرمگي سپر عقب - قري درب عقب چپ - رنگ شدگي پيچ هاي درب موتور ( تعويضي كارخانه ) - كسري فندك و زيرپايي ها - ( ايرادات غير قابل ريورك مطابق استاندارد كارخانه )</t>
  </si>
  <si>
    <t>شماره بدنه: NE526935</t>
  </si>
  <si>
    <t>شماره جایگاه: 392 (جهت بازدید)</t>
  </si>
  <si>
    <t>NH871654</t>
  </si>
  <si>
    <t>164B0299481</t>
  </si>
  <si>
    <t>خط و خش و قري و كسري هاي ظاهري به رؤيت مشتري مي باشد - ايراد رنگي بدنه - جانبودن چراغ ترمز پشت شيشه عقب - خوردگي رينگ جلو راست - خش گلگير جلو راست - ( ايرادات غير قابل ريورك مطابق استاندارد كارخانه )</t>
  </si>
  <si>
    <t>شماره بدنه: NH871654</t>
  </si>
  <si>
    <t>شماره جایگاه: 658 (جهت بازدید)</t>
  </si>
  <si>
    <t>NH208670</t>
  </si>
  <si>
    <t>164B0302477</t>
  </si>
  <si>
    <t>خط و خش و قري و كسري هاي ظاهري به رؤيت مشتري مي باشد - ايراد رنگي بدنه - رنگ پريدگي نقاطي از بدنه -( ايرادات غير قابل ريورك مطابق استاندارد كارخانه ) - خش درب عقب راست</t>
  </si>
  <si>
    <t>شماره بدنه: NH208670</t>
  </si>
  <si>
    <t>شماره جایگاه: 659 (جهت بازدید)</t>
  </si>
  <si>
    <t>NJ491329</t>
  </si>
  <si>
    <t>178B0092884</t>
  </si>
  <si>
    <t>خط و خش و قري و كسري هاي ظاهري به رؤيت مشتري مي باشد - رنگ پريدگي نقاطي از بدنه - قري درب عقب راست - خش قاب صفحه كيلومتر و گلگير عقب چپ و راست و چراغ عقب چپ - ( ايرادات غيرقابل ريورك مطابق استاندارد كارخانه )</t>
  </si>
  <si>
    <t>شماره بدنه: NJ491329</t>
  </si>
  <si>
    <t>شماره جایگاه: 471 (جهت بازدید)</t>
  </si>
  <si>
    <t>NJ265691</t>
  </si>
  <si>
    <t>178B0082803</t>
  </si>
  <si>
    <t>خط و خش و قري و كسري ظاهري به رؤيت مشتري مي باشد - ايراد رنگي بدنه - ايراد رنگي درب جلو راست ( تعويضي كارخانه ) - كسري فندك و يك عدد سوئيچ - قري درب جلو راست - ( ايرادات غير قابل ريورك مطابق استاندارد كارخانه )</t>
  </si>
  <si>
    <t>شماره بدنه: NJ265691</t>
  </si>
  <si>
    <t>شماره جایگاه: 478 (جهت بازدید)</t>
  </si>
  <si>
    <t>NJ508901</t>
  </si>
  <si>
    <t>166B0063811</t>
  </si>
  <si>
    <t>خط و خش و قري و كسري هاي ظاهري به رؤيت مشتري مي باشد - رنگ پريدگي نقاطي از بدنه - خط و خش گلگير عقب راست و چپ و درب صندوق و سپر جلو - ( ايرادات غيرقابل ريورك مطابق استاندارد كارخانه )</t>
  </si>
  <si>
    <t>شماره بدنه: NJ508901</t>
  </si>
  <si>
    <t>شماره جایگاه: 468 (جهت بازدید)</t>
  </si>
  <si>
    <t>NJ490844</t>
  </si>
  <si>
    <t>167B0168416</t>
  </si>
  <si>
    <t>خط و خش و قري و كسري هاي ظاهري به رؤيت مشتري مي باشد - ايراد رنگي بدنه - رنگ پريدگي نقاطي از بدنه - ايراد رنگي درب موتور و گلگير جلو راست - قري درب عقب چپ - ( ايرادات غير قابل ريورك مطابق استاندارد كارخانه )</t>
  </si>
  <si>
    <t>شماره بدنه: NJ490844</t>
  </si>
  <si>
    <t>شماره جایگاه: 482 (جهت بازدید)</t>
  </si>
  <si>
    <t>سورن EF7 بنزيني کلاس 22 سفيد دو پوششه</t>
  </si>
  <si>
    <t>NF169399</t>
  </si>
  <si>
    <t>147H0652687</t>
  </si>
  <si>
    <t>خط و خش و قري و كسري هاي ظاهري به رؤيت مشتري ميباشد - لاستيكها كاركرده - درب باك ندارد - زاپاس ندارد - كسري درب جعبه فيوز - خوردگي درب عقب راست و رنگ پريدگي - رنگ پريدگي زه دربها - خوردگي گلگير عقب راست - رنگ پريدگي سپرها - كسري دستگيره موكت صندوق - قري درب عقب چپ - ( ايرادات غير قابل ريورك مطابق استاندارد كارخانه )</t>
  </si>
  <si>
    <t>کد کلاس: 57522</t>
  </si>
  <si>
    <t>شماره بدنه: NF169399</t>
  </si>
  <si>
    <t>شماره جایگاه: 298 (جهت بازدید)</t>
  </si>
  <si>
    <t>NJ498506</t>
  </si>
  <si>
    <t>167B0175071</t>
  </si>
  <si>
    <t>خط و خش و قري و كسري هاي ظاهري به رؤيت مشتري مي باشد - ايراد رنگي سقف و خط و خش - قري درب جلو راست - ( ايرادات غيرقابل ريورك مطابق استاندارد كارخانه )</t>
  </si>
  <si>
    <t>شماره بدنه: NJ498506</t>
  </si>
  <si>
    <t>شماره جایگاه: 472 (جهت بازدید)</t>
  </si>
  <si>
    <t>NJ490665</t>
  </si>
  <si>
    <t>178B0092429</t>
  </si>
  <si>
    <t>خط و خش و قري و كسري هاي ظاهري به رؤيت مشتري مي باشد - رنگ پريدگي نقاطي از بدنه - خش گلگيرهاي عقب - كسري زيرپايي جلو راست و آنتن - ( ايرادات غيرقابل ريورك مطابق استاندارد كارخانه )</t>
  </si>
  <si>
    <t>شماره بدنه: NJ490665</t>
  </si>
  <si>
    <t>شماره جایگاه: 475 (جهت بازدید)</t>
  </si>
  <si>
    <t>NT367137</t>
  </si>
  <si>
    <t>172B0086835</t>
  </si>
  <si>
    <t>خط و خش و قري و كسري هاي ظاهري به رؤيت مشتري مي باشد - كسري آنتن - خودرو تحت تست بوده است - كسري درپوش بكسل بند جلو - قري درب عقب چپ - كسري دستگيره موكت صنودق و بكسل بند جلو - ( ايرادات غير قابل ريورك مطابق استاندارد كارخانه )</t>
  </si>
  <si>
    <t>شماره بدنه: NT367137</t>
  </si>
  <si>
    <t>شماره جایگاه: 270 (جهت بازدید)</t>
  </si>
  <si>
    <t>شماره جایگاه: 304 (جهت بازدید)</t>
  </si>
  <si>
    <t>NH444939</t>
  </si>
  <si>
    <t>125K0007452</t>
  </si>
  <si>
    <t>خط و خش و قري و كسري هاي ظاهري به رؤيت مشتري مي باشد - تصادفي بودن درب موتور - جانبودن سپر جلو - كسري ابرويي سمت راست - تصادفي بودن دربها و گلگير جلو راست و صندوق عقب و پليت عقب - دفرمگي محور عرضي شاسي عقب - شكستگي سپر عقب - آچارخوردگي پيچ هاي درب موتور و گلگيرهاي جلو ( تعويضي كارخانه ) - كسري درپوش رم - دكمه خاموش كن كولر خراب است - تصادفي بودن گلگير جلو چپ - كسري جك و آچارچرخ - ( ايرادات غيرقابل ريورك مطابق استاندارد كارخانه )</t>
  </si>
  <si>
    <t>شماره بدنه: NH444939</t>
  </si>
  <si>
    <t>شماره جایگاه: 305 (جهت بازدید)</t>
  </si>
  <si>
    <t>NK849016</t>
  </si>
  <si>
    <t>125K0035862</t>
  </si>
  <si>
    <t>خط و خش و قري و كسري هاي ظاهري به رؤيت مشتري مي باشد - كسري آنتن و شبرنگ - تصادفي بودن درب و گلگير عقب چپ - كسري زه درب عقب چپ - تصادفي بودن درب موتور و درب جلو راست - كسري درب جعبه فيوز - زاپاس پنچر و كاركرده - چراغ اي بي اس و اي دي اس روشن - آچارخوردگي پيچ هاي درب صندوق و درب موتور ( تعويضي كارخانه ) - خش ركاب راست - رنگ پريدگي ركاب چپ - كيلومتر خراب مي باشد و كاركرد واقعي نيست - ( ايرادات غيرقابل ريورك مطابق استاندارد كارخانه )</t>
  </si>
  <si>
    <t>شماره بدنه: NK849016</t>
  </si>
  <si>
    <t>NH457347</t>
  </si>
  <si>
    <t>125K0032171</t>
  </si>
  <si>
    <t>خط و خش و قري و كسري هاي ظاهري به رؤيت مشتري ميباشد - عدم عملكرد پمپ شيشه شور - خش آينه ها - كسري درب جعبه فيوز - زاپاس مستعمل و پنچر - تصادف گلگير عقب چپ - رنگ پريدگي سپر جلو - خوردگي گلگير جلو راست - قري درب جلو راست - خوردگي درب عقب راست - قري درب صندوق عقب - رنگ پريدگي قاب آينه - قري درب موتور - درب داشبورد ايراد دارد - خش درب جلو راست - خودرو تحت تست بوده است - تعويضي بودن گلگيرهاي جلو و درب موتور و درب صندوق ( تعويضي كارخانه ) - قري درب جلو راست و درب موتور - رنگ پريدگي لبه درب جلو چپ - صداي اضافي از فولي پمپ هيدروليك - آچارخوردگي پيچ هاي درب موتور و گلگيرهاي جلو و درب صندوق ( تعويضي كارخانه ) - خش آينها ها - زاپاس كاركرده و پنچر - رنگ پريدگي آينه ها - لاستيكها كاركرده - ( ايرادات غير قابل ريورك مطابق استاندارد كارخانه )</t>
  </si>
  <si>
    <t>شماره بدنه: NH457347</t>
  </si>
  <si>
    <t>NT376469</t>
  </si>
  <si>
    <t>172B0093079</t>
  </si>
  <si>
    <t>خط و خش و قري و كسري هاي ظاهري به رؤيت مشتري مي باشد - تصادف هلالي گلگير عقب راست - خش و رنگ پريدگي درب عقب راست - شكستگي سپر جلو - ( ايرادات غير قابل ريورك مطابق استاندارد كارخانه )</t>
  </si>
  <si>
    <t>شماره بدنه: NT376469</t>
  </si>
  <si>
    <t>شماره جایگاه: 450 (جهت بازدید)</t>
  </si>
  <si>
    <t>MH684254</t>
  </si>
  <si>
    <t>1401/11/27</t>
  </si>
  <si>
    <t>139B0249716</t>
  </si>
  <si>
    <t>خط و خش و قري و كسري هاي ظاهري به رؤيت مشتري مي باشد - ايراد فني موتوري دارد ( گازخور اضافه ، دنده پراني ، خاموش شدن در حين حركت ) - خودرو سوابق تعميراتي متعددي داشته - دفرمه بودن و خش رودريهاي جلو - پارگي رودري عقب راست - قري و رنگ پريدگي درب موتور - خوردگي سپر جلو - خش و رنگ پريدگي سپر عقب - قري و خش و رنگ پريدگي دربهاي راست و گلگير عقب راست و گلگير جلو راست - خش ركاب راست و پليت عقب - خوردگي درب عقب چپ و ركاب چپ - خش عميق گلگير عقب چپ و خش گلگير جلو چپ و درب جلو چپ - گيربكس سوابق تعميراتي دارد - نمدي درب موتور مستعمل - زيرپايي ها و تيغه برف پاك كن مستعمل - رنگ پريدگي جلو پنجره - خش و رنگ پريدگي آينه هاي جانبي - شكستگي قالپاق جلو راست - لاستيكها كاركرده - خش چراغ عقب چپ - كسري جك و آچارچرخ - زاپاس تركيده و مستعمل - موكت صندوق مستعمل</t>
  </si>
  <si>
    <t>557-34ي25</t>
  </si>
  <si>
    <t>شماره بدنه: MH684254</t>
  </si>
  <si>
    <t>شماره جایگاه: 505 (جهت بازدید)</t>
  </si>
  <si>
    <t>MK092191</t>
  </si>
  <si>
    <t>حادثه ندارد</t>
  </si>
  <si>
    <t>1402/09/26</t>
  </si>
  <si>
    <t>124K1569702</t>
  </si>
  <si>
    <t>خط و خش و قري و كسري هاي ظاهري به رؤيت مشتري مي باشد - ماندگاري بالا - كسري درب جعبه فيوز و دو عدد قالپاق و كفي جلو چپ - ايراد رنگي سقف ( دورنگي ) - قري درب موتور - زاپاس پنچر و كار كرده - ايراد رنگي ركاب و درب موتور - ايراد رنگي درب عقب راست ( تعويضي كارخانه) - آچار خوردگي پيچ هاي درب موتور ( تعويضي كارخانه ) - خش گلگير جلو راست - سائيدگي سپر جلو - كسري درپوش سي ان جي و آنتن و شبرنگ</t>
  </si>
  <si>
    <t>782-33ب46</t>
  </si>
  <si>
    <t>شماره بدنه: MK092191</t>
  </si>
  <si>
    <t>رانا پلاس با موتور TU5P و گيربکس 6 سرعته دستي کلاس 3 مشكي متاليك</t>
  </si>
  <si>
    <t>NT345764</t>
  </si>
  <si>
    <t>188B0008970</t>
  </si>
  <si>
    <t>خط و خش و قري و كسري هاي ظاهري به رؤيت مشتري مي باشد - موتور خودرو ايراد فني دارد - كسري آنتن - لاستيك ها كاركرده - كسري درپوش بكسل بند - خطاي ميس فاير و ريپ زدن موتور - خودرو سوابق تعميراتي دارد اما ايراد رفع نشده است - خش گلگير عقب راست - رنگ پريدگي لبه درب راننده</t>
  </si>
  <si>
    <t>141-92ص49</t>
  </si>
  <si>
    <t>شماره بدنه: NT345764</t>
  </si>
  <si>
    <t>NH871577</t>
  </si>
  <si>
    <t>164B0299449</t>
  </si>
  <si>
    <t>خط و خش و قري و كسري ظاهري به رؤيت مشتري مي باشد - ايراد رنگي بدنه - كولر خراب مي باشد - عدم چسبندگي نوار ضربگير درب جلو راست - ( ايرادات غير قابل ريورك مطابق استاندارد كارخانه )</t>
  </si>
  <si>
    <t>شماره بدنه: NH871577</t>
  </si>
  <si>
    <t>شماره جایگاه: 668 (جهت بازدید)</t>
  </si>
  <si>
    <t>NH871458</t>
  </si>
  <si>
    <t>164B0299162</t>
  </si>
  <si>
    <t>خط و خش و قري و كسري هاي ظاهري به رؤيت مشتري مي باشد - عدم چسبندگي ضربگير درب جلو چپ - كسري كليد تنظيم صندلي راننده - قري درب جلو راست - ايراد رنگي بدنه - ( ايرادات غير قابل ريورك مطابق استاندارد كارخانه )</t>
  </si>
  <si>
    <t>شماره بدنه: NH871458</t>
  </si>
  <si>
    <t>NH871538</t>
  </si>
  <si>
    <t>164B0299408</t>
  </si>
  <si>
    <t>خط و خش و قري و كسري هاي ظاهري به رؤيت مشتري مي باشد - ايراد رنگي بدنه - قري گلگير عقب چپ - خش درب صندوق و درب موتور - ( ايرادات غيرقابل ريورك مطابق استاندارد كارخانه )</t>
  </si>
  <si>
    <t>شماره بدنه: NH871538</t>
  </si>
  <si>
    <t>شماره جایگاه: 608 (جهت بازدید)</t>
  </si>
  <si>
    <t>NH879667</t>
  </si>
  <si>
    <t>164B0300328</t>
  </si>
  <si>
    <t>خط و خش و قري و كسري هاي ظاهري به رؤيت مشتري مي باشد - ايراد رنگي بدنه - خش درب صندوق و درب جلو چپ - چراغ سرويس روشن - ( ايرادات غيرقابل ريورك مطابق استاندارد كارخانه )</t>
  </si>
  <si>
    <t>شماره بدنه: NH879667</t>
  </si>
  <si>
    <t>شماره جایگاه: 628 (جهت بازدید)</t>
  </si>
  <si>
    <t>NH871415</t>
  </si>
  <si>
    <t>164B0299458</t>
  </si>
  <si>
    <t>خط و خش و قري و كسري هاي ظاهري به رؤيت مشتري مي باشد - ايراد رنگي بدنه - كسري چراغ ترمز عقب پشت شيشه - ( ايرادات غيرقابل ريورك مطابق استاندارد كارخانه )</t>
  </si>
  <si>
    <t>شماره بدنه: NH871415</t>
  </si>
  <si>
    <t>شماره جایگاه: 644 (جهت بازدید)</t>
  </si>
  <si>
    <t>NH877699</t>
  </si>
  <si>
    <t>164B0300003</t>
  </si>
  <si>
    <t>خط و خش و قري و كسري هاي ظاهري به رؤيت مشتري مي باشد - ايراد رنگي بدنه - رنگ پريدگي نقاطي از بدنه - زدگي ضربگير سپر عقب چپ - قري درب عقب چپ - ( ايرادات غير قابل ريورك مطابق استاندارد كارخانه )</t>
  </si>
  <si>
    <t>شماره بدنه: NH877699</t>
  </si>
  <si>
    <t>شماره جایگاه: 656 (جهت بازدید)</t>
  </si>
  <si>
    <t>NH879679</t>
  </si>
  <si>
    <t>164B0300192</t>
  </si>
  <si>
    <t>خط و خش و قري و كسري هاي ظاهري به رؤيت مشتري مي باشد - ايراد رنگي بدنه - روشن بودن چراغ ايربك - ( ايرادات غيرقابل ريورك مطابق استاندارد كارخانه )</t>
  </si>
  <si>
    <t>شماره بدنه: NH879679</t>
  </si>
  <si>
    <t>NH871731</t>
  </si>
  <si>
    <t>164B0299358</t>
  </si>
  <si>
    <t>خط و خش و قري و كسري هاي ظاهري به رؤيت مشتري مي باشد - ايراد رنگي بدنه - كسري قاب پشت برف پاك كن جلو چپ و توپي چرخ جلو راست - ( ايرادات غيرقابل ريورك مطابق استاندارد كارخانه )</t>
  </si>
  <si>
    <t>شماره بدنه: NH871731</t>
  </si>
  <si>
    <t>شماره جایگاه: 649 (جهت بازدید)</t>
  </si>
  <si>
    <t>NH876872</t>
  </si>
  <si>
    <t>164B0299948</t>
  </si>
  <si>
    <t>خط و خش و قري و كسري ظاهري به رؤيت مشتري مي باشد - ايراد رنگي بدنه ( ايرادات غير قابل ريورك مطابق استاندارد كارخانه )</t>
  </si>
  <si>
    <t>شماره بدنه: NH876872</t>
  </si>
  <si>
    <t>شماره جایگاه: 670 (جهت بازدید)</t>
  </si>
  <si>
    <t>NH879665</t>
  </si>
  <si>
    <t>164B0301610</t>
  </si>
  <si>
    <t>شماره بدنه: NH879665</t>
  </si>
  <si>
    <t>شماره جایگاه: 606 (جهت بازدید)</t>
  </si>
  <si>
    <t>NH415016</t>
  </si>
  <si>
    <t>164B0296459</t>
  </si>
  <si>
    <t>خط و خش و قري و كسري هاي ظاهري به رؤيت مشتري مي باشد - ايراد رنگي بدنه - عدم جذب ضربگير سپر جلو - خش درب صندوق و گلگيرهاي عقب - ( ايرادات غيرقابل ريورك مطابق استاندارد كارخانه )</t>
  </si>
  <si>
    <t>شماره بدنه: NH415016</t>
  </si>
  <si>
    <t>شماره جایگاه: 622 (جهت بازدید)</t>
  </si>
  <si>
    <t>NH871460</t>
  </si>
  <si>
    <t>164B0299196</t>
  </si>
  <si>
    <t>خط و خش و قري و كسري هاي ظاهري به رؤيت مشتري مي باشد - ايراد رنگي بدنه - كسري دستگيره موكت صندوق - سائيدگي جلو پنجره - خش درب صندوق - ( ايرادات غيرقابل ريورك مطابق استاندارد كارخانه )</t>
  </si>
  <si>
    <t>شماره بدنه: NH871460</t>
  </si>
  <si>
    <t>شماره جایگاه: 607 (جهت بازدید)</t>
  </si>
  <si>
    <t>NH879670</t>
  </si>
  <si>
    <t>164B0300174</t>
  </si>
  <si>
    <t>خط و خش و قري و كسري هاي ظاهري به رؤيت مشتري مي باشد - ايراد رنگي بدنه - خش قاب آينه راست و درب صندوق - موج ورق درب عقب راست - ( ايرادات غيرقابل ريورك مطابق استاندارد كارخانه )</t>
  </si>
  <si>
    <t>شماره بدنه: NH879670</t>
  </si>
  <si>
    <t>شماره جایگاه: 620 (جهت بازدید)</t>
  </si>
  <si>
    <t>NH879662</t>
  </si>
  <si>
    <t>164B0300141</t>
  </si>
  <si>
    <t>خط و خش و قري و كسري هاي ظاهري به رؤيت مشتري مي باشد - ايراد رنگي بدنه - خش درب عقب چپ و درب صندوق - ( ايرادات غيرقابل ريورك مطابق استاندارد كارخانه )</t>
  </si>
  <si>
    <t>شماره بدنه: NH879662</t>
  </si>
  <si>
    <t>شماره جایگاه: 623 (جهت بازدید)</t>
  </si>
  <si>
    <t>NH876875</t>
  </si>
  <si>
    <t>164B0299857</t>
  </si>
  <si>
    <t>شماره بدنه: NH876875</t>
  </si>
  <si>
    <t>NH878496</t>
  </si>
  <si>
    <t>164B0300158</t>
  </si>
  <si>
    <t>خط و خش و قري و كسري هاي ظاهري به رؤيت مشتري مي باشد - ايراد رنگي بدنه - خش درب صندوق - قري درب عقب راست - ( ايرادات غيرقابل ريورك مطابق استاندارد كارخانه )</t>
  </si>
  <si>
    <t>شماره بدنه: NH878496</t>
  </si>
  <si>
    <t>شماره جایگاه: 614 (جهت بازدید)</t>
  </si>
  <si>
    <t>NH418858</t>
  </si>
  <si>
    <t>164B0297482</t>
  </si>
  <si>
    <t>خط و خش و قري و كسري هاي ظاهري به رؤيت مشتري مي باشد - ايراد رنگي بدنه - ( ايرادات غير قابل ريورك مطابق استاندارد كارخانه )</t>
  </si>
  <si>
    <t>شماره بدنه: NH418858</t>
  </si>
  <si>
    <t>شماره جایگاه: 663 (جهت بازدید)</t>
  </si>
  <si>
    <t>NH208264</t>
  </si>
  <si>
    <t>164B0302472</t>
  </si>
  <si>
    <t>خط و خش و قري و كسري هاي ظاهري به رؤيت مشتري مي باشد - ايراد رنگي بدنه - عدم جذب ضربگير سپر عقب چپ - قري درب عقب چپ - بوق خراب است - كسري آنتن - ( ايرادات غيرقابل ريورك مطابق استاندارد كارخانه )</t>
  </si>
  <si>
    <t>شماره بدنه: NH208264</t>
  </si>
  <si>
    <t>شماره جایگاه: 618 (جهت بازدید)</t>
  </si>
  <si>
    <t>NH871376</t>
  </si>
  <si>
    <t>164B0299150</t>
  </si>
  <si>
    <t>خط و خش و قري و كسري هاي ظاهري به رؤيت مشتري مي باشد - ايراد رنگي بدنه - خط و خش درب جلو راست و درب صندوق و سقف - سائيدگي ضربگير سپر جلو چپ - قري درب عقب راست و نيش قري درب عقب - كسري آنتن - ( ايرادات غيرقابل ريورك مطابق استاندارد كارخانه )</t>
  </si>
  <si>
    <t>شماره بدنه: NH871376</t>
  </si>
  <si>
    <t>NH877866</t>
  </si>
  <si>
    <t>164B0299979</t>
  </si>
  <si>
    <t>خط و خش و قري و كسري هاي ظاهري به رؤيت مشتري مي باشد - ايراد رنگي بدنه - سائيدگي لبه درب موتور - زدگي ضربگير سپر عقب چپ - كسري تيغه برف پاك كن جلو - قري درب عقب چپ - ( ايرادات غير قابل ريورك مطابق استاندارد كارخانه )</t>
  </si>
  <si>
    <t>شماره بدنه: NH877866</t>
  </si>
  <si>
    <t>شماره جایگاه: 655 (جهت بازدید)</t>
  </si>
  <si>
    <t>NH877513</t>
  </si>
  <si>
    <t>164B0300339</t>
  </si>
  <si>
    <t>خط و خش و قري و كسري هاي ظاهري به رؤيت مشتري مي باشد - ايراد رنگي بدنه - قري درب جلو راست - خش درب صندوق - قري درب عقب راست و چپ - ( ايرادات غيرقابل ريورك مطابق استاندارد كارخانه )</t>
  </si>
  <si>
    <t>شماره بدنه: NH877513</t>
  </si>
  <si>
    <t>NH878117</t>
  </si>
  <si>
    <t>164B0300147</t>
  </si>
  <si>
    <t>خط و خش و قري و كسري هاي ظاهري به رؤيت مشتري مي باشد - ايراد رنگي بدنه - قري درب عقب چپ - ( ايرادات غير قابل ريورك مطابق استاندارد كارخانه )</t>
  </si>
  <si>
    <t>شماره بدنه: NH878117</t>
  </si>
  <si>
    <t>شماره جایگاه: 664 (جهت بازدید)</t>
  </si>
  <si>
    <t>NH877511</t>
  </si>
  <si>
    <t>164B0300046</t>
  </si>
  <si>
    <t>خط و خش و قري و كسري هاي ظاهري به رؤيت مشتري مي باشد - ايراد رنگي بدنه - موج ورق درب عقب چپ - چراغ ايربك روشن - ( ايرادات غير قابل ريورك مطابق استاندارد كارخانه )</t>
  </si>
  <si>
    <t>شماره بدنه: NH877511</t>
  </si>
  <si>
    <t>NH871844</t>
  </si>
  <si>
    <t>164B0299339</t>
  </si>
  <si>
    <t>خط و خش و قري و كسري هاي ظاهري به رؤيت مشتري مي باشد - ايراد رنگي بدنه - قري درب عقب راست و چپ - ( ايرادات غيرقابل ريورك مطابق استاندارد كارخانه )</t>
  </si>
  <si>
    <t>شماره بدنه: NH871844</t>
  </si>
  <si>
    <t>شماره جایگاه: 648 (جهت بازدید)</t>
  </si>
  <si>
    <t>NH209357</t>
  </si>
  <si>
    <t>164B0302371</t>
  </si>
  <si>
    <t>خط و خش و قري و كسري هاي ظاهري به رؤيت مشتري مي باشد - كسري يك عدد سوئيچ - ايراد رنگي بدنه ( سقف و درب موتور و صندوق ) - كسري تيغه برف پاك كن جلو راست و بچه رينگ چرخ جلو چپ - ( ايرادات غيرقابل ريورك مطابق استاندارد كارخانه )</t>
  </si>
  <si>
    <t>شماره بدنه: NH209357</t>
  </si>
  <si>
    <t>شماره جایگاه: 667 (جهت بازدید)</t>
  </si>
  <si>
    <t>NH879671</t>
  </si>
  <si>
    <t>164B0300189</t>
  </si>
  <si>
    <t>خط و خش و قري و كسري هاي ظاهري به رؤيت مشتري مي باشد - ايراد رنگي بدنه - خش درب صندوق - ( ايرادات غيرقابل ريورك مطابق استاندارد كارخانه )</t>
  </si>
  <si>
    <t>شماره بدنه: NH879671</t>
  </si>
  <si>
    <t>شماره جایگاه: 603 (جهت بازدید)</t>
  </si>
  <si>
    <t>NH871583</t>
  </si>
  <si>
    <t>164B0299421</t>
  </si>
  <si>
    <t>شماره بدنه: NH871583</t>
  </si>
  <si>
    <t>شماره جایگاه: 613 (جهت بازدید)</t>
  </si>
  <si>
    <t>NH877509</t>
  </si>
  <si>
    <t>164B0300043</t>
  </si>
  <si>
    <t>خط و خش و قري و كسري هاي ظاهري به رؤيت مشتري مي باشد - ايراد رنگي بدنه - قري درب عقب چپ - ( ايرادات غيرقابل ريورك مطابق استاندارد كارخانه )</t>
  </si>
  <si>
    <t>شماره بدنه: NH877509</t>
  </si>
  <si>
    <t>شماره جایگاه: 619 (جهت بازدید)</t>
  </si>
  <si>
    <t>NH206217</t>
  </si>
  <si>
    <t>164B0300845</t>
  </si>
  <si>
    <t>خط و خش و قري و كسري هاي ظاهري به رؤيت مشتري مي باشد - ايراد رنگي بدنه - قري درب جلو راست - خش درب صندوق - چراغ چك روشن مي باشد - ( ايرادات غيرقابل ريورك مطابق استاندارد كارخانه )</t>
  </si>
  <si>
    <t>شماره بدنه: NH206217</t>
  </si>
  <si>
    <t>شماره جایگاه: 621 (جهت بازدید)</t>
  </si>
  <si>
    <t>NH871372</t>
  </si>
  <si>
    <t>164B0299263</t>
  </si>
  <si>
    <t>خط و خش و قري و كسري هاي ظاهري به رؤيت مشتري مي باشد - ايراد رنگي بدنه - كسري دستگيره موكت صندوق - قري درب عقب چپ و خش درب صندوق - ( ايرادات غيرقابل ريورك مطابق استاندارد كارخانه )</t>
  </si>
  <si>
    <t>شماره بدنه: NH871372</t>
  </si>
  <si>
    <t>NH871257</t>
  </si>
  <si>
    <t>164B0299456</t>
  </si>
  <si>
    <t>خط و خش و قري و كسري هاي ظاهري به رؤيت مشتري مي باشد - ايراد رنگي بدنه - كسري فندك - ( ايرادات غيرقابل ريورك مطابق استاندارد كارخانه )</t>
  </si>
  <si>
    <t>شماره بدنه: NH871257</t>
  </si>
  <si>
    <t>شماره جایگاه: 650 (جهت بازدید)</t>
  </si>
  <si>
    <t>NH206107</t>
  </si>
  <si>
    <t>164B0301586</t>
  </si>
  <si>
    <t>خط و خش و قري و كسري هاي ظاهري به رؤيت مشتري مي باشد - ايراد رنگي بدنه ( سقف و درب موتور و درب صندوق ) - رنگ پريدگي نقاطي از بدنه - خش راهنماي آينه بغل راست - قري درب عقب چپ - كسري آنتن - ( ايرادات غير قابل ريورك مطابق استاندارد كارخانه )</t>
  </si>
  <si>
    <t>شماره بدنه: NH206107</t>
  </si>
  <si>
    <t>NH418840</t>
  </si>
  <si>
    <t>164B0298016</t>
  </si>
  <si>
    <t>خط و خش و قري و كسري هاي ظاهري به رؤيت مشتري مي باشد - ايراد رنگي بدنه - كسري توپي رينگ عقب چپ - قري سقف و درب عقب راست و درب جلو راست - خش و قري گلگير جلو چپ - ( ايرادات غير قابل ريورك مطابق استاندارد كارخانه )</t>
  </si>
  <si>
    <t>شماره بدنه: NH418840</t>
  </si>
  <si>
    <t>شماره جایگاه: 666 (جهت بازدید)</t>
  </si>
  <si>
    <t>NH871410</t>
  </si>
  <si>
    <t>164B0299384</t>
  </si>
  <si>
    <t>شماره بدنه: NH871410</t>
  </si>
  <si>
    <t>شماره جایگاه: 643 (جهت بازدید)</t>
  </si>
  <si>
    <t>NH879663</t>
  </si>
  <si>
    <t>164B0300148</t>
  </si>
  <si>
    <t>خط و خش و قري و كسري هاي ظاهري به رؤيت مشتري مي باشد - ايراد رنگي بدنه دارد - قري درب عقب چپ و درب عقب راست - ( ايرادات غيرقابل ريورك مطابق استاندارد كارخانه )</t>
  </si>
  <si>
    <t>شماره بدنه: NH879663</t>
  </si>
  <si>
    <t>شماره جایگاه: 653 (جهت بازدید)</t>
  </si>
  <si>
    <t>NH418843</t>
  </si>
  <si>
    <t>164B0297465</t>
  </si>
  <si>
    <t>خط و خش و قري و كسري ظاهري به رؤيت مشتري مي باشد - ايراد رنگي بدنه - خش رينگ جلو راست - قري سقف - كسري تيغه برف پاك كن جلو چپ - ( ايرادات غير قابل ريورك مطابق استاندارد كارخانه )</t>
  </si>
  <si>
    <t>شماره بدنه: NH418843</t>
  </si>
  <si>
    <t>شماره جایگاه: 669 (جهت بازدید)</t>
  </si>
  <si>
    <t>NH871378</t>
  </si>
  <si>
    <t>164B0299422</t>
  </si>
  <si>
    <t>خط و خش و قري و كسري هاي ظاهري به رؤيت مشتري مي باشد - ايراد رنگي بدنه - خش داشبورد - قري و خش درب جلو راست - خراشيدگي قاب ركاب چپ - ( ايرادات غير قابل ريورك مطابق استاندارد كارخانه )</t>
  </si>
  <si>
    <t>شماره بدنه: NH871378</t>
  </si>
  <si>
    <t>شماره جایگاه: 661 (جهت بازدید)</t>
  </si>
  <si>
    <t>NH415023</t>
  </si>
  <si>
    <t>164B0296454</t>
  </si>
  <si>
    <t>خط و خش و قري و كسري هاي ظاهري به رؤيت مشتري مي باشد - ايراد رنگي بدنه - كسري دستگيره موكت صندوق - دفرمگي زه دربهاي چپ - ( ايرادات غير قابل ريورك مطابق استاندارد كارخانه )</t>
  </si>
  <si>
    <t>شماره بدنه: NH415023</t>
  </si>
  <si>
    <t>شماره جایگاه: 646 (جهت بازدید)</t>
  </si>
  <si>
    <t>NH415021</t>
  </si>
  <si>
    <t>164B0296460</t>
  </si>
  <si>
    <t>خط و خش و قري و كسري هاي ظاهري به رؤيت مشتري مي باشد - ايراد رنگي بدنه - عدم جذب زه درب راننده - خش گلگير جلو چپ - ( ايرادات غير قابل ريورك مطابق استاندارد كارخانه )</t>
  </si>
  <si>
    <t>شماره بدنه: NH415021</t>
  </si>
  <si>
    <t>شماره جایگاه: 665 (جهت بازدید)</t>
  </si>
  <si>
    <t>NH878129</t>
  </si>
  <si>
    <t>164B0300171</t>
  </si>
  <si>
    <t>خط و خش و قري و كسري هاي ظاهري به رؤيت مشتري مي باشد - ايراد رنگي بدنه - شكستگي آينه راست - قري درب عقب چپ - خش درب موتور و درب صندوق - كسري زيرپايي ها و آنتن - ( ايرادات غيرقابل ريورك مطابق استاندارد كارخانه )</t>
  </si>
  <si>
    <t>شماره بدنه: NH878129</t>
  </si>
  <si>
    <t>شماره جایگاه: 610 (جهت بازدید)</t>
  </si>
  <si>
    <t>NH206220</t>
  </si>
  <si>
    <t>164B0301645</t>
  </si>
  <si>
    <t>خط و خش و قري و كسري هاي ظاهري به رؤيت مشتري مي باشد - ايراد رنگي بدنه ( سقف و درب موتور و درب صندوق ) - ( ايرادات غيرقابل ريورك مطابق استاندارد كارخانه )</t>
  </si>
  <si>
    <t>شماره بدنه: NH206220</t>
  </si>
  <si>
    <t>شماره جایگاه: 660 (جهت بازدید)</t>
  </si>
  <si>
    <t>NH208319</t>
  </si>
  <si>
    <t>164B0302554</t>
  </si>
  <si>
    <t>خط و خش و قري و كسري هاي ظاهري به رؤيت مشتري مي باشد - ايراد رنگي بدنه - تعويض چرخ عقب چپ با زاپاس - خش درب صندوق - قري درب عقب چپ - عدم جذب ضربگير درب عقب راست - ( ايرادات غيرقابل ريورك مطابق استاندارد كارخانه )</t>
  </si>
  <si>
    <t>شماره بدنه: NH208319</t>
  </si>
  <si>
    <t>NH415020</t>
  </si>
  <si>
    <t>164B0296462</t>
  </si>
  <si>
    <t>خط و خش و قري و كسري هاي ظاهري به رؤيت مشتري مي باشد - ايراد رنگي بدنه - قري گلگير عقب راست - ( ايرادات غير قابل ريورك مطابق استاندارد كارخانه )</t>
  </si>
  <si>
    <t>شماره بدنه: NH415020</t>
  </si>
  <si>
    <t>NH871779</t>
  </si>
  <si>
    <t>164B0299478</t>
  </si>
  <si>
    <t>خط و خش و قري و كسري هاي ظاهري به رؤيت مشتري مي باشد - ايراد رنگي بدنه - جانبودن قاب بكسل بند عقب - قري درب جلو راست - ( ايرادات غير قابل ريورك مطابق استاندارد كارخانه )</t>
  </si>
  <si>
    <t>شماره بدنه: NH871779</t>
  </si>
  <si>
    <t>شماره جایگاه: 642 (جهت بازدید)</t>
  </si>
  <si>
    <t>NH877507</t>
  </si>
  <si>
    <t>164B0300156</t>
  </si>
  <si>
    <t>خط و خش و قري و كسري هاي ظاهري به رؤيت مشتري مي باشد - ايراد رنگي بدنه - قري هلالي گلگير عقب راست - كسري دستگيره موكت صندوق - خش درب صندوق و درب موتور - ( ايرادات غيرقابل ريورك مطابق استاندارد كارخانه )</t>
  </si>
  <si>
    <t>شماره بدنه: NH877507</t>
  </si>
  <si>
    <t>شماره جایگاه: 630 (جهت بازدید)</t>
  </si>
  <si>
    <t>NH877698</t>
  </si>
  <si>
    <t>164B0300040</t>
  </si>
  <si>
    <t>خط و خش و قري و كسري هاي ظاهري به رؤيت مشتري مي باشد - ايراد رنگي بدنه - كسري دستگيره موكت صندوق - قري درب عقب چپ - ( ايرادات غيرقابل ريورك مطابق استاندارد كارخانه )</t>
  </si>
  <si>
    <t>شماره بدنه: NH877698</t>
  </si>
  <si>
    <t>شماره جایگاه: 609 (جهت بازدید)</t>
  </si>
  <si>
    <t>NH208314</t>
  </si>
  <si>
    <t>164B0301905</t>
  </si>
  <si>
    <t>خط و خش و قري و كسري هاي ظاهري به رؤيت مشتري مي باشد - ايراد رنگي بدنه - كسري دستگيره موكت صندوق و بست باطري و آنتن - ( ايرادات غير قابل ريورك مطابق استاندارد كارخانه )</t>
  </si>
  <si>
    <t>شماره بدنه: NH208314</t>
  </si>
  <si>
    <t>شماره جایگاه: 651 (جهت بازدید)</t>
  </si>
  <si>
    <t>NE522057</t>
  </si>
  <si>
    <t>147H0645293</t>
  </si>
  <si>
    <t>خط و خش و قري و كسري هاي ظاهري به رؤيت مشتري مي باشد - رنگ پريدگي نقاطي از بدنه - شبرنگ متفرقه - ( ايرادات غيرقابل ريورك مطابق استاندارد كارخانه )</t>
  </si>
  <si>
    <t>شماره بدنه: NE522057</t>
  </si>
  <si>
    <t>شماره جایگاه: 393 (جهت بازدید)</t>
  </si>
  <si>
    <t>NH871159</t>
  </si>
  <si>
    <t>164B0298841</t>
  </si>
  <si>
    <t>خط و خش و قري و كسري هاي ظاهري به رؤيت مشتري مي باشد - ايراد رنگي بدنه - كسري دستگيره موكت صندوق - ( ايرادات غيرقابل ريورك مطابق استاندارد كارخانه )</t>
  </si>
  <si>
    <t>شماره بدنه: NH871159</t>
  </si>
  <si>
    <t>شماره جایگاه: 611 (جهت بازدید)</t>
  </si>
  <si>
    <t>NJ266131</t>
  </si>
  <si>
    <t>166B0059963</t>
  </si>
  <si>
    <t>خط و خش و قري و كسري هاي ظاهري به رؤيت مشتري مي باشد - رنگ پريدگي در نقاط مختلف بدنه ( گلگيرهاي عقب و درب صندوق ) - كسري تيغه برف پاك كن جلو چپ و فندك و آنتن و آچار چرخ - ايرادات غير قابل ريورك مطابق استاندارد كارخانه</t>
  </si>
  <si>
    <t>شماره بدنه: NJ266131</t>
  </si>
  <si>
    <t>شماره جایگاه: 473 (جهت بازدید)</t>
  </si>
  <si>
    <t>NJ491268</t>
  </si>
  <si>
    <t>178B0092790</t>
  </si>
  <si>
    <t>خط و خش و قري و كسري هاي ظاهري به رؤيت مشتري مي باشد - رنگ پريدگي نقاطي از بدنه - قري درب جلو راست - ( ايرادات غيرقابل ريورك مطابق استاندارد كارخانه )</t>
  </si>
  <si>
    <t>شماره بدنه: NJ491268</t>
  </si>
  <si>
    <t>شماره جایگاه: 474 (جهت بازدید)</t>
  </si>
  <si>
    <t>NH871781</t>
  </si>
  <si>
    <t>164B0299474</t>
  </si>
  <si>
    <t>خط و خش و قري و كسري هاي ظاهري به رؤيت مشتري مي باشد - ايراد رنگي بدنه - كنده شدن چراغ خطر عقب - قري درب جلو راست - كسري آنتن - ( ايرادات غيرقابل ريورك مطابق استاندارد كارخانه )</t>
  </si>
  <si>
    <t>شماره بدنه: NH871781</t>
  </si>
  <si>
    <t>شماره جایگاه: 654 (جهت بازدید)</t>
  </si>
  <si>
    <t>NH416571</t>
  </si>
  <si>
    <t>164B0298433</t>
  </si>
  <si>
    <t>خط و خش و قري و كسري هاي ظاهري به رؤيت مشتري مي باشد - ايراد رنگي گلگير عقب چپ ( خرابي رنگ ) - ( ايرادات غير قابل ريورك مطابق استاندارد كارخانه )</t>
  </si>
  <si>
    <t>شماره بدنه: NH416571</t>
  </si>
  <si>
    <t>شماره جایگاه: 652 (جهت بازدید)</t>
  </si>
  <si>
    <t>NH877512</t>
  </si>
  <si>
    <t>164B0300054</t>
  </si>
  <si>
    <t>خط و خش و قري و كسري هاي ظاهري به رؤيت مشتري مي باشد - ايراد رنگي بدنه - چراغ چك روشن - ( ايرادات غيرقابل ريورك مطابق استاندارد كارخانه )</t>
  </si>
  <si>
    <t>شماره بدنه: NH877512</t>
  </si>
  <si>
    <t>شماره جایگاه: 615 (جهت بازدید)</t>
  </si>
  <si>
    <t>NH418496</t>
  </si>
  <si>
    <t>164B0298019</t>
  </si>
  <si>
    <t>خط و خش و قري و كسري هاي ظاهري به رؤيت مشتري مي باشد - رنگ پريدگي نقاطي از بدنه - شكستگي شيشه عقب - كسري زه ضربگير درب عقب راست - باطري دشارژ - خش درب صندوق - قري درب عقب راست - ( ايرادات غيرقابل ريورك مطابق استاندارد كارخانه )</t>
  </si>
  <si>
    <t>شماره بدنه: NH418496</t>
  </si>
  <si>
    <t>شماره جایگاه: 601 (جهت بازدید)</t>
  </si>
  <si>
    <t>NJ274576</t>
  </si>
  <si>
    <t>178B0088041</t>
  </si>
  <si>
    <t>خط و خش و قري و كسري هاي ظاهري به رؤيت مشتري مي باشد -لاستيك ها كار كرده - خودرو تحت تست هاي عملكردي بوده است - رنگ پريدگي بكسل بند - كسري تيغه برف پاك كن عقب - رنگ پريدگي سپر عقب - ( ايرادات غيرقابل ريورك مطابق استاندارد كارخانه )</t>
  </si>
  <si>
    <t>شماره بدنه: NJ274576</t>
  </si>
  <si>
    <t>شماره جایگاه: 481 (جهت بازدید)</t>
  </si>
  <si>
    <t>NJ264733</t>
  </si>
  <si>
    <t>خودروي فاز پروژه-سري اول توليد</t>
  </si>
  <si>
    <t>167B0148691</t>
  </si>
  <si>
    <t>خط و خش و قري و كسري هاي ظاهري به رؤيت مشتري مي باشد - خودرو پروژه اي مي باشد ( توليد با قطعات جديد جهت تست و بررسي و آزمايش ) - كسري آنتن - ( ايرادات غير قابل ريورك مطابق استاندارد كارخانه )</t>
  </si>
  <si>
    <t>شماره بدنه: NJ264733</t>
  </si>
  <si>
    <t>شماره جایگاه: 466 (جهت بازدید)</t>
  </si>
  <si>
    <t>NH871850</t>
  </si>
  <si>
    <t>164B0299286</t>
  </si>
  <si>
    <t>خط و خش و قري و كسري هاي ظاهري به رؤيت مشتري مي باشد - ايراد رنگي بدنه - خش درب صندوق و درب موتور و گلگيرهاي جلو - ( ايرادات غيرقابل ريورك مطابق استاندارد كارخانه )</t>
  </si>
  <si>
    <t>شماره بدنه: NH871850</t>
  </si>
  <si>
    <t>شماره جایگاه: 604 (جهت بازدید)</t>
  </si>
  <si>
    <t>NH877505</t>
  </si>
  <si>
    <t>164B0300127</t>
  </si>
  <si>
    <t>شماره بدنه: NH877505</t>
  </si>
  <si>
    <t>NH878136</t>
  </si>
  <si>
    <t>164B0300116</t>
  </si>
  <si>
    <t>خط و خش و قري و كسري هاي ظاهري به رؤيت مشتري مي باشد - ايراد رنگي بدنه - قري درب عقب چپ - خش درب صندوق - ( ايرادات غيرقابل ريورك مطابق استاندارد كارخانه )</t>
  </si>
  <si>
    <t>شماره بدنه: NH878136</t>
  </si>
  <si>
    <t>NH878494</t>
  </si>
  <si>
    <t>164B0300168</t>
  </si>
  <si>
    <t>خط و خش و قري و كسري هاي ظاهري به رؤيت مشتري مي باشد - ايراد رنگي بدنه - خش درب صندوق - كسري آنتن - ( ايرادات غيرقابل ريورك مطابق استاندارد كارخانه )</t>
  </si>
  <si>
    <t>شماره بدنه: NH878494</t>
  </si>
  <si>
    <t>شماره جایگاه: 616 (جهت بازدید)</t>
  </si>
  <si>
    <t>NH871733</t>
  </si>
  <si>
    <t>164B0299470</t>
  </si>
  <si>
    <t>خط و خش و قري و كسري هاي ظاهري به رؤيت مشتري مي باشد - ايراد رنگي بدنه - خش درب صندوق - قري درب جلو راست - خش درب موتور و درب عقب چپ - روشن بودن چراغ ايربك -( ايرادات غيرقابل ريورك مطابق استاندارد كارخانه )</t>
  </si>
  <si>
    <t>شماره بدنه: NH871733</t>
  </si>
  <si>
    <t>شماره جایگاه: 605 (جهت بازدید)</t>
  </si>
  <si>
    <t>NH877508</t>
  </si>
  <si>
    <t>164B0300402</t>
  </si>
  <si>
    <t>شماره بدنه: NH877508</t>
  </si>
  <si>
    <t>شماره جایگاه: 617 (جهت بازدید)</t>
  </si>
  <si>
    <t>NH877504</t>
  </si>
  <si>
    <t>164B0299983</t>
  </si>
  <si>
    <t>خط و خش و قري و كسري هاي ظاهري به رؤيت مشتري مي باشد - ايراد رنگي بدنه - كسري خروسكي سرباطري و دستگيره موكت صندوق - خش درب صندوق - كسري شبرنگ - ( ايرادات غيرقابل ريورك مطابق استاندارد كارخانه )</t>
  </si>
  <si>
    <t>شماره بدنه: NH877504</t>
  </si>
  <si>
    <t>NH878118</t>
  </si>
  <si>
    <t>164B0300346</t>
  </si>
  <si>
    <t>شماره بدنه: NH878118</t>
  </si>
  <si>
    <t>شماره جایگاه: 624 (جهت بازدید)</t>
  </si>
  <si>
    <t>NH878245</t>
  </si>
  <si>
    <t>164B0300333</t>
  </si>
  <si>
    <t>خط و خش و قري و كسري هاي ظاهري به رؤيت مشتري مي باشد - ايراد رنگي بدنه - خراشيدگي قاب آينه شاگرد - كسري استيل ضربگير درب عقب راست - خوردگي كلاف درب جلو راست - عدم عملكرد كولر و بخاري - ( ايرادات غيرقابل ريورك مطابق استاندارد كارخانه )</t>
  </si>
  <si>
    <t>شماره بدنه: NH878245</t>
  </si>
  <si>
    <t>NH879675</t>
  </si>
  <si>
    <t>164B0300178</t>
  </si>
  <si>
    <t>خط و خش و قري و كسري هاي ظاهري به رؤيت مشتري مي باشد - ايراد رنگي بدنه - خش درب صندوق - قري درب جلو چپ - ( ايرادات غيرقابل ريورك مطابق استاندارد كارخانه )</t>
  </si>
  <si>
    <t>شماره بدنه: NH879675</t>
  </si>
  <si>
    <t>شماره جایگاه: 612 (جهت بازدید)</t>
  </si>
  <si>
    <t>NJ298902</t>
  </si>
  <si>
    <t>165A0203625</t>
  </si>
  <si>
    <t>خط و خش و قري و كسري هاي ظاهري به رؤيت مشتري مي باشد - ايراد رنگي بدنه - ايراد رنگي درب جلو راست ( تعويضي كارخانه ) - سائيدگي قالپاق عقب چپ - ( ايرادات غيرقابل ريورك مطابق استاندارد كارخانه )</t>
  </si>
  <si>
    <t>شماره بدنه: NJ298902</t>
  </si>
  <si>
    <t>شماره جایگاه: 271 (جهت بازدید)</t>
  </si>
  <si>
    <t>شماره جایگاه: 308 (جهت بازدید)</t>
  </si>
  <si>
    <t>NH402934</t>
  </si>
  <si>
    <t>125K0040029</t>
  </si>
  <si>
    <t>خط و خش وقري و كسري هاي ظاهري به رؤيت مشتري مي باشد - تصادفي بودن ستون هاي عقب و سقف - شكستگي شيشه عقب - كسري يك عدد قالپاق و چراغ سقفي عقب و آنتن - ( ايرادات غيرقابل ريورك مطابق استاندارد كارخانه )</t>
  </si>
  <si>
    <t>شماره بدنه: NH402934</t>
  </si>
  <si>
    <t>MH860895</t>
  </si>
  <si>
    <t>125K0000978</t>
  </si>
  <si>
    <t>خط و خش و قري و كسري هاي ظاهري به رؤيت مشتري مي باشد - اثر ضربه زير خودرو وكف صندوق و اكسل عقب - كسري يك عدد ماهك دنده ( دنده جا نمي رود ) - كسري درپوش گاز كولر - خراب بودن سيستم گيربكس ( دنده عقب عملكرد ندارد ) - ايرادات غير قابل ريورك مطابق استاندارد كارخانه</t>
  </si>
  <si>
    <t>شماره بدنه: MH860895</t>
  </si>
  <si>
    <t>دنا پلاس اتوماتيك با موتور EF7_TC كلاس2 خاكستري متاليك</t>
  </si>
  <si>
    <t>ME399467</t>
  </si>
  <si>
    <t>1401/07/21</t>
  </si>
  <si>
    <t>153H0035690</t>
  </si>
  <si>
    <t>خط و خش و قري و كسري هاي ظاهري به رؤيت مشتري مي باشد - ايراد فني دارد - ايراد خاموش شدن حين حركت و قفل شدن فرمان دارد - خودرو سوابق تعميراتي متعددي داشته - كسري ليوان - قري درب جلو چپ -خش گلگير عقب راست و سپر عقب و دربهاي راست رنگ پريدگي و خش دارند - خش سپر جلو - كسري خار جلو دنده و زيرپايي ها - تيغه برف پاك كن مستعمل - لاستيكها كار كرده - خش چراغ عقب چپ - كسري شبرنگ</t>
  </si>
  <si>
    <t>917-22ب78</t>
  </si>
  <si>
    <t>شماره بدنه: ME399467</t>
  </si>
  <si>
    <t>پژو پارس معمولي دوگانه سوز کلاس 21 آبي رويال</t>
  </si>
  <si>
    <t>MH640015</t>
  </si>
  <si>
    <t>آبي رويال</t>
  </si>
  <si>
    <t>124K1510069</t>
  </si>
  <si>
    <t>خط و خش و قري و كسري هاي ظاهري به رويت مشتري مي باشد - تايرها كاركرده - رنگ پريدگي بكسل بند -باطري خراب - كسري لقمه اي زبانه درب موتور - كسري شبرنگ - عدم عملكرد آمپرهاي چهارگانه - تصادفي درب جلو و عقب چپ - خط و خش درب موتور و سپر عقب - موتور با دور بالا كار ميكند</t>
  </si>
  <si>
    <t>878-11ج97</t>
  </si>
  <si>
    <t>شماره بدنه: MH640015</t>
  </si>
  <si>
    <t>NH206234</t>
  </si>
  <si>
    <t>164B0300692</t>
  </si>
  <si>
    <t>خط و خش و قري و كسري هاي ظاهري به رؤيت مشتري مي باشد - قري سقف اطراف آنتن - سائيدگي و خش سقف - ( ايرادات غيرقابل ريورك مطابق استاندارد كارخانه )</t>
  </si>
  <si>
    <t>شماره بدنه: NH206234</t>
  </si>
  <si>
    <t>شماره جایگاه: 645 (جهت بازدید)</t>
  </si>
  <si>
    <t>دنا+ (پلاس) کلاس 17 سفيد دو پوششه</t>
  </si>
  <si>
    <t>NE524002</t>
  </si>
  <si>
    <t>147H0661213</t>
  </si>
  <si>
    <t>خط و خش و قري و كسري هاي ظاهري به رؤيت مشتري مي باشد - ايراد رنگي درب جلو چپ ( تعويضي كارخانه ) - ( ايرادات غير قابل ريورك مطابق استاندارد كارخانه )</t>
  </si>
  <si>
    <t>شماره بدنه: NE524002</t>
  </si>
  <si>
    <t>شماره جایگاه: 391 (جهت بازدید)</t>
  </si>
  <si>
    <t>تارا دستي کلاس 1 مشكي متاليك (آبنوس)</t>
  </si>
  <si>
    <t>ND932084</t>
  </si>
  <si>
    <t>مشكي متاليك (آبنوس)</t>
  </si>
  <si>
    <t>187B0013489</t>
  </si>
  <si>
    <t>خط و خش و قري و كسري هاي ظاهري به رؤيت مشتري مي باشد - ريورك ناقص و غير استاندارد مهره ريل صندلي راننده - قري درب عقب راست - كسري كيف بكسل بند - ايراد رنگي سپر عقب - كسري يك عدد قالپاق - ( ايرادات غير قابل ريورك مطابق استاندارد كارخانه )</t>
  </si>
  <si>
    <t>شماره بدنه: ND932084</t>
  </si>
  <si>
    <t>شماره جایگاه: 417 (جهت بازدید)</t>
  </si>
  <si>
    <t>NJ301300</t>
  </si>
  <si>
    <t>182A0180109</t>
  </si>
  <si>
    <t>خط و خش و قري و كسري هاي ظاهري به رؤيت مشتري مي باشد - تصادفي بودن بكسل بند جلو و سپرجلو و جلوپنجره - كسري ضربگير سپر جلو - شكستگي پايه مه شكن جلو راست - رنگ پريدگي لبه گلگير جلو چپ - كسري آچارچرخ و شبرنگ - ( ايرادات غيرقابل ريورك مطابق استاندارد كارخانه )</t>
  </si>
  <si>
    <t>شماره بدنه: NJ301300</t>
  </si>
  <si>
    <t>شماره جایگاه: 268 (جهت بازدید)</t>
  </si>
  <si>
    <t>شماره جایگاه: 281 (جهت بازدید)</t>
  </si>
  <si>
    <t>NF160789</t>
  </si>
  <si>
    <t>147H0641175</t>
  </si>
  <si>
    <t>خط و خش وقري و كسري هاي ظاهري به رؤيت مشتري مي باشد - ايراد رنگي درب جلو و عقب چپ - قري درب جلو چپ - كسري جك و آچارچرخ - ( ايرادات غيرقابل ريورك مطابق استاندارد كارخانه )</t>
  </si>
  <si>
    <t>شماره بدنه: NF160789</t>
  </si>
  <si>
    <t>شماره جایگاه: 284 (جهت بازدید)</t>
  </si>
  <si>
    <t>NF237057</t>
  </si>
  <si>
    <t>147H0666551</t>
  </si>
  <si>
    <t>خط و خش و قري و كسري هاي ظاهري به رؤيت مشتري ميباشد - خوردگي درب جلو چپ - قري گلگير جلو چپ و درب عقب چپ - خوردگي گلگير جلو راست و درب عقب راست - قري درب موتور - خوردگي سر جلو - بكسل بند جلو ندارد - خوردگي اطراف محل نصب بكسل بند جلو - آچارخوردگي پيچ هاي درب موتور و گلگير هاي جلو ( تعويضي كارخانه ) - كسري درب جعبه فيوز - آسيب ديدگي محور عرضي شاسي جلو - ( ايرادات غير قابل ريورك مطابق استاندارد كارخانه )</t>
  </si>
  <si>
    <t>شماره بدنه: NF237057</t>
  </si>
  <si>
    <t>شماره جایگاه: 297 (جهت بازدید)</t>
  </si>
  <si>
    <t>سورن EF7 بنزيني کلاس 23 سفيد دو پوششه</t>
  </si>
  <si>
    <t>NF152668</t>
  </si>
  <si>
    <t>147H0628896</t>
  </si>
  <si>
    <t>خط و خش و قري و كسري هاي ظاهري به رؤيت مشتري مي باشد - تصادفي بودن درب موتور و گلگير جلو راست - رنگ پريدگي سپر جلو و زه دربها - تصادفي بودن دربهاي سمت چپ - كسري زه درب عقب چپ و درب جعبه فيوز و يك عدد سوئيچ - تصادفي بودن درب عقب راست - شكستگي درب باك - جاخوردگي سپر جلو - آچارخوردگي پيچ هاي درب موتور و گلگير جلو راست ( تعويضي كارخانه ) - آسيب ديدگي محور عرضي شاسي جلو - مغايرت رنگ باك با بدنه - ( ايرادات غيرقابل ريورك مطابق استاندارد كارخانه )</t>
  </si>
  <si>
    <t>شماره بدنه: NF152668</t>
  </si>
  <si>
    <t>شماره جایگاه: 295 (جهت بازدید)</t>
  </si>
  <si>
    <t>NH920971</t>
  </si>
  <si>
    <t>125K0056825</t>
  </si>
  <si>
    <t>خط و خش و قري و كسري هاي ظاهري به رؤيت مشتري مي باشد - ايراد رنگي درب عقب راست ( تعميري و تعويضي ) - ايراد رنگي هلالي گلگير عقب راست - قري درب موتور - ( ايرادات غير قابل ريورك مطابق استاندارد كارخانه )</t>
  </si>
  <si>
    <t>شماره بدنه: NH920971</t>
  </si>
  <si>
    <t>شماره جایگاه: 425 (جهت بازدید)</t>
  </si>
  <si>
    <t>NK800811</t>
  </si>
  <si>
    <t>125K0061828</t>
  </si>
  <si>
    <t>خط و خش و قري و كسري هاي ظاهري به رؤيت مشتري مي باشد - ايراد رنگي و رنگ پريدگي سمت چپ خودرو - شكستگي شيشه جلو - كسري قاب آينه راست - ( ايرادات غير قابل ريورك مطابق استاندارد كارخانه )</t>
  </si>
  <si>
    <t>شماره بدنه: NK800811</t>
  </si>
  <si>
    <t>شماره جایگاه: 430 (جهت بازدید)</t>
  </si>
  <si>
    <t>شماره جایگاه: 432 (جهت بازدید)</t>
  </si>
  <si>
    <t>MK092109</t>
  </si>
  <si>
    <t>124K1441656</t>
  </si>
  <si>
    <t>خط و خش و قري و كسري هاي ظاهري به رويت مشتري مي باشد - كاركرد بالا - لاستيكها كاركرده - رنگ پريدگي بكسل بند - باطري خراب - كسري دستگيره موكت صندوق - تغيير رنگ قطعات - خودرو تحت تست بوده است .</t>
  </si>
  <si>
    <t>568-33ب43</t>
  </si>
  <si>
    <t>شماره بدنه: MK092109</t>
  </si>
  <si>
    <t>LE240744</t>
  </si>
  <si>
    <t>153H0014511</t>
  </si>
  <si>
    <t>خط و خش و قري و كسري هاي ظاهري به رؤيت مشتري مي باشد - ايراد فني دارد - خوردگي درب موتور و گلگير و دربهاي چپ و سقف و ركاب چپ و شاسي جلو چپ و پلوس و چرخ جلو راست و سيني فن و سيني روي رادياتها و سپر جلو - رنگ پريدگي و خش گلگير عقب چپ و خش گلگير جلو راست و خش و رنگ پريدگي دربهاي راست و سپر عقب و درب صندوق - خوردگي زير خودرو - كسري قاب روي موتور و پيچ هاي جلو پنجره و بست مثبت باطري و آرم روي صندوق و گلگير جلو چپ و لوگوي وسط رينگ و ليوان - شكستگي مه شكن هاي چراغ جلو چپ و شكستگي داشبورد - ايربك ها باز شده است - كسري قاب روي ركاب راست - شكستگي درب جعبه فيوز - كسري قاب ستون جلو چپ - خوردگي ستون وسط چپ - كسري اي سي يو و جك و آچار چرخ و شبرنگ - شكستگي سيني زير موتور و جلو پنجره - تيغه برف پاك كن مستعمل - شكستگي آينه بغل چپ - شكستگي رينگ جلو چپ - لاستيكها كاركرده و لاستيك جلو چپ تركيده - شكستگي شيشه جلو</t>
  </si>
  <si>
    <t>187-55ه74</t>
  </si>
  <si>
    <t>شماره بدنه: LE240744</t>
  </si>
  <si>
    <t>NT344748</t>
  </si>
  <si>
    <t>188B0007951</t>
  </si>
  <si>
    <t>خط و خش و قري و كسري هاي ظاهري به رؤيت مشتري مي باشد - ايراد رنگي بدنه ( ايراد رنگي ستون وسط چپ ) - خش ركاب راست و درب عقب راست - موج گلگير جلو راست - تيغه برف پاك كن مستعمل - لاستيكها كاركرده</t>
  </si>
  <si>
    <t>شماره بدنه: NT344748</t>
  </si>
  <si>
    <t>دنا پلاس توربو شارژ کلاس8 سفيد دو پوششه</t>
  </si>
  <si>
    <t>NE491289</t>
  </si>
  <si>
    <t>153H0059757</t>
  </si>
  <si>
    <t>خط و خش و قري و كسري هاي ظاهري به رؤيت مشتري مي باشد - ايراد رنگي درب موتور و سقف - رنگ خوردگي پيچ هاي درب موتور و گلگيرهاي جلو ( تعويضي كارخانه ) - ( ايرادات غيرقابل ريورك مطابق استاندارد كارخانه )</t>
  </si>
  <si>
    <t>DENA EF7 TC-MT</t>
  </si>
  <si>
    <t>کد کلاس: 70408</t>
  </si>
  <si>
    <t>شماره بدنه: NE491289</t>
  </si>
  <si>
    <t>شماره جایگاه: 362 (جهت بازدید)</t>
  </si>
  <si>
    <t>MJ544019</t>
  </si>
  <si>
    <t>166B0052707</t>
  </si>
  <si>
    <t>خط و خش و قري و كسري هاي ظاهري به رؤيت مشتري مي باشد - خودرو ايراد فني دارد ( روشن شدن چراغ چك و كپ كردن و خاموش شدن خودرو در حين حركت ) - خش درب موتور - روغن ريزي از ناحيه درب روغن موتور - خش و رنگ پريدگي سپرها - خش گلگيرها و دربها و رنگ پريدگي درب جلو راست و درب جلوي چپ - خش درب صندوق - ايراد رنگي بدنه - رنگ پريدگي گلگير عقب چپ - كسري يك عدد سوئيچ - خش جلو پنجره - تيغه برف پاك كن مستعمل - آينه هاي جانبي خش و سائيدگي دارند - شكستگي قالپاق ها - لاستيك ها مستعمل و كاركرده - قري درب عقب چپ - خش سپر جلو و درب جلو چپ و درب عقب چپ و گلگيرهاي چپ - قري درب جلو راست</t>
  </si>
  <si>
    <t>571-88ه26</t>
  </si>
  <si>
    <t>شماره بدنه: MJ544019</t>
  </si>
  <si>
    <t>NH402315</t>
  </si>
  <si>
    <t>125K0039241</t>
  </si>
  <si>
    <t>خط و خش وقري و كسري هاي ظاهري به رؤيت مشتري مي باشد - ايراد رنگي درب جلو راست ( تعويضي كارخانه ) - كسري ابرويي جلو راست و چپ - شكستگي جلو پنجره - كسري زيرپايي ها - ( ايرادات غيرقابل ريورك مطابق استاندارد كارخانه )</t>
  </si>
  <si>
    <t>شماره بدنه: NH402315</t>
  </si>
  <si>
    <t>شماره جایگاه: 306 (جهت بازدید)</t>
  </si>
  <si>
    <t>شماره جایگاه: 506 (جهت بازدید)</t>
  </si>
  <si>
    <t>NE491246</t>
  </si>
  <si>
    <t>153H0059549</t>
  </si>
  <si>
    <t>خط و خش و قري و كسري هاي ظاهري به رؤيت مشتري مي باشد - ايراد رنگي سقف و درب موتور - ( ايرادات غيرقابل ريورك مطابق استاندارد كارخانه )</t>
  </si>
  <si>
    <t>شماره بدنه: NE491246</t>
  </si>
  <si>
    <t>شماره جایگاه: 363 (جهت بازدید)</t>
  </si>
  <si>
    <t>NF158007</t>
  </si>
  <si>
    <t>147H0632823</t>
  </si>
  <si>
    <t>خط و خش و قري و كسري هاي ظاهري به رؤيت مشتري ميباشد - قري درب جلو راست - رنگ پريدگي سپر عقب - خوردگي و رنگ پريدگي گلگير جلو - كسري دب جعبه فيوز - مغايرت درب باك - قري دربهاي راست - آچارخوردگي پيچ هاي درب موتور ( تعويضي كارخانه و يكعدد پيچ كسري دارد ) - موج ورق درب عقب چپ - خوردگي لبه گلگير جلو چپ - قري درب موتور - مغايرت رنگ درب باك - تصادف شاسي جلو چپ و تعويضي بودن دربهاي راست و درب موتور- ( ايرادات غير قابل ريورك مطابق استاندارد كارخانه )</t>
  </si>
  <si>
    <t>شماره بدنه: NF158007</t>
  </si>
  <si>
    <t>شماره جایگاه: 299 (جهت بازدید)</t>
  </si>
  <si>
    <t>NF157216</t>
  </si>
  <si>
    <t>147H0636845</t>
  </si>
  <si>
    <t>خط و خش و قري و كسري هاي ظاهري به رؤيت مشتري مي باشد - كسري درب باك - خوردگي درب عقب چپ - كسري درب جعبه فيوز - جانبودن چراغ عقب چپ - خوردگي سپر عقب - آچارخوردگي پيچ هاي درب موتور و گلگير جلو چپ ( تعويضي كارخانه ) - تصادفي بودن از ناحيه پشت خودرو ( دفرمگي كف صندوق ) - ( ايرادات غيرقابل ريورك مطابق استاندارد كارخانه )</t>
  </si>
  <si>
    <t>شماره بدنه: NF157216</t>
  </si>
  <si>
    <t>شماره جایگاه: 300 (جهت بازدید)</t>
  </si>
  <si>
    <t>NF157427</t>
  </si>
  <si>
    <t>147H0635750</t>
  </si>
  <si>
    <t>خط و خش و قري و كسري هاي ظاهري به رؤيت مشتري مي باشد - آچارخوردگي پيچ هاي درب موتور ( تعويضي كارخانه ) - شكستگي مه شكن جلو راست - قري درب موتور - رنگ پريدگي سپر جلو - خوردگي سرشاسي جلو راست ( جاي بكسل بند ) - زيرپايي ها مستعمل - ( ايرادات غيرقابل ريورك مطابق استاندارد كارخانه )</t>
  </si>
  <si>
    <t>شماره بدنه: NF157427</t>
  </si>
  <si>
    <t>شماره جایگاه: 301 (جهت بازدید)</t>
  </si>
  <si>
    <t>NE560917</t>
  </si>
  <si>
    <t>1402/02/21</t>
  </si>
  <si>
    <t>153H0061881</t>
  </si>
  <si>
    <t>خط و خش و قري و كسري ظاهري به رؤيت مشتري مي باشد - عدم تست فني خودرو - حريقي بودن موتور و لوازم موتوري - از ناحيه جعبه فيوز و اي سي يو و درب موتور و نمدي درب موتور و گلگير جلو چپ و دسته سيم و باطري حريقي مي باشد - آثار حريق روي سرشاسي جلو چپ و درپوش سراكسل - خط و خش سپرها - ايراد رنگي بدنه - خط و خش آينه ها - قري اطراف سانروف - لاستيك ها كاركرده</t>
  </si>
  <si>
    <t>445-69ه66</t>
  </si>
  <si>
    <t>شماره بدنه: NE560917</t>
  </si>
  <si>
    <t>NE491086</t>
  </si>
  <si>
    <t>153H0059391</t>
  </si>
  <si>
    <t>خط و خش و قري و كسري هاي ظاهري به رؤيت مشتري مي باشد - خودرو تحت تست عملكردي بوده است - لاستيك ها كاركرده - شكستگي قاب وسط كنسول و قاب تيغه برف پاك كن - ايراد رنگي درب موتور و سپر جلو - ( ايرادات غير قابل ريورك مطابق استاندارد كارخانه )</t>
  </si>
  <si>
    <t>شماره بدنه: NE491086</t>
  </si>
  <si>
    <t>شماره جایگاه: 364 (جهت بازدید)</t>
  </si>
  <si>
    <t>NT341017</t>
  </si>
  <si>
    <t>188B0004409</t>
  </si>
  <si>
    <t>خط و خش وقري و كسري هاي ظاهري به رؤيت مشتري مي باشد - ايراد رنگي سقف و درب صندوق - خش سپر عقب - تصادفي بودن درب جلو و گلگير جلو راست - خش سپر جلو - ( ايرادات غيرقابل ريورك مطابق استاندارد كارخانه )</t>
  </si>
  <si>
    <t>شماره بدنه: NT341017</t>
  </si>
  <si>
    <t>شماره جایگاه: 311 (جهت بازدید)</t>
  </si>
  <si>
    <t>MH687706</t>
  </si>
  <si>
    <t>164B0295328</t>
  </si>
  <si>
    <t>خط و خش و قري و كسري هاي ظاهري به رؤيت مشتري مي باشد - كيلومتر خراب مي باشد و كاركرد واقعي نيست - كسري گج روغن - خش آينه هاي جانبي - لاستيكها كاركرده - موكت صندوق مستعمل - شكستگي سپر عقب - خوردگي شاسي عقب - كسري چراغ پلاك - عدم چسبندگي زه ها - تصادف ركاب چپ - قري و رنگ پريدگي گلگير جلو چپ - آچارخوردگي پيچ هاي درب موتورو گلگير جلو چپ - چراغ چك و چراغ ايربگ روشن - رنگ پريدگي سپر جلو - شكستگس جلوپنجره - قري گلگير جلو راست - خردگي درب صندوق و پليت عقب و گلگير عقب راست و دربهاي چپ و گلگير جلو چپ و راست - رنگ پريدگي درب موتور - كسري فلپ داشبورد و درپوش رم - مستعمل بودن صندليها و رودريها - رنگ پريدگي بكسل بند جلو - خوردگي كف صندوق - آچارخرودگي پيچ هاي درب صندوق ( تعويضي كارخانه ) - خش روي سقف - خوردگي درب موتور و سپر جلو و گلگير جلو راست و دربها - كيلومتر خراب است و كاركرد واقعي نيست - گج روغن ندارد - خش آينه ها - لاستيكها كاركرده - ( ايرادات غيرقابل ريورك مطابق استاندارد كارخانه )</t>
  </si>
  <si>
    <t>شماره بدنه: MH687706</t>
  </si>
  <si>
    <t>شماره جایگاه: 427 (جهت بازدید)</t>
  </si>
  <si>
    <t>NK859589</t>
  </si>
  <si>
    <t>125K0061748</t>
  </si>
  <si>
    <t>خط و خش و قري و كسري هاي ظاهري به رؤيت مشتري مي باشد - كسري آنتن - تصادف گلگير عقب چپ و سپر عقب چپ - كسري دستگيره موكت صندوق - كسري كف پايي جلو چپ - قري درب جلو راست - ( ايرادات غير قابل ريورك مطابق استاندارد كارخانه )</t>
  </si>
  <si>
    <t>شماره بدنه: NK859589</t>
  </si>
  <si>
    <t>شماره جایگاه: 433 (جهت بازدید)</t>
  </si>
  <si>
    <t>MJ222394</t>
  </si>
  <si>
    <t>166B0055314</t>
  </si>
  <si>
    <t>خط و خش و قري و كسري هاي ظاهري به رؤيت مشتري مي باشد - كسري زسيني زير موتور و فندك - زيرپايي ها مستعمل - لاستيكها كاركرده - كسري جك و آچارچرخ - داخل موتور دچار حريق شده - لوازم موتوري سوخته و كسري ميباشد - شكستگي جك درب صندوق - خوردگي سپر عقب - آثار حريق درب موتور و گلگيرهاي جلو و سپر جلو - سوختگي دريچه پلاستيكي روي درب موتور و سيم پيچي هاي داخل موتور - كسري تسمه ها و بعضي قطعات موتوري و اتاق - سوختگي زير خودرو - شكستگي اگزوز و سيم پيچي هاي زير خودرو - خش دربهاي چپ و گلگير عقب چپ - خوردگي گلگير عقب راست - قري و خش درب عقب راست و خش درب جلو راست</t>
  </si>
  <si>
    <t>852-84ط17</t>
  </si>
  <si>
    <t>شماره بدنه: MJ222394</t>
  </si>
  <si>
    <t>NE567861</t>
  </si>
  <si>
    <t>153H0067729</t>
  </si>
  <si>
    <t>خط و خش و قري و كسري هاي ظاهري به رؤيت مشتري مي باشد - موتور خودرو بدكار مي كند و لرزش دارد - سيستم ترمز ايراد دارد و خراب مي باشد - كسري تيغه برف پاك كن - لاستيكها كار كرده - ايراد فني دارد ( ايمني و ترمز ) - خالي شدن پدال ترمز - خودرو كشش ندارد - كسري لوله هواكش - موتور برف پاك كن باز مي باشد - كسري قاب زير برف پاك كن ها - چراغ چك روشن - خش گلگير جلو چپ و سپر عقب</t>
  </si>
  <si>
    <t>631-68ص93</t>
  </si>
  <si>
    <t>شماره بدنه: NE567861</t>
  </si>
  <si>
    <t>شماره جایگاه: 41 (جهت بازدید)</t>
  </si>
  <si>
    <t>NH446699</t>
  </si>
  <si>
    <t>125K0010726</t>
  </si>
  <si>
    <t>خط و خش و قري و كسري هاي ظاهري به رؤيت مشتري مي باشد - ايراد رنگي درب عقب راست ( تعميري و تعويضي ) - كسري زيرپايي عقب و دستگبره موكت صندوق و قاب روي پيچ برف پاك ك ن جلو چپ - سائيدگي ضربگير سپر جلو - قري درب جلو راست - چراغ ايربگ روشن - ( ايرادات غير قابل ريورك مطابق استاندارد كارخانه )</t>
  </si>
  <si>
    <t>شماره بدنه: NH446699</t>
  </si>
  <si>
    <t>دنا پلاس اتوماتيك با موتور EF7_TC كلاس2 آبي كبود متاليك</t>
  </si>
  <si>
    <t>NE545330</t>
  </si>
  <si>
    <t>آبي كبود متاليك</t>
  </si>
  <si>
    <t>153H0087895</t>
  </si>
  <si>
    <t>خط و خش و قري و كسري هاي ظاهري به رؤيت مشتري مي باشد - خودرو تصادف شديد داشته و چپي ميباشد - كسري شيشه عقب - تصادفي بودن سقف و درب موتور و درب صندوق و دربها و سپرها - شكستگي شيشه ها و چراغ ها - خوردگي كلاف دربها و ركابها و سرشاسي جلو چپ - سائيدگي دستگيره دربهاي چپ - كسري آرم روي گلگير جلو راست - خش چراغ جلو چپ - خوردگي رينگ ها و سيني زير موتور - كسري زيرپايي ها - شكستگي جلو پنجره - كسري آينه هاي جانبي - شكستگي شيشه جلو و شيشه عقب - خش چراغ عقب چپ ( ايرادات غيرقابل ريورك مطابق استاندارد كارخانه )</t>
  </si>
  <si>
    <t>شماره بدنه: NE545330</t>
  </si>
  <si>
    <t>پژو 207i اتوماتيک با موتور TU5P کلاس 2 سفيد دو پوششه</t>
  </si>
  <si>
    <t>MJ500078</t>
  </si>
  <si>
    <t>185B0000182</t>
  </si>
  <si>
    <t>خط و خش و قري و كسري هاي ظاهري به رؤيت مشتري مي باشد - ماندگاري بالا و افت مدل - قري درب جلو چپ - تصادفي بودن درب صندوق ( زنگ زدگي دارد ) - كسري درب داشبورد - پوسته شدن چراغ هاي جلو - كولر باد گرم مي دهد ( ايرادات غيرقابل ريورك مطابق استاندارد كارخانه )</t>
  </si>
  <si>
    <t>207i TU5P A</t>
  </si>
  <si>
    <t>سواري هاچ بک</t>
  </si>
  <si>
    <t>کد کلاس: 60602</t>
  </si>
  <si>
    <t>شماره بدنه: MJ500078</t>
  </si>
  <si>
    <t>شماره جایگاه: 291 (جهت بازدید)</t>
  </si>
  <si>
    <t>NE578370</t>
  </si>
  <si>
    <t>153H0075845</t>
  </si>
  <si>
    <t>خط و خش و قري و كسري هاي ظاهري به رؤيت مشتري مي باشد - تصادفي بودن سرشاسي جلو چپ و سپر جلو - قري درب عقب راست و شكستگي سيني فن - سائيدگي چراغ جلو چپ - تصادفي بودن گلگير جلو چپ - رنگ شدگي پيچ هاي درب موتور و گلگيرهاي جلو ( تعويضي كارخانه ) - ( ايرادات غير قابل ريورك مطابق استاندارد كارخانه )</t>
  </si>
  <si>
    <t>شماره بدنه: NE578370</t>
  </si>
  <si>
    <t>شماره جایگاه: 382 (جهت بازدید)</t>
  </si>
  <si>
    <t>پژو 207i اتوماتيک با موتور TU5P کلاس 2 مشكي متاليك</t>
  </si>
  <si>
    <t>MJ500081</t>
  </si>
  <si>
    <t>185B0000175</t>
  </si>
  <si>
    <t>خط و خش و قري و كسري هاي ظاهري به رؤيت مشتري مي باشد - ماندگاري بالا و افت مدل - كسري درب داشبورد - ايراد رنگي درب موتور - دنده دو كشش ندارد ( ايرادات غيرقابل ريورك مطابق استاندارد كارخانه )</t>
  </si>
  <si>
    <t>شماره بدنه: MJ500081</t>
  </si>
  <si>
    <t>شماره جایگاه: 320 (جهت بازدید)</t>
  </si>
  <si>
    <t>MJ500104</t>
  </si>
  <si>
    <t>185B0000149</t>
  </si>
  <si>
    <t>خط و خش و قري و كسري هاي ظاهري به رؤيت مشتري مي باشد - ماندگاري بالا و افت مدل - ايراد رنگي جلوي سقف - قري درب عقب چپ - كسري آنتن ( ايرادات غيرقابل ريورك مطابق استاندارد كارخانه )</t>
  </si>
  <si>
    <t>شماره بدنه: MJ500104</t>
  </si>
  <si>
    <t>شماره جایگاه: 278 (جهت بازدید)</t>
  </si>
  <si>
    <t>MJ500072</t>
  </si>
  <si>
    <t>185B0000107</t>
  </si>
  <si>
    <t>خط و خش و قري و كسري هاي ظاهري به رؤيت مشتري مي باشد - ماندگاري بالا و افت مدل - قري درب عقب چپ - ايراد رنگي سقف - كسري آنتن ( ايرادات غيرقابل ريورك مطابق استاندارد كارخانه )</t>
  </si>
  <si>
    <t>شماره بدنه: MJ500072</t>
  </si>
  <si>
    <t>MJ500067</t>
  </si>
  <si>
    <t>185B0000093</t>
  </si>
  <si>
    <t>خط و خش و قري و كسري هاي ظاهري به رؤيت مشتري مي باشد - ماندگاري بالا و افت مدل - قري درب جلو چپ - خش درب جلو راست و گلگير جلو راست - قري درب جلو راست - باطري دشارژ - كسري يك عدد سوئيچ - ( ايرادات غير قابل ريورك مطابق استاندارد كارخانه )</t>
  </si>
  <si>
    <t>شماره بدنه: MJ500067</t>
  </si>
  <si>
    <t>شماره جایگاه: 460 (جهت بازدید)</t>
  </si>
  <si>
    <t>NH866400</t>
  </si>
  <si>
    <t>139B0272069</t>
  </si>
  <si>
    <t>خط و خش و قري و كسري هاي ظاهري به رؤيت مشتري مي باشد - كسري دكمه تهويه هوا - چراغ چك و اي بي اس روشن - قري گلگير جلو چپ - كيلومتر خراب مي باشد و كاركرد واقعي نيست - زاپاس كاركرده و پنچر - تصادفي بودن گلگير عقب چپ - رنگ پريدگي ستون درب جلو چپ ( ايراد رنگي دارد ) - قري و خش درب صندوق - خش سپر عقب - قري و خش درب عقب راست - خش قاب آينه راست - آچارخوردگي پيچ هاي درب صندوق و گلگير جلو چپ ( تعويضي كارخانه ) - كسري دستگيره موكت صندوق - خوردگي درب هاي راست و گلگيرهاي جلو و عقب چپ - قري درب جلو چپ - رنگ پريدگي ركاب چپ - قري و خش درب صندوق - خوردگي سپر عقب - كسري آنتن و شبرنگ - ( ايرادات غيرقابل ريورك مطابق استاندارد كارخانه )</t>
  </si>
  <si>
    <t>شماره بدنه: NH866400</t>
  </si>
  <si>
    <t>شماره جایگاه: 312 (جهت بازدید)</t>
  </si>
  <si>
    <t>MH752481</t>
  </si>
  <si>
    <t>139B0261671</t>
  </si>
  <si>
    <t>خط و خش و قري و كسري هاي ظاهري به رؤيت مشتري مي باشد - ماندگاري بالا و افت مدل - پارگي ورق زير بدنه ( در ناحيه زير كف پايي عقب چپ ) - تصادفي بودن درب موتور و گلگيرهاي جلو و درب عقب چپ و درب هاي راست - رنگ پريدگي سپرها - قري درب صندوق - كسري درپوش رم -چارخوردگي پيچ هاي درب موتور و درب صندوق و گلگيرهاي جلو ( تعويضي كارخانه ) - دفرمگي نوار آبگير شيشه بيروني چپ - شكستگي توري روي باند درب راننده - رنگ پريدگي لبه درب موتور - قري ستون عقب راست - خش آينه هاي جانبي - موكت صندوق مستعمل - ( ايرادات غيرقابل ريورك مطابق استاندارد كارخانه )</t>
  </si>
  <si>
    <t>شماره بدنه: MH752481</t>
  </si>
  <si>
    <t>MH687651</t>
  </si>
  <si>
    <t>164B0294410</t>
  </si>
  <si>
    <t>خط و خش و قري و كسري هاي ظاهري به رؤيت مشتري ميباشد - ماندگاري بالا و افت مدل - كسري آرم سوئيچ - شكستگي جلوپنجره - مشتعمل بودن آينه ها - كسري آنتن - شكستگي قالپاق ها - لاستيكها كاركرده - ترك چراغ عقب راست - كسري جك و آچار - مستعمل بودن موكت كف صندوق و فاقد دستگيره - قري درب جلو راست - عدم چسبندگي زه درب ه ا - شكستگي سپر جلو - خوردگي گلگير جلو راست و چپ - خوردگي خوردگي درب جلو چپ و عقب - خوردگي درب موتور - شكستگي سپر عقب - رنگ پريدگي و خوردگي گلگير عقب چپ - شكستگي آينه راست - جانبودن رودريهاي دربهاي جلو - شكستگي هواكش - سائيدگي روكش فرمان - قري درب صندوق - پارگي نمدي داخل صندوق - آچارخوردگي پيچ هاي درب موتور و گلگيرهاي جلو ( تعويضي كارخانه ) - مستعمل بودن رودري ها - كسري مه شكن جلو چپ و شكستگي مه شكن جلو راست - شكستگي چراغ جلو راست - خوردگي درب عقب راست - خوردگي بكسل بند عقب و درب جلو راست و چراغ هاي عقب و جلو راست( ايرادات غير قابل ريورك مطابق استاندارد كارخانه )</t>
  </si>
  <si>
    <t>شماره بدنه: MH687651</t>
  </si>
  <si>
    <t>شماره جایگاه: 423 (جهت بازدید)</t>
  </si>
  <si>
    <t>MH687702</t>
  </si>
  <si>
    <t>164B0295338</t>
  </si>
  <si>
    <t>خط و خش و قري و كسري هاي ظاهري به رؤيت مشتري مي باشد - چراغ اي بي اس و چك و ايربك روشن - آچارخوردگي پيچ هاي درب موتور ( تعويضي كارخانه ) - شكستگي سپر جلو و ابرويي چراغ جلو - كسري قاب آينه بغل چپ و ولوم - شكستگي دريچه ها و رودري هاي جلو - كسري قاب باند درب جلو راست و قاب باند روي داشبورد و فلاپ دور ضبط و آنتن - شكستگي سپر عقب - كسري چراغ پلاك - قري گلگير عقب راست - كسري قاب دستگيره دربهاي راست و زيرسيگاري كنسول وسط و هواكش و درپوش گاز و قاب بست مثبت - خوردگي بكسل بند جلو - كسري زه روي سپرها - قري و خش دربهاي راست - پارگي رودريها - كسري دريچه هواي عقب - كيلومتر خراب مي باشد و كاركرد واقعي نيست - قري دربها و گلگير جلو چپ - آسيب ديدگي كنسول وسط - كسري چراغ سقف - خش درب صندوق - خوردگي گلگير عقب چپ و درب جلو چپ - قري درب موتور و درب عقب چپ - كسري قاب چراغ عقب راست و لامپ چراغ هاي عقب - خش ستون عقب چپ - كسري گيج روغن و يك عدد سوئيچ - رنگ پريدگي آينه هاي جانبي - ( ايرادات غيرقابل ريورك مطابق استاندارد كارخانه )</t>
  </si>
  <si>
    <t>شماره بدنه: MH687702</t>
  </si>
  <si>
    <t>شماره جایگاه: 428 (جهت بازدید)</t>
  </si>
  <si>
    <t>MJ535027</t>
  </si>
  <si>
    <t>166B0053406</t>
  </si>
  <si>
    <t>خط و خش و قري و كسري هاي ظاهري به رؤيت مشتري مي باشد - ايراد فني دارد - مدولاتور اي بي اس ايراد دارد - پنل فن و كندانسور كولر و رادياتور اب و سرشاسي جلو آسيب ديده است - خوردگي سپر جلو - رنگ پريدگي سپر عقب - سيستم ترمز ايراد دارد - باطري دشارژ - تيغه برف پاك كن مستعمل - خش آينه هاي جانبي - كسري آچارچرخ و شبرنگ</t>
  </si>
  <si>
    <t>277-88ج32</t>
  </si>
  <si>
    <t>شماره بدنه: MJ535027</t>
  </si>
  <si>
    <t>MJ500084</t>
  </si>
  <si>
    <t>185B0000192</t>
  </si>
  <si>
    <t>خط و خش و قري و كسري هاي ظاهري به رؤيت مشتري مي باشد - ماندگاري بالا و افت مدل - ايراد رنگي سقف ( ايرادات غيرقابل ريورك مطابق استاندارد كارخانه )</t>
  </si>
  <si>
    <t>شماره بدنه: MJ500084</t>
  </si>
  <si>
    <t>شماره جایگاه: 276 (جهت بازدید)</t>
  </si>
  <si>
    <t>MJ500102</t>
  </si>
  <si>
    <t>185B0000209</t>
  </si>
  <si>
    <t>خط و خش و قري و كسري هاي ظاهري به رؤيت مشتري مي باشد - ماندگاري بالا و افت مدل - كسري درب داشبورد - ايراد رنگي درب شاگرد - خش سپر جلو - قري دربهاي عقب راست و چپ ( ايرادات غيرقابل ريورك مطابق استاندارد كارخانه )</t>
  </si>
  <si>
    <t>شماره بدنه: MJ500102</t>
  </si>
  <si>
    <t>MJ500107</t>
  </si>
  <si>
    <t>185B0000170</t>
  </si>
  <si>
    <t>خط و خش و قري و كسري هاي ظاهري به رؤيت مشتري مي باشد - ايراد رنگي سقف - قري درب جلو راست و چپ - ( ايرادات غيرقابل ريورك مطابق استاندارد كارخانه )</t>
  </si>
  <si>
    <t>شماره بدنه: MJ500107</t>
  </si>
  <si>
    <t>MJ500112</t>
  </si>
  <si>
    <t>185B0000197</t>
  </si>
  <si>
    <t>خط و خش و قري و كسري هاي ظاهري به رؤيت مشتري مي باشد - ماندگاري بالا و افت مدل - قري درب عقب راست - كسري جعبه و درب داشبورد - كولر باد گرم ميزند - ( ايرادات غيرقابل ريورك مطابق استاندارد كارخانه )</t>
  </si>
  <si>
    <t>شماره بدنه: MJ500112</t>
  </si>
  <si>
    <t>شماره جایگاه: 328 (جهت بازدید)</t>
  </si>
  <si>
    <t>MJ500094</t>
  </si>
  <si>
    <t>185B0000210</t>
  </si>
  <si>
    <t>خط و خش و قري و كسري هاي ظاهري به رؤيت مشتري مي باشد - ماندگاري بالا و افت مدل - كسري درب داشبورد - ايراد رنگي سقف - ( ايرادات غيرقابل ريورك مطابق استاندارد كارخانه )</t>
  </si>
  <si>
    <t>شماره بدنه: MJ500094</t>
  </si>
  <si>
    <t>MJ500083</t>
  </si>
  <si>
    <t>185B0000188</t>
  </si>
  <si>
    <t>خط و خش و قري و كسري هاي ظاهري به رؤيت مشتري مي باشد - ماندگاري بالا و افت مدل - قري درب جلو راست - كسري جعبه و درب داشبورد و دريچه هواكش روي درب موتور - پوسته شدن چراغ هاي جلو - ( ايرادات غيرقابل ريورك مطابق استاندارد كارخانه )</t>
  </si>
  <si>
    <t>شماره بدنه: MJ500083</t>
  </si>
  <si>
    <t>MJ500070</t>
  </si>
  <si>
    <t>185B0000121</t>
  </si>
  <si>
    <t>خط و خش و قري و كسري هاي ظاهري به رؤيت مشتري مي باشد - ماندگاري بالا و افت مدل - كسري جعبه و درب داشبورد ( ايرادات غيرقابل ريورك مطابق استاندارد كارخانه )</t>
  </si>
  <si>
    <t>شماره بدنه: MJ500070</t>
  </si>
  <si>
    <t>شماره جایگاه: 287 (جهت بازدید)</t>
  </si>
  <si>
    <t>MJ500098</t>
  </si>
  <si>
    <t>185B0000200</t>
  </si>
  <si>
    <t>خط و خش و قري و كسري هاي ظاهري به رؤيت مشتري مي باشد - ماندگاري بالا و افت مدل - قري و خش درب عقب راست - كسري درب داشبورد - پوسته شدن چراغ هاي جلو - كسري آنتن ( ايرادات غيرقابل ريورك مطابق استاندارد كارخانه )</t>
  </si>
  <si>
    <t>شماره بدنه: MJ500098</t>
  </si>
  <si>
    <t>MJ500071</t>
  </si>
  <si>
    <t>185B0000124</t>
  </si>
  <si>
    <t>خط و خش و قري و كسري هاي ظاهري به رؤيت مشتري مي باشد - ماندگاري بالا و افت مدل - قري درب جلو چپ - كسري درب داشبورد - پوسته شدن چراغ هاي جلو ( ايرادات غيرقابل ريورك مطابق استاندارد كارخانه )</t>
  </si>
  <si>
    <t>شماره بدنه: MJ500071</t>
  </si>
  <si>
    <t>شماره جایگاه: 319 (جهت بازدید)</t>
  </si>
  <si>
    <t>MJ500080</t>
  </si>
  <si>
    <t>185B0000184</t>
  </si>
  <si>
    <t>خط و خش و قري و كسري هاي ظاهري به رؤيت مشتري مي باشد - ماندگاري بالا و افت مدل - كسري درب داشبورد و درب جعبه فيوز - پوسته شدن چراغ هاي جلو - ( ايرادات غيرقابل ريورك مطابق استاندارد كارخانه )</t>
  </si>
  <si>
    <t>شماره بدنه: MJ500080</t>
  </si>
  <si>
    <t>MJ500093</t>
  </si>
  <si>
    <t>185B0000198</t>
  </si>
  <si>
    <t>خط و خش و قري و كسري هاي ظاهري به رؤيت مشتري مي باشد - ماندگاري بالا و افت مدل - كسري درب داشبورد - پوسته شدن چراغ هاي جلو - كسري قاب دور هواكش هاي روي داشبورد سمت چپ و راست -( ايرادات غيرقابل ريورك مطابق استاندارد كارخانه )</t>
  </si>
  <si>
    <t>شماره بدنه: MJ500093</t>
  </si>
  <si>
    <t>شماره جایگاه: 321 (جهت بازدید)</t>
  </si>
  <si>
    <t>MJ500099</t>
  </si>
  <si>
    <t>185B0000213</t>
  </si>
  <si>
    <t>خط و خش و قري و كسري هاي ظاهري به رؤيت مشتري مي باشد - ماندگاري بالا و افت مدل - كسري درب داشبورد - قري درب عقب چپ - پوسته شدن چراغ هاي جلو - ( ايرادات غيرقابل ريورك مطابق استاندارد كارخانه )</t>
  </si>
  <si>
    <t>شماره بدنه: MJ500099</t>
  </si>
  <si>
    <t>شماره جایگاه: 317 (جهت بازدید)</t>
  </si>
  <si>
    <t>MJ500110</t>
  </si>
  <si>
    <t>185B0000217</t>
  </si>
  <si>
    <t>خط و خش و قري و كسري هاي ظاهري به رؤيت مشتري مي باشد - ماندگاري بالا و افت مدل - ايراد رنگي درب عقب راست - ( ايرادات غيرقابل ريورك مطابق استاندارد كارخانه )</t>
  </si>
  <si>
    <t>شماره بدنه: MJ500110</t>
  </si>
  <si>
    <t>شماره جایگاه: 327 (جهت بازدید)</t>
  </si>
  <si>
    <t>MJ500097</t>
  </si>
  <si>
    <t>185B0000195</t>
  </si>
  <si>
    <t>خط و خش و قري و كسري هاي ظاهري به رؤيت مشتري مي باشد - ماندگاري بالا و افت مدل - كسري درب داشبورد - پوسته شدن چراغ هاي جلو -( ايرادات غيرقابل ريورك مطابق استاندارد كارخانه )</t>
  </si>
  <si>
    <t>شماره بدنه: MJ500097</t>
  </si>
  <si>
    <t>MJ500074</t>
  </si>
  <si>
    <t>185B0000104</t>
  </si>
  <si>
    <t>خط و خش و قري و كسري هاي ظاهري به رؤيت مشتري مي باشد - ماندگاري بالا و افت مدل - قري درب جلو راست - كسري قاب دور آمپر ( ايرادات غيرقابل ريورك مطابق استاندارد كارخانه )</t>
  </si>
  <si>
    <t>شماره بدنه: MJ500074</t>
  </si>
  <si>
    <t>شماره جایگاه: 277 (جهت بازدید)</t>
  </si>
  <si>
    <t>تندر 90 E2 + 2 A/B سفيد شيري پرشين</t>
  </si>
  <si>
    <t>LA402398</t>
  </si>
  <si>
    <t>سفيد شيري پرشين</t>
  </si>
  <si>
    <t>100010280RR260447</t>
  </si>
  <si>
    <t>خط و خش و قري و كسري هاي ظاهري به رؤيت مشتري مي باشد - موتور خودرو استارت مي خورد ولي روشن نمي شود - عدم تست فني خودرو - كسري نمدي درب موتور - تيغه برف پاك كن مستعمل - شكستگي دريچه كولر سمت راننده - كليه چراغ هاي پشت آمپر خاموش مي باشد - كسري قاب بكسل بند جلو - مات بودن چراغ هاي جلو - ماندگاري بالا و افت مدل</t>
  </si>
  <si>
    <t>117-40ي45</t>
  </si>
  <si>
    <t>کد کلاس: 56080</t>
  </si>
  <si>
    <t>شماره بدنه: LA402398</t>
  </si>
  <si>
    <t>شماره جایگاه: 22 (جهت بازدید)</t>
  </si>
  <si>
    <t>NE481072</t>
  </si>
  <si>
    <t>1401/12/16</t>
  </si>
  <si>
    <t>153H0048560</t>
  </si>
  <si>
    <t>خط و خش و قري و كسري هاي ظاهري به رؤيت مشتري مي باشد - خودرو ايراد فني دارد - رنگ پريدگي و خش سپر جلو - قري درب عقب راست - خش گلگير عقب چپ و دربهاي چپ و درب جلو چپ رنگ پريدگي دارد - رنگ پريدگي لبه درب موتور - تيغه برف پاك كن و لاستيكها مستعمل</t>
  </si>
  <si>
    <t>116-34ي47</t>
  </si>
  <si>
    <t>شماره بدنه: NE481072</t>
  </si>
  <si>
    <t>MJ500108</t>
  </si>
  <si>
    <t>185B0000218</t>
  </si>
  <si>
    <t>خط و خش و قري و كسري هاي ظاهري به رؤيت مشتري مي باشد - ماندگاري بالا و افت مدل - كسري درب داشبورد - قري درب جلو راست ( ايرادات غيرقابل ريورك مطابق استاندارد كارخانه )</t>
  </si>
  <si>
    <t>شماره بدنه: MJ500108</t>
  </si>
  <si>
    <t>شماره جایگاه: 455 (جهت بازدید)</t>
  </si>
  <si>
    <t>MJ500089</t>
  </si>
  <si>
    <t>185B0000204</t>
  </si>
  <si>
    <t>خط و خش و قري و كسري هاي ظاهري به رؤيت مشتري مي باشد - ماندگاري بالا و افت مدل - سائيدگي گلگير و سپر جلو ( ايرادات غيرقابل ريورك مطابق استاندارد كارخانه )</t>
  </si>
  <si>
    <t>شماره بدنه: MJ500089</t>
  </si>
  <si>
    <t>شماره جایگاه: 451 (جهت بازدید)</t>
  </si>
  <si>
    <t>NE579197</t>
  </si>
  <si>
    <t>153H0080016</t>
  </si>
  <si>
    <t>خط و خش و قري و كسري هاي ظاهري به رؤيت مشتري مي باشد - تصادفي بودن درب عقب و گلگير عقب راست - ايراد رنگي درب موتور و سقف - دفرمگي قاب پشت فرمان - ( ايرادات غير قابل ريورك مطابق استاندارد كارخانه )</t>
  </si>
  <si>
    <t>شماره بدنه: NE579197</t>
  </si>
  <si>
    <t>شماره جایگاه: 376 (جهت بازدید)</t>
  </si>
  <si>
    <t>MJ500113</t>
  </si>
  <si>
    <t>185B0000216</t>
  </si>
  <si>
    <t>خط و خش و قري و كسري هاي ظاهري به رؤيت مشتري مي باشد - ماندگاري بالا و افت مدل - كسري درب داشبورد ( ايرادات غيرقابل ريورك مطابق استاندارد كارخانه )</t>
  </si>
  <si>
    <t>شماره بدنه: MJ500113</t>
  </si>
  <si>
    <t>MJ500087</t>
  </si>
  <si>
    <t>185B0000201</t>
  </si>
  <si>
    <t>شماره بدنه: MJ500087</t>
  </si>
  <si>
    <t>شماره جایگاه: 448 (جهت بازدید)</t>
  </si>
  <si>
    <t>MJ500105</t>
  </si>
  <si>
    <t>185B0000151</t>
  </si>
  <si>
    <t>شماره بدنه: MJ500105</t>
  </si>
  <si>
    <t>MJ500088</t>
  </si>
  <si>
    <t>185B0000189</t>
  </si>
  <si>
    <t>شماره بدنه: MJ500088</t>
  </si>
  <si>
    <t>شماره جایگاه: 329 (جهت بازدید)</t>
  </si>
  <si>
    <t>MJ500103</t>
  </si>
  <si>
    <t>185B0000148</t>
  </si>
  <si>
    <t>شماره بدنه: MJ500103</t>
  </si>
  <si>
    <t>شماره جایگاه: 313 (جهت بازدید)</t>
  </si>
  <si>
    <t>MJ500086</t>
  </si>
  <si>
    <t>185B0000122</t>
  </si>
  <si>
    <t>شماره بدنه: MJ500086</t>
  </si>
  <si>
    <t>MJ500064</t>
  </si>
  <si>
    <t>185B0000126</t>
  </si>
  <si>
    <t>شماره بدنه: MJ500064</t>
  </si>
  <si>
    <t>شماره جایگاه: 322 (جهت بازدید)</t>
  </si>
  <si>
    <t>MJ500100</t>
  </si>
  <si>
    <t>185B0000152</t>
  </si>
  <si>
    <t>خط و خش و قري و كسري هاي ظاهري به رؤيت مشتري مي باشد - ماندگاري بالا و افت مدل - قري درب جلو چپ ( ايرادات غيرقابل ريورك مطابق استاندارد كارخانه )</t>
  </si>
  <si>
    <t>شماره بدنه: MJ500100</t>
  </si>
  <si>
    <t>شماره جایگاه: 275 (جهت بازدید)</t>
  </si>
  <si>
    <t>MJ500065</t>
  </si>
  <si>
    <t>185B0000101</t>
  </si>
  <si>
    <t>خط و خش و قري و كسري هاي ظاهري به رؤيت مشتري مي باشد - ماندگاري بالا و افت مدل - قري درب جلو راست - كسري درب داشبورد ( ايرادات غيرقابل ريورك مطابق استاندارد كارخانه )</t>
  </si>
  <si>
    <t>شماره بدنه: MJ500065</t>
  </si>
  <si>
    <t>MJ500077</t>
  </si>
  <si>
    <t>185B0000181</t>
  </si>
  <si>
    <t>خط و خش و قري و كسري هاي ظاهري به رؤيت مشتري مي باشد - ماندگاري بالا و افت مدل - كسري درب داشبورد - ترك پك آچار و جك ( ايرادات غيرقابل ريورك مطابق استاندارد كارخانه )</t>
  </si>
  <si>
    <t>شماره بدنه: MJ500077</t>
  </si>
  <si>
    <t>شماره جایگاه: 315 (جهت بازدید)</t>
  </si>
  <si>
    <t>MJ500091</t>
  </si>
  <si>
    <t>185B0000185</t>
  </si>
  <si>
    <t>شماره بدنه: MJ500091</t>
  </si>
  <si>
    <t>شماره جایگاه: 456 (جهت بازدید)</t>
  </si>
  <si>
    <t>MJ500068</t>
  </si>
  <si>
    <t>185B0000120</t>
  </si>
  <si>
    <t>شماره بدنه: MJ500068</t>
  </si>
  <si>
    <t>شماره جایگاه: 457 (جهت بازدید)</t>
  </si>
  <si>
    <t>MJ500073</t>
  </si>
  <si>
    <t>185B0000102</t>
  </si>
  <si>
    <t>شماره بدنه: MJ500073</t>
  </si>
  <si>
    <t>MJ500079</t>
  </si>
  <si>
    <t>185B0000202</t>
  </si>
  <si>
    <t>شماره بدنه: MJ500079</t>
  </si>
  <si>
    <t>MJ500096</t>
  </si>
  <si>
    <t>185B0000212</t>
  </si>
  <si>
    <t>خط و خش و قري و كسري هاي ظاهري به رؤيت مشتري مي باشد - ماندگاري بالا و افت مدل - كسري درب داشبورد و فندك - ( ايرادات غيرقابل ريورك مطابق استاندارد كارخانه )</t>
  </si>
  <si>
    <t>شماره بدنه: MJ500096</t>
  </si>
  <si>
    <t>شماره جایگاه: 458 (جهت بازدید)</t>
  </si>
  <si>
    <t>NE565781</t>
  </si>
  <si>
    <t>153H0064764</t>
  </si>
  <si>
    <t>خط و خش و قري و كسري هاي ظاهري به رؤيت مشتري مي باشد - تصادفي بودن سرشاسي و گلگير جلو چپ و جابجايي اكسل جلو چپ و مجموعه چرخ جلو و شكستگي سيني زير موتور - كسري درب باك فلزي و قاب روي موتور و درپوش كولر و بست باطري منفي و قاب روي كابل مثبت و مجموعه كامل كليدهاي سقف و سانروف - رنگ پريدگي لبه درب جلو چپ - سائيدگي سپر جلو - رنگ پريدگي درب عقب راست - خوردگي ركاب راست و چپ - كسري دو عدد سوئيچ - خوردگي رينگ چرخ جلو چپ - كسري شبرنگ - ( ايرادات غير قابل ريورك مطابق استاندارد كارخانه )</t>
  </si>
  <si>
    <t>شماره بدنه: NE565781</t>
  </si>
  <si>
    <t>MJ500109</t>
  </si>
  <si>
    <t>185B0000214</t>
  </si>
  <si>
    <t>شماره بدنه: MJ500109</t>
  </si>
  <si>
    <t>شماره جایگاه: 452 (جهت بازدید)</t>
  </si>
  <si>
    <t>MJ500082</t>
  </si>
  <si>
    <t>185B0000177</t>
  </si>
  <si>
    <t>شماره بدنه: MJ500082</t>
  </si>
  <si>
    <t>شماره جایگاه: 286 (جهت بازدید)</t>
  </si>
  <si>
    <t>MJ500076</t>
  </si>
  <si>
    <t>185B0000176</t>
  </si>
  <si>
    <t>خط و خش و قري و كسري هاي ظاهري به رؤيت مشتري مي باشد - ماندگاري بالا و افت مدل - كسري جعبه فيوز و درب داشبورد ( ايرادات غيرقابل ريورك مطابق استاندارد كارخانه )</t>
  </si>
  <si>
    <t>شماره بدنه: MJ500076</t>
  </si>
  <si>
    <t>شماره جایگاه: 414 (جهت بازدید)</t>
  </si>
  <si>
    <t>MJ500095</t>
  </si>
  <si>
    <t>185B0000208</t>
  </si>
  <si>
    <t>خط و خش و قري و كسري هاي ظاهري به رؤيت مشتري مي باشد - ماندگاري بالا و افت مدل - ( ايرادات غيرقابل ريورك مطابق استاندارد كارخانه )</t>
  </si>
  <si>
    <t>شماره بدنه: MJ500095</t>
  </si>
  <si>
    <t>MJ500101</t>
  </si>
  <si>
    <t>185B0000153</t>
  </si>
  <si>
    <t>خط و خش و قري و كسري هاي ظاهري به رؤيت مشتري مي باشد - ماندگاري بالا و افت مدل - كسري درب داشبورد - خرابي آبكاري آرم جلو پنجره ( ايرادات غيرقابل ريورك مطابق استاندارد كارخانه )</t>
  </si>
  <si>
    <t>شماره بدنه: MJ500101</t>
  </si>
  <si>
    <t>MJ500106</t>
  </si>
  <si>
    <t>185B0000150</t>
  </si>
  <si>
    <t>شماره بدنه: MJ500106</t>
  </si>
  <si>
    <t>شماره جایگاه: 326 (جهت بازدید)</t>
  </si>
  <si>
    <t>MJ500069</t>
  </si>
  <si>
    <t>185B0000109</t>
  </si>
  <si>
    <t>خط و خش و قري و كسري هاي ظاهري به رؤيت مشتري مي باشد - ماندگاري بالا و افت مدل - پوسته شدن چراغ هاي جلو ( ايرادات غيرقابل ريورك مطابق استاندارد كارخانه )</t>
  </si>
  <si>
    <t>شماره بدنه: MJ500069</t>
  </si>
  <si>
    <t>شماره جایگاه: 449 (جهت بازدید)</t>
  </si>
  <si>
    <t>MJ500085</t>
  </si>
  <si>
    <t>185B0000205</t>
  </si>
  <si>
    <t>شماره بدنه: MJ500085</t>
  </si>
  <si>
    <t>MJ500092</t>
  </si>
  <si>
    <t>185B0000211</t>
  </si>
  <si>
    <t>شماره بدنه: MJ500092</t>
  </si>
  <si>
    <t>شماره جایگاه: 415 (جهت بازدید)</t>
  </si>
  <si>
    <t>MJ500075</t>
  </si>
  <si>
    <t>185B0000119</t>
  </si>
  <si>
    <t>شماره بدنه: MJ500075</t>
  </si>
  <si>
    <t>NE567988</t>
  </si>
  <si>
    <t>1402/04/18</t>
  </si>
  <si>
    <t>153H0068052</t>
  </si>
  <si>
    <t>خط و خش و قري و كسري هاي ظاهري به رؤيت مشتري مي باشد - ايراد رنگي بدنه دارد ( آثار وجود گرده رنگ روي سطوح بدنه ) - خش سپر عقب - تيغه برف پاك كن مستعمل - لاستيك ها كار كرده</t>
  </si>
  <si>
    <t>671-62ط75</t>
  </si>
  <si>
    <t>شماره بدنه: NE567988</t>
  </si>
  <si>
    <t>NH416315</t>
  </si>
  <si>
    <t>164B0297259</t>
  </si>
  <si>
    <t>خط و خش و قري و كسري هاي ظاهري به رؤيت مشتري مي باشد - آچارخوردگي پيچ هاي درب موتور و گلگيرهاي جلو ( تعويضي كارخانه ) - شكستگي مجموعه فن و سيني فن و چراغ جلو راست و مه شكن جلو راست - تصادفي بودن جلو خودرو و درب موتور و سپر جلو و چراغ جلو راست و مه شكن راست و گلگيرهاي جلو - قري درب عقب راست - قري و رنگ پريدگي درب جلو راست - شكستگي قاب روي سرسيلندر - خوردگي درب جلو چپ و درب صندوق و سپر عقب و درب عقب راست و درب جلو راست - كسري ابرويي هاي جلو و زه روي سپر جلو - خراب بودن دكمه تنظيم صندلي راننده - شكستگي قالپاق سوپاپ و قاب دور دكمه تنظيم صندلي راننده - كسري اهرم تنظيم صندلي راننده - خودرو جوش آورده و آمپر بالا ميباشد و چراغ استپ روشن مي باشد - كيلومتر خراب مي باشد و كاركرد واقعي نيست - آسيب ديدگي شاسي در قسمت جلو خودرو - كسري گيج روغن - شكستگي جلو پنجره - لاستيكها كاركرده - موكت صندوق مستعمل - ( ايرادات غيرقابل ريورك مطابق استاندارد كارخانه )</t>
  </si>
  <si>
    <t>شماره بدنه: NH416315</t>
  </si>
  <si>
    <t>شماره جایگاه: 431 (جهت بازدید)</t>
  </si>
  <si>
    <t>NE562571</t>
  </si>
  <si>
    <t>1402/02/29</t>
  </si>
  <si>
    <t>153H0062809</t>
  </si>
  <si>
    <t>خط و خش و قري و كسري هاي ظاهري به رؤيت مشتري مي باشد - كسري درپوش گاز كولر - عدم عملكرد فن خنك كننده موتور - بالا رفتن دماي آب - ايراد فني موتوري دارد - كسري يك عدد سوئيچ - لاستيكها و زيرپايي ها كاركرده</t>
  </si>
  <si>
    <t>258-40ن89</t>
  </si>
  <si>
    <t>شماره بدنه: NE562571</t>
  </si>
  <si>
    <t>NJ240820</t>
  </si>
  <si>
    <t>185B0000257</t>
  </si>
  <si>
    <t>خط و خش و قري و كسري هاي ظاهري به رؤيت مشتري مي باشد - ايراد رنگي سقف - تصادفي بودن درب جلو راست و چپ - كسري درب جعبه فيوز ( ايرادات غيرقابل ريورك مطابق استاندارد كارخانه )</t>
  </si>
  <si>
    <t>شماره بدنه: NJ240820</t>
  </si>
  <si>
    <t>NJ240963</t>
  </si>
  <si>
    <t>185B0000847</t>
  </si>
  <si>
    <t>خط و خش و قري و كسري هاي ظاهري به رؤيت مشتري مي باشد - ايراد رنگي سقف - خوردگي درب عقب چپ - ايراد رنگي درب جلو و گلگير جلو راست - جابجايي زاپاس با چرخ جلو چپ ( كاركرده و پنچر ) - خوردگي درب عقب راست ( ايرادات غيرقابل ريورك مطابق استاندارد كارخانه )</t>
  </si>
  <si>
    <t>شماره بدنه: NJ240963</t>
  </si>
  <si>
    <t>MH688847</t>
  </si>
  <si>
    <t>139B0244056</t>
  </si>
  <si>
    <t>خط و خش و قري و كسري هاي ظاهري به رؤيت مشتري ميباشد - ماندگاري بالا و افت مدل - شكستگي آينه ها - چراغ چك روشن - قري درب عقب چپ - شكستگي سپر جلو - قري درب جلو راست - پارگي سپر عقب - خراشيدگي بكس بند جلو - خودرو تحت تست بوده است - ( ايرادات غير قابل ريورك مطابق استاندارد كارخانه )</t>
  </si>
  <si>
    <t>شماره بدنه: MH688847</t>
  </si>
  <si>
    <t>NE565770</t>
  </si>
  <si>
    <t>153H0064781</t>
  </si>
  <si>
    <t>خط و خش و قري و كسري هاي ظاهري به رؤيت مشتري مي باشد - خودرو ايراد رنگي بدنه دارد</t>
  </si>
  <si>
    <t>872-83ص12</t>
  </si>
  <si>
    <t>شماره بدنه: NE565770</t>
  </si>
  <si>
    <t>NJ240608</t>
  </si>
  <si>
    <t>185B0000736</t>
  </si>
  <si>
    <t>خط و خش و قري و كسري هاي ظاهري به رؤيت مشتري مي باشد - تصادفي بودن گلگير عقب چپ - قري درب جلو راست - پوسته شدن چراغ هاي جلو - كسري فندك ( ايرادات غيرقابل ريورك مطابق استاندارد كارخانه )</t>
  </si>
  <si>
    <t>شماره بدنه: NJ240608</t>
  </si>
  <si>
    <t>NE576890</t>
  </si>
  <si>
    <t>153H0078011</t>
  </si>
  <si>
    <t>خط و خش و قري و كسري هاي ظاهري به رؤيت مشتري مي باشد - تصادفي بودن درب صندوق و گلگير عقب راست و چراغ خطر عقب راست و درب عقب راست و اثر ضربه و قري ركاب راست - سائيدگي سپر عقب - كسري دستگيره موكت صندوق - ( ايرادات غيرقابل ريورك مطابق استاندارد كارخانه )</t>
  </si>
  <si>
    <t>شماره بدنه: NE576890</t>
  </si>
  <si>
    <t>شماره جایگاه: 380 (جهت بازدید)</t>
  </si>
  <si>
    <t>NE576352</t>
  </si>
  <si>
    <t>153H0076643</t>
  </si>
  <si>
    <t>خط و خش و قري و كسري هاي ظاهري به رؤيت مشتري مي باشد - تصادفي بودن سپر عقب - اثر ضربه و دفرمگي كف صندوق و بسته نشدن درب صندوق - كسري دستگيره موكت صندوق - رنگ شدگي پيچ هاي درب موتور و گلگيرهاي جلو ( تعويضي كارخانه ) - خوردگي كف صندوق - ( ايرادات غير قابل ريورك مطابق استاندارد كارخانه )</t>
  </si>
  <si>
    <t>شماره بدنه: NE576352</t>
  </si>
  <si>
    <t>شماره جایگاه: 378 (جهت بازدید)</t>
  </si>
  <si>
    <t>NJ240815</t>
  </si>
  <si>
    <t>185B0001038</t>
  </si>
  <si>
    <t>خط و خش و قري و كسري هاي ظاهري به رؤيت مشتري مي باشد - تصادفي بودن گلگير عقب راست - ايراد رنگي درب جلو راست ( ايرادات غيرقابل ريورك مطابق استاندارد كارخانه )</t>
  </si>
  <si>
    <t>شماره بدنه: NJ240815</t>
  </si>
  <si>
    <t>شماره جایگاه: 296 (جهت بازدید)</t>
  </si>
  <si>
    <t>NE567943</t>
  </si>
  <si>
    <t>153H0068197</t>
  </si>
  <si>
    <t>خط و خش و قري و كسري هاي ظاهري به رؤيت مشتري مي باشد - رنگ پريدگي نقاطي از بدنه - ايراد رنگي درب موتور - قري درب صندوق - كسري قاب آينه جلو راست - ( ايرادات غير قابل ريورك مطابق استاندارد كارخانه )</t>
  </si>
  <si>
    <t>شماره بدنه: NE567943</t>
  </si>
  <si>
    <t>شماره جایگاه: 372 (جهت بازدید)</t>
  </si>
  <si>
    <t>NE575807</t>
  </si>
  <si>
    <t>153H0076376</t>
  </si>
  <si>
    <t>خط و خش و قري و كسري هاي ظاهري به رؤيت مشتري مي باشد - تصادفي بودن گلگير عقب و درب عقب راست - آچارخوردگي پيچ هاي درب موتور ( تعويضي كارخانه ) - ايراد رنگي سقف و كلاف درب جلو راست و درب صندوق و درب موتور - خط روي محل نصب پلاك عقب - ( ايرادات غير قابل ريورك مطابق استاندارد كارخانه )</t>
  </si>
  <si>
    <t>شماره بدنه: NE575807</t>
  </si>
  <si>
    <t>شماره جایگاه: 377 (جهت بازدید)</t>
  </si>
  <si>
    <t>NJ240260</t>
  </si>
  <si>
    <t>185B0000814</t>
  </si>
  <si>
    <t>خط و خش و قري و كسري هاي ظاهري به رؤيت مشتري مي باشد - رنگ پريدگي نقاط مختلف بدنه - باطري دشارژ - چراغ هاي پشت آمپر روشن مي باشد - قري درب جلو راست - كولر باد گرم مي دهد ( ايرادات غيرقابل ريورك مطابق استاندارد كارخانه )</t>
  </si>
  <si>
    <t>شماره بدنه: NJ240260</t>
  </si>
  <si>
    <t>شماره جایگاه: 461 (جهت بازدید)</t>
  </si>
  <si>
    <t>NJ240205</t>
  </si>
  <si>
    <t>185B0000634</t>
  </si>
  <si>
    <t>خط و خش و قري و كسري هاي ظاهري به رؤيت مشتري مي باشد - اثر ضربه و قري سقف ( ايرادات غيرقابل ريورك مطابق استاندارد كارخانه )</t>
  </si>
  <si>
    <t>شماره بدنه: NJ240205</t>
  </si>
  <si>
    <t>NJ241720</t>
  </si>
  <si>
    <t>185B0002066</t>
  </si>
  <si>
    <t>خط و خش و قري و كسري هاي ظاهري به رؤيت مشتري مي باشد - رنگ پريدگي نقاط مختلف بدنه - كليدهاي روي كنسول همگي قطع مي باشد - خراب بودن شيشه بالابرهاي جلو و عقب - كسري آنتن ( ايرادات غيرقابل ريورك مطابق استاندارد كارخانه )</t>
  </si>
  <si>
    <t>شماره بدنه: NJ241720</t>
  </si>
  <si>
    <t>شماره جایگاه: 285 (جهت بازدید)</t>
  </si>
  <si>
    <t>NJ241172</t>
  </si>
  <si>
    <t>185B0001614</t>
  </si>
  <si>
    <t>خط و خش و قري و كسري هاي ظاهري به رؤيت مشتري مي باشد - ايراد رنگي بدنه در قسمت سقف و درب موتور - كسري آنتن ( ايرادات غيرقابل ريورك مطابق استاندارد كارخانه )</t>
  </si>
  <si>
    <t>شماره بدنه: NJ241172</t>
  </si>
  <si>
    <t>شماره جایگاه: 413 (جهت بازدید)</t>
  </si>
  <si>
    <t>NJ240277</t>
  </si>
  <si>
    <t>185B0000653</t>
  </si>
  <si>
    <t>خط و خش و قري و كسري هاي ظاهري به رؤيت مشتري مي باشد - ايراد رنگي سقف ( ايرادات غيرقابل ريورك مطابق استاندارد كارخانه )</t>
  </si>
  <si>
    <t>شماره بدنه: NJ240277</t>
  </si>
  <si>
    <t>شماره جایگاه: 289 (جهت بازدید)</t>
  </si>
  <si>
    <t>NJ242005</t>
  </si>
  <si>
    <t>185B0001964</t>
  </si>
  <si>
    <t>خط و خش و قري و كسري هاي ظاهري به رؤيت مشتري مي باشد - ايراد رنگي درب موتور و سپر جلو - كسري ناخني درب عقب راست و آنتن ( ايرادات غيرقابل ريورك مطابق استاندارد كارخانه )</t>
  </si>
  <si>
    <t>شماره بدنه: NJ242005</t>
  </si>
  <si>
    <t>NH872281</t>
  </si>
  <si>
    <t>139B0277681</t>
  </si>
  <si>
    <t>خط و خش و قري و كسري هاي ظاهري به رؤيت مشتري ميباشد - شكستگي چراغ عقب چپ - قري درب عقب چپ - تصادف خودرو از عقب - شكستگي سپر عقب - خوردگي گلگير عقب و جلو چپ - آچارخوردگي پيچ هاي درب موتور و گلگير جلو چپ و درب صندوق ( تعويضي كارخانه ) - چراغ چك روشن - خوردگي درب عقب چپ و پليت عقب و زير چراغ عقب - بسته نشدن درب صندوق - خوردگي زير درب جلو راست - قري دربها و گلگيرهاي چپ - آسيب ديدگي محور عرضي شاسي عقب چپ زير سپر عقب - تعويضي بودن درب صندوق - قري درب موتور - ( ايرادات غير قابل ريورك مطابق استاندارد كارخانه )</t>
  </si>
  <si>
    <t>شماره بدنه: NH872281</t>
  </si>
  <si>
    <t>NH867707</t>
  </si>
  <si>
    <t>139B0273499</t>
  </si>
  <si>
    <t>خط و خش و قري و كسري هاي ظاهري به رؤيت مشتري مي باشد - تصادفي بودن سپر جلو و گلگير جلو چپ - عدم چسبندگي زه دربها - خوردگي درب جلو راست و گلگير جلو راست و درب عقب راست - قري نوار زير صندوق - شكستگي درب باك - آچارخوردگي پيچ هاي درب موتور و درب صندوق و گلگيرهاي جلو ( تعويضي كارخانه ) - خوردگي سپر عقب و درب صندوق و پليت عقب - خوردگي درب جلو چپ - كسري يك عدد سوئيچ - زيرپايي ها مستعمل - خش آينه هاي جانبي - لاستيكها مستعمل - ( ايرادات غيرقابل ريورك مطابق استاندارد كارخانه )</t>
  </si>
  <si>
    <t>شماره بدنه: NH867707</t>
  </si>
  <si>
    <t>NJ240929</t>
  </si>
  <si>
    <t>185B0000759</t>
  </si>
  <si>
    <t>خط و خش و قري و كسري هاي ظاهري به رؤيت مشتري مي باشد - ايراد رنگي سقف و درب موتور - خش گلگير جلو راست - قري درب جلو راست - ( ايرادات غيرقابل ريورك مطابق استاندارد كارخانه )</t>
  </si>
  <si>
    <t>شماره بدنه: NJ240929</t>
  </si>
  <si>
    <t>شماره جایگاه: 314 (جهت بازدید)</t>
  </si>
  <si>
    <t>NJ240933</t>
  </si>
  <si>
    <t>185B0001049</t>
  </si>
  <si>
    <t>خط و خش و قري و كسري هاي ظاهري به رؤيت مشتري مي باشد - ايراد رنگي سقف - قري درب جلو راست و چپ ( ايرادات غيرقابل ريورك مطابق استاندارد كارخانه )</t>
  </si>
  <si>
    <t>شماره بدنه: NJ240933</t>
  </si>
  <si>
    <t>NJ242660</t>
  </si>
  <si>
    <t>185B0003092</t>
  </si>
  <si>
    <t>خط و خش و قري و كسري هاي ظاهري به رؤيت مشتري مي باشد - ايراد رنگي سقف و درب موتور - قري درب جلو راست و چپ ( ايرادات غيرقابل ريورك مطابق استاندارد كارخانه )</t>
  </si>
  <si>
    <t>شماره بدنه: NJ242660</t>
  </si>
  <si>
    <t>شماره جایگاه: 290 (جهت بازدید)</t>
  </si>
  <si>
    <t>NJ242420</t>
  </si>
  <si>
    <t>185B0002834</t>
  </si>
  <si>
    <t>خط و خش و قري و كسري هاي ظاهري به رؤيت مشتري مي باشد - ماندگاري بالا و افت مدل - رنگ پريدگي نقاط مختلف بدنه - خش گلگير عقب چپ - كسري زبانه درب موتور ( ايرادات غيرقابل ريورك مطابق استاندارد كارخانه )</t>
  </si>
  <si>
    <t>شماره بدنه: NJ242420</t>
  </si>
  <si>
    <t>NJ240728</t>
  </si>
  <si>
    <t>185B0001264</t>
  </si>
  <si>
    <t>خط و خش و قري و كسري هاي ظاهري به رؤيت مشتري مي باشد - ايراد رنگي سقف و درب عقب چپ - قري درب جلو راست و چپ ( ايرادات غيرقابل ريورك مطابق استاندارد كارخانه )</t>
  </si>
  <si>
    <t>شماره بدنه: NJ240728</t>
  </si>
  <si>
    <t>شماره جایگاه: 454 (جهت بازدید)</t>
  </si>
  <si>
    <t>NE571161</t>
  </si>
  <si>
    <t>153H0072920</t>
  </si>
  <si>
    <t>خط و خش و قري و كسري هاي ظاهري به رؤيت مشتري مي باشد - تعويضي بودن درب جلو راست و چپ ( ايراد رنگي دارد ) - شكستگي دريچه كولر - ( ايرادات غير قابل ريورك مطابق استاندارد كارخانه )</t>
  </si>
  <si>
    <t>شماره بدنه: NE571161</t>
  </si>
  <si>
    <t>شماره جایگاه: 379 (جهت بازدید)</t>
  </si>
  <si>
    <t>NJ243179</t>
  </si>
  <si>
    <t>185B0003423</t>
  </si>
  <si>
    <t>خط و خش و قري و كسري هاي ظاهري به رؤيت مشتري مي باشد - اثر ضربه و قري سقف - كسري قاب دور دستگيره درب جلو چپ و درب جعبه فيوز و كليدهاي شيشه بالابرهاي جلو و عقب و فندك و آنتن ( ايرادات غيرقابل ريورك مطابق استاندارد كارخانه )</t>
  </si>
  <si>
    <t>شماره بدنه: NJ243179</t>
  </si>
  <si>
    <t>NJ243197</t>
  </si>
  <si>
    <t>185B0003659</t>
  </si>
  <si>
    <t>خط و خش و قري و كسري هاي ظاهري به رؤيت مشتري مي باشد - قري سقف - ايراد رنگي گلگير جلو راست - خش سپر جلو ( ايرادات غيرقابل ريورك مطابق استاندارد كارخانه )</t>
  </si>
  <si>
    <t>شماره بدنه: NJ243197</t>
  </si>
  <si>
    <t>شماره جایگاه: 288 (جهت بازدید)</t>
  </si>
  <si>
    <t>NJ240866</t>
  </si>
  <si>
    <t>185B0001540</t>
  </si>
  <si>
    <t>خط و خش و قري و كسري هاي ظاهري به رؤيت مشتري مي باشد - ايراد رنگي سقف - قري درب جلو راست ( ايرادات غيرقابل ريورك مطابق استاندارد كارخانه )</t>
  </si>
  <si>
    <t>شماره بدنه: NJ240866</t>
  </si>
  <si>
    <t>شماره جایگاه: 453 (جهت بازدید)</t>
  </si>
  <si>
    <t>NJ241739</t>
  </si>
  <si>
    <t>185B0002075</t>
  </si>
  <si>
    <t>خط و خش و قري و كسري هاي ظاهري به رؤيت مشتري مي باشد - رنگ پريدگي نقاط مختلف بدنه -( ايرادات غيرقابل ريورك مطابق استاندارد كارخانه )</t>
  </si>
  <si>
    <t>شماره بدنه: NJ241739</t>
  </si>
  <si>
    <t>شماره جایگاه: 279 (جهت بازدید)</t>
  </si>
  <si>
    <t>NJ242475</t>
  </si>
  <si>
    <t>185B0002932</t>
  </si>
  <si>
    <t>خط و خش و قري و كسري هاي ظاهري به رؤيت مشتري مي باشد - رنگ پريدگي نقاط مختلف بدنه - كسري سردنده و فندك ( ايرادات غيرقابل ريورك مطابق استاندارد كارخانه )</t>
  </si>
  <si>
    <t>شماره بدنه: NJ242475</t>
  </si>
  <si>
    <t>NJ241034</t>
  </si>
  <si>
    <t>185B0001484</t>
  </si>
  <si>
    <t>خط و خش و قري و كسري هاي ظاهري به رؤيت مشتري مي باشد - ايراد رنگي سقف - سائيدگي سپر جلو - ( ايرادات غيرقابل ريورك مطابق استاندارد كارخانه )</t>
  </si>
  <si>
    <t>شماره بدنه: NJ241034</t>
  </si>
  <si>
    <t>NJ242880</t>
  </si>
  <si>
    <t>185B0003220</t>
  </si>
  <si>
    <t>شماره بدنه: NJ242880</t>
  </si>
  <si>
    <t>NJ241638</t>
  </si>
  <si>
    <t>185B0002059</t>
  </si>
  <si>
    <t>خط و خش و قري و كسري هاي ظاهري به رؤيت مشتري مي باشد - ايراد رنگي سقف - قري درب جلو راست - كسري درب داشبورد ( ايرادات غيرقابل ريورك مطابق استاندارد كارخانه )</t>
  </si>
  <si>
    <t>شماره بدنه: NJ241638</t>
  </si>
  <si>
    <t>شماره جایگاه: 316 (جهت بازدید)</t>
  </si>
  <si>
    <t>NJ241832</t>
  </si>
  <si>
    <t>185B0002239</t>
  </si>
  <si>
    <t>خط و خش و قري و كسري هاي ظاهري به رؤيت مشتري مي باشد - ايراد رنگي سقف و درب جلو راست ( ايرادات غيرقابل ريورك مطابق استاندارد كارخانه )</t>
  </si>
  <si>
    <t>شماره بدنه: NJ241832</t>
  </si>
  <si>
    <t>NJ243075</t>
  </si>
  <si>
    <t>185B0003358</t>
  </si>
  <si>
    <t>خط و خش و قري و كسري هاي ظاهري به رؤيت مشتري مي باشد - رنگ پريدگي نقاط مختلف بدنه ( ايرادات غيرقابل ريورك مطابق استاندارد كارخانه )</t>
  </si>
  <si>
    <t>شماره بدنه: NJ243075</t>
  </si>
  <si>
    <t>NK697436</t>
  </si>
  <si>
    <t>139B0299426</t>
  </si>
  <si>
    <t>خط و خش و قري و كسري هاي ظاهري به رؤيت مشتري مي باشد - تصادف گلگير عقب چپ - كسري شبرنگ و كوركن روي داشبورد - ( ايرادات غير قابل ريورك مطابق استاندارد كارخانه )</t>
  </si>
  <si>
    <t>شماره بدنه: NK697436</t>
  </si>
  <si>
    <t>NJ246454</t>
  </si>
  <si>
    <t>191B0000154</t>
  </si>
  <si>
    <t>خط و خش و قري و كسري هاي ظاهري به رؤيت مشتري مي باشد - تصادفي بودن سرشاسي هاي جلو و گلگيرهاي جلو و درب جلو راست و اكسل جلو و مجموعه چرخ جلو و شكستگي سيني زير موتور و چراغ جلو و سپر جلو - رنگ پريدگي ستون جلو چپ و راست - سائيدگي آينه چپ - رنگ پريدگي لبه درب جلو چپ - شكستگي مه شكن جلو راست - خوردگي ركاب راست - شكستگي شل گيرهاي چرخ هاي جلو - خوردگي درب موتور و سيني زير موتور - شكستگي جلو پنجره - سائيدگي آينه چپ - كسري آنتن ( ايرادات غير قابل ريورك مطابق استاندارد كارخانه )</t>
  </si>
  <si>
    <t>شماره بدنه: NJ246454</t>
  </si>
  <si>
    <t>NJ240960</t>
  </si>
  <si>
    <t>185B0000772</t>
  </si>
  <si>
    <t>خط و خش و قري و كسري هاي ظاهري به رؤيت مشتري مي باشد - ايراد رنگي سقف - كسري فندك و آنتن - ( ايرادات غيرقابل ريورك مطابق استاندارد كارخانه )</t>
  </si>
  <si>
    <t>شماره بدنه: NJ240960</t>
  </si>
  <si>
    <t>شماره جایگاه: 323 (جهت بازدید)</t>
  </si>
  <si>
    <t>NJ242592</t>
  </si>
  <si>
    <t>185B0003260</t>
  </si>
  <si>
    <t>خط و خش و قري و كسري هاي ظاهري به رؤيت مشتري مي باشد - ايراد رنگي سقف - كسري درب داشبورد - ( ايرادات غيرقابل ريورك مطابق استاندارد كارخانه )</t>
  </si>
  <si>
    <t>شماره بدنه: NJ242592</t>
  </si>
  <si>
    <t>شماره جایگاه: 318 (جهت بازدید)</t>
  </si>
  <si>
    <t>NJ242894</t>
  </si>
  <si>
    <t>185B0003131</t>
  </si>
  <si>
    <t>خط و خش و قري و كسري هاي ظاهري به رؤيت مشتري مي باشد - ايراد رنگي سقف - ( ايرادات غيرقابل ريورك مطابق استاندارد كارخانه )</t>
  </si>
  <si>
    <t>شماره بدنه: NJ242894</t>
  </si>
  <si>
    <t>شماره جایگاه: 330 (جهت بازدید)</t>
  </si>
  <si>
    <t>NJ240463</t>
  </si>
  <si>
    <t>185B0000978</t>
  </si>
  <si>
    <t>خط و خش و قري و كسري هاي ظاهري به رؤيت مشتري مي باشد - ايراد رنگي سقف و درب موتور و نواحي مختلف بدنه - قري درب جلو راست - ( ايرادات غيرقابل ريورك مطابق استاندارد كارخانه )</t>
  </si>
  <si>
    <t>شماره بدنه: NJ240463</t>
  </si>
  <si>
    <t>NJ241835</t>
  </si>
  <si>
    <t>185B0002238</t>
  </si>
  <si>
    <t>خط و خش و قري و كسري هاي ظاهري به رؤيت مشتري مي باشد - ايراد رنگي سقف و درب موتور - قري درب جلو راست - ( ايرادات غيرقابل ريورك مطابق استاندارد كارخانه )</t>
  </si>
  <si>
    <t>شماره بدنه: NJ241835</t>
  </si>
  <si>
    <t>شماره جایگاه: 324 (جهت بازدید)</t>
  </si>
  <si>
    <t>NJ242283</t>
  </si>
  <si>
    <t>185B0002436</t>
  </si>
  <si>
    <t>خط و خش و قري و كسري هاي ظاهري به رؤيت مشتري مي باشد - رنگ پريدگي نقاط مختلف بدنه - قري درب عقب راست و چپ - كسري فندك ( ايرادات غيرقابل ريورك مطابق استاندارد كارخانه )</t>
  </si>
  <si>
    <t>شماره بدنه: NJ242283</t>
  </si>
  <si>
    <t>NJ243062</t>
  </si>
  <si>
    <t>185B0003377</t>
  </si>
  <si>
    <t>خط و خش و قري و كسري هاي ظاهري به رؤيت مشتري مي باشد - رنگ پريدگي نقاط مختلف بدنه - قري درب جلو راست ( ايرادات غيرقابل ريورك مطابق استاندارد كارخانه )</t>
  </si>
  <si>
    <t>شماره بدنه: NJ243062</t>
  </si>
  <si>
    <t>ME408304</t>
  </si>
  <si>
    <t>153H0044316</t>
  </si>
  <si>
    <t>خط و خش و قري و كسري هاي ظاهري به رؤيت مشتري مي باشد - ماندگاري بالا و افت مدل - ايراد رنگي درب جلو راست - ( ايرادات غير قابل ريورك مطابق استاندارد كارخانه )</t>
  </si>
  <si>
    <t>شماره بدنه: ME408304</t>
  </si>
  <si>
    <t>شماره جایگاه: 371 (جهت بازدید)</t>
  </si>
  <si>
    <t>NE488888</t>
  </si>
  <si>
    <t>153H0059257</t>
  </si>
  <si>
    <t>خط و خش و قري و كسري ظاهري به رؤيت مشتري مي باشد - ايراد رنگي بدنه - قري هلالي گلگير عقب راست - ايراد رنگي گلگير عقب راست ( تعميري كارخانه ) - ( ايرادات غير قابل ريورك مطابق استاندارد كارخانه )</t>
  </si>
  <si>
    <t>شماره بدنه: NE488888</t>
  </si>
  <si>
    <t>شماره جایگاه: 374 (جهت بازدید)</t>
  </si>
  <si>
    <t>NE567021</t>
  </si>
  <si>
    <t>153H0066863</t>
  </si>
  <si>
    <t>خط و خش و قري و كسري هاي ظاهري به رؤيت مشتري مي باشد - ايراد رنگي بدنه - رنگ پريدگي نقاطي از بدنه - ايراد رنگي درب موتور و گلگير جلو راست - كسري دستگيره موكت صندوق - ( ايرادات غير قابل ريورك مطابق استاندارد كارخانه )</t>
  </si>
  <si>
    <t>شماره بدنه: NE567021</t>
  </si>
  <si>
    <t>شماره جایگاه: 381 (جهت بازدید)</t>
  </si>
  <si>
    <t>NH868448</t>
  </si>
  <si>
    <t>139B0272062</t>
  </si>
  <si>
    <t>خط و خش و قري و كسري هاي ظاهري به رؤيت مشتري مي باشد - آچارخوردگي پيچ هاي درب موتور و گلگيرهاي جلو ( تعويضي كارخانه ) - كسري درپوش كولر - خوردگي درب صندوق و گلگير جلو راست - شكستگي سپر جلو و چراغ ها و مه شكن هاي جلو و جلو پنجره - كسري دستگيره درب موتور و قاب آينه بغل چپ از داخل و آنتن - چراغ چك روشن - خودرو بد استارت ميخورد صداي غير عادي دارد - آچارخوردگي پيچ هاي درب صندوق ( تعويضي كارخانه ) - قري درب عقب راست - رنگ پريدگي سپر عقب - كسري ابرويي هاي جلو - خوردگي دربهاي جلو و گلگيرهاي جلو - اثر ضربه سرشاسي جلو راست - شكستگي شلگير چرخ جلو چپ - خودرو از ناحيه زير نشتي بنزين دارد - ( ايرادات غيرقابل ريورك مطابق استاندارد كارخانه )</t>
  </si>
  <si>
    <t>شماره بدنه: NH868448</t>
  </si>
  <si>
    <t>شماره جایگاه: 424 (جهت بازدید)</t>
  </si>
  <si>
    <t>LA402408</t>
  </si>
  <si>
    <t>100010280RR259501</t>
  </si>
  <si>
    <t>خط و خش و قري و كسري هاي ظاهري به رؤيت مشتري مي باشد - ماندگاري بالا و افت مدل - باطري دشارژ - كسري آنتن - لاستيكها كاركرده - مغزي سوئيچ ايراد دارد ( گير دارد ) - قري درب جلو راست و چپ - ( بدليل محدوديت زمان شماره گذاري خودرو بنام ايران خودرو پلاك شده است )</t>
  </si>
  <si>
    <t>122-40ي45</t>
  </si>
  <si>
    <t>شماره بدنه: LA402408</t>
  </si>
  <si>
    <t>NJ240986</t>
  </si>
  <si>
    <t>185B0001474</t>
  </si>
  <si>
    <t>خط و خش و قري و كسري هاي ظاهري به رؤيت مشتري مي باشد - ايراد رنگي سقف - قري درب جلو راست - ( ايرادات غيرقابل ريورك مطابق استاندارد كارخانه )</t>
  </si>
  <si>
    <t>شماره بدنه: NJ240986</t>
  </si>
  <si>
    <t>شماره جایگاه: 325 (جهت بازدید)</t>
  </si>
  <si>
    <t>NH876018</t>
  </si>
  <si>
    <t>139B0281844</t>
  </si>
  <si>
    <t>خط و خش وقري و كسري هاي ظاهري به رؤيت مشتري مي باشد - اثر ضربه و دفرمگي شاسي ( محل بكسل بند ) - آسيب ديدگي محور عرضي شاسي در ناحيه اتصال بكسل بند - كسري دستگيره موكت صندوق - سائيدگي جلو پنجره - ترك چراغ عقب راست - ( ايرادات غيرقابل ريورك مطابق استاندارد كارخانه )</t>
  </si>
  <si>
    <t>شماره بدنه: NH876018</t>
  </si>
  <si>
    <t>شماره جایگاه: 422 (جهت بازدید)</t>
  </si>
  <si>
    <t>LA402383</t>
  </si>
  <si>
    <t>100010280RR259274</t>
  </si>
  <si>
    <t>346-40ي45</t>
  </si>
  <si>
    <t>شماره بدنه: LA402383</t>
  </si>
  <si>
    <t>LA402402</t>
  </si>
  <si>
    <t>100010280RR259270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</si>
  <si>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قري درب جلو راست</t>
  </si>
  <si>
    <t>335-40ي45</t>
  </si>
  <si>
    <t>شماره بدنه: LA402402</t>
  </si>
  <si>
    <t>LA402384</t>
  </si>
  <si>
    <t>100010280RR259973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</si>
  <si>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قري دربهاي جلو دو طرف</t>
  </si>
  <si>
    <t>118-40ي45</t>
  </si>
  <si>
    <t>شماره بدنه: LA402384</t>
  </si>
  <si>
    <t>LA402370</t>
  </si>
  <si>
    <t>100010280RR260327</t>
  </si>
  <si>
    <t>334-40ي45</t>
  </si>
  <si>
    <t>شماره بدنه: LA402370</t>
  </si>
  <si>
    <t>LA402416</t>
  </si>
  <si>
    <t>8201709496W213678</t>
  </si>
  <si>
    <t>222-40ي33</t>
  </si>
  <si>
    <t>شماره بدنه: LA402416</t>
  </si>
  <si>
    <t>LA402396</t>
  </si>
  <si>
    <t>100010280RR260449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</si>
  <si>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قري درب جلو چپ</t>
  </si>
  <si>
    <t>362-40ي45</t>
  </si>
  <si>
    <t>شماره بدنه: LA402396</t>
  </si>
  <si>
    <t>LA402390</t>
  </si>
  <si>
    <t>100010280RR260442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</si>
  <si>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)- قري دربهاي راست</t>
  </si>
  <si>
    <t>366-40ي45</t>
  </si>
  <si>
    <t>شماره بدنه: LA402390</t>
  </si>
  <si>
    <t>LA402420</t>
  </si>
  <si>
    <t>8201709496W213675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</si>
  <si>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)- قري درب جلو راست</t>
  </si>
  <si>
    <t>777-40ي33</t>
  </si>
  <si>
    <t>شماره بدنه: LA402420</t>
  </si>
  <si>
    <t>LA402414</t>
  </si>
  <si>
    <t>8201709496W213679</t>
  </si>
  <si>
    <t>114-40ي45</t>
  </si>
  <si>
    <t>شماره بدنه: LA402414</t>
  </si>
  <si>
    <t>LA402393</t>
  </si>
  <si>
    <t>100010280RR260450</t>
  </si>
  <si>
    <t>341-40ي45</t>
  </si>
  <si>
    <t>شماره بدنه: LA402393</t>
  </si>
  <si>
    <t>LA402372</t>
  </si>
  <si>
    <t>100010280RR259956</t>
  </si>
  <si>
    <t>375-40ي45</t>
  </si>
  <si>
    <t>شماره بدنه: LA402372</t>
  </si>
  <si>
    <t>LA402424</t>
  </si>
  <si>
    <t>100010280RR259142</t>
  </si>
  <si>
    <t>خط و خش و قري و كسري هاي ظاهري به رؤيت مشتري مي باشد - ماندگاري بالا و افت مدل - قري درب جلو و عقب راست - ( بدليل محدوديت زمان شماره گذاري خودرو بنام ايران خودرو پلاك شده است )</t>
  </si>
  <si>
    <t>666-40ي42</t>
  </si>
  <si>
    <t>شماره بدنه: LA402424</t>
  </si>
  <si>
    <t>LA402386</t>
  </si>
  <si>
    <t>100010280RR260445</t>
  </si>
  <si>
    <t>خط و خش و قري و كسري هاي ظاهري به رؤيت مشتري مي باشد - ماندگاري بالا و افت مدل - قري دربهاي راست - لاستيكها كاركرده - ( بدليل محدوديت زمان شماره گذاري خودرو بنام ايران خودرو پلاك شده است )</t>
  </si>
  <si>
    <t>342-40ي45</t>
  </si>
  <si>
    <t>شماره بدنه: LA402386</t>
  </si>
  <si>
    <t>NE573724</t>
  </si>
  <si>
    <t>153H0073981</t>
  </si>
  <si>
    <t>خط و خش و قري و كسري هاي ظاهري به رؤيت مشتري مي باشد - شكستگي آنتن و قري و خراشيدگي سقف - زاپاس كار كرده - كسري آنتن - ( ايرادات غيرقابل ريورك مطابق استاندارد كارخانه )</t>
  </si>
  <si>
    <t>شماره بدنه: NE573724</t>
  </si>
  <si>
    <t>شماره جایگاه: 383 (جهت بازدید)</t>
  </si>
  <si>
    <t>ME323032</t>
  </si>
  <si>
    <t>147H0588895</t>
  </si>
  <si>
    <t>خط و خش و قري و كسري هاي ظاهري به رؤيت مشتري ميباشد - ماندگاري بالا و افت مدل - خودرو پروژه اي ( سري اول توليد ) - قري درب عقب چپ - خراشيدگي رنگ قاب ركاب چپ - خش درب موتور - قري درب عقب راست - عدم عملكرد صندلي راننده - ( ايرادات غيرقابل ريورك مطابق استاندارد كارخانه )</t>
  </si>
  <si>
    <t>شماره بدنه: ME323032</t>
  </si>
  <si>
    <t>NH481606</t>
  </si>
  <si>
    <t>164B0308823</t>
  </si>
  <si>
    <t>خط و خش و قري و كسري هاي ظاهري به رؤيت مشتري مي باشد - ايراد رنگي درب صندوق ( تعميري و تعويضي ) - عدم نصب قاب بلندگو و آينه چپ - ( ايرادات غير قابل ريورك مطابق استاندارد كارخانه )</t>
  </si>
  <si>
    <t>شماره بدنه: NH481606</t>
  </si>
  <si>
    <t>NH217558</t>
  </si>
  <si>
    <t>164B0305694</t>
  </si>
  <si>
    <t>خط و خش و قري و كسري هاي ظاهري به رؤيت مشتري مي باشد - چراغ چك روشن - خوردگي گلگير جلو و درب جلو راست - آچارخوردگي پيچ هاي گلگير جلو راست ( تعويضي كارخانه ) - قري درب عقب راست - كيلومتر خراب مي باشد و كاركرد واقعي نيست - ايراد رنگي سقف و درب صندوق و درب عقب چپ - ( ايرادات غيرقابل ريورك مطابق استاندارد كارخانه )</t>
  </si>
  <si>
    <t>شماره بدنه: NH217558</t>
  </si>
  <si>
    <t>شماره جایگاه: 426 (جهت بازدید)</t>
  </si>
  <si>
    <t>NK695358</t>
  </si>
  <si>
    <t>139B0295305</t>
  </si>
  <si>
    <t>خط و خش و قري و كسري هاي ظاهري به رؤيت مشتري مي باشد - ايراد رنگي درب عقب راست ( تعويضي كارخانه ) - آچارخوردگي پيچهاي گلگير جلو چپ ( تعويضي كارخانه ) - عدم جذب ضربگير سپر جلو - ( ايرادات غير قابل ريورك مطابق استاندارد كارخانه )</t>
  </si>
  <si>
    <t>شماره بدنه: NK695358</t>
  </si>
  <si>
    <t>شماره جایگاه: 429 (جهت بازدید)</t>
  </si>
  <si>
    <t>LE240044</t>
  </si>
  <si>
    <t>153H0013113</t>
  </si>
  <si>
    <t>خط و خش و قري و كسري هاي ظاهري به رؤيت مشتري مي باشد - موتور خودرو ايراد فني اساسي دارد - سيستم گيربكس خراب مي باشد - ياطري دشارژ - سيني زير موتور شكسته - زيرپايي ها و تيغه برف پاك كن مستعمل - لاستيكها كاركرده - كسري موكت صندوق - لوازم موتوري باز شده و كسري مي باشد - خودرو ايرادات متعدد فني و موتوري داشته و داراي سوابق متعدد تعميراتي مي باشد - كسري ليوان - شكستگي درپوش روي موتور - باز بودن هواكش و بعضي قطعات موتوري - سائيدگي و رنگ پريدگي سپر جلو - رنگ پريدگي لبه درب جلو و عقب چپ - سائيدگي سپر عقب - خش ركاب راست - خوردگي درب عقب راست - خش و رنگ پريدگي درب موتور و لبه دربهاي راست - رنگ پريدگي گلگير جلو چپ - چراغ چك روشن - خودرو حركت نميكند</t>
  </si>
  <si>
    <t>753-14ص23</t>
  </si>
  <si>
    <t>شماره بدنه: LE240044</t>
  </si>
  <si>
    <t>H30 CROSS AT كلاس 4 سفيد دو پوششه</t>
  </si>
  <si>
    <t>LX100066</t>
  </si>
  <si>
    <t>FA173B0066330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</si>
  <si>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برف پاك كن ها مستعمل</t>
  </si>
  <si>
    <t>337-40ي45</t>
  </si>
  <si>
    <t>کد کلاس: 72304</t>
  </si>
  <si>
    <t>شماره بدنه: LX100066</t>
  </si>
  <si>
    <t>LX100013</t>
  </si>
  <si>
    <t>FA173B0066318</t>
  </si>
  <si>
    <t>خط و خش و قري و كسري هاي ظاهري به رؤيت مشتري مي باشد - ماندگاري بالا و افت مدل - كسري ولوم ضبط - ( بدليل محدوديت زمان شماره گذاري خودرو بنام ايران خودرو پلاك شده است )</t>
  </si>
  <si>
    <t>111-40ي43</t>
  </si>
  <si>
    <t>شماره بدنه: LX100013</t>
  </si>
  <si>
    <t>NE576004</t>
  </si>
  <si>
    <t>153H0078013</t>
  </si>
  <si>
    <t>خط و خش و قري و كسري هاي ظاهري به رؤيت مشتري مي باشد - خش عميق درب جلو و عقب راست - كسري دستگيره موكت صندوق - ( ايرادات غيرقابل ريورك مطابق استاندارد كارخانه )</t>
  </si>
  <si>
    <t>شماره بدنه: NE576004</t>
  </si>
  <si>
    <t>شماره جایگاه: 373 (جهت بازدید)</t>
  </si>
  <si>
    <t>NE571832</t>
  </si>
  <si>
    <t>153H0072525</t>
  </si>
  <si>
    <t>خط و خش و قري و كسري هاي ظاهري به رؤيت مشتري مي باشد - موج ورق و خش سقف - ( ايرادات غير قابل ريورك مطابق استاندارد كارخانه )</t>
  </si>
  <si>
    <t>شماره بدنه: NE571832</t>
  </si>
  <si>
    <t>شماره جایگاه: 375 (جهت بازدید)</t>
  </si>
  <si>
    <t>NK182810</t>
  </si>
  <si>
    <t>167B0156073</t>
  </si>
  <si>
    <t>خط و خش وقري و كسري هاي ظاهري به رؤيت مشتري مي باشد - خودرو تحت تست بوده است - لاستيكها و زاپاس كاركرده - ايراد رنگي بدنه - كسري لقمه اي زبانه درب موتور و يك عدد قالپاق و ولوم راديوپخش و قاب يو اس بي - ترك شيشه جلو - ( ايرادات غيرقابل ريورك مطابق استاندارد كارخانه )</t>
  </si>
  <si>
    <t>شماره بدنه: NK182810</t>
  </si>
  <si>
    <t>شماره جایگاه: 420 (جهت بازدید)</t>
  </si>
  <si>
    <t>پژو پارس TU5 كلاس20 آبي رويال</t>
  </si>
  <si>
    <t>NH208333</t>
  </si>
  <si>
    <t>139B0295468</t>
  </si>
  <si>
    <t>خط و خش و قري و كسري هاي ظاهري به رؤيت مشتري مي باشد - ايراد رنگي درب صندوق ( تعويضي ) - پارگي رودري جلو چپ - كسري زيرپايي جلو راست - قري درب عقب چپ - كسري يكعدد قالپاق - خش سپر عقب - ( ايرادات غير قابل ريورك مطابق استاندارد كارخانه )</t>
  </si>
  <si>
    <t>شماره بدنه: NH208333</t>
  </si>
  <si>
    <t>شماره جایگاه: 418 (جهت بازدید)</t>
  </si>
  <si>
    <t>NH214022</t>
  </si>
  <si>
    <t>139B0295351</t>
  </si>
  <si>
    <t>خط و خش وقري و كسري هاي ظاهري به رؤيت مشتري مي باشد - ايراد رنگي گلگير جلو راست - خش سپر جلو - خراشيدگي رنگ آينه بغل راست - كسري ولوم هاي راديوپخش و زه گلگير جلو راست - قري درب عقب راست - ( ايرادات غيرقابل ريورك مطابق استاندارد كارخانه )</t>
  </si>
  <si>
    <t>شماره بدنه: NH214022</t>
  </si>
  <si>
    <t>LE241722</t>
  </si>
  <si>
    <t>153H0015696</t>
  </si>
  <si>
    <t>خط و خش و قري و كسري هاي ظاهري به رؤيت مشتري مي باشد - ايراد فني موتوري دارد - زيرپايي ها متفرقه و مغاير - خش آينه جانبي چپ - لاستيكها مستعمل - كسري زاپاس و دستگيره موكت صندوق - خودرو ايرادات متعدد فني و مراجعات مكرري به نمايندگي داشته است و در حال حاضر نيز ايراد خاموش شدن حين حركت دارد - خوردگي سپر عقب و گلگير عقب چپ - كسري قاب روي موتور - خوردگي گلگير عقب راست و ركاب راست - قري و رنگ پريدگي درب جلو راست - خش درب عقب راست - رنگ پريدگي گلگير جلو راست - آچارخوردگي پيچ هاي گلگير جلو راست - خوردگي سپر جلو - خش و رنگ پريدگي درب موتور و گلگير جلو چپ - خش و قري و رنگ پريدگي دربهاي چپ - رنگ پريدگي ركاب چپ</t>
  </si>
  <si>
    <t>633-40ج12</t>
  </si>
  <si>
    <t>شماره بدنه: LE241722</t>
  </si>
  <si>
    <t>LE241025</t>
  </si>
  <si>
    <t>153H0015250</t>
  </si>
  <si>
    <t>خط و خش وقري و كسري هاي ظاهري به رؤيت مشتري مي باشد - موتور خودرو ايراد فني دارد - باطري مستعمل - شكستگي سيني زير موتور - كسري فندك - زيرپايي ها و تيغه برف پاك كن مستعمل - خش آينه بغل راست - كسري آرم لوگوي وسط - لاستيكها كاركرده - كسري زاپاس - خودرو سابقه مراجعات مكرر به نمايندگي جهت رفع ايراد داشته اما در حال حاضر ايراد خاموش شدن حين حركت دارد - كسري ليوان و قاب روي موتور - پارگي لوله هواكش - آچارخوردگي پيچ هاي درب موتور - خش و قري سپر جلو و گلگير جلو چپ - خش و رنگ پريدگي درب جلو چپ - خش و قري درب عقب چپ و خش گلگير عقب چپ و سپر عقب و درب صندوق و گلگيرهاي راست - قري و خش و رنگ پريدگي لبه درب جلو راست - خش ركاب راست و درب عقب راست - خش درب موتور - رنگ شدگي درب موتور ( تعويضي مي باشد ) - خوردگي رادياتها - خودرو از جلو تصادف داشته و بازسازي شده - پارگي نوار دور شيشه عقب راست</t>
  </si>
  <si>
    <t>631-40ج12</t>
  </si>
  <si>
    <t>شماره بدنه: LE241025</t>
  </si>
  <si>
    <t>LE241054</t>
  </si>
  <si>
    <t>153H0015082</t>
  </si>
  <si>
    <t>خط و خش و قري و كسري هاي ظاهري به رؤيت مشتري مي باشد - ايراد فني دارد - سوابق تعميراتي متعددي داشته - خراب بودن جك درب صندوق - كسري قاب ستون وسط درب جلو راست - خوردگي سپر جلو - خش چراغ جلو چپ - شكستگي پايه آينه درب راننده - خش و رنگ پريدگي درب موتور - آچارخوردگي پيچ هاي گلگير جلو چپ ( تعويضي ) - خش گلگير و رنگ پريدگي دربهاي راست - خش گلگير عقب و ركاب راست و بالاي ستون عقب راست و سپر عقب و درب صندوق - خوردگي دربهاي چپ و گلگيرهاي چپ - خش ستون عقب چپ و ركاب چپ - كسري قاب بكسل بند عقب روي سپر - موتور خودرو ايراد فني دارد - باطري دشارژ - زيرپايي ها و تيغه برف پاك كن مستعمل - خش آينه هاي جانبي - لاستيكها كاركرده و لاستيك جلو راست پنچر</t>
  </si>
  <si>
    <t>397-40ب89</t>
  </si>
  <si>
    <t>شماره بدنه: LE241054</t>
  </si>
  <si>
    <t>دنا پلاس اتوماتيك با موتور EF7_TC كلاس2 خاكستري متال</t>
  </si>
  <si>
    <t>LE241640</t>
  </si>
  <si>
    <t>153H0015913</t>
  </si>
  <si>
    <t>خط و خش و قري و كسري هاي ظاهري به رؤيت مشتري مي باشد - ايراد فني و برقي دارد - سوابق تعميراتي موتوري ( واشر سرسيلندر ) و برقي دارد - آچارخوردگي پيچ هاي گلگير جلو چپ ( تعويضي ) - كسري قاب روي موتور - خش چراغ هاي جلو - كسري خار جلو دنده و ليوان - خش سپر جلو و گلگيرهاي چپ و درب عقب چپ - خش و رنگ پريدگي درب جلو چپ - چراغ چك و سرويس و اي بي اس روشن - خراب بودن مانيتور و دوربين عقب ( روشن نميشود ) - خش سپر عقب و گلگير عقب راست و خش و رنگ پريدگي درب صندوق و آرم عقب و گلگير جلو و عقب راست - رنگ پريدگي و خش درب جلو راست - خش ركاب و درب عقب راست - خش و رنگ پريدگي درب موتور - موتور خودرو ايراد فني دارد - كسري سيني زير موتور و يك عدد سوئيچ و فندك - زيرپايي ها و تيغه برف پاك كن مستعمل - خش آينه هاي جانبي - لاستيكها كاركرده - زاپاس مستعمل و متفرقه - موكت صندوق مستعمل و شكستگي دستگيره موكت صندوق</t>
  </si>
  <si>
    <t>469-33ص96</t>
  </si>
  <si>
    <t>شماره بدنه: LE241640</t>
  </si>
  <si>
    <t>LE241235</t>
  </si>
  <si>
    <t>153H0015417</t>
  </si>
  <si>
    <t>خط و خش و قري و كسري هاي ظاهري به رؤيت مشتري مي باشد - ايراد فني دارد ( خودرو حين حركت خاموش ميشود ) - سوابق تعميراتي متعددي داشته - آچارخوردگي پيچ هاي گلگير جلو راست ( تعويضي ) - خوردگي سپر جلو و عقب - خش دربهاي چپ و ركاب چپ - رنگ پريدگي لبه درب موتور - خش دربهاي راست و گلگير عقب راست - بازبودن سيني زير موتور - خوردگي بكسل بند جلو - موتور خودرو ايراد فني دارد - خوردگي سيني زير موتور - كسري يك عدد سوئيچ - تيغه برف پاك كن مستعمل - خش آينه هاي جانبي - لاستيكها كاركرده</t>
  </si>
  <si>
    <t>264-40ج12</t>
  </si>
  <si>
    <t>شماره بدنه: LE241235</t>
  </si>
  <si>
    <t>NK693618</t>
  </si>
  <si>
    <t>167B0177944</t>
  </si>
  <si>
    <t>خط و خش وقري و كسري هاي ظاهري به رؤيت مشتري مي باشد - تصادفي بودن ستون عقب راست - خش كلاف دربهاي راست - رنگ پريدگي جلوپنجره - كسري دستگيره موكت صندوق - ( ايرادات غيرقابل ريورك مطابق استاندارد كارخانه )</t>
  </si>
  <si>
    <t>شماره بدنه: NK693618</t>
  </si>
  <si>
    <t>شماره جایگاه: 419 (جهت بازدید)</t>
  </si>
  <si>
    <t>NH418542</t>
  </si>
  <si>
    <t>164B0298383</t>
  </si>
  <si>
    <t>خط و خش وقري و كسري هاي ظاهري به رؤيت مشتري مي باشد - ايراد رنگي بدنه - خش گلگير جلو چپ - جداشدگي زه دربهاي چپ - عدم جذب ضربگير دربها - قري درب جلو راست - كسري جك و آچارچرخ - ( ايرادات غيرقابل ريورك مطابق استاندارد كارخانه )</t>
  </si>
  <si>
    <t>شماره بدنه: NH418542</t>
  </si>
  <si>
    <t>شماره جایگاه: 421 (جهت بازدید)</t>
  </si>
  <si>
    <t>LE242105</t>
  </si>
  <si>
    <t>153H0014962</t>
  </si>
  <si>
    <t>خط وخش و قري و كسري هاي ظاهري به رؤيت مشتري ميباشد - خودرو ايراد فني سيستم ترمز دارد و ترمز عملكرد ضعيف دارد - خودرو فاقد پمپ خلاأ ترمز مي باشد - خودرو داراي سوابق تعميراتي زياد بوده است اما سيستم ترمز هنوز رفع ايراد نشده است ( تعويض بوستر ترمز و قطعات سيستم ترمز و تغيير نرم افزاري سيستم ترمز داشته اما هنوز ايراد وجود دارد ) - احتمال اينكه كاركرد خودرو غير واقعي باشد وجود دارد - خط روي گلگير عقب چپ - وجود آثار قير روي گلگير جلو چپ - خش سپر جلو چپ و سپر عقب از چند ناحيه - خش اطراف پلاك عقب - خش عميق و سائيدگي روي سپر عقب سمت چپ - باطري مستعمل - كسري يكعدد سوئيچ - خش آينه ها و رينگها - لاستيكها كاركرده</t>
  </si>
  <si>
    <t>479-22د36</t>
  </si>
  <si>
    <t>شماره بدنه: LE242105</t>
  </si>
  <si>
    <t>LE241690</t>
  </si>
  <si>
    <t>153H0015762</t>
  </si>
  <si>
    <t>خط و خش و قري و كسري هاي ظاهري به رؤيت مشتري مي باشد - ايراد فني دارد ( موتور خودرو ايراد دارد ) - باطري دشارژ - فندك متفرقه - زيرپايي ها مستعمل و متفرقه - تيغه برف پاك كن مستعمل - لاستيكها كاركرده - دفرمه بودن قاب ستون وسط درب جلو راست - رنگ پريدگي سپرها - خش گلگيرها و دربهاي راست - خش و رنگ پريدگي درب موتور - خش و قري و رنگ پريدگي دربهاي چپ و گلگير عقب چپ</t>
  </si>
  <si>
    <t>685-40ج12</t>
  </si>
  <si>
    <t>شماره بدنه: LE241690</t>
  </si>
  <si>
    <t>LE241333</t>
  </si>
  <si>
    <t>153H0015342</t>
  </si>
  <si>
    <t>خط و خش و قري و كسري هاي ظاهري به رؤيت مشتري مي باشد - ايراد فني دارد ( گيربكس ) - خراب بودن بالابر جلو راست - باطري دشارژ - كسري فندك - زيرپايي ها و تيغه برف پاك كن مستعمل - خش آينه هاي جانبي - لاستيك ها كاركرده - شكستگي شيشه جلو - خش چراغ عقب راست - كسري قفل كن درب جعبه كنسول وسط و خار جلو دنده و بست منفي باطري - خودرو سوابق تعميراتي متعددي داشته ( تعويض گيربكس اتوماتيك ) - دفرمه بودن ركاب راست - سائيدگي سپر جلو - خوردگي سپر عقب - خش درب صندوق و گلگيرهاي عقب - خش و رنگ پريدگي دربهاي چپ - ترك روي ستونهاي عقب - خش گلگيرهاي جلو - رنگ پريدگي گلگير جلو چپ - خش و قري و رنگ پريدگي دربهاي راست - خش و رنگ پريدگي درب موتور - كسري ليوان</t>
  </si>
  <si>
    <t>599-40ج12</t>
  </si>
  <si>
    <t>شماره بدنه: LE241333</t>
  </si>
  <si>
    <t>LE242077</t>
  </si>
  <si>
    <t>153H0016504</t>
  </si>
  <si>
    <t>خط و خش و قري و كسري هاي ظاهري به رؤيت مشتري مي باشد - ايراد فني دارد ( جعبه فرمان و جلوبندي ايراد دارد ) - كسري ليوان و خار جلو دنده - چراغ چك و چراغ اي بي اس و چراغ سرويس روشن - خش سپرها - خش و رنگ پريدگي دربهاي چپ - خش گلگيرهاي چپ و درب صندوق و درب عقب راست - خش و رنگ پريدگي درب جلو راست - ترك ستون عقب راست - خش و رنگ پريدگي درب موتور - قفل درب صندوق خراب مي باشد و با كليد باز نميشود - باطري دشارژ - كسري يك عدد سوئيچ - تيغه برف پاك كن مستعمل - خش آينه بغل چپ - خوردگي رينگ اسپرت - لاستيكها كاركرده - خش چراغ عقب چپ - كسري جك و آچار چرخ و زاپاس و شبرنگ</t>
  </si>
  <si>
    <t>696-40ب89</t>
  </si>
  <si>
    <t>شماره بدنه: LE242077</t>
  </si>
  <si>
    <t>LE244083</t>
  </si>
  <si>
    <t>153H0019294</t>
  </si>
  <si>
    <t>خط و خش و قري و كسري هاي ظاهري به رؤيت مشتري مي باشد - ايراد فني دارد ( گيربكس ايراد دارد ) - كسري خار جلو دنده - خوردگي سپر جلو و سائيدگي گلگير جلو چپ - خش و رنگ پريدگي درب جلو چپ و خش و قري و رنگ پريدگي درب عقب چپ - خش گلگير عقب چپ - سائيدگي سپر عقب - خش درب صندوق و گلگير عقب راست - خش و رنگ پريدگي دربهاي راست - خش گلگير جلو راست و سقف - خش و رنگ پريدگي درب موتور - فعال نبودن مانيتور در دنده عقب - باطري مستعمل - كسري فندك - زيرپايي ها و تيغه برف پاك كن مستعمل - لاستيكها كاركرده - خش چراغ عقب راست</t>
  </si>
  <si>
    <t>713-88ي88</t>
  </si>
  <si>
    <t>شماره بدنه: LE244083</t>
  </si>
  <si>
    <t>NE440622</t>
  </si>
  <si>
    <t>147H0638615</t>
  </si>
  <si>
    <t>خط وخش و قري و كسري هاي ظاهري به رؤيت مشتري ميباشد - خودر پروژه اي ( سري اول توليد ) - عدم عملكرد كليد صندوق پران و شيشه بالابرها - ( ايرادات غيرقابل ريورك مطابق استاندارد كارخانه )</t>
  </si>
  <si>
    <t>شماره بدنه: NE440622</t>
  </si>
  <si>
    <t>NE440623</t>
  </si>
  <si>
    <t>147H0638647</t>
  </si>
  <si>
    <t>خط وخش و قري و كسري هاي ظاهري به رؤيت مشتري ميباشد - خودرو پروژه اي ( سري اول توليد ) - ( ايرادات غيرقابل ريورك مطابق استاندارد كارخانه )</t>
  </si>
  <si>
    <t>شماره بدنه: NE440623</t>
  </si>
  <si>
    <t>NE440621</t>
  </si>
  <si>
    <t>147H0638656</t>
  </si>
  <si>
    <t>خط وخش و قري و كسري هاي ظاهري به رؤيت مشتري ميباشد - خودرو پروژه اي ( سري اول توليد ) - ترك دور قاب راديوپخش - رنگ پريدگي سپر جلو - كسري بست خروسكي كابل منفي باطري - ( ايرادات غيرقابل ريورك مطابق استاندارد كارخانه )</t>
  </si>
  <si>
    <t>شماره بدنه: NE440621</t>
  </si>
  <si>
    <t>NE440620</t>
  </si>
  <si>
    <t>147H0638556</t>
  </si>
  <si>
    <t>خط و خش و قري و كسري هاي ظاهري به رؤيت مشتري ميباشد - خودرو پروژه اي ( سري اول توليد ) - قري ركاب چپ - ( ايرادات غيرقابل ريورك مطابق استاندارد كارخانه )</t>
  </si>
  <si>
    <t>شماره بدنه: NE440620</t>
  </si>
  <si>
    <t>تارا اتوماتيک کلاس 1 مشكي متاليك</t>
  </si>
  <si>
    <t>MD920011</t>
  </si>
  <si>
    <t>187B0000504</t>
  </si>
  <si>
    <t>خط وخش و قري و كسري هاي ظاهري به رؤيت مشتري مي باشد - غير قابل ريورك مطابق استاندارد كارخانه - خودروي تستي و پروژه اي ( سري اول توليد ) - ماندگاري بالا - ايراد رنگي بدنه دارد - زدگي رينگها - كسري راهنماي گلگيرهاي جلو و شكستگي قاب بغل صندلي راست - كسري كليد بالابر كنسول وسط عقب - تصادفي بودن سپر جلو - كسري كليد صندلي جلو راست - قري درب موتور و گلگير جلو راست - كسري درب جعبه فيوز - شكستگي كليد تنظيم صندلي جلو چپ - كسري آرم تاراي صندوق و كلور صندليها و كيف بكسل بند - عدم نصب درب داشبورد (شكسته ) - كسري جا رمي روي كنسول وسط - خش رودري جلو چپ و شكستگي دستگيره درب جلو - خط و خش داشبورد و رودري ها - قاب ستون عقب راست از داخل دفرمه مي باشد - خش عميق درب صندوق و درب موتور و دربها و گلگيرها - موتور تك كار ميكند و گاز نمي خورد ( چراغ چك روشن است ) - كسري يك عدد سوئيچ - - ايرادات غير قابل ريورك مطابق استاندارد كارخانه - شيشه عقب شكسته</t>
  </si>
  <si>
    <t>TARA TU5PA</t>
  </si>
  <si>
    <t>کد کلاس: 32301</t>
  </si>
  <si>
    <t>شماره بدنه: MD920011</t>
  </si>
  <si>
    <t>تارا اتوماتيک کلاس 1 قهوه اي كادرو</t>
  </si>
  <si>
    <t>MD920062</t>
  </si>
  <si>
    <t>قهوه اي كادرو</t>
  </si>
  <si>
    <t>187B0003547</t>
  </si>
  <si>
    <t>خط وخش و قري و كسري هاي ظاهري به رؤيت مشتري مي باشد - خودروي تستي پروژه اي سري اول توليد - ماندگاري بالا - خط و خش و رنگ پريدگي درب صندوق - كسري درپوش كولر - خوردگي رينگ چرخ جلو چپ - خش گلگير عقب چپ - قري درب عقب راست - خش گلگير جلو راست و درب موتور - كسري يك عدد سوئيچ</t>
  </si>
  <si>
    <t>شماره بدنه: MD920062</t>
  </si>
  <si>
    <t>تارا اتوماتيک کلاس 1 سفيد دوپوششه كانزاي</t>
  </si>
  <si>
    <t>MD920101</t>
  </si>
  <si>
    <t>187B0003550</t>
  </si>
  <si>
    <t>خط و خش و قري و كسري هاي ظاهري به رؤيت مشتري مي باشد - خودرو تحت تست بوده است ( سري اول توليد ) - ماندگاري بالا و افت مدل - قري لبه درب موتور و رنگ پريدگي ستون عقب چپ ( كنار شيشه عقب ) - زدگي رينگها - كسري زيرپايي جلو راست و زيانه درب موتور - بازنشدن درب صندوق - خراب بودن بالابرهاي شيشه هاي جلو - روشن بودن كليه چراغ هاي پشت آمپر - خودرو ايراد برقي دارد - باطري خراب و مستعمل - قري گلگير جلو چپ - خش رنگ زير دستگيره درب راننده - عدم نمايش حالت دنده در صفحه كيلومتر حين حركت</t>
  </si>
  <si>
    <t>شماره بدنه: MD920101</t>
  </si>
  <si>
    <t>تارا اتوماتيک کلاس 1 خاكستري متاليك</t>
  </si>
  <si>
    <t>MD920014</t>
  </si>
  <si>
    <t>187B0000519</t>
  </si>
  <si>
    <t>خط وخش و قري و كسري هاي ظاهري به رؤيت مشتري مي باشد - خودروي تستي و پروژه اي ( سري اول توليد ) - ماندگاري بالا - سوئيچ دوم فقط داراي تيغه مي باشد - كسري قاب روي پدال ترمز - خش چراغ جلو راست - ايراد رنگي درب عقب راست - ( ايرادات غير قابل ريورك مطابق استاندارد كارخانه ) - كسري چراغ راهنماي روي گلگيرهاي جلو - فاقد رينگ اسپرت - عدم تعويض دندن در حالت حركت</t>
  </si>
  <si>
    <t>شماره بدنه: MD920014</t>
  </si>
  <si>
    <t>ME397985</t>
  </si>
  <si>
    <t>153H0033977</t>
  </si>
  <si>
    <t>خط و خش و قري و كسري هاي ظاهري به رؤيت مشتري مي باشد - سيستم ترمز ايراد دارد - ايراد رنگي درب موتور و درب عقب - ايراد فني دارد ( ترمز ايراد دارد ) - سائيدگي سپرها - رنگ پريدگي لبه درب موتور - كسري ليوان - خش و قري درب عقب راست - خش درب جلو راست - رنگ پريدگي درب صندوق از داخل - خش دربهاي چپ - باطري دشارژ - كسري يك عدد سوئيچ و فندك - زيرپايي ها و تيغه برف پاك كن مستعمل - لاستيكها كاركرده</t>
  </si>
  <si>
    <t>984-40ط96</t>
  </si>
  <si>
    <t>شماره بدنه: ME397985</t>
  </si>
  <si>
    <t>تارا اتوماتيک کلاس 1 سفيد دو پوششه</t>
  </si>
  <si>
    <t>MD920023</t>
  </si>
  <si>
    <t>187B0000621</t>
  </si>
  <si>
    <t>خط وخش و قري و كسري هاي ظاهري به رؤيت مشتري مي باشد - خودروي تستي و پروژه اي سري اول توليد - ماندگاري بالا - رنگ پريدگي سپر جلو - روشن بودن چراغ چك - خراشيدگي سپر عقب - شكستگي درب كنسول وسط - كسري خار جلو دنده - دفرمه بودن قاب روي سقف - شكستگي قاب تنظيم صندلي راننده - ( ايرادت غير قابل ريورك مطابق استاندارد كارخانه ) - كسري يك عدد سوئيچ - لاستيك ها كار كرده</t>
  </si>
  <si>
    <t>شماره بدنه: MD920023</t>
  </si>
  <si>
    <t>NJ263638</t>
  </si>
  <si>
    <t>178B0081453</t>
  </si>
  <si>
    <t>خط و خش وقري و كسري هاي ظاهري به رؤيت مشتري مي باشد - تصادفي بودن گلگير عقب و ركاب و درب عقب راست - كسري كليد بالابرهاي عقب - ( ايرادات غيرقابل ريورك مطابق استاندارد كارخانه )</t>
  </si>
  <si>
    <t>شماره بدنه: NJ263638</t>
  </si>
  <si>
    <t>ME398498</t>
  </si>
  <si>
    <t>1402/05/24</t>
  </si>
  <si>
    <t>153H0034473</t>
  </si>
  <si>
    <t>خط و خش و قري و كسري هاي ظاهري به رؤيت مشتري مي باشد - ايراد فني دارد - سيستم گيربكس ايراد دارد - لاستيكها كاركرده - خاموش شدن حين حركت و صداي اضافي گيربكس - سوابق تعميراتي متعددي داشته كه هنوز بعضي از ايرادات آن رفع نگرديده - چراغ سرويس روشن - خش سپر عقب و دربهاي چپ و گلگيرهاي چپ - قري درب جلو چپ - خش سپر جلو - رنگ پريدگي و خش درب هاي راست - كسري خار جلو دنده - خش و رنگ پريدگي درب موتور</t>
  </si>
  <si>
    <t>547-40ط12</t>
  </si>
  <si>
    <t>شماره بدنه: ME398498</t>
  </si>
  <si>
    <t>تارا اتوماتيک کلاس 1 مشكي متاليك (آبنوس)</t>
  </si>
  <si>
    <t>MD920228</t>
  </si>
  <si>
    <t>187B0005601</t>
  </si>
  <si>
    <t>خط و خش و قري و كسري هاي ظاهري به رؤيت مشتري مي باشد - خش گلگير جلو چپ - قري سقف اطراف سانروف راست ( ايرادات مذكور مطابق استاندارد كارخانه اي غير قابل ريورك مي باشد )</t>
  </si>
  <si>
    <t>شماره بدنه: MD920228</t>
  </si>
  <si>
    <t>MD920029</t>
  </si>
  <si>
    <t>187B0001049</t>
  </si>
  <si>
    <t>خط وخش و قري و كسري هاي ظاهري به رؤيت مشتري مي باشد - كسري يك عدد سوئيچ - خودروي تستي و پروژه اي ( سري اول توليد ) - ماندگاري بالا - قري لبه درب موتور - رنگ پريگي ستون عقب چپ ( كنار شيشه عقب ) - كسري درب جعبه فيوز - خرابي فوم پك صندوق - قري درب صندوق - سائيدگي سپر جلو - ايرادات غير قابل ريورك مطابق استاندارد كارخانه</t>
  </si>
  <si>
    <t>شماره بدنه: MD920029</t>
  </si>
  <si>
    <t>NJ923836</t>
  </si>
  <si>
    <t>166B0067099</t>
  </si>
  <si>
    <t>خط و خش وقري و كسري هاي ظاهري به رؤيت مشتري مي باشد - تصادفي بودن پليت عقب - قري درب جلو و عقب راست - شكستگي سپر عقب و لچكي عقب - قري درب جلو چپ - چراغ چك روشن - موج ورق درب عقب چپ - سوئيچ اول فقط تيغه دارد - ( ايرادات غيرقابل ريورك مطابق استاندارد كارخانه )</t>
  </si>
  <si>
    <t>شماره بدنه: NJ923836</t>
  </si>
  <si>
    <t>ME390330</t>
  </si>
  <si>
    <t>1401/12/22</t>
  </si>
  <si>
    <t>153H0024067</t>
  </si>
  <si>
    <t>خط و خش و قري و كسري هاي ظاهري به رؤيت مشتري ميباشد - ايراد رنگي بدنه ( درب موتور و درب صندوق ) - كسري جك هاي درب موتور و ليوان و قاب ستون وسط درب راننده - خوردگي سپر جلو - خش دربها و گلگير عقب چپ و سپر عقب و درب صندوق - خوردگي ركاب راست - مغاير بودن رنگ سپرها با بدنه - قفل كردن دنده روي حالت P ( حالت P ايراد دارد ) - باز بودن سيم ترمز - خودرو ايراد فني دارد و گاز نميخورد ( عدم كشش ) - تيغه برف پاك كن مستعمل - خش آينه هاي جانبي - خودرو ايراد برقي دارد - لاستيكها كاركرده</t>
  </si>
  <si>
    <t>352-40ي45</t>
  </si>
  <si>
    <t>شماره بدنه: ME390330</t>
  </si>
  <si>
    <t>MD920094</t>
  </si>
  <si>
    <t>187B0003527</t>
  </si>
  <si>
    <t>خط و خش و قري و كسري هاي ظاهري به رؤيت مشتري مي باشد - خودروي فاز پروژه ( سري اول توليد ) - ماندگاري بالا - زدگي غربيلك فرمان - كسري نشان دهنده حالت دنده - خط لبه درب موتور - شكستگي يك عدد سوئيچ و جلو پنجره - رنگ پريدگي و خش سپر جلو سمت راست</t>
  </si>
  <si>
    <t>شماره بدنه: MD920094</t>
  </si>
  <si>
    <t>MD921415</t>
  </si>
  <si>
    <t>187B0008321</t>
  </si>
  <si>
    <t>خط و خش و قري و كسري هاي ظاهري به رؤيت مشتري مي باشد - خودرو تحت تست هاي عملكردي بوده است - ماندگاري بالا و افت مدل - خش كنسول وسط - كسري آينه وسط - جانبودن آفتابگير راننده - قري درب موتور - سائيدگي سپر جلو - ( ايرادات غيرقابل ريورك مطابق استاندارد كارخانه )</t>
  </si>
  <si>
    <t>شماره بدنه: MD921415</t>
  </si>
  <si>
    <t>MD920102</t>
  </si>
  <si>
    <t>187B0003531</t>
  </si>
  <si>
    <t>خط وخش و قري و كسري هاي ظاهري به رؤيت مشتري مي باشد - خودروي فاز پروژه سري اول توليد - ماندگاري بالا - اثر ضربه سپر عقب ( ايرادات غير قابل ريورك مطابق استاندارد كارخانه ) - استفاده از قطعات تستي</t>
  </si>
  <si>
    <t>شماره بدنه: MD920102</t>
  </si>
  <si>
    <t>NH216543</t>
  </si>
  <si>
    <t>164B0305610</t>
  </si>
  <si>
    <t>خط و خش و قري و كسري هاي ظاهري به رؤيت مشتري مي باشد - ايراد رنگي درب صندوق - سپر عقب شكسته - كسري آرم درب صندوق - خش ابرويي درب صندوق - كسري دستگيره موكت صندوق و سنسور روي سپر عقب( ايرادات غير قابل ريورك مطابق استاندارد كارخانه )</t>
  </si>
  <si>
    <t>شماره بدنه: NH216543</t>
  </si>
  <si>
    <t>MD920093</t>
  </si>
  <si>
    <t>187B0003563</t>
  </si>
  <si>
    <t>خط و خش و قري و كسري هاي ظاهري به رؤيت مشتري مي باشد - خودروي فاز پروژه ( سري اول توليد ) - ماندگاري بالا آنتن خراب است</t>
  </si>
  <si>
    <t>شماره بدنه: MD920093</t>
  </si>
  <si>
    <t>MD920110</t>
  </si>
  <si>
    <t>187B0004111</t>
  </si>
  <si>
    <t>خط و خش و قري و كسري هاي ظاهري به رؤيت مشتري مي باشد - خودروي فاز پروژه ( سري اول توليد ) - ماندگاري بالا زدگي غربيلك فرمان</t>
  </si>
  <si>
    <t>شماره بدنه: MD920110</t>
  </si>
  <si>
    <t>تارا اتوماتيک کلاس 1 نقره اي متاليك</t>
  </si>
  <si>
    <t>MD920120</t>
  </si>
  <si>
    <t>187B0004101</t>
  </si>
  <si>
    <t>خط و خش و قري و كسري هاي ظاهري به رؤيت مشتري مي باشد - خودروي فاز پروژه ( سري اول توليد ) - ماندگاري بالا</t>
  </si>
  <si>
    <t>شماره بدنه: MD920120</t>
  </si>
  <si>
    <t>MD920118</t>
  </si>
  <si>
    <t>187B0004104</t>
  </si>
  <si>
    <t>خط و خش و قري و كسري هاي ظاهري به رؤيت مشتري مي باشد -خودروي فاز پروژه ( سري اول توليد ) - ماندگاري بالا دفرمگي سپر عقب راست</t>
  </si>
  <si>
    <t>شماره بدنه: MD920118</t>
  </si>
  <si>
    <t>پژو 207i دستي کلاس 12 سفيد دو پوششه</t>
  </si>
  <si>
    <t>NJ507956</t>
  </si>
  <si>
    <t>166B0063534</t>
  </si>
  <si>
    <t>خط و خش وقري و كسري هاي ظاهري به رؤيت مشتري مي باشد - خودرو تحت تست بوده است - ( ايرادات غيرقابل ريورك مطابق استاندارد كارخانه )</t>
  </si>
  <si>
    <t>کد کلاس: 60012</t>
  </si>
  <si>
    <t>شماره بدنه: NJ507956</t>
  </si>
  <si>
    <t>MD916581</t>
  </si>
  <si>
    <t>187B0009155</t>
  </si>
  <si>
    <t>خط وخش و قري و كسري هاي ظاهري به رؤيت مشتري ميباشد - خودرو تحت تست بوده است - لاستيكها كاركرده - ماندگاري بالا و افت مدل - ( ايرادات غيرقابل ريورك مطابق استاندارد كارخانه )</t>
  </si>
  <si>
    <t>شماره بدنه: MD916581</t>
  </si>
  <si>
    <t>NH214013</t>
  </si>
  <si>
    <t>164B0303884</t>
  </si>
  <si>
    <t>خط و خش و قري و كسري هاي ظاهري به رؤيت مشتري مي باشد - خش درب موتور - رنگ پريدگي سپر عقب و سپر جلو - قري و رنگ پريدگي سقف - رنگ پريدگي لبه درب جلو راست - قري گلگير جلو راست - آچارخوردگي پيچ هاي درب موتور و گلگير جلو راست ( تعويضي كارخانه ) - قري گلگير جلو چپ - آسيب ديدگي رينگ اسپرت جلو راست - لاستيكها كاركرده - ( ايرادات غيرقابل ريورك مطابق استاندارد كارخانه )</t>
  </si>
  <si>
    <t>شماره بدنه: NH214013</t>
  </si>
  <si>
    <t>ND940872</t>
  </si>
  <si>
    <t>187B0010371</t>
  </si>
  <si>
    <t>خط و خش و قري و كسري هاي ظاهري به رؤيت مشتري مي باشد - خودرو تحت تست عملكردي بوده است ( سقف خودرو تحت تست بوده است و ايراد دارد ) - صداي اضافه از سقف در زمان باز بودن سانروف و ريورك ناقص با سيلركاري - خش رينگ عقب چپ - درب كنسول وسط شكسته - چراغ چك روشن - ( ايرادات غير قابل ريورك مطابق استاندارد كارخانه )</t>
  </si>
  <si>
    <t>شماره بدنه: ND940872</t>
  </si>
  <si>
    <t>NH209359</t>
  </si>
  <si>
    <t>164B0305738</t>
  </si>
  <si>
    <t>خط و خش وقري و كسري هاي ظاهري به رؤيت مشتري مي باشد - ايراد رنگي درب موتور ( تعويضي كارخانه ) - قري درب راننده كنار دستگيره - قري درب جلو راست و درب عقب چپ - ( ايرادات غيرقابل ريورك مطابق استاندارد كارخانه )</t>
  </si>
  <si>
    <t>شماره بدنه: NH209359</t>
  </si>
  <si>
    <t>ND942012</t>
  </si>
  <si>
    <t>187B0015768</t>
  </si>
  <si>
    <t>خط و خش و قري و كسري هاي ظاهري به رؤيت مشتري مي باشد - چروك شدن ورق ركاب داخلي جلو چپ - ( ايرادات غيرقابل ريورك مطابق استاندارد كارخانه )</t>
  </si>
  <si>
    <t>شماره بدنه: ND942012</t>
  </si>
  <si>
    <t>خط و خش و قري و كسري هاي ظاهري به رؤيت مشتري مي باشد - ايراد رنگي بدنه - خش درب صندوق و درب موتور و گلگيرهاي جلو - قري گلگير جلو چپ - ( ايرادات غيرقابل ريورك مطابق استاندارد كارخانه )</t>
  </si>
  <si>
    <t>NH213890</t>
  </si>
  <si>
    <t>164B0303804</t>
  </si>
  <si>
    <t>خط و خش و قري و كسري هاي ظاهري به رؤيت مشتري مي باشد - كسري آنتن - ايراد رنگي نقاط مختلف بدنه - كسري دستگيره موكت صندوق - قري درب موتور - موج ورق دربهاي چپ - ( ايرادات غير قابل ريورك مطابق استاندارد كارخانه )</t>
  </si>
  <si>
    <t>شماره بدنه: NH213890</t>
  </si>
  <si>
    <t>تارا دستي کلاس 1 نقره اي متاليك</t>
  </si>
  <si>
    <t>ND932622</t>
  </si>
  <si>
    <t>187B0013087</t>
  </si>
  <si>
    <t>خط و خش و قري و كسري هاي ظاهري به رؤيت مشتري مي باشد - ايراد رنگي درب صندوق ( تعويضي كارخانه ) - قري درب عقب چپ - كسري آنتن -( ايرادات غيرقابل ريورك مطابق استاندارد كارخانه )</t>
  </si>
  <si>
    <t>شماره بدنه: ND932622</t>
  </si>
  <si>
    <t>NH879661</t>
  </si>
  <si>
    <t>164B0300144</t>
  </si>
  <si>
    <t>خط و خش وقري و كسري هاي ظاهري به رؤيت مشتري مي باشد - ايراد رنگي بدنه - كسري دستگيره موكت صندوق - قري درب جلو چپ - عدم جذب ضربگير درب عقب راست - عدم عملكرد برف پاك كن و راهنما - خش گلگير عقب چپ - كسري آنتن - ( ايرادات غيرقابل ريورك مطابق استاندارد كارخانه )</t>
  </si>
  <si>
    <t>شماره بدنه: NH879661</t>
  </si>
  <si>
    <t>NE563623</t>
  </si>
  <si>
    <t>1402/03/04</t>
  </si>
  <si>
    <t>153H0063108</t>
  </si>
  <si>
    <t>خط و خش و قري و كسري هاي ظاهري به رؤيت مشتري مي باشد - ايراد فني موتوري دارد ( شكستن پيستون ) - نشتي روغن دارد - كسري ليوان - خش درب موتور و سپر جلو - موتور لرزش دارد و ايراد دارد - خوردگي ركاب چپ - باطري دشارژ</t>
  </si>
  <si>
    <t>441-69ه67</t>
  </si>
  <si>
    <t>شماره بدنه: NE563623</t>
  </si>
  <si>
    <t>NH208663</t>
  </si>
  <si>
    <t>164B0302034</t>
  </si>
  <si>
    <t>خط و خش وقري و كسري هاي ظاهري به رؤيت مشتري مي باشد - ايراد رنگي بدنه ( سقف و درب صندوق و... ) - كسري دستگيره موكت صندوق - شكستگي درب باك بنزين - قري درب عقب چپ - ( ايرادات غيرقابل ريورك مطابق استاندارد كارخانه )</t>
  </si>
  <si>
    <t>شماره بدنه: NH208663</t>
  </si>
  <si>
    <t>NE492706</t>
  </si>
  <si>
    <t>153H0082636</t>
  </si>
  <si>
    <t>خط و خش وقري و كسري هاي ظاهري به رؤيت مشتري مي باشد - تصادفي بودن دربها و گلگيرهاي چپ و سپر عقب - ( ايرادات غيرقابل ريورك مطابق استاندارد كارخانه )</t>
  </si>
  <si>
    <t>شماره بدنه: NE492706</t>
  </si>
  <si>
    <t>MJ500090</t>
  </si>
  <si>
    <t>185B0000199</t>
  </si>
  <si>
    <t>خط و خش و قري و كسري هاي ظاهري به رؤيت مشتري مي باشد - خودرو فاز پروژه ( سري اول توليد ) - ماندگاري بالا و افت مدل - كسري درب جعبه فيوز - رنگ پريدگي درب راننده - ايراد رنگي روي سايد چپ و كلاف درب جلو چپ - كسري كليد بالابرهاي عقب و درب و جعبه داشبورد - قري درب عقب راست - در حين تعويض دنده اتاق لرزش دارد - ( ايرادات غيرقابل ريورك مطابق استاندارد كارخانه )</t>
  </si>
  <si>
    <t>شماره بدنه: MJ500090</t>
  </si>
  <si>
    <t>NE561624</t>
  </si>
  <si>
    <t>1402/02/25</t>
  </si>
  <si>
    <t>153H0062146</t>
  </si>
  <si>
    <t>خط و خش و قري و كسري هاي ظاهري به رؤيت مشتري مي باشد - ايراد رنگي بدنه ( ايراد رنگي درب جلو چپ و گلگير عقب چپ )</t>
  </si>
  <si>
    <t>141-84ق96</t>
  </si>
  <si>
    <t>شماره بدنه: NE561624</t>
  </si>
  <si>
    <t>NE486788</t>
  </si>
  <si>
    <t>1402/01/14</t>
  </si>
  <si>
    <t>153H0053179</t>
  </si>
  <si>
    <t>خط و خش و قري و كسري هاي ظاهري به رؤيت مشتري مي باشد - ايراد فني دارد ( آسيب ديدگي توپي چرخ جلو چپ و سيبك اكسل جلو چپ و خارج شدن چرخ جلو چپ ) - كسري جاسيگاري - خوردگي قاب ركاب چپ و لبه گلگير جلو چپ - خش سپر جلو و دربهاي چپ و گلگير عقب چپ و سپر عقب - رنگ پريدگي لبه درب موتور - باطري دشارژ - كسري يك عدد سوئيچ - لاستيكها كاركرده</t>
  </si>
  <si>
    <t>359-15ج57</t>
  </si>
  <si>
    <t>شماره بدنه: NE486788</t>
  </si>
  <si>
    <t>NE578211</t>
  </si>
  <si>
    <t>1402/05/27</t>
  </si>
  <si>
    <t>153H0075306</t>
  </si>
  <si>
    <t>خط و خش و قري و كسري هاي ظاهري به رؤيت مشتري مي باشد - ايراد فني موتوري دارد - چراغ چك روشن - موتور خودرو تك كار مي كند - كسري لوگوي وسط رينگ چرخ عقب چپ - لاستيكها كاركرده</t>
  </si>
  <si>
    <t>859-41ج87</t>
  </si>
  <si>
    <t>شماره بدنه: NE578211</t>
  </si>
  <si>
    <t>NJ240562</t>
  </si>
  <si>
    <t>185B0000931</t>
  </si>
  <si>
    <t>خط و خش و قري و كسري هاي ظاهري به رؤيت مشتري مي باشد - تصادفي بودن گلگير عقب چپ - قري درب جلو راست - كسري درب جعبه فيوز - خش درب جلو چپ - قري درب جلو و عقب چپ - آچار خوردگي پيچ هاي درب موتور ( تعويضي كارخانه ) - كسري شبرنگ - ( ايرادات غيرقابل ريورك مطابق استاندارد كارخانه )</t>
  </si>
  <si>
    <t>شماره بدنه: NJ240562</t>
  </si>
  <si>
    <t>خط و خش و قري و كسري هاي ظاهري به رؤيت مشتري مي باشد - ماندگاري بالا و افت مدل - كسري درب داشبورد - ايراد رنگي سقف - كسري ناخني درب راننده - ( ايرادات غيرقابل ريورك مطابق استاندارد كارخانه )</t>
  </si>
  <si>
    <t>دنا پلاس توربو شارژ کلاس8 سفيد دوپوششه كانزاي</t>
  </si>
  <si>
    <t>NE492260</t>
  </si>
  <si>
    <t>153H0081801</t>
  </si>
  <si>
    <t>خط و خش و قري و كسري هاي ظاهري به رؤيت مشتري مي باشد - تصادفي بودن درب و هلالي گلگير عقب راست و خوردگي سپر عقب و رينگ چرخ عقب راست - كسري دستگيره موكت صندوق - ( ايرادات غير قابل ريورك مطابق استاندارد كارخانه )</t>
  </si>
  <si>
    <t>شماره بدنه: NE492260</t>
  </si>
  <si>
    <t>MJ500111</t>
  </si>
  <si>
    <t>185B0000196</t>
  </si>
  <si>
    <t>خط و خش و قري و كسري هاي ظاهري به رؤيت مشتري مي باشد - خودرو فاز پروژه ( سري اول توليد ) - ماندگاري بالا و افت مدل - قري درب جلو چپ و درب جلو راست - كسري آنتن - ( ايرادات غيرقابل ريورك مطابق استاندارد كارخانه )</t>
  </si>
  <si>
    <t>شماره بدنه: MJ500111</t>
  </si>
  <si>
    <t>MJ500129</t>
  </si>
  <si>
    <t>185B0000226</t>
  </si>
  <si>
    <t>خط و خش و قري و كسري هاي ظاهري به رؤيت مشتري مي باشد - ايراد رنگي بدنه - خش سپر جلو - كسري آنتن - ( ايرادات غيرقابل ريورك مطابق استاندارد كارخانه )</t>
  </si>
  <si>
    <t>شماره بدنه: MJ500129</t>
  </si>
  <si>
    <t>NJ240213</t>
  </si>
  <si>
    <t>185B0000644</t>
  </si>
  <si>
    <t>خط و خش و قري و كسري هاي ظاهري به رؤيت مشتري مي باشد - تصادفي بودن گلگير و درب عقب و ركاب چپ - كسري درب جعبه فيوز و ضربگير درب عقب چپ - قري درب جلو چپ - ( ايرادات غيرقابل ريورك مطابق استاندارد كارخانه )</t>
  </si>
  <si>
    <t>شماره بدنه: NJ240213</t>
  </si>
  <si>
    <t>NJ242111</t>
  </si>
  <si>
    <t>185B0002664</t>
  </si>
  <si>
    <t>خط و خش و قري و كسري هاي ظاهري به رؤيت مشتري مي باشد - ايراد رنگي درب جلو راست ( تعويضي كارخانه ) - قري دربهاي جلو - كسري قاب دور دستگيره درب جلو راست - ايراد رنگي درب موتور - رنگ پريدگي قاب آينه راست - كسري آنتن و فندك - ( ايرادات غيرقابل ريورك مطابق استاندارد كارخانه )</t>
  </si>
  <si>
    <t>شماره بدنه: NJ242111</t>
  </si>
  <si>
    <t>NJ241655</t>
  </si>
  <si>
    <t>185B0001999</t>
  </si>
  <si>
    <t>خط و خش و قري و كسري هاي ظاهري به رؤيت مشتري مي باشد - ايراد رنگي بدنه - آچارخوردگي پيچ هاي درب موتور ( تعويضي كارخانه ) - خش سپر جلو - قري درب جلو راست - ( ايرادات غيرقابل ريورك مطابق استاندارد كارخانه )</t>
  </si>
  <si>
    <t>شماره بدنه: NJ241655</t>
  </si>
  <si>
    <t>NJ240751</t>
  </si>
  <si>
    <t>185B0001252</t>
  </si>
  <si>
    <t>خط و خش و قري و كسري هاي ظاهري به رؤيت مشتري مي باشد - ايراد رنگي بدنه - خش درب موتور و گلگير جلو چپ - آچارخوردگي پيچ هاي درب موتور ( تعويضي كارخانه ) - رنگ پريدگي دستگيره درب صندوق - خط روي درب صندوق - تصادفي بودن درب جلو راست - موج ورق درب عقب چپ ( ايرادات غيرقابل ريورك مطابق استاندارد كارخانه )</t>
  </si>
  <si>
    <t>شماره بدنه: NJ240751</t>
  </si>
  <si>
    <t>NJ241816</t>
  </si>
  <si>
    <t>185B0002123</t>
  </si>
  <si>
    <t>خط و خش و قري و كسري هاي ظاهري به رؤيت مشتري مي باشد - قري و دفرمگي گلگير عقب راست و سپر جلو - قري درب جلو راست - تصادفي گلگير عقب چپ - آچارخوردگي پيچ هاي درب موتور ( تعويضي كارخانه ) - كسري درب جعبه فيوز و زيرپايي ها - ( ايرادات غيرقابل ريورك مطابق استاندارد كارخانه )</t>
  </si>
  <si>
    <t>شماره بدنه: NJ241816</t>
  </si>
  <si>
    <t>NJ240893</t>
  </si>
  <si>
    <t>185B0001118</t>
  </si>
  <si>
    <t>خط و خش وقري و كسري هاي ظاهري به رؤيت مشتري مي باشد - ايراد رنگي سقف - چراغ چك و چراغ سرويس روشن - كسري درب جعبه فيوز و قاب روي دستگيره درب جلو چپ - درب صندوق باز نميشود - كولر باد گرم ميدهد - عدم كشش خودرو در سرعت بالاي 50 - كسري آنتن - ( ايرادات غيرقابل ريورك مطابق استاندارد كارخانه )</t>
  </si>
  <si>
    <t>شماره بدنه: NJ240893</t>
  </si>
  <si>
    <t>شماره جایگاه: 384 (جهت بازدید)</t>
  </si>
  <si>
    <t>NJ241798</t>
  </si>
  <si>
    <t>185B0002327</t>
  </si>
  <si>
    <t>خط و خش و قري و كسري هاي ظاهري به رؤيت مشتري مي باشد - ايراد رنگي بدنه - رنگ پريدگي سمت چپ خودرو - قري درب عقب چپ - رنگ پريدگي قاب آينه راست - چراغ چك روشن - كسري آنتن - ( ايرادات غيرقابل ريورك مطابق استاندارد كارخانه )</t>
  </si>
  <si>
    <t>شماره بدنه: NJ241798</t>
  </si>
  <si>
    <t>NJ242361</t>
  </si>
  <si>
    <t>185B0002760</t>
  </si>
  <si>
    <t>خط و خش و قري و كسري هاي ظاهري به رؤيت مشتري مي باشد - ايراد رنگي بدنه - پوسته شدن چراغ جلو چپ - قري درب جلو راست - كسري درب جعبه فيوز - شكستگي شيلنگ متصل به سوكت دريچه گاز ( برگشت هوا ) - خش عميق سقف - ( ايرادات غيرقابل ريورك مطابق استاندارد كارخانه )</t>
  </si>
  <si>
    <t>شماره بدنه: NJ242361</t>
  </si>
  <si>
    <t>NJ246070</t>
  </si>
  <si>
    <t>185B0006565</t>
  </si>
  <si>
    <t>خط و خش و قري و كسري هاي ظاهري به رؤيت مشتري مي باشد - تصادفي بودن گلگير عقب راست و گلگير جلو چپ و ركاب چپ - كسري درب جعبه فيوز - رنگ پريدگي لبه درب موتور - ( ايرادات غيرقابل ريورك مطابق استاندارد كارخانه )</t>
  </si>
  <si>
    <t>شماره بدنه: NJ246070</t>
  </si>
  <si>
    <t>NJ242224</t>
  </si>
  <si>
    <t>185B0002438</t>
  </si>
  <si>
    <t>خط و خش و قري و كسري هاي ظاهري به رؤيت مشتري مي باشد - ايراد رنگي بدنه - شكستگي چراغ جلو چپ - قري درب عقب چپ - خش و رنگ پريدگي گلگير عقب چپ و درب صندوق - كسري آنتن و آچارچرخ - ( ايرادات غيرقابل ريورك مطابق استاندارد كارخانه )</t>
  </si>
  <si>
    <t>شماره بدنه: NJ242224</t>
  </si>
  <si>
    <t>NJ240746</t>
  </si>
  <si>
    <t>185B0001192</t>
  </si>
  <si>
    <t>خط و خش و قري و كسري هاي ظاهري به رؤيت مشتري مي باشد - ايراد رنگي بدنه - خرابي جك درب صندوق - اچارخوردگي پيچ هاي درب موتور ( تعويضي كارخانه ) - ( ايرادات غيرقابل ريورك مطابق استاندارد كارخانه )</t>
  </si>
  <si>
    <t>شماره بدنه: NJ240746</t>
  </si>
  <si>
    <t>NJ242228</t>
  </si>
  <si>
    <t>185B0002854</t>
  </si>
  <si>
    <t>خط و خش و قري و كسري هاي ظاهري به رؤيت مشتري مي باشد - تصادفي بودن ركابها - قري درب جلو راست - كسري كليد تنظيم آينه - دوربين عقب خراب ميباشد - خش جلوپنجره - ( ايرادات غيرقابل ريورك مطابق استاندارد كارخانه )</t>
  </si>
  <si>
    <t>شماره بدنه: NJ242228</t>
  </si>
  <si>
    <t>NJ240259</t>
  </si>
  <si>
    <t>185B0000646</t>
  </si>
  <si>
    <t>خط و خش و قري و كسري هاي ظاهري به رؤيت مشتري مي باشد - ايراد رنگي بدنه ( سقف و درب موتور ) - قري درب جلو راست - كسري سردنده - آچارخوردگي پيچ هاي درب موتور ( تعويضي كارخانه ) - كسري آنتن و فندك - ( ايرادات غيرقابل ريورك مطابق استاندارد كارخانه )</t>
  </si>
  <si>
    <t>شماره بدنه: NJ240259</t>
  </si>
  <si>
    <t>NJ243571</t>
  </si>
  <si>
    <t>185B0003952</t>
  </si>
  <si>
    <t>خط و خش وقري و كسري هاي ظاهري به رؤيت مشتري مي باشد - تصادفي بودن ركاب و گلگير عقب و درب عقب راست - كسري درب جعبه فيوز - قري درب جلو راست - ( ايرادات غيرقابل ريورك مطابق استاندارد كارخانه )</t>
  </si>
  <si>
    <t>شماره بدنه: NJ243571</t>
  </si>
  <si>
    <t>NJ246302</t>
  </si>
  <si>
    <t>185B0006249</t>
  </si>
  <si>
    <t>خط و خش و قري و كسري هاي ظاهري به رؤيت مشتري مي باشد - تصادفي بودن ركاب چپ و گلگير جلو راست و سپر جلو - خش سپر عقب - ( ايرادات غيرقابل ريورك مطابق استاندارد كارخانه )</t>
  </si>
  <si>
    <t>شماره بدنه: NJ246302</t>
  </si>
  <si>
    <t>NJ241610</t>
  </si>
  <si>
    <t>185B0002865</t>
  </si>
  <si>
    <t>خط و خش و قري و كسري هاي ظاهري به رؤيت مشتري مي باشد - ايراد رنگي بدنه - قري درب عقب راست - كسري كليد بالابرهاي عقب و تيغه برف پاك كن جلو چپ - آچارخوردگي پيچ هاي درب موتور ( تعويضي كارخانه ) - خش درب باك - ( ايرادات غيرقابل ريورك مطابق استاندارد كارخانه )</t>
  </si>
  <si>
    <t>شماره بدنه: NJ241610</t>
  </si>
  <si>
    <t>شماره جایگاه: 385 (جهت بازدید)</t>
  </si>
  <si>
    <t>NJ243529</t>
  </si>
  <si>
    <t>185B0002472</t>
  </si>
  <si>
    <t>خط و خش وقري و كسري هاي ظاهري به رؤيت مشتري مي باشد - ايراد رنگي درب جلو راست ( تعويضي كارخانه ) - خراشيدگي ضربگير درب عقب راست - كسري فندك و آنتن - ( ايرادات غيرقابل ريورك مطابق استاندارد كارخانه )</t>
  </si>
  <si>
    <t>شماره بدنه: NJ243529</t>
  </si>
  <si>
    <t>شماره جایگاه: 387 (جهت بازدید)</t>
  </si>
  <si>
    <t>NJ241578</t>
  </si>
  <si>
    <t>185B0001824</t>
  </si>
  <si>
    <t>خط و خش و قري و كسري هاي ظاهري به رؤيت مشتري مي باشد - ايراد رنگي بدنه ( درب موتور و گلگير جلو راست ) - خش گلگير جلو چپ - آچارخوردگي پيچ هاي درب موتور ( تعويضي كارخانه ) - چراغ چك روشن - قري درب جلو راست - ( ايرادات غيرقابل ريورك مطابق استاندارد كارخانه )</t>
  </si>
  <si>
    <t>شماره بدنه: NJ241578</t>
  </si>
  <si>
    <t>NJ241897</t>
  </si>
  <si>
    <t>185B0002194</t>
  </si>
  <si>
    <t>خط و خش و قري و كسري هاي ظاهري به رؤيت مشتري مي باشد - ايراد رنگي بدنه - كسري زيرپايي جلو چپ و تيغه برف پاك كن عقب - قري درب عقب راست - ( ايرادات غيرقابل ريورك مطابق استاندارد كارخانه )</t>
  </si>
  <si>
    <t>شماره بدنه: NJ241897</t>
  </si>
  <si>
    <t>NJ240357</t>
  </si>
  <si>
    <t>185B0000617</t>
  </si>
  <si>
    <t>خط و خش و قري و كسري هاي ظاهري به رؤيت مشتري مي باشد - ايراد رنگي بدنه - پوسته شدن چراغ هاي جلو - آچارخوردگي پيچ هاي درب موتور ( تعويضي كارخانه ) - ( ايرادات غيرقابل ريورك مطابق استاندارد كارخانه )</t>
  </si>
  <si>
    <t>شماره بدنه: NJ240357</t>
  </si>
  <si>
    <t>NJ242419</t>
  </si>
  <si>
    <t>185B0002816</t>
  </si>
  <si>
    <t>خط و خش و قري و كسري هاي ظاهري به رؤيت مشتري مي باشد - ايراد رنگي بدنه ( درب موتور و گلگير جلو راست ) - اچارخوردگي پيچ هاي درب موتور ( تعويضي كارخانه ) - خش جلو پنجره - ( ايرادات غيرقابل ريورك مطابق استاندارد كارخانه )</t>
  </si>
  <si>
    <t>شماره بدنه: NJ242419</t>
  </si>
  <si>
    <t>NJ240073</t>
  </si>
  <si>
    <t>185B0000809</t>
  </si>
  <si>
    <t>خط و خش وقري و كسري هاي ظاهري به رؤيت مشتري مي باشد - ايراد رنگي درب موتور و سقف - كسري درب جعبه فيوز - آچارخوردگي پيچ هاي درب موتور ( تعويضي كارخانه ) - ( ايرادات غيرقابل ريورك مطابق استاندارد كارخانه )</t>
  </si>
  <si>
    <t>شماره بدنه: NJ240073</t>
  </si>
  <si>
    <t>NJ240292</t>
  </si>
  <si>
    <t>185B0000147</t>
  </si>
  <si>
    <t>خط و خش وقري و كسري هاي ظاهري به رؤيت مشتري مي باشد - تصادفي بودن گلگير عقب چپ - كسري درب جعبه فيوز - ( ايرادات غيرقابل ريورك مطابق استاندارد كارخانه )</t>
  </si>
  <si>
    <t>شماره بدنه: NJ240292</t>
  </si>
  <si>
    <t>NJ240491</t>
  </si>
  <si>
    <t>185B0000913</t>
  </si>
  <si>
    <t>خط و خش و قري و كسري هاي ظاهري به رؤيت مشتري مي باشد - تصادفي بودن ركاب چپ - كسري درب جعبه فيوز - قري درب جلو راست - كسري آنتن - ( ايرادات غيرقابل ريورك مطابق استاندارد كارخانه )</t>
  </si>
  <si>
    <t>شماره بدنه: NJ240491</t>
  </si>
  <si>
    <t>NJ242389</t>
  </si>
  <si>
    <t>185B0002765</t>
  </si>
  <si>
    <t>خط و خش و قري و كسري هاي ظاهري به رؤيت مشتري مي باشد - ايراد رنگي بدنه ( درب موتور و گلگير جلو راست ) - قري درب عقب راست - آچارخوردگي پيچ هاي درب موتور ( تعويضي كارخانه ) - كسري فندك و آنتن - ( ايرادات غيرقابل ريورك مطابق استاندارد كارخانه )</t>
  </si>
  <si>
    <t>شماره بدنه: NJ242389</t>
  </si>
  <si>
    <t>NJ241791</t>
  </si>
  <si>
    <t>185B0002339</t>
  </si>
  <si>
    <t>خط و خش و قري و كسري هاي ظاهري به رؤيت مشتري مي باشد - قري ركاب راست و درب جلو و عقب راست - آچارخوردگي پيچ هاي درب موتور ( تعويضي كارخانه ) - كسري آنتن - ( ايرادات غيرقابل ريورك مطابق استاندارد كارخانه )</t>
  </si>
  <si>
    <t>شماره بدنه: NJ241791</t>
  </si>
  <si>
    <t>NJ243173</t>
  </si>
  <si>
    <t>185B0003419</t>
  </si>
  <si>
    <t>خط و خش و قري و كسري هاي ظاهري به رؤيت مشتري مي باشد - قري و خش گلگير عقب راست - خش لبه درب عقب راست - شكستگي چراغ عقب راست - ( ايرادات غيرقابل ريورك مطابق استاندارد كارخانه )</t>
  </si>
  <si>
    <t>شماره بدنه: NJ243173</t>
  </si>
  <si>
    <t>NJ240251</t>
  </si>
  <si>
    <t>185B0000642</t>
  </si>
  <si>
    <t>خط و خش و قري و كسري هاي ظاهري به رؤيت مشتري مي باشد - ايراد رنگي بدنه ( سقف ) - پوسته شدن چراغ جلو چپ - قري درب جلو راست - ( ايرادات غيرقابل ريورك مطابق استاندارد كارخانه )</t>
  </si>
  <si>
    <t>شماره بدنه: NJ240251</t>
  </si>
  <si>
    <t>NJ240238</t>
  </si>
  <si>
    <t>185B0000812</t>
  </si>
  <si>
    <t>خط و خش و قري و كسري هاي ظاهري به رؤيت مشتري مي باشد - ايراد رنگي بدنه ( سقف و درب عقب راست ) - سائيدگي سپر عقب چپ - قري درب جلو راست - ( ايرادات غيرقابل ريورك مطابق استاندارد كارخانه )</t>
  </si>
  <si>
    <t>شماره بدنه: NJ240238</t>
  </si>
  <si>
    <t>NJ240556</t>
  </si>
  <si>
    <t>185B0000408</t>
  </si>
  <si>
    <t>خط و خش وقري و كسري هاي ظاهري به رؤيت مشتري مي باشد - ايراد رنگي سقف - رنگ پريدگي دستگيره درب صندوق - قري درب جلو راست - كسري فندك و آنتن - ( ايرادات غيرقابل ريورك مطابق استاندارد كارخانه )</t>
  </si>
  <si>
    <t>شماره بدنه: NJ240556</t>
  </si>
  <si>
    <t>NJ240486</t>
  </si>
  <si>
    <t>185B0000934</t>
  </si>
  <si>
    <t>خط و خش وقري و كسري هاي ظاهري به رؤيت مشتري مي باشد - ايراد رنگي سقف - قري دربهاي جلو - ايراد رنگي و خش درب عقب راست - ( ايرادات غيرقابل ريورك مطابق استاندارد كارخانه )</t>
  </si>
  <si>
    <t>شماره بدنه: NJ240486</t>
  </si>
  <si>
    <t>شماره جایگاه: 386 (جهت بازدید)</t>
  </si>
  <si>
    <t>NJ240067</t>
  </si>
  <si>
    <t>185B0000545</t>
  </si>
  <si>
    <t>خط و خش و قري و كسري هاي ظاهري به رؤيت مشتري مي باشد - ايراد رنگي بدنه - شكستگي قاب ريموت - خش قاب آينه جلو چپ - كسري آنتن - ( ايرادات غيرقابل ريورك مطابق استاندارد كارخانه )</t>
  </si>
  <si>
    <t>شماره بدنه: NJ240067</t>
  </si>
  <si>
    <t>NJ241211</t>
  </si>
  <si>
    <t>185B0001694</t>
  </si>
  <si>
    <t>خط و خش و قري و كسري هاي ظاهري به رؤيت مشتري مي باشد - ايراد رنگي بدنه - قري درب عقب راست - ( ايرادات غيرقابل ريورك مطابق استاندارد كارخانه )</t>
  </si>
  <si>
    <t>شماره بدنه: NJ241211</t>
  </si>
  <si>
    <t>NJ240114</t>
  </si>
  <si>
    <t>185B0000273</t>
  </si>
  <si>
    <t>خط و خش و قري و كسري هاي ظاهري به رؤيت مشتري مي باشد - ايراد رنگي بدنه - قري درب جلو راست - ( ايرادات غيرقابل ريورك مطابق استاندارد كارخانه )</t>
  </si>
  <si>
    <t>شماره بدنه: NJ240114</t>
  </si>
  <si>
    <t>NJ241727</t>
  </si>
  <si>
    <t>185B0000713</t>
  </si>
  <si>
    <t>خط و خش و قري و كسري هاي ظاهري به رؤيت مشتري مي باشد - ايراد رنگي بدنه - خش قاب آينه راست - ( ايرادات غيرقابل ريورك مطابق استاندارد كارخانه )</t>
  </si>
  <si>
    <t>شماره بدنه: NJ241727</t>
  </si>
  <si>
    <t>NJ241497</t>
  </si>
  <si>
    <t>185B0001947</t>
  </si>
  <si>
    <t>خط و خش و قري و كسري هاي ظاهري به رؤيت مشتري مي باشد - ايراد رنگي بدنه - ( ايرادات غيرقابل ريورك مطابق استاندارد كارخانه )</t>
  </si>
  <si>
    <t>شماره بدنه: NJ241497</t>
  </si>
  <si>
    <t>NJ240074</t>
  </si>
  <si>
    <t>185B0000314</t>
  </si>
  <si>
    <t>شماره بدنه: NJ240074</t>
  </si>
  <si>
    <t>NJ240343</t>
  </si>
  <si>
    <t>185B0000911</t>
  </si>
  <si>
    <t>خط و خش و قري و كسري هاي ظاهري به رؤيت مشتري مي باشد - ايراد رنگي بدنه ( درب موتور و گلگير جلو راست ) - ( ايرادات غيرقابل ريورك مطابق استاندارد كارخانه )</t>
  </si>
  <si>
    <t>شماره بدنه: NJ240343</t>
  </si>
  <si>
    <t>NJ240723</t>
  </si>
  <si>
    <t>185B0001206</t>
  </si>
  <si>
    <t>خط و خش وقري و كسري هاي ظاهري به رؤيت مشتري مي باشد - ايراد رنگي سقف - موج ورق درب عقب راست - ( ايرادات غيرقابل ريورك مطابق استاندارد كارخانه )</t>
  </si>
  <si>
    <t>شماره بدنه: NJ240723</t>
  </si>
  <si>
    <t>NJ241874</t>
  </si>
  <si>
    <t>185B0002073</t>
  </si>
  <si>
    <t>خط و خش و قري و كسري هاي ظاهري به رؤيت مشتري مي باشد - ايراد رنگي بدنه ( درب موتور و گلگير جلو راست ) - كسري آنتن - ( ايرادات غيرقابل ريورك مطابق استاندارد كارخانه )</t>
  </si>
  <si>
    <t>شماره بدنه: NJ241874</t>
  </si>
  <si>
    <t>NJ243481</t>
  </si>
  <si>
    <t>185B0003869</t>
  </si>
  <si>
    <t>خط و خش و قري و كسري هاي ظاهري به رؤيت مشتري مي باشد - ايراد رنگي بدنه ( گلگيرهاي عقب و درب صندوق و درب عقب راست ) - ( ايرادات غيرقابل ريورك مطابق استاندارد كارخانه )</t>
  </si>
  <si>
    <t>شماره بدنه: NJ243481</t>
  </si>
  <si>
    <t>NJ240110</t>
  </si>
  <si>
    <t>185B0000261</t>
  </si>
  <si>
    <t>خط و خش و قري و كسري هاي ظاهري به رؤيت مشتري مي باشد - ايراد رنگي بدنه ( درب موتور و گلگير جلو راست ) - خش چراغ هاي جلو - ( ايرادات غيرقابل ريورك مطابق استاندارد كارخانه )</t>
  </si>
  <si>
    <t>شماره بدنه: NJ240110</t>
  </si>
  <si>
    <t>NJ241692</t>
  </si>
  <si>
    <t>185B0001860</t>
  </si>
  <si>
    <t>خط و خش و قري و كسري هاي ظاهري به رؤيت مشتري مي باشد - ايراد رنگي بدنه - قري دربهاي جلو - ( ايرادات غيرقابل ريورك مطابق استاندارد كارخانه )</t>
  </si>
  <si>
    <t>شماره بدنه: NJ241692</t>
  </si>
  <si>
    <t>NE548102</t>
  </si>
  <si>
    <t>153H0093806</t>
  </si>
  <si>
    <t>خط و خش و قري و كسري هاي ظاهري به رؤيت مشتري مي باشد - تصادفي بودن سرشاسي جلو راست - كسري مجموعه سپر جلو و شكستگي چراغ خطر عقب - كسري زيرسري جلو چپ - پارگي نوار قاب ستون عقب راست - رنگ شدگي پيچ هاي درب صندوق ( تعويضي كارخانه ) -( ايرادات غير قابل ريورك مطابق استاندارد كارخانه )</t>
  </si>
  <si>
    <t>شماره بدنه: NE548102</t>
  </si>
  <si>
    <t>NJ240161</t>
  </si>
  <si>
    <t>185B0000323</t>
  </si>
  <si>
    <t>خط و خش و قري و كسري هاي ظاهري به رؤيت مشتري مي باشد - خودرو تحت تست بوده است - كسري آنتن - ( ايرادات غيرقابل ريورك مطابق استاندارد كارخانه )</t>
  </si>
  <si>
    <t>شماره بدنه: NJ240161</t>
  </si>
  <si>
    <t>NE540846</t>
  </si>
  <si>
    <t>153H0083832</t>
  </si>
  <si>
    <t>خط و خش وقري و كسري هاي ظاهري به رؤيت مشتري مي باشد - تصادفي بودن درب جلو و عقب و گلگير جلو و عقب راست و رينگ و چرخ عقب چپ - شكستگي دستگيره درب جلو چپ از داخل - عدم عملكرد تنظيم صندلي راننده - ( ايرادات غيرقابل ريورك مطابق استاندارد كارخانه )</t>
  </si>
  <si>
    <t>شماره بدنه: NE540846</t>
  </si>
  <si>
    <t>NE544962</t>
  </si>
  <si>
    <t>153H0088921</t>
  </si>
  <si>
    <t>خط و خش و قري و كسري هاي ظاهري به رؤيت مشتري مي باشد - تصادفي بودن گلگير عقب و درب عقب راست و چراغ عقب راست - ( ايرادات غيرقابل ريورك مطابق استاندارد كارخانه )</t>
  </si>
  <si>
    <t>شماره بدنه: NE544962</t>
  </si>
  <si>
    <t>NE542328</t>
  </si>
  <si>
    <t>153H0085349</t>
  </si>
  <si>
    <t>خط و خش و قري و كسري هاي ظاهري به رؤيت مشتري مي باشد - تصادفي بودن گلگيرهاي جلو و سپر جلو و درب موتور و سيني فن و رادياتور - شكستگي پايه چراغ جلو - كسري دستگيره موكت صندوق - شكستگي جلو پنجره -( ايرادات غير قابل ريورك مطابق استاندارد كارخانه )</t>
  </si>
  <si>
    <t>شماره بدنه: NE542328</t>
  </si>
  <si>
    <t>خط وخش و قري و كسري هاي ظاهري به رؤيت مشتري مي باشد - خودروي فاز پروژه ( سري اول توليد ) - ماندگاري بالا - خط و خش و رنگ پريدگي درب صندوق - كسري درپوش كولر - خوردگي رينگ چرخ جلو چپ - خش گلگير عقب چپ - قري درب عقب راست - خش گلگير جلو راست و درب موتور - كسري يك عدد سوئيچ - ( ايرادات غير قابل ريورك مطابق استاندارد كارخانه )</t>
  </si>
  <si>
    <t>NE576335</t>
  </si>
  <si>
    <t>153H0077445</t>
  </si>
  <si>
    <t>خط و خش و قري و كسري هاي ظاهري به رؤيت مشتري مي باشد - اثر ضربه و قري و رنگ پريدگي درب صندوق - خط و خش چراغ عقب راست - شكستگي خار كليد تنظيم صندلي - كسري دستگيره موكت صندوق - ايراد رنگي بدنه ( صندوق عقب ) - ( ايرادات غيرقابل ريورك مطابق استاندارد كارخانه )</t>
  </si>
  <si>
    <t>شماره بدنه: NE576335</t>
  </si>
  <si>
    <t>تارا اتوماتيک کلاس 1 سبز دريايي متاليك</t>
  </si>
  <si>
    <t>MD920406</t>
  </si>
  <si>
    <t>سبز دريايي متاليك</t>
  </si>
  <si>
    <t>187B0006562</t>
  </si>
  <si>
    <t>خط وخش و قري و كسري هاي ظاهري به رؤيت مشتري ميباشد - رنگ پريدگي قاب آينه راست - ايراد رنگي سپر جلو - ماندگاري بالا و افت مدل - ( ايرادات غيرقابل ريورك مطابق استاندارد كارخانه )</t>
  </si>
  <si>
    <t>شماره بدنه: MD920406</t>
  </si>
  <si>
    <t>خط و خش و قري و كسري هاي ظاهري به رؤيت مشتري مي باشد - خودروي فاز پروژه ( سري اول توليد ) - ماندگاري بالا - زدگي غربيلك فرمان - كسري نشان دهنده حالت دنده - خط لبه درب موتور - شكستگي يك عدد سوئيچ و جلو پنجره - رنگ پريدگي و خش سپر جلو سمت راست - ( ايرادات غير قابل ريورك مطابق استاندارد كارخانه )</t>
  </si>
  <si>
    <t>خط و خش و قري و كسري هاي ظاهري به رؤيت مشتري مي باشد - خودروي فاز پروژه ( سري اول توليد ) - ماندگاري بالا زدگي غربيلك فرمان - ( ايرادات غير قابل ريورك مطابق استاندارد كارخانه )</t>
  </si>
  <si>
    <t>هايما S5 توربو اتوماتيک کلاس 1 مشكي متاليك</t>
  </si>
  <si>
    <t>NY073093</t>
  </si>
  <si>
    <t>GN15TF23001526A</t>
  </si>
  <si>
    <t>خط و خش و قري و كسري هاي ظاهري به رؤيت مشتري مي باشد - تصادفي بودن درب موتور و سپر جلو و جلو پنجره و سيني فن و چراغ جلو چپ و باز شدن ايربگ ها و دفرمگي گلگير جلو چپ و راست و آسيب ديدگي رادياتها - خراب بودن مانيتور - ( ايرادات غير قابل ريورك مطابق استاندارد كارخانه )</t>
  </si>
  <si>
    <t>S5-T-AT</t>
  </si>
  <si>
    <t>کد کلاس: 52201</t>
  </si>
  <si>
    <t>شماره بدنه: NY073093</t>
  </si>
  <si>
    <t>تندر90+ (پلاس) اتوماتيك تندر90+ (پلاس) اتوماتيك سفيد شيري پرشين</t>
  </si>
  <si>
    <t>LA623753</t>
  </si>
  <si>
    <t>100017827RR116425</t>
  </si>
  <si>
    <t>338-40ي45</t>
  </si>
  <si>
    <t>TONDAR 90+ at</t>
  </si>
  <si>
    <t>کد کلاس: 56679</t>
  </si>
  <si>
    <t>شماره بدنه: LA623753</t>
  </si>
  <si>
    <t>LA623794</t>
  </si>
  <si>
    <t>100017827RR116376</t>
  </si>
  <si>
    <t>خط و خش و قري و كسري هاي ظاهري به رؤيت مشتري مي باشد - ماندگاري بالا و افت مدل ( بدليل محدوديت زمان شماره گذاري خودرو بنام ايران خودرو پلاك شده است ) - موج ركاب راست</t>
  </si>
  <si>
    <t>444-40ي33</t>
  </si>
  <si>
    <t>شماره بدنه: LA623794</t>
  </si>
  <si>
    <t>هايماS7 توربو اتوماتيك كلاس2 مشكي متاليك</t>
  </si>
  <si>
    <t>MY051284</t>
  </si>
  <si>
    <t>484QT18002556A</t>
  </si>
  <si>
    <t>خط و خش و قري و كسري هاي ظاهري به رؤيت مشتري مي باشد - موتور خودرو تعويضي مي باشد ( تعويضي بودن موتور در شناسنامه مالكيت صادره از سوي پليس ثبت شده است ) - كسري آنتن - خودرو ايراد فني دارد ( خاموش شدن حين حركت - نشتي روغن ) - نيش قري ستون وسط چپ - خودرو ايراد فني كيلس دارد ( مدام بايد دكمه استارت را تا روشن شدن موتور نگهداشت ) - موتور در حالت سرد بد كار ميكند - خط روي سپرها - ايراد متعدد برقي دارد ( كولر ، راديوپخش و سيم كشي خودبخود خاموش مي شوند و عملكرد ندارند )</t>
  </si>
  <si>
    <t>666-40ي37</t>
  </si>
  <si>
    <t>S7-T-AT</t>
  </si>
  <si>
    <t>کد کلاس: 51802</t>
  </si>
  <si>
    <t>شماره بدنه: MY051284</t>
  </si>
  <si>
    <t>شماره جایگاه: 24 (جهت بازدید)</t>
  </si>
  <si>
    <t>هايماS7 توربو اتوماتيك كلاس2 سفيد دوپوششه كانزاي</t>
  </si>
  <si>
    <t>MY023511</t>
  </si>
  <si>
    <t>1401/08/08</t>
  </si>
  <si>
    <t>484QT04001229A</t>
  </si>
  <si>
    <t>خط و خش و قري و كسري هاي ظاهري به رؤيت مشتري مي باشد - كسري فندك - لاستيكها كاركرده - كسري بكسل بند و پيچ گوشتي - ايراد رنگي بدنه ( درب موتور و درب جلو راست و ستون جلو راست و درب صندوق ) - كسري ليوان - رنگ پريدگي سپرها</t>
  </si>
  <si>
    <t>222-25ن99</t>
  </si>
  <si>
    <t>شماره بدنه: MY023511</t>
  </si>
  <si>
    <t>شماره جایگاه: 23 (جهت بازدید)</t>
  </si>
  <si>
    <t>NY071813</t>
  </si>
  <si>
    <t>GN15TF21000285A</t>
  </si>
  <si>
    <t>خط و خش و قري و كسري هاي ظاهري به رؤيت مشتري مي باشد - اثر ضربه روي باربند سقف سمت راست - ايرادات غير قابل ريورك مطابق استاندارد كارخانه - كسري قاب روي باربند - كسري زيرپايي ها</t>
  </si>
  <si>
    <t>شماره بدنه: NY071813</t>
  </si>
  <si>
    <t>NY073483</t>
  </si>
  <si>
    <t>GN15TF23001736A</t>
  </si>
  <si>
    <t>خط و خش و قري و كسري هاي ظاهري به رؤيت مشتري مي باشد - خش درب جلو و گلگير عقب چپ و گلگير جلو و درب جلو راست - كسري رم و ليوان - سنسور دوربين عقب ايراد دارد - كسري زيرپايي ها - ( ايرادات غير قابل ريورك مطابق استاندارد كارخانه )</t>
  </si>
  <si>
    <t>شماره بدنه: NY073483</t>
  </si>
  <si>
    <t>هايما S5 توربو اتوماتيک کلاس 1 نقره اي متاليك</t>
  </si>
  <si>
    <t>NY071872</t>
  </si>
  <si>
    <t>GN15TF19001671A</t>
  </si>
  <si>
    <t>خط و خش و قري و كسري هاي ظاهري به رؤيت مشتري مي باشد - ايراد رنگي درب جلو چپ - كسري ليوان و زيرپايي ها و فندك - ( ايرادات غير قابل ريورك مطابق استاندارد كارخانه )</t>
  </si>
  <si>
    <t>شماره بدنه: NY071872</t>
  </si>
  <si>
    <t>NY070226</t>
  </si>
  <si>
    <t>GN15TF17001206A</t>
  </si>
  <si>
    <t>خط و خش و قري و كسري هاي ظاهري به رؤيت مشتري مي باشد - خودرو تحت تست عملكردي بوده است - پيمايش زياد - كسري درب جعبه فيوز - خش درب عقب چپ - كسري ليوان و زيرپايي ها - ( ايرادات غير قابل ريورك مطابق استاندارد كارخانه )</t>
  </si>
  <si>
    <t>شماره بدنه: NY070226</t>
  </si>
  <si>
    <t>NY060014</t>
  </si>
  <si>
    <t>484QT1A003652A</t>
  </si>
  <si>
    <t>خط و خش و قري و كسري هاي ظاهري به رؤيت مشتري مي باشد - خودرو ايراد رنگي دارد - ايراد رنگي درب عقب راست و سپرها - موتور بد كار مي كند - كسري زير پايي ها و سروالفها و پيچ گوشتي</t>
  </si>
  <si>
    <t>445-63د21</t>
  </si>
  <si>
    <t>شماره بدنه: NY060014</t>
  </si>
  <si>
    <t>شماره جایگاه: 25 (جهت بازدید)</t>
  </si>
  <si>
    <t>NY070729</t>
  </si>
  <si>
    <t>GN15TF1B002255A</t>
  </si>
  <si>
    <t>خط و خش و قري و كسري هاي ظاهري به رؤيت مشتري مي باشد - ايراد رنگي بدنه - قري درب عقب چپ و درب صندوق و درب عقب راست - خش سپر عقب - كسري دو عدد سوئيچ و زيرپايي ها - لاستيك ها كاركرده</t>
  </si>
  <si>
    <t>163-52د48</t>
  </si>
  <si>
    <t>شماره بدنه: NY070729</t>
  </si>
  <si>
    <t>هايماS7 توربو اتوماتيك كلاس2 خاكستري متاليك</t>
  </si>
  <si>
    <t>NY061029</t>
  </si>
  <si>
    <t>484QT21000060A</t>
  </si>
  <si>
    <t>خط و خش و قري و كسري هاي ظاهري به رؤيت مشتري مي باشد - خودرو تحت تست عملكردي بوده است - كسري زيرپايي ها - ( ايرادات غير قابل ريورك مطابق استاندارد كارخانه )</t>
  </si>
  <si>
    <t>شماره بدنه: NY061029</t>
  </si>
  <si>
    <t>شماره جایگاه: 483 (جهت بازدید)</t>
  </si>
  <si>
    <t>NY061276</t>
  </si>
  <si>
    <t>1402/02/26</t>
  </si>
  <si>
    <t>484QT21000080A</t>
  </si>
  <si>
    <t>خط و خش و قري و كسري هاي ظاهري به رؤيت مشتري ميباشد - موتور خودرو تعويضي ميباشد و مراتب تعويض موتور در شناسنامه مالكيت خودرو ثبت شده است - موتور خودرو داراي ايراد فني كم كردن روغن بوده كه با تعويض موتور فعلا رفع شده - خش سپر جلو و گلگير جلو چپ و خش و رنگ پريدگي درب جلو و عقب چپ و خش گلگير عقب چپ و سپر عقب و درب صندوق - قري و خش گلگير عقب راست و درب عقب راست - خش درب جلو و گلگير جلو راست - رنگ پريدگي و خش درب موتور - خوردگي ركاب چپ - كنده شدن دوربين جلو روي سپر جلو - تيغه برف پاك كن مستعمل - خش آينه بغل چپ - كسري آنتن - لاستيكها كاركرده - خش چراغ عقب چپ</t>
  </si>
  <si>
    <t>128-40ي45</t>
  </si>
  <si>
    <t>شماره بدنه: NY061276</t>
  </si>
  <si>
    <t>هايما S5 توربو اتوماتيک کلاس 1 سفيد دو پوششه</t>
  </si>
  <si>
    <t>MY040948</t>
  </si>
  <si>
    <t>GN15TF17001109A</t>
  </si>
  <si>
    <t>خط و خش و قري و كسري هاي ظاهري به رؤيت مشتري ميباشد - ماندگاري بالا و افت مدل - خودرو تحت تست بوده است - قري درب جلو چپ - رنگ پريدگي سپر جلو چپ - كسري زيرپايي ها - ( ايرادات غيرقابل ريورك مطابق استاندارد كارخانه )</t>
  </si>
  <si>
    <t>شماره بدنه: MY040948</t>
  </si>
  <si>
    <t>NY060865</t>
  </si>
  <si>
    <t>484QT1A004057A</t>
  </si>
  <si>
    <t>خط و خش و قري و كسري هاي ظاهري به رؤيت مشتري مي باشد - خودرو ايراد رنگي دارد ( ايراد رنگي گلگير جلو چپ و زبري سر تا سر بدنه ) - كسري ابزارهاي داخل صندوق و لاستيكهاي زيرپايي و فندك - خش آينه ها</t>
  </si>
  <si>
    <t>835-40م85</t>
  </si>
  <si>
    <t>شماره بدنه: NY060865</t>
  </si>
  <si>
    <t>NY063002</t>
  </si>
  <si>
    <t>1402/08/10</t>
  </si>
  <si>
    <t>484QT24002631A</t>
  </si>
  <si>
    <t>خط و خش و قري و كسري هاي ظاهري به رؤيت مشتري مي باشد - ايراد رنگي بدنه دارد ( درب جلو راست ) - لاستيكها كاركرده</t>
  </si>
  <si>
    <t>555-40ي36</t>
  </si>
  <si>
    <t>شماره بدنه: NY063002</t>
  </si>
  <si>
    <t>NY071822</t>
  </si>
  <si>
    <t>GN15TF21000262A</t>
  </si>
  <si>
    <t>خط و خش و قري و كسري هاي ظاهري به رؤيت مشتري مي باشد - پريدگي رنگ در نقاط مختلف بدنه - كسري زيرپايي ها و سروالفها - شكستگي آينه هاي جانبي - خش قاب روي داشبورد - نيش قري و رنگ پريدگي درب صندوق - ( ايرادات غير قابل ريورك مطابق استاندارد كارخانه )</t>
  </si>
  <si>
    <t>شماره بدنه: NY071822</t>
  </si>
  <si>
    <t>هايما S5 توربو اتوماتيک کلاس 1 سفيد دوپوششه كانزاي</t>
  </si>
  <si>
    <t>NY071328</t>
  </si>
  <si>
    <t>GN15TF21000479A</t>
  </si>
  <si>
    <t>خط و خش و قري و كسري هاي ظاهري به رؤيت مشتري مي باشد - خودرو تحت تست بوده است - كسري زيرپايي ها و آنتن - لاستيكها كاركرده - كيلومتر خراب مي باشد و كاركرد واقعي نيست - ( ايرادات غيرقابل ريورك مطابق استاندارد كارخانه )</t>
  </si>
  <si>
    <t>شماره بدنه: NY071328</t>
  </si>
  <si>
    <t>پژو 2008 اتوماتيك با موتورEP6 كلاس 1 سفيد دو پوششه</t>
  </si>
  <si>
    <t>LD060137</t>
  </si>
  <si>
    <t>10FJCE2403611</t>
  </si>
  <si>
    <t>خط و خش و قري و كسري هاي ظاهري به رؤيت مشتري مي باشد - خودرو ايراد فني دارد ( سيستم برق و الكتريكال خودرو ايراد دارد و خودرو در حين حركت خاموش مي شود ) - رينگ چرخ هاي جلو سائيدگي دارد - موج ورق درب راننده - خش سپر عقب - آچار خوردگي پيچ هاي درب هاي عقب - خش ستون وسط چپ و پارگي نوار دور درب راننده - خش درب عقب چپ - پارگي نوار دور درب جلو راست - جا نبودن درب جعبه فيوز - كسري فندك - تيغه برف پاك كن مستعمل - لاستيك ها كار كرده</t>
  </si>
  <si>
    <t>847-99و36</t>
  </si>
  <si>
    <t>2008 اتوماتيك</t>
  </si>
  <si>
    <t>کد کلاس: 30001</t>
  </si>
  <si>
    <t>شماره بدنه: LD060137</t>
  </si>
  <si>
    <t>شماره جایگاه: 34 (جهت بازدید)</t>
  </si>
  <si>
    <t>NY063800</t>
  </si>
  <si>
    <t>484QT25003040A</t>
  </si>
  <si>
    <t>خط و خش وقري و كسري هاي ظاهري به رؤيت مشتري مي باشد - قري سقف زير باربند عقب راست - كسري ابزارهاي داخل صندوق و زيرپايي ها - ( ايرادات غيرقابل ريورك مطابق استاندارد كارخانه )</t>
  </si>
  <si>
    <t>شماره بدنه: NY063800</t>
  </si>
  <si>
    <t>NY061006</t>
  </si>
  <si>
    <t>484QT1A003625A</t>
  </si>
  <si>
    <t>خط و خش و قري و كسري هاي ظاهري به رؤيت مشتري مي باشد - خودرو تحت تست بوده است - كسري زيرپايي ها و ابزارهاي داخل صندوق - سائيدگي سپر جلو - ( ايرادات غيرقابل ريورك مطابق استاندارد كارخانه )</t>
  </si>
  <si>
    <t>شماره بدنه: NY061006</t>
  </si>
  <si>
    <t>NY062458</t>
  </si>
  <si>
    <t>484QT22001311A</t>
  </si>
  <si>
    <t>خط و خش و قري و كسري هاي ظاهري به رؤيت مشتري مي باشد - كسري ابزارهاي داخل صندوق و زيرپايي ها - موج ورق اطراف سانروف - عملكرد ناقص مولتي مديا - ( ايرادات غيرقابل ريورك مطابق استاندارد كارخانه )</t>
  </si>
  <si>
    <t>شماره بدنه: NY062458</t>
  </si>
  <si>
    <t>خط و خش و قري و كسري هاي ظاهري به رؤيت مشتري مي باشد - خودرو تحت تست بوده است - كسري زيرپايي ها - ( ايرادات غير قابل ريورك مطابق استاندارد كارخانه )</t>
  </si>
  <si>
    <t>NY061183</t>
  </si>
  <si>
    <t>484QT21000107A</t>
  </si>
  <si>
    <t>خط و خش و قري و كسري هاي ظاهري به رؤيت مشتري ميباشد - خودرو تحت تست بوده است - كسري كف پايي ها - ( ايرادات غير قابل ريورك مطابق استاندارد كارخانه )</t>
  </si>
  <si>
    <t>شماره بدنه: NY061183</t>
  </si>
  <si>
    <t>new</t>
  </si>
  <si>
    <t>NY065480</t>
  </si>
  <si>
    <t>1402/09/05</t>
  </si>
  <si>
    <t>484QT26004467A</t>
  </si>
  <si>
    <t>خط و خش و قري و كسري هاي ظاهري به رؤيت مشتري مي باشد - ايراد رنگي بدنه دارد ( گلگير عقب راست ) - خش درب موتور و سپر جلو - تيغه برف پاك كن كاركرده - خش آينه بغل چپ - لاستيكها كاركرده</t>
  </si>
  <si>
    <t>شماره بدنه: NY065480</t>
  </si>
  <si>
    <t>خط و خش و قري و كسري هاي ظاهري به رؤيت مشتري مي باشد - ماندگاري بالا و افت مدل - خودرو بد استارت ميخورد و بد روشن ميشود و صداي غير طبيعي دارد ( ايراد فني اساسي دارد ) - ( بدليل محدوديت زمان شماره گذاري خودرو بنام ايران خودرو پلاك شده است )</t>
  </si>
  <si>
    <t>خط و خش و قري و كسري هاي ظاهري به رؤيت مشتري مي باشد - ماندگاري بالا و افت مدل - شكستگي آينه راست - ( بدليل محدوديت زمان شماره گذاري خودرو بنام ايران خودرو پلاك شده است )</t>
  </si>
  <si>
    <t>NF231344</t>
  </si>
  <si>
    <t>1402/04/10</t>
  </si>
  <si>
    <t>147H0655596</t>
  </si>
  <si>
    <t>خط و خش و قري و كسري هاي ظاهري به رؤيت مشتري مي باشد - موتور سوخته ( دچار حريق شده ) - جلوي خودرو سوخته مي باشد - لوازم موتوري سوخته و كسري مي باشد - سيم كشي داخل خودرو باز شده و كسري مي باشد - يكي از پلاكها سوخته و داخل خودرو - خش گلگير عقب چپ - كسري درب جعبه فيوز - شكستگي جاي آنتن - باز بودن قاب ستون جلو راست از داخل - كسري راهنماي گلگير جلو راست - سوختگي درب موتور و گلگيرهاي جلو و سيني پشت و لوازم موتور برف پاك كن و ترمز و تمامي شيلنگها - سوختگي تمامي قطعات موتور و سيم كشي موتور و تمام محفظه موتور - كسري چراغ هاي جلو و سپر جلو و مجموعه كامل فن و سيني فن و هواكش و بسياري از قطعات ديگر - رينگ و لاستيكهاي جلو آثار حريق دارد - آثار حريق روي قسمت هايي بدنه - خش درب جلو و عقب چپ و خش دربهاي راست - شكستگي پايه نگهدارنده سپر عقب - كسري درب راديات و درب روغن ترمز و درب روغن هيدروليك و درب روغن موتور و باطري و اي سي يو و گيج روغن و سنسور هوا و نمدي درب موتور و زيرپايي ها و جلو پنجره و آنتن و شبرنگ - سوختگي تيغه برف پاك كن - خش آينه هاي جانبي - لاستيكها كاركرده و متفرقه و مستعمل - شكستگي شيشه جلو - مغايرت رنگ درب باك - موكت صندوق مستعمل</t>
  </si>
  <si>
    <t>939-37ل67</t>
  </si>
  <si>
    <t>شماره بدنه: NF231344</t>
  </si>
  <si>
    <t>پژو پارس TU5 كلاس 15 سفيد دو پوششه</t>
  </si>
  <si>
    <t>JH564998</t>
  </si>
  <si>
    <t>1401/12/15</t>
  </si>
  <si>
    <t>181B0071376</t>
  </si>
  <si>
    <t>خط و خش و قري و كسري هاي ظاهري به رؤيت مشتري مي باشد - خودرو از ناحيه جلو شامل موتور و محوطه موتور و قطعات آن و درب موتور و گلگيرها دچار حريق شده - تصادفي بودن سپر جلو و درب موتور و جلو پنجره و بكسل بند جلو - كسري چراغ هاي جلو و مه شكن هاي جلو و سپر و رادياتها و بسياري از قطعات موتوري ديگر - تصادفي بودن گلگير جلو چپ و گلگير جلو راست - موتور كامل سوخته - كسري تمامي قطعات موتوري و محوطه موتور - سوختگي تمامي سيم كشي ها و سوكتها و لوله ها و درب موتور و زير خودرو و گلگيرهاي جلو - خوردگي گلگير عقب و درب عقب چپ و خش و قري درب جلو چپ - خش سپر عقب - خش و قري و رنگ پريدگي درب صندوق و خوردگي گلگير عقب راست و پوسيدگي پليت عقب و گلگير عقب راست - قري و خش درب عقب راست - خش و رنگ پريدگي درب جلو راست - كسري قفل كن دربهاي چپ و درب جعبه فيوز و چراغ هاي سقف - صندليها و رودريها و كنسول وسط و داشبورد مستعمل و زدگي و پارگي دارند - كسري يك عدد سوئيچ و ولوم ضبط و زيرپايي و جلو پنجره و آنتن و جك و اچارچرخ و زاپاس و شبرنگ - تيغه برف پاك كن مستعمل - كسري دو عدد لوگوي وسط رينگ - لاستيكها كاركرده و متفرقه - خش شيشه هاي جلو - شكستگي چراغ عقب - موكت صندوق مستعمل - خودرو داراي يكعدد پلاك انتظامي مي باشد</t>
  </si>
  <si>
    <t>297-73م29</t>
  </si>
  <si>
    <t>کد کلاس: 28515</t>
  </si>
  <si>
    <t>شماره بدنه: JH564998</t>
  </si>
  <si>
    <t>1402/02/10</t>
  </si>
  <si>
    <t>خط و خش و قري و كسري هاي ظاهري به رؤيت مشتري مي باشد - چراغ سرويس روشن - خراب بودن دستگيره داخلي جلو چپ - زنگ زدگي نقاطي از بدنه - مات بودن چراغ هاي جلو - خوردگي درب موتور و گلگير جلو چپ و درب جلو چپ و سپر جلو و درب جلو راست و ركاب راست و سپر جلو - مغاير بودن دستگيره بيروني درب عقب چپ و آينه بغل راست - خش و قري درب عقب چپ و گلگير عقب چپ و درب عقب راست - خش گلگير عقب راست - خوردگي ركاب چپ - خش عميق درب صندوق - كسري لوگوي وسط رينگ چرخ عقب راست - كسري ليوان - ديسك و صفحه كلاچ ضعيف مي باشد - باطري مستعمل و متفرقه - نمدي درب موتور مستعمل - شكستگي تيغه يك عدد سوئيچ - زيرپايي ها و تيغه برف پاك كن مستعمل - رنگ پريدگي جلو پنجره - شكستگي آينه بغل چپ - رينگ اسپرت خش و خوردگي دارد - لاستيكها مستعمل و متفرقه - رنگ پريدگي درب باك - زاپاس كاركرده و متفرقه - موكت صندوق مستعمل - سوئيچ اول مغاير و متفرقه و به دربها نميخورد ( درب با سوئيچ باز نمي شود )</t>
  </si>
  <si>
    <t>MT288839</t>
  </si>
  <si>
    <t>172B0070105</t>
  </si>
  <si>
    <t>خط و خش و قري و كسري هاي ظاهري به رؤيت مشتري مي باشد - خودرو ايراد فني دارد - خودرو كشش ندارد و حركت آن عملكرد صحيح ندارد - خودرو سوابق تعميراتي متعدد دارد و هنوز برخي ايرادات آن برطرف نشده است - موتور خودرو بد كار مبكند و صداي اضافه هم دارد - گيربكس ايراد فني دارد - خوردگي سپر جلو - رنگ پريدگي زه درب راننده - رنگ پريدگي و خش سپر عقب و خش درب عقب راست و گلگير جلو راست - يكعدد سوئيچ كسري - شكستگي جلوپنجره - لاستيك هاي زيرپايي و تيغه هاي برف پاك كن مستعمل - خش آينه ها - لاستيكها كاركره</t>
  </si>
  <si>
    <t>381-92د34</t>
  </si>
  <si>
    <t>شماره بدنه: MT288839</t>
  </si>
  <si>
    <t>NK462233</t>
  </si>
  <si>
    <t>1402/05/20</t>
  </si>
  <si>
    <t>125K0009705</t>
  </si>
  <si>
    <t>خط و خش و قري و كسري هاي ظاهري به رؤيت مشتري مي باشد - داخل محوطه موتور آثار حريق وجود دارد - كسري سنسور روي كاتاليزور - خوردگي سپر جلو - عدم جذب زه درب عقب راست - مجموعه قالپاق سوپاپ موتور و لوله هاي سوخت و موتور و ساير قطعات سوخته شده محفظه موتور دچار سوختگي شده - بدليل تخليه كامل روغن موتور ، خودرو روشن نمي شود و موتور خودرو ياتاقان زده - تيغه برف پاك كن و نمدي درب موتور مستعمل - لاستيكها كاركرده - كسري شبرنگ</t>
  </si>
  <si>
    <t>291-95ل78</t>
  </si>
  <si>
    <t>شماره بدنه: NK462233</t>
  </si>
  <si>
    <t>MK079437</t>
  </si>
  <si>
    <t>124K1612045</t>
  </si>
  <si>
    <t>خط و خش و قري و كسري هاي ظاهري به رؤيت مشتري مي باشد - سيستم ترمز خودرو ايراد دارد - تصادف شديد از ناحيه جلو ( به دليل ايراد در سيستم ترمز ) - سردنده و قاب دور دسته دنده و قاب روي باندها كسري - خودرو كسري لوازم دارد - شكستگي سپر جلو و چراغ هاي جلو و مه شكن ها - دفرمگي رودريهاي جلو - صندليها مستعمل - خوردگي درب موتور و گلگيرهاي جلو و مجموعه كامل فن و سيني فن و رادياتورها و سيني روي رادياتورها و تقويت عرضي شاسي - زدگي كشوي وسط كنسول - خش و قري دربهاي راست و چپ - خش گلگير عقب چپ و درب صندوق - سائيدگي سپر عقب - خش گلگير عقب راست - قري دربهاي راست و پليت عقب - كسري بست منفي باطري - باطري دشارژ - كسري يكعدد سوئيچ - مستعمل بودن لاستيكهاي كفي - جلوپنجره ندارد - تيغه هاي برف پاك كن مستعمل - خش آينه ها - آنتن ندارد - قالپاق ندارد - لاستيكها كاركرده - شكستگي شيشه جلو - جك و آچارچرخ و زاپاس و شبرنگ ندارد</t>
  </si>
  <si>
    <t>114-32و35</t>
  </si>
  <si>
    <t>شماره بدنه: MK079437</t>
  </si>
  <si>
    <t>LJ176629</t>
  </si>
  <si>
    <t>1402/01/05</t>
  </si>
  <si>
    <t>182A0123206</t>
  </si>
  <si>
    <t>خط و خش و قري و كسري هاي ظاهري به رؤيت مشتري مي باشد - ايراد رنگي بدنه ( درب موتور و گلگير جلو راست و ستون جلو راست و درب صندوق و گلگير جلو چپ و ... ) - قري درب جلو و عقب چپ - لاستيك ها كاركرده</t>
  </si>
  <si>
    <t>شماره بدنه: LJ176629</t>
  </si>
  <si>
    <t>KF610006</t>
  </si>
  <si>
    <t>147H0446833</t>
  </si>
  <si>
    <t>خط و خش و قري و كسري هاي ظاهري به رؤيت مشتري مي باشد - موتور خودرو ايراد فني دارد و روشن نمي شود - عدم تست فني خودرو - موج ورق دربها - خط و خش ريز بدنه - ماندگاري بالا و افت مدل - ( ايرادات غيرقابل ريورك مطابق استاندارد كارخانه )</t>
  </si>
  <si>
    <t>999-40ي32</t>
  </si>
  <si>
    <t>شماره بدنه: KF610006</t>
  </si>
  <si>
    <t>پژو پارس کلاس 42 سفيد دوپوششه كانزاي</t>
  </si>
  <si>
    <t>NK907009</t>
  </si>
  <si>
    <t>124K1685151</t>
  </si>
  <si>
    <t>خط و خش و قري و كسري هاي ظاهري به رؤيت مشتري مي باشد - ايراد فني موتوري دارد - خودرو سوابق تعميراتي متعددي داشته كه بعضي از ايرادات آن برطرف نگرديده - آمپر آب بالا مي رود - چراغ چك روشن و ايراد دارد - قري و خش دربهاي راست - خش درب موتور - رنگ پريدگي سپر عقب - خش و قري درب عقب چپ و خش درب جلو چپ - كولر خراب مي باشد - باطري مستعمل و دشارژ - كسري يك عدد سوئيچ - زيرپايي ها و تيغه برف پاك كن مستعمل - خش آينه راست - لاستيكها كاركرده و متفرقه - كسري شبرنگ</t>
  </si>
  <si>
    <t>122-68س33</t>
  </si>
  <si>
    <t>شماره بدنه: NK907009</t>
  </si>
  <si>
    <t>MF919934</t>
  </si>
  <si>
    <t>1401/12/11</t>
  </si>
  <si>
    <t>147H0610063</t>
  </si>
  <si>
    <t>خط و خش و قري و كسري هاي ظاهري به رؤيت مشتري مي باشد - موتور خودرو بد كار ميكند - كسري آرم سوئيچ - زيرپايي ها و تيغه برف پاك كن مستعمل - خش آينه چپ - لاستيك ها كاركرده - ايراد رنگي بدنه -خوردگي سپرها - رنگ پريدگي زه دربها - رنگ پريدگي سپرها - خوردگي سپرها - سائيگي درب جلو چپ و رنگ پريدگي درب عقب چپ و گلگير عقب راست و زه درب جلو راست - موج ورق درب جلو راست - رنگ پريدگي درب موتور - خش چراغ جلو چپ</t>
  </si>
  <si>
    <t>962-15ل95</t>
  </si>
  <si>
    <t>شماره بدنه: MF919934</t>
  </si>
  <si>
    <t>MF919343</t>
  </si>
  <si>
    <t>1402/06/15</t>
  </si>
  <si>
    <t>147H0608592</t>
  </si>
  <si>
    <t>خط و خش و قري و كسري هاي ظاهري به رؤيت مشتري مي باشد - ماندگاري بالا و افت مدل - كسري زيرپايي عقب - احتمال اينكه كيلومتر غير واقعي باشد وجود دارد - قري درب عقب چپ - رنگ پريدگي بكسل بند جلو - تيغه برف پاك كن مستعمل - لاستيكها كاركرده</t>
  </si>
  <si>
    <t>431-13ص98</t>
  </si>
  <si>
    <t>شماره بدنه: MF919343</t>
  </si>
  <si>
    <t>NK849194</t>
  </si>
  <si>
    <t>125K0034410</t>
  </si>
  <si>
    <t>خط و خش و قري و كسري هاي ظاهري به رؤيت مشتري مي باشد - ايراد رنگي بدنه - رنگ پريدگي دستگيره كاپوت كش ( زير كاپوت ) - نفوذ آب به داخل اتاق - رنگ پريدگي ركاب راست</t>
  </si>
  <si>
    <t>767-36ي69</t>
  </si>
  <si>
    <t>شماره بدنه: NK849194</t>
  </si>
  <si>
    <t>پژو 207i دستي کلاس 10 نقره اي متاليك</t>
  </si>
  <si>
    <t>MJ420134</t>
  </si>
  <si>
    <t>1402/02/15</t>
  </si>
  <si>
    <t>167B0123152</t>
  </si>
  <si>
    <t>خط و خش و قري و كسري هاي ظاهري به رؤيت مشتري مي باشد - قسمت جلوي خودرو تصادفي مي باشد - ايربگ ها باز شده - لوازم خودرو كسري مي باشد - كسري قاب روي آينه از داخل - ايراد مدولاتور اي بي اس ( ترمز ايراد دارد ) - تصادفي بودن درب موتور و رادياتور و كندانسور كولر و گلگيرهاي جلو و دسته سيم پنل جلو و سيني فن - خودرو بدليل ايراد ترمز از ناحيه جلو تصادف شديد داشته ( سپر جلو و چراغ هاي جلو و شاسي هاي جلو و شيشه جلو و سيني پشت موتور و پشت داشبورد و چرخ هاي جلو - موتور ضربه خورده و شكستگي موتور و بعضي قطعات موتوري - كسري برخي قطعات موتوري - خوردگي دينام و منيفولد و اگزوز و گيربكس و ديفرانسيل و قسمت جلوي موتور - شكستگي لوله هاي گاز كولر و قطعات ديگر محوطه موتور - كسري ناخني دربها و لوگوي رينگ هاي جلو - قري و خش دربها - رنگ پريدگي زه دربها - خراش سپر عقب - كسري قاب سه گوش آينه هاي بغل - داشبورد ضربه خورده و برخي قطعات شكسته - سيستم تهويه هوا مستعمل و شكسته - كنسول وسط و اطراف آن شكسته - كسري گج روغن و اي سي يو و سيني زير موتور و يك عدد سوئيچ و دكمه شيشه بالابر و جلو پنجره و آنتن - شكستگي شيشه جلو - شكستگي گيربكس</t>
  </si>
  <si>
    <t>848-74ي79</t>
  </si>
  <si>
    <t>شماره بدنه: MJ420134</t>
  </si>
  <si>
    <t>NF155903</t>
  </si>
  <si>
    <t>1402/06/08</t>
  </si>
  <si>
    <t>147H0634470</t>
  </si>
  <si>
    <t>خط و خش و قري و كسري هاي ظاهري به رؤيت مشتري مي باشد - ايراد رنگي درب عقب چپ و رنگ پريدگي لبه درب جلو چپ - موتور خودرو بد كار مي كند و لرزش وصداي اضافي دارد - باطري مستعمل و متفرقه - تيغه برف پاك كن مستعمل - زنگ زدگي داخل رينگها - لاستيكها كاركرده</t>
  </si>
  <si>
    <t>749-28ن41</t>
  </si>
  <si>
    <t>شماره بدنه: NF155903</t>
  </si>
  <si>
    <t>ME320911</t>
  </si>
  <si>
    <t>1402/01/29</t>
  </si>
  <si>
    <t>147H0558667</t>
  </si>
  <si>
    <t>خط و خش و قري و كسري هاي ظاهري به رؤيت مشتري مي باشد - ايراد رنگي بدنه - موتور خودرو ايراد فني اساسي دارد و تايم رد كرده - باطري دشارژ - زيرپايي ها و تيغه برف پاك كن مستعمل - لاستيكها كاركرده - كنسول وسط كسري قطعه دارد - ايراد رنگي درب جلو و عقب راست و درب عقب چپ و پايه نگهدارنده درب موتور - رنگ پريدگي سپرها و بكسل بند جلو - نيش قري لبه درب جلو راست - روغن ريزي در نواحي گيربكس و بغل موتور - خش درب موتور</t>
  </si>
  <si>
    <t>279-92س12</t>
  </si>
  <si>
    <t>شماره بدنه: ME320911</t>
  </si>
  <si>
    <t>دنا كلاس17 مشكي متاليك</t>
  </si>
  <si>
    <t>ME320803</t>
  </si>
  <si>
    <t>1401/12/25</t>
  </si>
  <si>
    <t>147H0561239</t>
  </si>
  <si>
    <t>خط و خش و قري و كسري هاي ظاهري به رؤيت مشتري مي باشد - ايراد رنگي بدنه ( پوسيدگي و زنگ زدگي درب عقب و جلو چپ و درب جلو و عقب راست ) - خش گلگيرها - خش و رنگ پريدگي سپر جلو - موج ورق دربها - خط و خش دربها و گلگيرها و درب موتور و درب صندوق - قري درب عقب چپ - زاپاس پنچر و متفرقه</t>
  </si>
  <si>
    <t>788-92ج99</t>
  </si>
  <si>
    <t>شماره بدنه: ME320803</t>
  </si>
  <si>
    <t>NH482038</t>
  </si>
  <si>
    <t>1402/08/19</t>
  </si>
  <si>
    <t>139B0300193</t>
  </si>
  <si>
    <t>خط و خش و قري و كسري هاي ظاهري به رؤيت مشتري مي باشد - موتور و محوطه و قطعات موتوري دچار حريق شده - حريق از ناحيه موتور و محوطه موتور ( كوئل و كاتاليست و سيني زير موتور و نمدي درب موتور و دسته سيم اصلي موتور و ساير قطعات محوطه موتور ) - موتور روشن مي شود و بد كار مي كند و لرزش دارد - باطري مستعمل و دشارژ - نمدي درب موتور مستعمل - سوختگي سيني زير موتور - كسري يك عدد زيرپايي جلو - تيغه برف پاك كن مستعمل - لاستيكها كاركرده - كسري يك عدد سوئيچ</t>
  </si>
  <si>
    <t>549-34ج74</t>
  </si>
  <si>
    <t>شماره بدنه: NH482038</t>
  </si>
  <si>
    <t>دنا كلاس17 خاكستري متاليك</t>
  </si>
  <si>
    <t>ME325361</t>
  </si>
  <si>
    <t>147H0615567</t>
  </si>
  <si>
    <t>خط و خش و قري و كسري هاي ظاهري به رؤيت مشتري مي باشد - ايراد رنگي بدنه ( سقف و درب موتور و درب عقب چپ ) - چراغ چك روشن - شكستگي پك جك - خش درب صندوق - خش و قري و رنگ پريدگي دربهاي راست و چپ و رنگ پريدگي و خش گلگيرهاي چپ و راست و سپرها و سقف و رنگ پريدگي و خش درب موتور - ايراد فني دارد ( خيلي دير روشن مي شود و بدكار مي كند و بعضي اوقات روشن نمي شود ) - زيرپايي ها و تيغه برف پاك كن مستعمل - لاستيك ها كاركرده - خش چراغ عقب - موكت صندوق مستعمل</t>
  </si>
  <si>
    <t>228-63ج92</t>
  </si>
  <si>
    <t>شماره بدنه: ME325361</t>
  </si>
  <si>
    <t>NH879148</t>
  </si>
  <si>
    <t>1402/04/11</t>
  </si>
  <si>
    <t>167B0168539</t>
  </si>
  <si>
    <t>خط و خش و قري و كسري هاي ظاهري به رؤيت مشتري مي باشد - حريق از ناحيه موتور و محوطه موتور و داشبورد و سيم كشي هاي باطري و موتور و درب موتور - عدم تست فني خودرو - كسري لوازم - بازبودن قاب دور دكمه تنظيم صندلي راننده - سوختگي جعبه فيوز و سيم هاي متصل به آن و كابل منفي باطري و سيم كشي زير جعبه فيوز - آثار حريق زير شيشه جلو و گلگير جلو چپ و سيني پشت موتور و درب موتور و- سوختگي سيم كشي زير فرمان و زير كنسول وسط و زير داشبورد و كنسول وسط - زنگ زدگي و رنگ پريدگي سيني پشت موتور - كسري درب جعبه فيوز و فيوزهاي داخل موتور - شكستگي قفل كن درب موتور و پيچ قفل درب موتور - خش و رنگ پريدگي دربهاي چپ - رنگ پريدگي سپرها - باطري مستعمل - كسري يكعدد مف پايي - رنگ پريدگي آينه ها - مستعمل بودن تيغه هاي برف پاك كن - يكعدد قالپاق كسري - لاستيكها كاركرده -</t>
  </si>
  <si>
    <t>415-92س37</t>
  </si>
  <si>
    <t>شماره بدنه: NH879148</t>
  </si>
  <si>
    <t>NH867176</t>
  </si>
  <si>
    <t>139B0272185</t>
  </si>
  <si>
    <t>خط و خش و قري و كسري هاي ظاهري به رؤيت مشتري مي باشد - ايراد رنگي بدنه ( شيميايي بودن بدنه ) - قري و خش رب جلو چپ و درب عقب چپ - خش گلگير عقب راست و درب صندوق - قري و خش درب عقب راست و درب جلو راست و درب موتور - خش جلوپنجره - لاستيكها كاركرده</t>
  </si>
  <si>
    <t>883-62ط87</t>
  </si>
  <si>
    <t>شماره بدنه: NH867176</t>
  </si>
  <si>
    <t>پژو 207i دستي کلاس 10 مشكي متاليك (آبنوس)</t>
  </si>
  <si>
    <t>NJ354249</t>
  </si>
  <si>
    <t>1402/08/27</t>
  </si>
  <si>
    <t>166B0076747</t>
  </si>
  <si>
    <t>خط و خش و قري و كسري هاي ظاهري به رؤيت مشتري مي باشد - موتور و محوطه موتور و قطعات موتوري خودرو دچار حريق شده - باطري سوخته - گيج روغن شكسته و سوخته - كسري اي سي يو و يك عدد سوئيچ - سوختگي سنسور هوا و سيني زير موتور - خش جلو پنجره - خش آينه هاي بغل - درب موتور سوخته - لوازم موتوري سوخته و كسري قطعه دارد - سوختگي مجموعه هواكش - باز بودن و شكستگي اگزوز - قري درب جلو چپ - خش دربهاي چپ و گلگير عقب چپ و گلگير عقب راست و درب عقب راست و درب جلو راست و گلگير جلو راست - خراشيدگي سپر جلو - سوختگي سيم پيچي هاي داخل موتور و درپوش سرسيلندر و دريچه گاز</t>
  </si>
  <si>
    <t>836-63ب23</t>
  </si>
  <si>
    <t>شماره بدنه: NJ354249</t>
  </si>
  <si>
    <t>تارا دستي کلاس 1 سفيد دوپوششه كانزاي</t>
  </si>
  <si>
    <t>ND930142</t>
  </si>
  <si>
    <t>1402/01/25</t>
  </si>
  <si>
    <t>187B0005996</t>
  </si>
  <si>
    <t>خط و خش و قري و كسري هاي ظاهري به رؤيت مشتري مي باشد - خودرو ايراد فني دارد - خودرو سوابق تعميراتي متعددي نظير تعويض گيربكس و ديسك و صفحه و اكسل كامل عقب و جعبه فرمان برقي و ... داشته كه هنوز بعضي از ايرادات آن رفع نگرديده - كسري بكسل بند و پك بكسل بند و شبرنگ - خش و رنگ پريدگي درب جلو راست و درب عقب راست - موج ورق درب جلو راست و درب جلو چپ - رنگ پريدگي و خش درب هاي چپ - چراغ ايربك روشن - گيربكس ايراد دارد - باطري مستعمل و متفرقه - زيرپايي ها و تيغه برف پاك كن مستعمل - لاستيكها متفرقه</t>
  </si>
  <si>
    <t>125-17و87</t>
  </si>
  <si>
    <t>شماره بدنه: ND930142</t>
  </si>
  <si>
    <t>NJ276518</t>
  </si>
  <si>
    <t>1402/01/23</t>
  </si>
  <si>
    <t>167B0159669</t>
  </si>
  <si>
    <t>خط و خش و قري و كسري هاي ظاهري به رؤيت مشتري مي باشد - موتور دچار حريق شده - كسري نوارهاي لاستيكي دربها و فيوز داخل موتور و اتاق - بسياري از لوازم موتوري سوخته و كسري مي باشد - سوختگي قسمت جلو خودرو و هواكش و سيم كابل مثبت و لوله هاي متصل به رادياتها و تمامي سيم پيچي داخل موتور و شيلنگ هاي داخل موتور و بعضي از سوكت ها و زير خودرو و دريچه روي درب موتور و شيلنگ هاي مخزن شيشه شور - اثار حريق روي درب موتور و گلگيرهاي جلو و اطراف موتور - خوردگي گلگير جلو راست و سپر جلو و گلگير عقب راست و سپر عقب و درب هاي راست - خش درب صندوق و سقف - خش و رنگ پريدگي گلگير عقب و درب جلو چپ - قري و خش درب عقب چپ و خش گلگير جلو چپ - خش عميق درب موتور - باز بودن منبع گلويي اگزوز - خوردگي پلاك جلو - سوختگي باطري و سنسور هوا - كسري نمدي درب موتور و سيني زير موتور و فندك و آنتن و شبرنگ - خش و رنگ پريدگي جلو پنجره - تيغه برف پاك كن مستعمل - كسري قاب روي برف پاك كن ها - خش آينه بغل چپ - لاستيكها كاركرده - تيغه برف پاك كن عقب مستعمل</t>
  </si>
  <si>
    <t>835-62ص67</t>
  </si>
  <si>
    <t>شماره بدنه: NJ276518</t>
  </si>
  <si>
    <t>تارا دستي کلاس 1 خاكستري متاليك</t>
  </si>
  <si>
    <t>MD910969</t>
  </si>
  <si>
    <t>187B0000452</t>
  </si>
  <si>
    <t>خط و خش و قري و كسري هاي ظاهري به رؤيت مشتري مي باشد - ايراد رنگي بدنه ( ايراد رنگي سپرها و درب موتور و درب صندوق و دربهاي جلو ) - كسري زيرپايي ها - رزوه محل بستن بكسل بند جلو خراب است - قاب بكسل بند داخل خودرو - باطري دشارژ - خش آينه راست - كسري آنتن</t>
  </si>
  <si>
    <t>625-92ط86</t>
  </si>
  <si>
    <t>شماره بدنه: MD910969</t>
  </si>
  <si>
    <t>NJ242212</t>
  </si>
  <si>
    <t>1402/05/23</t>
  </si>
  <si>
    <t>185B0002900</t>
  </si>
  <si>
    <t>خط و خش و قري و كسري هاي ظاهري به رؤيت مشتري مي باشد - خودرو ايراد رنگي دارد - كسري 4 عدد لوگوي وسط رينگ - ايراد رنگي و قري سقف سمت راست و درب عقب چپ و كلاف درب عقب راست - قاب بكسل بند داخل خودرو - كسري آنتن</t>
  </si>
  <si>
    <t>675-32ب44</t>
  </si>
  <si>
    <t>شماره بدنه: NJ242212</t>
  </si>
  <si>
    <t>LE241367</t>
  </si>
  <si>
    <t>153H0015326</t>
  </si>
  <si>
    <t>خط و خش و قري و كسري هاي ظاهري به رؤيت مشتري مي باشد - ايراد فني موتوري دارد - خودرو سوابق تعميراتي متعددي داشته و ايرادات رفع نشده - چراغ سرويس روشن - خوردگي سپر جلو و سپر عقب - كسري سنسورهاي سپر عقب - خش و رنگ پريدگي گلگير عقب راست - خش و قري و رنگ پريدگي دربهاي راست و خش ركاب راست و گلگير جلو راست و خش و رنگ پريدگي درب موتور و خش گلگيرهاي چپ - قري و رنگ پريدگي و خش دربهاي چپ و گلگير عقب چپ و خش ركاب چپ و سقف - ايراد رنگي درب راننده و گلگير جلو چپ - نمدي درب موتور و زيرپايي ها و تيغه برف پاك كن مستعمل - مغاير بودن سوئيچ دوم - خش جلو پنجره و آينه بغل راست - لاستيكها كاركرده و متفرقه - شكستگي چراغ عقب چپ</t>
  </si>
  <si>
    <t>488-40ج21</t>
  </si>
  <si>
    <t>شماره بدنه: LE241367</t>
  </si>
  <si>
    <t>LE240305</t>
  </si>
  <si>
    <t>153H0014148</t>
  </si>
  <si>
    <t>خط و خش و قري و كسري هاي ظاهري به رؤيت مشتري مي باشد - ايراد فني موتوري دارد - خودرو سوابق تعميراتي متعدد داشته و ايراد رفع شده است - خش و قري و رنگ پريدگي گلگير عقب راست و دربهاي راست و گلگير جلو راست و خوردگي ركاب راست و خش و رنگ پريدگي درب موتور - خوردگي سپر جلو - شكستگي چراغ جلو راست - خش گلگير جلو چپ و ركاب چپ - خش و قري و رنگ پريدگي دربهاي چپ و خش گلگير عقب چپ و درب صندوق و سقف و سپر عقب و قري و رنگ پريدگي درب صندوق - كسري يك عدد آرم روي سوئيچ و فندك و شبرنگ - زيرپايي و تيغه برف پاك كن ها مستعمل - خش جلو پنجره و آينه هاي جانبي - لاستيكها كاركرده و متفرقه - شكستگي شيشه جلو و چراغ عقب راست</t>
  </si>
  <si>
    <t>219-40ب89</t>
  </si>
  <si>
    <t>شماره بدنه: LE240305</t>
  </si>
  <si>
    <t>LE242046</t>
  </si>
  <si>
    <t>153H0016491</t>
  </si>
  <si>
    <t>خط و خش و قري و كسري هاي ظاهري به رؤيت مشتري مي باشد - ايراد فني موتوري دارد - خودرو سوابق تعميراتي متعددي داشته - چراغ سرويس روشن - خش و رنگ پريدگي درب موتور - خش درب صندوق و گلگير عقب راست - خش و قري و رنگ پريدگي دربهاي راست و گلگير جلو راست و سپر عقب و گلگيرهاي چپ - خش ركاب چپ - سائيدگي سپر جلو - خش سقف - خوردگي رينگ چرخ هاي چپ - نمدي درب موتور و زيرپايي و تيغه برف پاك كن مستعمل - رنگ پريدگي آينه هاي جانبي - خوردگي رينگ چرخ جلو راست - لاستيكها كاركرده و متفرقه - شكستگي شيشه جلو - زاپاس كاركرده</t>
  </si>
  <si>
    <t>452-40ج21</t>
  </si>
  <si>
    <t>شماره بدنه: LE242046</t>
  </si>
  <si>
    <t>LE242778</t>
  </si>
  <si>
    <t>153H0014932</t>
  </si>
  <si>
    <t>خط و خش و قري و كسري هاي ظاهري به رؤيت مشتري مي باشد - ايراد فني موتوري دارد - ايراد كپ كردن و خاموش شدن حين حركت و ضعيف بودن كشش خودرو - ايراد رنگي نقاطي از بدنه - قري و آسيب ديدگي گلگير جلو چپ و درب جلو چپ و سپر جلو و گلگير عقب چپ و درب عقب چپ و سپر عقب و گلگير عقب راست - خش و قري و رنگ پريدگي دربهاي راست - خش ركاب راست و درب صندوق - آچارخوردگي پيچ هاي درب صندوق ( تعويضي ) - خودرو از ناحيه عقب تصادف داشته و بازسازي شده - خوردگي رينگ چرخ عقب چپ - رنگ شدگي درب عقب راست - قري و خش سقف - دورتادور بدنه آثار بازسازي و خوردگي دارد - كسري فندك و زيرپايي جلو و شبرنگ - تيغه برف پاك كن مستعمل - لاستيكها كاركرده و متفرقه - خش چراغ عقب</t>
  </si>
  <si>
    <t>شماره بدنه: LE242778</t>
  </si>
  <si>
    <t>پژو 207i اتوماتيك كلاس 3 مشكي متاليك</t>
  </si>
  <si>
    <t>MJ519702</t>
  </si>
  <si>
    <t>1402/11/02</t>
  </si>
  <si>
    <t>177B0052647</t>
  </si>
  <si>
    <t>خط و خش و قري و كسري هاي ظاهري به رؤيت مشتري مي باشد - بدليل محدوديت شماره گذاري خودرو بنام ايران خودرو پلاك شده است - ماندگاري بالا و افت مدل - ايراد رنگي بدنه - كسري شبرنگ - ( ايرادات غير قابل ريورك مطابق استاندارد كارخانه )</t>
  </si>
  <si>
    <t>746-40ي16</t>
  </si>
  <si>
    <t>207i-AT</t>
  </si>
  <si>
    <t>کد کلاس: 60103</t>
  </si>
  <si>
    <t>شماره بدنه: MJ519702</t>
  </si>
  <si>
    <t>پژو 207i اتوماتيك كلاس 3 سفيد دو پوششه</t>
  </si>
  <si>
    <t>MJ519729</t>
  </si>
  <si>
    <t>1402/08/15</t>
  </si>
  <si>
    <t>177B0052630</t>
  </si>
  <si>
    <t>خط و خش و قري و كسري هاي ظاهري به رؤيت مشتري مي باشد - پوسته شدن چراغ هاي جلو - قري درب هاي عقب - ماندگاري بالا و افت مدل ( بدليل محدوديت زمان شماره گذاري خودرو بنام ايران خودرو پلاك شده است )</t>
  </si>
  <si>
    <t>353-40ي45</t>
  </si>
  <si>
    <t>شماره بدنه: MJ519729</t>
  </si>
  <si>
    <t>پژو 207i اتوماتيك كلاس 4 مشكي متاليك</t>
  </si>
  <si>
    <t>MJ514963</t>
  </si>
  <si>
    <t>177B0051703</t>
  </si>
  <si>
    <t>خط و خش و قري و كسري هاي ظاهري به رؤيت مشتري مي باشد - پوسته شدن چراغ هاي جلو - ماندگاري بالا و افت مدل ( بدليل محدوديت زمان شماره گذاري خودرو بنام ايران خودرو پلاك شده است )</t>
  </si>
  <si>
    <t>113-40ي45</t>
  </si>
  <si>
    <t>کد کلاس: 60104</t>
  </si>
  <si>
    <t>شماره بدنه: MJ514963</t>
  </si>
  <si>
    <t>ME397750</t>
  </si>
  <si>
    <t>153H0033549</t>
  </si>
  <si>
    <t>خط و خش و قري و كسري هاي ظاهري به رؤيت مشتري مي باشد - ايراد فني موتوري دارد - خودرو در حين حركت خاموش مي شود - خودرو سوابق تعميراتي متعددي داشته كه بعضي از ايرادات آن رفع نگرديده - رنگ شدگي پيچ هاي گلگيرهاي جلو - خوردگي و رنگ پريدگي سپر جلو - خش و رنگ پريدگي درب جلو چپ - خش گلگير عقب و درب عقب راست - خش سقف - تيغه برف پاك كن مستعمل - لاستيكها كاركرده - زيرپايي ها مستعمل و متفرقه - خش و رنگ پريدگي آينه هاي جانبي - خش چراغ عقب چپ - خش درب جلو راست - خش و رنگ پريدگي درب عقب چپ و ركاب چپ و درب موتور و سپر عقب</t>
  </si>
  <si>
    <t>741-50ب41</t>
  </si>
  <si>
    <t>شماره بدنه: ME397750</t>
  </si>
  <si>
    <t>NE484912</t>
  </si>
  <si>
    <t>153H0054694</t>
  </si>
  <si>
    <t>خط و خش و قري و كسري هاي ظاهري به رؤيت مشتري مي باشد - ايراد فني دارد ( اختلاط آب و روغن ، گيربكس در دنده 3 قفل مي كند ) - چراغ اي بي اس و اي بي دي و چراغ سرويس روشن - خش چراغ جلو راست و خش و رنگ پريدگي درب موتور - خش سپر جلو و رنگ پريدگي بكسل بند جلو - خش گلگيرهاي چپ و رنگ پريدگي و خش دربهاي چپ و خش سقف و گلگير و ستون عقب راست و خش و رنگ پريدگي و قري درب جلو راست و گلگير جلو و درب عقب راست و سپر عقب - خش درب صندوق - كسري زه دور آينه راست و قاب ستون وسط جلو چپ - كسري پك جك - موتور و گيربكس ايراد دارد - زيرپايي ها و تيغه برف پاك كن مستعمل - خش آينه بغل چپ - لاستيك ها كاركرده - جك مستعمل و كسري آچار جك - آچارچرخ و موكت صندوق مستعمل - زاپاس مستعمل و متفرقه و مغاير</t>
  </si>
  <si>
    <t>293-34و97</t>
  </si>
  <si>
    <t>شماره بدنه: NE484912</t>
  </si>
  <si>
    <t>ND940344</t>
  </si>
  <si>
    <t>1402/02/18</t>
  </si>
  <si>
    <t>187B0009682</t>
  </si>
  <si>
    <t>خط و خش و قري و كسري هاي ظاهري به رؤيت مشتري مي باشد - ايراد رنگي بدنه ( درب موتور)</t>
  </si>
  <si>
    <t>427-35ن44</t>
  </si>
  <si>
    <t>شماره بدنه: ND940344</t>
  </si>
  <si>
    <t>هايماS7 توربو اتوماتيك كلاس 1 سفيد دو پوششه</t>
  </si>
  <si>
    <t>JY713800</t>
  </si>
  <si>
    <t>484QT7A013523A</t>
  </si>
  <si>
    <t>خط و خش و قري و كسري هاي ظاهري به رؤيت مشتري مي باشد - ايراد فني دارد - صداي غير عادي از موتور - خودرو از ناحيه عقب تصادف داشته و درب صندوق و گلگير عقب بازسازي شده ( درب صندوق تعويض شده ) - خوردگي سپر عقب و ركاب چپ و سپر جلو و ركاب راست - كسري فلاپ عقب روي پلاك - كسري قاب روي هواكش داخل موتور - شكستگي درب داشبورد و قاب روي دكمه هاي تنظيم صندلي راننده - زدگي سردنده و پارگي چرم دور دنده - زدگي داشبورد و صندليها و رودريها مستعمل - خش و رنگ پريدگي دربهاي چپ - قري درب جلو چپ - خش گلگير جلو چپ و گلگير عقب چپ و گلگير عقب راست - رنگ پريدگي دستگيره هاي دربهاي چپ - دفرمه بودن نوار دور شيشه ها و پارگي نوار دور درب و شيشه ها - خش و رنگ پريدگي درب جلو و عقب راست - رنگ پريدگي باربند سقف - خودرو ايرادات متعدد فني دارد - كسري ليوان و قاب بكسل بند - زيرپايي ها و تيغه برف پاك كن مستعمل - خش آينه بغل راست - خوردگي رينگ جلو چپ - لاستيكها كاركرده و مغاير و متفرقه - تيغه برف پاك كن عقب مستعمل - شكستگي چراغ عقب چپ - زاپاس كاركرده - قري و رنگ پريدگي دربهاي چپ و گلگيرهاي چپ و گلگير عقب راست - قري و خش و رنگ پريدگي دربهاي راست و درب موتور - زنگ زدگي بعضي از نقاط بدنه و گلگيرهاي عقب و درب صندوق و خش و رنگ پريدگي درب صندوق</t>
  </si>
  <si>
    <t>178-34ج58</t>
  </si>
  <si>
    <t>کد کلاس: 51801</t>
  </si>
  <si>
    <t>شماره بدنه: JY713800</t>
  </si>
  <si>
    <t>NY072738</t>
  </si>
  <si>
    <t>1402/07/24</t>
  </si>
  <si>
    <t>GN15TF22000899A</t>
  </si>
  <si>
    <t>خط و خش و قري و كسري هاي ظاهري به رؤيت مشتري مي باشد - ايراد رنگي بدنه دارد ( سقف و دربهاي جلو ) - درب جلو چپ تعويضي كارخانه - رنگ شدگي سقف و درب جلو راست - كسرذي ابزار داخل صندوق و زيرپايي - باطري دشارژ - موتور خودرو استارت ميخورد ولي روشن نميشود ( ايراد فني دارد )</t>
  </si>
  <si>
    <t>531-27ج47</t>
  </si>
  <si>
    <t>شماره بدنه: NY072738</t>
  </si>
  <si>
    <t>NY072021</t>
  </si>
  <si>
    <t>GN15TF22000739A</t>
  </si>
  <si>
    <t>خط و خش و قري و كسري هاي ظاهري به رؤيت مشتري مي باشد - خودرو ايراد فني دارد ( چراغ اي اس پي روشن ميشود و ايراد از كاليبراسيون زاويه فرمان مي باشد ) - كسري قاب باربند سمت چپ - شكستگي درب جعبه فيوز - خش سپر جلو - قري دربهاي جلو - شكستگي قاب آينه راست - كسري زيرپايي - لاستيكها كاركرده</t>
  </si>
  <si>
    <t>382-34ي71</t>
  </si>
  <si>
    <t>شماره بدنه: NY072021</t>
  </si>
  <si>
    <t>NY072795</t>
  </si>
  <si>
    <t>1402/04/22</t>
  </si>
  <si>
    <t>GN15TF23001250A</t>
  </si>
  <si>
    <t>خط و خش و قري و كسري هاي ظاهري به رؤيت مشتري مي باشد - صداي اضافي از گيربكس - خودرو ايراد فني دارد ( صداي غير عادي از چرخ هاي عقب و عدم عملكرد ترمز دستي ) - خودرو سوابق تعمير و تعويض قطعات متعددي دارد</t>
  </si>
  <si>
    <t>993-11ب41</t>
  </si>
  <si>
    <t>شماره بدنه: NY072795</t>
  </si>
  <si>
    <t>NY073117</t>
  </si>
  <si>
    <t>1402/04/30</t>
  </si>
  <si>
    <t>GN15TF19001676A</t>
  </si>
  <si>
    <t>خط و خش و قري و كسري هاي ظاهري به رؤيت مشتري مي باشد - ايراد رنگي بدنه ( درب موتور ) - خش عميق درب موتور و خش درب صندوق و خش عميق گلگير عقب چپ و خش درب عقب چپ و خش عميق درب جلو چپ و و خش گلگير جلو چپ و خش عميق گلگير جلو راست و گلگير عقب راست و خش درب هاي راست - كسري درپوش بكسل بند جلو - خش سقف و آينه بغل چپ - لاستيكها كاركرده</t>
  </si>
  <si>
    <t>334-15س27</t>
  </si>
  <si>
    <t>شماره بدنه: NY073117</t>
  </si>
  <si>
    <t>پژو 207i اتوماتيک با موتور TU5P کلاس 3 سفيد دو پوششه</t>
  </si>
  <si>
    <t>NJ240684</t>
  </si>
  <si>
    <t>185B0001157</t>
  </si>
  <si>
    <t>خط و خش و قري و كسري هاي ظاهري به رؤيت مشتري مي باشد - ايراد رنگي سقف و درب موتور - آچارخوردگي پيچ هاي درب موتور ( تعويضي كارخانه ) - خش آينه راست - ( ايرادات غير قابل ريورك مطابق استاندارد كارخانه )</t>
  </si>
  <si>
    <t>کد کلاس: 60603</t>
  </si>
  <si>
    <t>شماره بدنه: NJ240684</t>
  </si>
  <si>
    <t>هايما S5 توربو اتوماتيک کلاس 1 ذغالي متاليك</t>
  </si>
  <si>
    <t>MY040903</t>
  </si>
  <si>
    <t>ذغالي متاليك</t>
  </si>
  <si>
    <t>GN15TF19001457A</t>
  </si>
  <si>
    <t>خط و خش و قري و كسري هاي ظاهري به رؤيت مشتري مي باشد - ماندگاري بالا و افت مدل - كسري زيرپايي و برف پاك كن جلو راست و درب جعبه فيوز - ( ايرادات غير قابل ريورك مطابق استاندارد كارخانه )</t>
  </si>
  <si>
    <t>شماره بدنه: MY040903</t>
  </si>
  <si>
    <t>NH485754</t>
  </si>
  <si>
    <t>164B0310274</t>
  </si>
  <si>
    <t>خط و خش و قري و كسري هاي ظاهري به رؤيت مشتري مي باشد - ايراد رنگي درب موتور ( تعويضي كارخانه ) - رنگ پريدگي جلوپنجره و لبه درب جلو چپ و گلگير جلو چپ - زاپاس پنچر و كاركرده - شكستگي آينه چپ - قري درب عقب چپ - ( ايرادات غير قابل ريورك مطابق استاندارد كارخانه )</t>
  </si>
  <si>
    <t>شماره بدنه: NH485754</t>
  </si>
  <si>
    <t>دنا پلاس توربو شارژ کلاس 6 مشكي متاليك</t>
  </si>
  <si>
    <t>NE490183</t>
  </si>
  <si>
    <t>153H0052584</t>
  </si>
  <si>
    <t>خط و خش و قري و كسري هاي ظاهري به رؤيت مشتري مي باشد - ايراد رنگي سقف و درب موتور و درب صندوق - آچارخوردگي پيچ هاي درب موتور ( تعويضي كارخانه ) - ( ايرادات غير قابل ريورك مطابق استاندارد كارخانه )</t>
  </si>
  <si>
    <t>کد کلاس: 70406</t>
  </si>
  <si>
    <t>شماره بدنه: NE490183</t>
  </si>
  <si>
    <t>دنا پلاس توربو شارژ کلاس 6 سفيد دوپوششه كانزاي</t>
  </si>
  <si>
    <t>NE491383</t>
  </si>
  <si>
    <t>153H0058880</t>
  </si>
  <si>
    <t>خط و خش و قري و كسري هاي ظاهري به رؤيت مشتري مي باشد - خودرو تستي و پروژه اي مي باشد - ماندگاري خودرو - ( ايرادات غير قابل ريورك مطابق استاندارد كارخانه )</t>
  </si>
  <si>
    <t>شماره بدنه: NE491383</t>
  </si>
  <si>
    <t>NF157643</t>
  </si>
  <si>
    <t>147H0636843</t>
  </si>
  <si>
    <t>خط و خش و قري و كسري هاي ظاهري به رؤيت مشتري مي باشد - قري گلگير جلو چپ - شكستگي بكسل بند جلو - زاپاس پنچرو متفرقه و كاركرده - تصادفي بودن محور عرضي شاسي جلو راست - خراشيدگي سپر جلو -( ايرادات غيرقابل ريورك مطابق استاندارد كارخانه )</t>
  </si>
  <si>
    <t>شماره بدنه: NF157643</t>
  </si>
  <si>
    <t>MD920100</t>
  </si>
  <si>
    <t>187B0003561</t>
  </si>
  <si>
    <t>خط و خش و قري و كسري هاي ظاهري به رؤيت مشتري مي باشد - ماندگاري بالا و افت مدل - خودرو پروژه اي - كسري دريچه هواي داشبورد چپ - باطري دشارژ - عدم نصب استارت - قاب دور دكمه استارت كسري مي باشد -( ايرادات غير قابل ريورك مطابق استاندارد كارخانه )</t>
  </si>
  <si>
    <t>شماره بدنه: MD920100</t>
  </si>
  <si>
    <t>MJ227233</t>
  </si>
  <si>
    <t>167B0143373</t>
  </si>
  <si>
    <t>خط و خش و قري و كسري هاي ظاهري به رؤيت مشتري مي باشد - ماندگاري بالا و افت مدل - پوسته شدن چراغ هاي جلو - زاپاس كاركرده و پنچر - قري درب جلو راست -( ايرادات غير قابل ريورك مطابق استاندارد كارخانه )</t>
  </si>
  <si>
    <t>شماره بدنه: MJ227233</t>
  </si>
  <si>
    <t>ME411012</t>
  </si>
  <si>
    <t>153H0047537</t>
  </si>
  <si>
    <t>خط و خش و قري و كسري هاي ظاهري به رؤيت مشتري مي باشد - ماندگاري بالا و افت مدل - چراغ چك روشن - خش گلگير عقب چپ و چراغ عقب چپ - استارت ميخورد ولي روشن نمي شود -باطري دشارژ -( ايرادات غير قابل ريورك مطابق استاندارد كارخانه )</t>
  </si>
  <si>
    <t>شماره بدنه: ME411012</t>
  </si>
  <si>
    <t>دنا پلاس توربو شارژ کلاس 6 سفيد دو پوششه</t>
  </si>
  <si>
    <t>NE490149</t>
  </si>
  <si>
    <t>153H0050263</t>
  </si>
  <si>
    <t>خط و خش و قري و كسري هاي ظاهري به رؤيت مشتري مي باشد - ايراد رنگي سقف - قري و رنگ پريدگي درب جلو راست - كسري درب باك بدنه و آفتابگيرها و شكستگي شاسي روي صفحه كيلومتر - كسري قاب بست باطري و درپوش گازكولر و قاب آينه چپ و زيرپايي جلو راست - خوردگي درب جلو چپ - ( ايرادات غير قابل ريورك مطابق استاندارد كارخانه )</t>
  </si>
  <si>
    <t>شماره بدنه: NE490149</t>
  </si>
  <si>
    <t>MJ500131</t>
  </si>
  <si>
    <t>185B0000250</t>
  </si>
  <si>
    <t>خط و خش و قري و كسري هاي ظاهري به رؤيت مشتري مي باشد - ماندگاري بالا و افت مدل - ( ايرادات غير قابل ريورك مطابق استاندارد كارخانه )</t>
  </si>
  <si>
    <t>شماره بدنه: MJ500131</t>
  </si>
  <si>
    <t>NH487526</t>
  </si>
  <si>
    <t>139B0306868</t>
  </si>
  <si>
    <t>خط و خش و قري و كسري هاي ظاهري به رؤيت مشتري مي باشد - آثار خوردگي و آسيب ديدگي درب جلو چپ و رودري درب جلو چپ و آفتابگير جلو راست - خارج شدن شيشه درب جلو چپ از ريل ( آسيب ديده ) - زدگي رودري جلو راست - ( ايرادات غير قابل ريورك مطابق استاندارد كارخانه )</t>
  </si>
  <si>
    <t>شماره بدنه: NH487526</t>
  </si>
  <si>
    <t>NE490181</t>
  </si>
  <si>
    <t>153H0050258</t>
  </si>
  <si>
    <t>خط و خش و قري و كسري هاي ظاهري به رؤيت مشتري مي باشد - ايراد رنگي سقف و درب صندوق - خش درب موتور - كسري درب باك بدنه و جاسيگاري جلو - روشن ماندن چراغ پشت آمپر - كسري زيرپايي جلو چپ و عقب و درپوش گازكولر - آچارخوردگي پيچ هاي درب صندوق و درب موتور ( تعويضي كارخانه ) - دنده جا ميرود ولي خودرو قابليت حركت ندارد ( ايراد سيستم قدرت انتقال خودرو ) - ( ايرادات غير قابل ريورك مطابق استاندارد كارخانه )</t>
  </si>
  <si>
    <t>شماره بدنه: NE490181</t>
  </si>
  <si>
    <t>NE490864</t>
  </si>
  <si>
    <t>153H0057341</t>
  </si>
  <si>
    <t>خط و خش و قري و كسري هاي ظاهري به رؤيت مشتري مي باشد - ايراد رنگي سقف و درب موتور - قري درب جلو راست - شكستگي آينه بغل راست - مغايرت درب باك بدنه - كسري درب جعبه فيوز داخل موتور - آچارخوردگي پيچ هاي گلگيرهاي جلو ( تعويضي كارخانه ) - ( ايرادات غير قابل ريورك مطابق استاندارد كارخانه )</t>
  </si>
  <si>
    <t>شماره بدنه: NE490864</t>
  </si>
  <si>
    <t>NE490851</t>
  </si>
  <si>
    <t>153H0055581</t>
  </si>
  <si>
    <t>خط و خش و قري و كسري هاي ظاهري به رؤيت مشتري مي باشد - ايراد رنگي سقف و درب موتور و درب صندوق - خش سپر عقب - كسري قاب بلندگو و درب باك - رنگ شدگي پيچ هاي درب موتور ( تعويضي كارخانه ) - كسري شبرنگ - ( ايرادات غير قابل ريورك مطابق استاندارد كارخانه )</t>
  </si>
  <si>
    <t>شماره بدنه: NE490851</t>
  </si>
  <si>
    <t>NE490824</t>
  </si>
  <si>
    <t>153H0055584</t>
  </si>
  <si>
    <t>خط و خش و قري و كسري هاي ظاهري به رؤيت مشتري مي باشد - ايراد رنگي سقف - نفوذ آب به داخل صندوق - خش درب صندوق - آچارخوردگي پيچهاي درب موتور ( تعويضي كارخانه ) - ( ايرادات غير قابل ريورك مطابق استاندارد كارخانه )</t>
  </si>
  <si>
    <t>شماره بدنه: NE490824</t>
  </si>
  <si>
    <t>NF152248</t>
  </si>
  <si>
    <t>147H0627753</t>
  </si>
  <si>
    <t>شماره بدنه: NF152248</t>
  </si>
  <si>
    <t>دنا پلاس توربو شارژ کلاس 6 خاكستري متاليك</t>
  </si>
  <si>
    <t>NE490590</t>
  </si>
  <si>
    <t>153H0055268</t>
  </si>
  <si>
    <t>خط و خش و قري و كسري هاي ظاهري به رؤيت مشتري مي باشد - ايراد رنگي سقف و درب موتور - قري درب جلو راست - كسري آفتابگيرها و درپوش گازكولر و قاب پشت باطري - باطري دشارژ - آچارخوردگي پيچ هاي درب موتور ( تعويضي كارخانه ) - كسري فندك - ( ايرادات غير قابل ريورك مطابق استاندارد كارخانه )</t>
  </si>
  <si>
    <t>شماره بدنه: NE490590</t>
  </si>
  <si>
    <t>ND934792</t>
  </si>
  <si>
    <t>187B0015186</t>
  </si>
  <si>
    <t>خط و خش و قري و كسري هاي ظاهري به رؤيت مشتري مي باشد - ايراد رنگي سمت راست محل جوش - قري درب راننده - عدم نمايش صحيح اعداد صفحه كيلومتر - قري درب جلو راست - كسري روكش پدال كلاچ - ( ايرادات غير قابل ريورك مطابق استاندارد كارخانه )</t>
  </si>
  <si>
    <t>شماره بدنه: ND934792</t>
  </si>
  <si>
    <t>NE490124</t>
  </si>
  <si>
    <t>153H0051661</t>
  </si>
  <si>
    <t>خط و خش و قري و كسري هاي ظاهري به رؤيت مشتري مي باشد - ايراد رنگي سقف و درب موتور - كسري درب باك بدنه و درب رادياتور - خش درب موتور - ( ايرادات غير قابل ريورك مطابق استاندارد كارخانه )</t>
  </si>
  <si>
    <t>شماره بدنه: NE490124</t>
  </si>
  <si>
    <t>ND943417</t>
  </si>
  <si>
    <t>187B0019220</t>
  </si>
  <si>
    <t>خط و خش و قري و كسري هاي ظاهري به رؤيت مشتري مي باشد - تصادفي بودن سپر جلو و درب موتور و گلگيرهاي چپ و دربهاي چپ و ركابها - جلو خودرو كانلا تصادفي - شكستگي آينه بغل - دور تا دور خودرو تصادفي ميباشد - خوردگي سپر عقب - درگير بودن درب جلو راست با گلگير جلو و رنگ پريدگي لبه درب جلو راست - خوردگي شاسي هاي جلو و زير خودرو و پلوس و اگزوز و رادياتها و مجموعه كامل فن و سيني فن و تقويت عرضي و سيني روي رادياتها - كسري و شكستگي بعضي از قطعات موتوري - شكستگي مخزن آب شيشه شور - درگير بودن تسمه ها با گلگير جلو راست - شكستگي چراغ هاي جلو - كسري مه شكن هاي جلو - چراغ جلو راست شكسته و داخل خودرو - خوردگي گلگير عقب راست و بكسل بند جلو - باطري مستعمل و دشارژ - كسري يك عدد زيرپايي - شكستگي جلو پنجره - شكستگي آينه بغل چپ و داخل خودرو -( ايرادات غير قابل ريورك مطابق استاندارد كارخانه )</t>
  </si>
  <si>
    <t>شماره بدنه: ND943417</t>
  </si>
  <si>
    <t>NE490549</t>
  </si>
  <si>
    <t>153H0053412</t>
  </si>
  <si>
    <t>خط و خش و قري و كسري هاي ظاهري به رؤيت مشتري مي باشد - ايراد رنگي سقف - قري درب جلو راست و گلگير جلو چپ و درب عقب راست - كسري درپوش گازكولر و كاور كابل مثبت باطري - آچارخوردگي پيچ هاي درب موتور ( تعويضي كارخانه ) - ( ايرادات غير قابل ريورك مطابق استاندارد كارخانه )</t>
  </si>
  <si>
    <t>شماره بدنه: NE490549</t>
  </si>
  <si>
    <t>ND933857</t>
  </si>
  <si>
    <t>187B0014936</t>
  </si>
  <si>
    <t>خط و خش و قري و كسري هاي ظاهري به رؤيت مشتري مي باشد - ايراد رنگي درب موتور - زاپاس ندارد - قالپاق جلو چپ شكسته - ( ايرادات غير قابل ريورك مطابق استاندارد كارخانه )</t>
  </si>
  <si>
    <t>شماره بدنه: ND933857</t>
  </si>
  <si>
    <t>NE490582</t>
  </si>
  <si>
    <t>153H0053415</t>
  </si>
  <si>
    <t>خط و خش و قري و كسري هاي ظاهري به رؤيت مشتري مي باشد - ايراد رنگي سقف - كسري درب باك بدنه و جاسيگاري و درب داشبوردكامل و مجموعه آفتابگيرها و يك عدد سوئيچ و درپوش گاز كولر و كاور كابل مثبت و فندك - ( ايرادات غير قابل ريورك مطابق استاندارد كارخانه )</t>
  </si>
  <si>
    <t>شماره بدنه: NE490582</t>
  </si>
  <si>
    <t>NE490350</t>
  </si>
  <si>
    <t>153H0052550</t>
  </si>
  <si>
    <t>خط و خش و قري و كسري هاي ظاهري به رؤيت مشتري مي باشد - ايراد رنگي سقف و درب موتور و درب صندوق - كسري جاسيگاري جلو - ( ايرادات غير قابل ريورك مطابق استاندارد كارخانه )</t>
  </si>
  <si>
    <t>شماره بدنه: NE490350</t>
  </si>
  <si>
    <t>NE490177</t>
  </si>
  <si>
    <t>153H0051570</t>
  </si>
  <si>
    <t>خط و خش و قري و كسري هاي ظاهري به رؤيت مشتري مي باشد - ايراد رنگي سقف و درب موتور و درب صندوق - كسري درب باك بدنه و درپوش گازكولر و آفتابگيرها و قاب روي موتور - چراغ چك روشن - بدكاركردن موتور - عملكرد خودكار شيشه درب عقب چپ - ( ايرادات غير قابل ريورك مطابق استاندارد كارخانه )</t>
  </si>
  <si>
    <t>شماره بدنه: NE490177</t>
  </si>
  <si>
    <t>NJ245046</t>
  </si>
  <si>
    <t>185B0005536</t>
  </si>
  <si>
    <t>خط و خش و قري و كسري هاي ظاهري به رؤيت مشتري مي باشد - خودرو تحت تست بوده است - ايراد رنگي سقف - خش سپر جلو - ( ايرادات غير قابل ريورك مطابق استاندارد كارخانه )</t>
  </si>
  <si>
    <t>شماره بدنه: NJ245046</t>
  </si>
  <si>
    <t>NH480604</t>
  </si>
  <si>
    <t>164B0308542</t>
  </si>
  <si>
    <t>خط و خش و قري و كسري هاي ظاهري به رؤيت مشتري مي باشد - تصادفي بودن سرشاسي جلو چپ و درب موتور و سپر جلو و چراغ جلو چپ و سيني فن و رادياتور - برف پاك كن جلو راست متفرقه - كسري يك عدد قالپاق و قاب روي برف پاك كن - آچارخوردگي پيچ هاي درب موتور ( تعويضي كارخانه ) - شكستگي پايه مه شكن جلو چپ - تصادفي بودن تقويت عرضي زير رادياتها - كسري ابرويي چراغ جلو چپ - شكستگي لوله هواكش - ترك نوك گلگيرهاي چپ - كسري فيوزهاي داخل اتاق - موتور خودرو بد كار ميكند و لرزش دارد - عدم عملكرد برف پاك كن جلو راست - باطري مستعمل و متفرقه - شكستگي جلو پنجره - تيغه برف پاك كن مستعمل - ( ايرادات غير قابل ريورك مطابق استاندارد كارخانه )</t>
  </si>
  <si>
    <t>شماره بدنه: NH480604</t>
  </si>
  <si>
    <t>NE490765</t>
  </si>
  <si>
    <t>153H0055573</t>
  </si>
  <si>
    <t>شماره بدنه: NE490765</t>
  </si>
  <si>
    <t>NE490609</t>
  </si>
  <si>
    <t>153H0056144</t>
  </si>
  <si>
    <t>خط و خش و قري و كسري هاي ظاهري به رؤيت مشتري مي باشد - ايراد رنگي سقف - كسري درب باك بدنه و آفتابگيرها و قاب بست باطري و درپوش گازكولر - آچارخوردگي پيچ هاي درب صندوق ( تعويضي كارخانه ) - شكستگي خار نمدي درب صندوق - ( ايرادات غير قابل ريورك مطابق استاندارد كارخانه )</t>
  </si>
  <si>
    <t>شماره بدنه: NE490609</t>
  </si>
  <si>
    <t>NE490581</t>
  </si>
  <si>
    <t>153H0054515</t>
  </si>
  <si>
    <t>خط و خش و قري و كسري هاي ظاهري به رؤيت مشتري مي باشد - ايراد رنگي سقف - قري و رنگ پريدگي درب جلو راست - كسري درب باك بدنه و آفتابگيرها و زيرپايي جلو راست و درپوش گازكولر و قاب پشت باطري و فندك - خش درب عقب راست و سپر جلو - ( ايرادات غير قابل ريورك مطابق استاندارد كارخانه )</t>
  </si>
  <si>
    <t>شماره بدنه: NE490581</t>
  </si>
  <si>
    <t>ND943662</t>
  </si>
  <si>
    <t>187B0019421</t>
  </si>
  <si>
    <t>خط و خش و قري و كسري هاي ظاهري به رؤيت مشتري مي باشد - تصادفي بودن سرشاسي و درب موتور و سپر جلو و جلوپنجره و سيني فن و خوردگي دياق و رادياتها و كسري قاب روي بكسل بند جلو - چراغ سرويس روشن - بوق خراب مي باشد - شكستگي چراغ ال اي دي جلو چپ - خوردگي مجموعه فن و تقويت عرضي زير رادياتها - خودرو از ناحيه جلو تصادف شديد داشته - خش درب صندوق - خرابي جكهاي درب صندوق - درگير بودن درب راننده با گلگير جلو چپ و رنگ پريدگي لبه گلگير و درب جلو چپ - شكستگي آينه چپ و باز بودن سيم هاي داخل آينه راست - دفرمگي دياق سپر جلو - شكستگي آينه چپ و بازبودن سيمهاي آينه راست - ( ايرادات غير قابل ريورك مطابق استاندارد كارخانه )</t>
  </si>
  <si>
    <t>شماره بدنه: ND943662</t>
  </si>
  <si>
    <t>NE494316</t>
  </si>
  <si>
    <t>153H0087262</t>
  </si>
  <si>
    <t>خط و خش و قري و كسري هاي ظاهري به رؤيت مشتري مي باشد - تصادف سرشاسي جلو چپ و گلگير جلو راست و چپ و درب موتور و سپر جلو و سپر عقب و سيني فن و رادياتورها و چراغهاي جلو و شكستگي شيشه عقب - شكستگي جعبه فيوز داخل موتور - كسري درب جعبه فيوز و فيوزهاي داخل موتور - شكستگي جكهاي درب موتور - قري درب جلو راست - رنگ پريدگي گلگير عقب راست و لبه درب جلوي چپ - خودرو از ناحيه جلو تصادف داشته - كسري بست منفي باطري و باطري مستعمل - مستعمل بودن نمدي درب موتور و تيغه برف پاك كن ها - شكستگي قاب روي برف پاك كن ها - شكستگي شيشه جلو - ( ايرادات غير قابل ريورك مطابق استاندارد كارخانه )</t>
  </si>
  <si>
    <t>شماره بدنه: NE494316</t>
  </si>
  <si>
    <t>NH217434</t>
  </si>
  <si>
    <t>164B0306673</t>
  </si>
  <si>
    <t>خط و خش و قري و كسري هاي ظاهري به رؤيت مشتري مي باشد - شكستگي درب جعبه فيوز - كندگي رودري جلو چپ - خش داشبورد - قري و رنگ پريدگي درب صندوق - تصادفي بودن درب جلو چپ و قري گلگير جلو چپ - تصادفي بودن درب موتور - قري درب عقب چپ - خوردگي درب عقب راست - مغاير بودن درب جعبه فيوز - كسري فيوزهاي داخل موتور - عدم چسبندگي زه درب عقب راست - تصادفي بودن گلگير عقب راست - قري ستون عقب چپ - كسري قاب بكسل بند عقب - خوردگي ركاب راست - خش و رنگ پريدگي لبه گلگير جلو راست - رنگ پريدگي سپر جلو - خرابي قفل درب داشبورد - شكستگي قاب باند توري عقب - آچارخوردگي پيچ هاي درب موتور و گلگيرهاي جلو و درب صندوق ( تعويضي كارخانه ) - كسري موكت رودري درب راننده و قاب دور كمربند عقب - موتور خودرو صداي غيرعادي ميدهد - خراب بودن بالابر درب راننده و درب عقب راست - عدم عملكرد كولر و بخاري - خراب بودن سيستم ترمز - باطري مستعمل و متفرقه و دشارژ - مستعمل بودن نمدي درب موتور و زيرپايي ها و تيغه برف پاك كن - شكستگي مانيتور - كسري يك عدد زيرسري عقب - شكستگي جلو پنجره - رنگ پريدگي آينه هاي جانبي - شكستگي يك عدد قالپاق - قري درب عقب راست - ( ايرادات غير قابل ريورك مطابق استاندارد كارخانه )</t>
  </si>
  <si>
    <t>شماره بدنه: NH217434</t>
  </si>
  <si>
    <t>MD920015</t>
  </si>
  <si>
    <t>187B0000524</t>
  </si>
  <si>
    <t>خط و خش و قري و كسري هاي ظاهري به رؤيت مشتري مي باشد - خودرو تستي و سري اول توليد مي باشد - عدم تست فني خودرو - ماندگاري بالا وافت مدل - باز بودن قاب كنسول وسط و قاب فرمان - كسري قاب آينه بغل دو طرف و قاب بكسل بند جلو و شكستگي قاب بغل صندلي شاگرد - كسري بست نگهدارنده باطري - رنگ پريدگي سپر جلو - خش گلگير جلو چپ و گلگير عقب راست و درب صندوق - ماليدگي سپر عقب - خش گلگير عقب و درب جلو چپ - سيم پيچي هاي زير داشبورد بهم ريخته و كسري سوكت و رله دارد - كسري جاي پك صندوق عقب و سنسور جلو شيشه و قاب دور جك نگهدارنده درب صندوق - اي سي يو داخل داشبورد باز مي باشد و داخل خودرو - كسري ليوان و جعبه كنسول - باطري دشارژ - كسري سوئيچ ها - زيرپايي ها مستعمل و يك عدد جلو كسري - كسري آنتن و رينگ اسپرت - رينگ چرخ متفرقه - كسري موكت صندوق - ( ايرادات غير قابل ريورك مطابق استاندارد كارخانه )</t>
  </si>
  <si>
    <t>شماره بدنه: MD920015</t>
  </si>
  <si>
    <t>NJ240575</t>
  </si>
  <si>
    <t>185B0000294</t>
  </si>
  <si>
    <t>خط و خش و قري و كسري هاي ظاهري به رؤيت مشتري مي باشد - ايراد رنگي سقف - ايراد رنگي درب جلو راست - كسري درب جعبه فيوز و آنتن - ( ايرادات غير قابل ريورك مطابق استاندارد كارخانه )</t>
  </si>
  <si>
    <t>شماره بدنه: NJ240575</t>
  </si>
  <si>
    <t>NJ352668</t>
  </si>
  <si>
    <t>178B0111283</t>
  </si>
  <si>
    <t>خط و خش و قري و كسري هاي ظاهري به رؤيت مشتري مي باشد - ايراد رنگي درب جلو چپ ( تعويضي كارخانه ) - خش آرم درب صندوق - كسري شبرنگ - ( ايرادات غير قابل ريورك مطابق استاندارد كارخانه )</t>
  </si>
  <si>
    <t>شماره بدنه: NJ352668</t>
  </si>
  <si>
    <t>NE493573</t>
  </si>
  <si>
    <t>153H0084437</t>
  </si>
  <si>
    <t>خط و خش و قري و كسري هاي ظاهري به رؤيت مشتري مي باشد - ايراد رنگي بدنه - خوردگي بودن گلگير عقب چپ و سپر عقب - قري و ايراد رنگي درب عقب راست - ( ايرادات غير قابل ريورك مطابق استاندارد كارخانه )</t>
  </si>
  <si>
    <t>شماره بدنه: NE493573</t>
  </si>
  <si>
    <t>NE490332</t>
  </si>
  <si>
    <t>153H0050278</t>
  </si>
  <si>
    <t>خط و خش و قري و كسري هاي ظاهري به رؤيت مشتري مي باشد - ايراد رنگي سقف - قري درب راننده - كسري درپوش گاز كولر - آچارخوردگي پيچ هاي درب موتور ( تعويضي كارخانه ) - كسري كاور كابل مثبت - مغاير بودن رنگ درب باك بدنه - ( ايرادات غير قابل ريورك مطابق استاندارد كارخانه )</t>
  </si>
  <si>
    <t>شماره بدنه: NE490332</t>
  </si>
  <si>
    <t>NT377861</t>
  </si>
  <si>
    <t>172B0094745</t>
  </si>
  <si>
    <t>خط و خش و قري و كسري هاي ظاهري به رؤيت مشتري مي باشد - تصادف گلگير عقب چپ و سپر عقب - فرمگي شاسي عق پشت گلگير - كسري دستگيره موكت صندوق - ( ايرادات غير قابل ريورك مطابق استاندارد كارخانه )</t>
  </si>
  <si>
    <t>شماره بدنه: NT377861</t>
  </si>
  <si>
    <t>NF236798</t>
  </si>
  <si>
    <t>147H0666839</t>
  </si>
  <si>
    <t>خط و خش و قري و كسري هاي ظاهري به رؤيت مشتري مي باشد - اثر ضربه و قري شديد سقف - قري كلاف درب عقب راست - پارگي نوار دور شيشه درب عقب راست و شيشه عقب - خش ستون عقب راست - كسري زيرپايي جلو چپ - ( ايرادات غير قابل ريورك مطابق استاندارد كارخانه )</t>
  </si>
  <si>
    <t>شماره بدنه: NF236798</t>
  </si>
  <si>
    <t>NJ241081</t>
  </si>
  <si>
    <t>185B0001475</t>
  </si>
  <si>
    <t>خط و خش و قري و كسري هاي ظاهري به رؤيت مشتري مي باشد - ايراد رنگي سقف و كلاف درب جلو راست - ( ايرادات غير قابل ريورك مطابق استاندارد كارخانه )</t>
  </si>
  <si>
    <t>شماره بدنه: NJ241081</t>
  </si>
  <si>
    <t>پژو 207i دستي کلاس 11 سفيد دو پوششه</t>
  </si>
  <si>
    <t>NJ935521</t>
  </si>
  <si>
    <t>178B0106154</t>
  </si>
  <si>
    <t>خط و خش و قري و كسري هاي ظاهري به رؤيت مشتري مي باشد - خوردگي و پارگي ورق درب هاي راست و هلالي گلگير عقب راست - ( ايرادات غير قابل ريورك مطابق استاندارد كارخانه )</t>
  </si>
  <si>
    <t>کد کلاس: 60011</t>
  </si>
  <si>
    <t>شماره بدنه: NJ935521</t>
  </si>
  <si>
    <t>NE490555</t>
  </si>
  <si>
    <t>153H0053303</t>
  </si>
  <si>
    <t>خط و خش و قري و كسري هاي ظاهري به رؤيت مشتري مي باشد - تصادفي بودن گلگير عقب و درب جلو و عقب راست و گلگير جلو چپ و سپر عقب - ايراد رنگي بدنه - جابجايي رينگ و لاستيك جلو راست با زاپاس - كسري درب باك - زاپاس كاركرده و پنچر - ( ايرادات غير قابل ريورك مطابق استاندارد كارخانه )</t>
  </si>
  <si>
    <t>شماره بدنه: NE490555</t>
  </si>
  <si>
    <t>NE490077</t>
  </si>
  <si>
    <t>153H0050272</t>
  </si>
  <si>
    <t>خط و خش و قري و كسري هاي ظاهري به رؤيت مشتري مي باشد - ايراد رنگي سقف و درب موتور و درب صندوق - كسري درب باك و جاسيگاري جلو و درپوش گازكولر - آچارخوردگي پيچ هاي درب موتور ( تعويضي كارخانه ) -( ايرادات غير قابل ريورك مطابق استاندارد كارخانه )</t>
  </si>
  <si>
    <t>شماره بدنه: NE490077</t>
  </si>
  <si>
    <t>MJ500136</t>
  </si>
  <si>
    <t>185B0000256</t>
  </si>
  <si>
    <t>خط و خش و قري و كسري هاي ظاهري به رؤيت مشتري مي باشد - ماندگاري بالا و افت مدل - قري درب جلو راست - خش درب راننده - كسري آچارچرخ -( ايرادات غير قابل ريورك مطابق استاندارد كارخانه )</t>
  </si>
  <si>
    <t>شماره بدنه: MJ500136</t>
  </si>
  <si>
    <t>NE529873</t>
  </si>
  <si>
    <t>147H0674261</t>
  </si>
  <si>
    <t>خط و خش و قري و كسري هاي ظاهري به رؤيت مشتري مي باشد - قري سقف - ( ايرادات غير قابل ريورك مطابق استاندارد كارخانه )</t>
  </si>
  <si>
    <t>شماره بدنه: NE529873</t>
  </si>
  <si>
    <t>NE493452</t>
  </si>
  <si>
    <t>153H0086529</t>
  </si>
  <si>
    <t>خط و خش و قري و كسري هاي ظاهري به رؤيت مشتري مي باشد - قري و دفرمگي ستون جلو چپ ( لاي درب ) - خوردگي درب جلو چپ - كسري قاب بلندگو جلو چپ - خش درب داشبورد - ايراد رنگي بدنه - كسري درپوش گازكولر - آچارخوردگي پيچ هاي درب موتور ( تعويضي كارخانه ) - ( ايرادات غير قابل ريورك مطابق استاندارد كارخانه )</t>
  </si>
  <si>
    <t>شماره بدنه: NE493452</t>
  </si>
  <si>
    <t>NE490430</t>
  </si>
  <si>
    <t>153H0054848</t>
  </si>
  <si>
    <t>خط و خش و قري و كسري هاي ظاهري به رؤيت مشتري مي باشد - ايراد رنگي سقف و درب صندوق - قري درب راننده - كسري درب باك - آچار خوردگي پيچ هاي درب موتور و درب صندوق ( تعويضي كارخانه ) - كسري زيرپايي هاي جلو - باز بودن نمدي پشت درب صندوق - ايراد رنگي درب جلو چپ - كسري قاب داخل جعبه كنسول وسط - عدم عملكرد دوربين عقب - كسري فندك - ( ايرادات غير قابل ريورك مطابق استاندارد كارخانه )</t>
  </si>
  <si>
    <t>شماره بدنه: NE490430</t>
  </si>
  <si>
    <t>NE491379</t>
  </si>
  <si>
    <t>153H0057355</t>
  </si>
  <si>
    <t>خط و خش و قري و كسري هاي ظاهري به رؤيت مشتري مي باشد - خودرو تستي و پروژه اي مي باشد - ماندگاري خودرو - سانروف گير دارد - باطري دشارژ - ( ايرادات غير قابل ريورك مطابق استاندارد كارخانه )</t>
  </si>
  <si>
    <t>شماره بدنه: NE491379</t>
  </si>
  <si>
    <t>NH483952</t>
  </si>
  <si>
    <t>139B0302055</t>
  </si>
  <si>
    <t>خط و خش و قري و كسري هاي ظاهري به رؤيت مشتري مي باشد - ايراد رنگي درب موتور ( جوشيدگي لبه داخلي درب موتور ) - شكستگي جلوپنجره - خراش سپر جلو جلو - سائيدگي سپر عقب - كسري قاب پشت برف پاك كن ها - ( ايرادات غير قابل ريورك مطابق استاندارد كارخانه )</t>
  </si>
  <si>
    <t>شماره بدنه: NH483952</t>
  </si>
  <si>
    <t>NE491370</t>
  </si>
  <si>
    <t>153H0058017</t>
  </si>
  <si>
    <t>شماره بدنه: NE491370</t>
  </si>
  <si>
    <t>NJ240653</t>
  </si>
  <si>
    <t>185B0001255</t>
  </si>
  <si>
    <t>خط و خش و قري و كسري هاي ظاهري به رؤيت مشتري مي باشد - ايراد رنگي سقف - ( ايرادات غير قابل ريورك مطابق استاندارد كارخانه )</t>
  </si>
  <si>
    <t>شماره بدنه: NJ240653</t>
  </si>
  <si>
    <t>NE491385</t>
  </si>
  <si>
    <t>153H0058061</t>
  </si>
  <si>
    <t>شماره بدنه: NE491385</t>
  </si>
  <si>
    <t>NT346868</t>
  </si>
  <si>
    <t>188B0010101</t>
  </si>
  <si>
    <t>خط و خش و قري و كسري هاي ظاهري به رؤيت مشتري مي باشد - تصادف جلو سقف و ركابهاي دوطرف و گلگير عقب چپ و جاي زاپاس ( داخل صندوق ) و دفرمگي شاسي پشت چراغ جلو راست - ( ايرادات غير قابل ريورك مطابق استاندارد كارخانه )</t>
  </si>
  <si>
    <t>شماره بدنه: NT346868</t>
  </si>
  <si>
    <t>NE490176</t>
  </si>
  <si>
    <t>153H0051609</t>
  </si>
  <si>
    <t>خط و خش و قري و كسري هاي ظاهري به رؤيت مشتري مي باشد - ايراد رنگي سقف و درب موتور - قري گلگير عقب چپ و دربهاي راست - كسري درب باك بدنه و آفتابگيرها و ولوم راديوپخش و جاسيگاري جلو و درپوش گازكولر - شكستگي درپوش روي موتور - ( ايرادات غير قابل ريورك مطابق استاندارد كارخانه )</t>
  </si>
  <si>
    <t>شماره بدنه: NE490176</t>
  </si>
  <si>
    <t>ND943372</t>
  </si>
  <si>
    <t>187B0018631</t>
  </si>
  <si>
    <t>خط و خش و قري و كسري هاي ظاهري به رؤيت مشتري مي باشد - خوردگي سقف و سايد دو طرف و خش شديد سقف و گلگير عقب راست - شكستگي چراغ درب صندوق - خش گلگير عقب چپ - روشن بودن چراغ هاي پشت آمپر - عدم عملكرد سانروف - ( ايرادات غير قابل ريورك مطابق استاندارد كارخانه )</t>
  </si>
  <si>
    <t>شماره بدنه: ND943372</t>
  </si>
  <si>
    <t>NJ240801</t>
  </si>
  <si>
    <t>185B0000179</t>
  </si>
  <si>
    <t>خط و خش و قري و كسري هاي ظاهري به رؤيت مشتري مي باشد - ايراد رنگي سقف - دفرمگي زه درب راننده - ( ايرادات غير قابل ريورك مطابق استاندارد كارخانه )</t>
  </si>
  <si>
    <t>شماره بدنه: NJ240801</t>
  </si>
  <si>
    <t>NE490594</t>
  </si>
  <si>
    <t>153H0053445</t>
  </si>
  <si>
    <t>خط و خش و قري و كسري هاي ظاهري به رؤيت مشتري مي باشد - ايراد رنگي سقف و درب موتور - قري درب عقب چپ - كسري قاب پشت سرباطري و درپوش گازكولر - خش درب موتور - ( ايرادات غير قابل ريورك مطابق استاندارد كارخانه )</t>
  </si>
  <si>
    <t>شماره بدنه: NE490594</t>
  </si>
  <si>
    <t>NE491013</t>
  </si>
  <si>
    <t>153H0058004</t>
  </si>
  <si>
    <t>خط و خش و قري و كسري هاي ظاهري به رؤيت مشتري مي باشد - ايراد رنگي سقف و درب صندوق - آچارخوردگي پيچ هاي درب موتور و درب صندوق ( تعويضي كارخانه ) - ( ايرادات غير قابل ريورك مطابق استاندارد كارخانه )</t>
  </si>
  <si>
    <t>شماره بدنه: NE491013</t>
  </si>
  <si>
    <t>NE490981</t>
  </si>
  <si>
    <t>153H0052570</t>
  </si>
  <si>
    <t>خط و خش و قري و كسري هاي ظاهري به رؤيت مشتري مي باشد - ايراد رنگي سقف و درب صندوق - كسري كاور كابل مثبت و درپوش گازگولر - آچارخوردگي پيچ هاي درب موتور ( تعويضي كارخانه ) - ( ايرادات غير قابل ريورك مطابق استاندارد كارخانه )</t>
  </si>
  <si>
    <t>شماره بدنه: NE490981</t>
  </si>
  <si>
    <t>NJ313892</t>
  </si>
  <si>
    <t>165A0213947</t>
  </si>
  <si>
    <t>خط و خش و قري و كسري هاي ظاهري به رؤيت مشتري مي باشد - تصادف ركاب و درب جلو چپ و ستون جلو و گلگير جلو چپ - سائيدگي ضربگير درب عقب چپ - كسري يكعدد سوئيچ - ( ايرادات غير قابل ريورك مطابق استاندارد كارخانه )</t>
  </si>
  <si>
    <t>شماره بدنه: NJ313892</t>
  </si>
  <si>
    <t>NH481017</t>
  </si>
  <si>
    <t>164B0310279</t>
  </si>
  <si>
    <t>خط و خش و قري و كسري هاي ظاهري به رؤيت مشتري مي باشد - ايراد رنگي درب موتور - شكستگي سپر جلو و جلوپنجره - كسري اقمه اي جلوپنجره - رنگ شدگي پيچ هاي درب موتور ( تعويضي كارخانه ) - زدگي سپر عقب - كسري خار بال صندوق عقب - عدم جذب ضربگير درب جلو چپ - شكستگي چراغ عقب راست - رنگ پريدگي لبه گلگير جلو چپ - ( ايرادات غير قابل ريورك مطابق استاندارد كارخانه )</t>
  </si>
  <si>
    <t>شماره بدنه: NH481017</t>
  </si>
  <si>
    <t>NE490304</t>
  </si>
  <si>
    <t>153H0050500</t>
  </si>
  <si>
    <t>خط و خش و قري و كسري هاي ظاهري به رؤيت مشتري مي باشد - ايراد رنگي سقف و درب موتور - قري درب جلو چپ و كسري درب باك و جاسيگاري جلو و درپوش گازكولر - آچارخوردگي پيچ هاي درب موتور ( تعويضي كارخانه ) - چراغ ايربك روشن - كسري فندك - ( ايرادات غير قابل ريورك مطابق استاندارد كارخانه )</t>
  </si>
  <si>
    <t>شماره بدنه: NE490304</t>
  </si>
  <si>
    <t>NH484526</t>
  </si>
  <si>
    <t>139B0303632</t>
  </si>
  <si>
    <t>خط و خش و قري و كسري هاي ظاهري به رؤيت مشتري مي باشد - قري شديد سقف - شكستگي شيشه جلو و ابرويي زير چراغ جلو چپ - خوردگي گلگير جلو چپ - كسري كوركن روي راديوپخش - شكستگي جلوپنجره - عدم عملكرد برف پاك كن چپ - ( ايرادات غير قابل ريورك مطابق استاندارد كارخانه )</t>
  </si>
  <si>
    <t>شماره بدنه: NH484526</t>
  </si>
  <si>
    <t>MK143895</t>
  </si>
  <si>
    <t>139B0254074</t>
  </si>
  <si>
    <t>خط و خش و قري و كسري هاي ظاهري به رؤيت مشتري مي باشد - تصادفي بودن درب موتور و شكستگي سپر جلو - زاپاس مستعمل و پنچر - كسري آنتن - شكستگي آينه بغل چپ - رنگ پريدگي ركاب چپ - كيلومتر خراب - خش سپر عقب - لاستيك هاي راست پنچر - كسري ضامن زبانه كاپوت كش - ماندگاري بالا و افت مدل - تصادفي بودن سرشاسي جلو - ايراد رنگي درب عقب راست - خش گلگير عقب چپ و ركاب راست - دنده جا مي رود ولي خودرو حركت نمي كند ( ايراد فني ) - خش گلگير عقب راست - باطري دشارژ - زيرپايي ها و تيغه برف پاك كن مستعمل - شكستگي دو عدد قالپاق - لاستيكها مستعمل و متفرقه - كسري جك و آچارچرخ و شبرنگ - ( ايرادات غير قابل ريورك مطابق استاندارد كارخانه )</t>
  </si>
  <si>
    <t>شماره بدنه: MK143895</t>
  </si>
  <si>
    <t>NK194131</t>
  </si>
  <si>
    <t>167B0170771</t>
  </si>
  <si>
    <t>خط و خش و قري و كسري هاي ظاهري به رؤيت مشتري مي باشد - تصادفي بودن جلو خودرو ( سپر جلو و گلگير جلو چپ و درب موتور و جلو پنجره و سيني فن ) - شكستگي داشبورد و باز شدن ايربگ ها - كسري شبرنگ و آنتن - زاپاس تركيده و تصادفي - كسري زير سيگاري - خوردگي درب عقب راست - رنگ پريدگي ركاب راست - خوردگي گلگير عقب راست - كسري دستگيره موكت صندوق و درب جعبه فيوز - باز بودن قاب دور كنسول وسط - رنگ پريدگي گلگير جلو راست - خوردگي شلسي جلو چپ - رنگ پريدگي لبه درب جلو چپ - كسري زه روي سپر جلو - شكستگي مه شكن جلو چپ - خوردگي رادياتها و مجموعه كامل فن و سيني روي رادياتها - كسري قاب روي بكسل بند عقب - خوردگي پلوس و محور عرضي شاسي و مثلثي رام جلوبندي - صدمه ديدن غربيلك فرمان - خوردگي سيني زير موتور - كسري يك عدد زير سري عقب - شكستگي جلو پنجره - كسري آنتن - شكستگي دو عدد قالپاق - تصادفي لاستيكهاي جلو - موتور صداي غير عادي ميدهد - ( ايرادات غيرقابل ريورك مطابق استاندارد كارخانه )</t>
  </si>
  <si>
    <t>شماره بدنه: NK194131</t>
  </si>
  <si>
    <t>NK692082</t>
  </si>
  <si>
    <t>167B0178436</t>
  </si>
  <si>
    <t>خط و خش و قري و كسري هاي ظاهري به رؤيت مشتري مي باشد - خوردگي درب موتور - شكستگي سپرها و چراغ و مه شكن جلو راست و شيشه جلو - خوردگي گلگيرهاي چپ - رنگ پريدگي سپر عقب - قري و رنگ پريدگي گلگير عقب راست - لاستيكهاي عقب پنچر - كسري درب جعبه فيوز - خرابي زه سپر جلو - كسري آنتن - قري و رنگ پريدگي گلگير جلو راست - خش ركابها - خوردگي كف صندوق - قري پليت پايين درب صندوق - قري و تعويضي بودن درب صندوق - شكستگي سيني فن راديات - آچارخوردگي پيچ هاي درب موتور و گلگير جلو راست و درب صندوق ( تعويضي كارخانه ) - كسري پيچ هاي درب موتور و گلگير جلو راست - چراغ اي بي اس روشن - قري دربهاي راست - كسري ابرويي چراغ جلو راست - رنگ پريدگي درب عقب چپ - موتور خودرو لرزش دارد و صداي غير عادي دارد - كسري فندك - زيرپايي ها و تيغه برف پاك كن مستعمل - شكستگي جلو پنجره - خش آينه بغل راست - لاستيكها كاركرده و پنچر و متفرقه - زاپاس كاركرده و خراب و متفرقه - كسري شبرنگ و موكت صندوق - خراب بودن كولر - ( ايرادات غير قابل ريورك مطابق استاندارد كارخانه )</t>
  </si>
  <si>
    <t>شماره بدنه: NK692082</t>
  </si>
  <si>
    <t>MJ500130</t>
  </si>
  <si>
    <t>185B0000222</t>
  </si>
  <si>
    <t>خط و خش و قري و كسري هاي ظاهري به رؤيت مشتري مي باشد - ماندگاري بالا و افت مدل - خش سقف - ( ايرادات غير قابل ريورك مطابق استاندارد كارخانه )</t>
  </si>
  <si>
    <t>شماره بدنه: MJ500130</t>
  </si>
  <si>
    <t>پژو 207i اتوماتيک با موتور TU5P کلاس 1 سفيد دو پوششه</t>
  </si>
  <si>
    <t>MJ500033</t>
  </si>
  <si>
    <t>185B0000071</t>
  </si>
  <si>
    <t>خط و خش و قري و كسري هاي ظاهري به رؤيت مشتري مي باشد - ماندگاري بالا و افت مدل - خودروي پروژه اي سري اول توليد - عدم عملكرد شيشه بالابر عقب راست - ( ايرادات غير قابل ريورك مطابق استاندارد كارخانه )</t>
  </si>
  <si>
    <t>کد کلاس: 60601</t>
  </si>
  <si>
    <t>شماره بدنه: MJ500033</t>
  </si>
  <si>
    <t>NJ361647</t>
  </si>
  <si>
    <t>178B0116712</t>
  </si>
  <si>
    <t>خط و خش و قري و كسري هاي ظاهري به رؤيت مشتري مي باشد - تصادف گلگير عقب چپ - ايراد رنگي درب عقب چپ - كسري ناخني درب عقب چپ - خش ضربگير درب عقب چپ - خش آيه راست - ( ايرادات غير قابل ريورك مطابق استاندارد كارخانه )</t>
  </si>
  <si>
    <t>شماره بدنه: NJ361647</t>
  </si>
  <si>
    <t>MJ500121</t>
  </si>
  <si>
    <t>185B0000163</t>
  </si>
  <si>
    <t>شماره بدنه: MJ500121</t>
  </si>
  <si>
    <t>MJ500126</t>
  </si>
  <si>
    <t>185B0000229</t>
  </si>
  <si>
    <t>خط و خش و قري و كسري هاي ظاهري به رؤيت مشتري مي باشد - ماندگاري بالا و افت مدل - خودرو استارت مي خورد ولي روشن نمي شود - عدم تست فني خودرو - كسري يك عدد سوئيچ - خرابي باطري ( مستعمل ) - عدم عملكرد مانيتور - لاستيكها كاركرده - پمپ بنزين خراب مي باشد - ( ايرادات غير قابل ريورك مطابق استاندارد كارخانه )</t>
  </si>
  <si>
    <t>شماره بدنه: MJ500126</t>
  </si>
  <si>
    <t>NE491378</t>
  </si>
  <si>
    <t>153H0057352</t>
  </si>
  <si>
    <t>شماره بدنه: NE491378</t>
  </si>
  <si>
    <t>MJ230222</t>
  </si>
  <si>
    <t>166B0056886</t>
  </si>
  <si>
    <t>شماره بدنه: MJ230222</t>
  </si>
  <si>
    <t>NE490538</t>
  </si>
  <si>
    <t>153H0053425</t>
  </si>
  <si>
    <t>خط و خش و قري و كسري هاي ظاهري به رؤيت مشتري مي باشد - ايراد رنگي سقف - كسري جاسيگاري جلو - خش گلگير جلو چپ و قري گلگير عقب راست و كسري درپوش گازكولر و كليد صندلي جلو چپ - خش درب موتور - خراب بودن دكمه تنظيم صندليهاي جلو - ( ايرادات غير قابل ريورك مطابق استاندارد كارخانه )</t>
  </si>
  <si>
    <t>شماره بدنه: NE490538</t>
  </si>
  <si>
    <t>MJ228743</t>
  </si>
  <si>
    <t>167B0144290</t>
  </si>
  <si>
    <t>شماره بدنه: MJ228743</t>
  </si>
  <si>
    <t>NE491382</t>
  </si>
  <si>
    <t>153H0057356</t>
  </si>
  <si>
    <t>شماره بدنه: NE491382</t>
  </si>
  <si>
    <t>تارا دستي کلاس 1 سرمه اي متال</t>
  </si>
  <si>
    <t>MD912392</t>
  </si>
  <si>
    <t>سرمه اي متال</t>
  </si>
  <si>
    <t>187B0003424</t>
  </si>
  <si>
    <t>خط و خش و قري و كسري هاي ظاهري به رؤيت مشتري مي باشد - ماندگاري بالا و افت مدل - باطري متفرقه - ( ايرادات غير قابل ريورك مطابق استاندارد كارخانه )</t>
  </si>
  <si>
    <t>شماره بدنه: MD912392</t>
  </si>
  <si>
    <t>NJ350817</t>
  </si>
  <si>
    <t>178B0109761</t>
  </si>
  <si>
    <t>خط و خش و قري و كسري هاي ظاهري به رؤيت مشتري مي باشد - قري و دفرمگي قسمت داخلي پليت صندوق سمت راست - كسري درب جعبه فيوز - رنگ پريدگي لبه درب جلو چپ - كسري قاب دور دريچه سمت چپ - ( ايرادات غير قابل ريورك مطابق استاندارد كارخانه )</t>
  </si>
  <si>
    <t>شماره بدنه: NJ350817</t>
  </si>
  <si>
    <t>MJ500127</t>
  </si>
  <si>
    <t>185B0000328</t>
  </si>
  <si>
    <t>خط و خش و قري و كسري هاي ظاهري به رؤيت مشتري مي باشد - ماندگاري بالا و افت مدل - عدم عملكرد شيشه بالابر عقب راست - ( ايرادات غير قابل ريورك مطابق استاندارد كارخانه )</t>
  </si>
  <si>
    <t>شماره بدنه: MJ500127</t>
  </si>
  <si>
    <t>NE547423</t>
  </si>
  <si>
    <t>153H0089237</t>
  </si>
  <si>
    <t>خط و خش و قري و كسري هاي ظاهري به رؤيت مشتري مي باشد - خش گلگير جلو و عقب و دربهاي راست و درب موتور و درب صندوق و درب عقب چپ - ( ايرادات غير قابل ريورك مطابق استاندارد كارخانه )</t>
  </si>
  <si>
    <t>شماره بدنه: NE547423</t>
  </si>
  <si>
    <t>پژو 207i دستي کلاس 10 خاكستري متاليك</t>
  </si>
  <si>
    <t>MJ228778</t>
  </si>
  <si>
    <t>167B0145308</t>
  </si>
  <si>
    <t>خط و خش و قري و كسري هاي ظاهري به رؤيت مشتري مي باشد - ماندگاري بالا و افت مدل - پوسته شدن چراغ جلو راست - شكستگي پايه آينه وسط - كسري آچارچرخ - قري دربهاي راست - ( ايرادات غير قابل ريورك مطابق استاندارد كارخانه )</t>
  </si>
  <si>
    <t>شماره بدنه: MJ228778</t>
  </si>
  <si>
    <t>MJ500138</t>
  </si>
  <si>
    <t>185B0000228</t>
  </si>
  <si>
    <t>خط و خش و قري و كسري هاي ظاهري به رؤيت مشتري مي باشد - ماندگاري بالا و افت مدل - قري درب جلو چپ و درب جلو راست - ( ايرادات غير قابل ريورك مطابق استاندارد كارخانه )</t>
  </si>
  <si>
    <t>شماره بدنه: MJ500138</t>
  </si>
  <si>
    <t>MJ500115</t>
  </si>
  <si>
    <t>185B0000171</t>
  </si>
  <si>
    <t>شماره بدنه: MJ500115</t>
  </si>
  <si>
    <t>MD921332</t>
  </si>
  <si>
    <t>187B0009062</t>
  </si>
  <si>
    <t>خط و خش و قري و كسري هاي ظاهري به رؤيت مشتري مي باشد - ماندگاري بالا و افت مدل - رنگ پريدگي دستگيره درب جلو راست - ( ايرادات غير قابل ريورك مطابق استاندارد كارخانه )</t>
  </si>
  <si>
    <t>شماره بدنه: MD921332</t>
  </si>
  <si>
    <t>NJ930364</t>
  </si>
  <si>
    <t>166B0071493</t>
  </si>
  <si>
    <t>خط و خش و قري و كسري هاي ظاهري به رؤيت مشتري مي باشد - ايراد رنگي گلگير جلو راست - خش درب عقب راست - كسري تيغه برف پاك كن راست - كسري آنتن و سبرنگ - ( ايرادات غير قابل ريورك مطابق استاندارد كارخانه )</t>
  </si>
  <si>
    <t>شماره بدنه: NJ930364</t>
  </si>
  <si>
    <t>هايماS7 توربو اتوماتيك كلاس2 سفيد دو پوششه</t>
  </si>
  <si>
    <t>NY065960</t>
  </si>
  <si>
    <t>484QT27004847A</t>
  </si>
  <si>
    <t>خط و خش و قري و كسري هاي ظاهري به رؤيت مشتري مي باشد - اثر ضربه و خوردگي سپر عقب و ورق زير آن سمت راست - كسري زيرپايي ها - ( ايرادات غير قابل ريورك مطابق استاندارد كارخانه )</t>
  </si>
  <si>
    <t>شماره بدنه: NY065960</t>
  </si>
  <si>
    <t>MD921384</t>
  </si>
  <si>
    <t>187B0009188</t>
  </si>
  <si>
    <t>خط و خش و قري و كسري هاي ظاهري به رؤيت مشتري مي باشد - ماندگاري بالا و افت مدل - كسري ليوان - شكستگي آنتن - ( ايرادات غير قابل ريورك مطابق استاندارد كارخانه )</t>
  </si>
  <si>
    <t>شماره بدنه: MD921384</t>
  </si>
  <si>
    <t>تارا دستي کلاس 1 قهوه اي كادرو</t>
  </si>
  <si>
    <t>MD912330</t>
  </si>
  <si>
    <t>187B0003074</t>
  </si>
  <si>
    <t>شماره بدنه: MD912330</t>
  </si>
  <si>
    <t>MJ228302</t>
  </si>
  <si>
    <t>166B0057692</t>
  </si>
  <si>
    <t>خط و خش و قري و كسري هاي ظاهري به رؤيت مشتري مي باشد - ماندگاري بالا و افت مدل - كسري سنسور عقب - پوسته شدن چراغ هاي جلو - ( ايرادات غير قابل ريورك مطابق استاندارد كارخانه )</t>
  </si>
  <si>
    <t>شماره بدنه: MJ228302</t>
  </si>
  <si>
    <t>MJ500123</t>
  </si>
  <si>
    <t>185B0000162</t>
  </si>
  <si>
    <t>خط و خش و قري و كسري هاي ظاهري به رؤيت مشتري مي باشد - ماندگاري بالا و افت مدل - كسري شبرنگ - عدم عملكرد شيشه بالابر عقب راست ( ايرادات غير قابل ريورك مطابق استاندارد كارخانه )</t>
  </si>
  <si>
    <t>شماره بدنه: MJ500123</t>
  </si>
  <si>
    <t>NE490428</t>
  </si>
  <si>
    <t>153H0055029</t>
  </si>
  <si>
    <t>خط و خش و قري و كسري هاي ظاهري به رؤيت مشتري مي باشد - ايراد رنگي سقف و درب موتور - بسته نشدن درب جاسيگاري جلو و كسري قاب پشت سرباطري و درپوش گازكولر و آفتابگيرها - ( ايرادات غير قابل ريورك مطابق استاندارد كارخانه )</t>
  </si>
  <si>
    <t>شماره بدنه: NE490428</t>
  </si>
  <si>
    <t>MY040846</t>
  </si>
  <si>
    <t>GN15TF17000855A</t>
  </si>
  <si>
    <t>خط و خش و قري و كسري هاي ظاهري به رؤيت مشتري مي باشد - كسري زيرپايي ها - چراغ هاي پشت آمپر روشن - شكستگي خار دكمه هاي كنار فرمان روي جاسيگاري( ايرادات غير قابل ريورك مطابق استاندارد كارخانه )</t>
  </si>
  <si>
    <t>شماره بدنه: MY040846</t>
  </si>
  <si>
    <t>MJ500135</t>
  </si>
  <si>
    <t>185B0000221</t>
  </si>
  <si>
    <t>شماره بدنه: MJ500135</t>
  </si>
  <si>
    <t>NE492316</t>
  </si>
  <si>
    <t>153H0081857</t>
  </si>
  <si>
    <t>خط و خش و قري و كسري هاي ظاهري به رؤيت مشتري مي باشد - تصادفي بودن بكسل بند جلو ( سرشاسي جلو ) و سپر جلو از ناحيه زير سپر - كسري كارت ايموبلايزر و دستگيره موكت صندوق - عدم نصب سيني و شلگير جلو راست - شكستگي شلگير راست و تقويت عرضي - ( ايرادات غير قابل ريورك مطابق استاندارد كارخانه )</t>
  </si>
  <si>
    <t>شماره بدنه: NE492316</t>
  </si>
  <si>
    <t>MD921412</t>
  </si>
  <si>
    <t>187B0008925</t>
  </si>
  <si>
    <t>خط و خش و قري و كسري هاي ظاهري به رؤيت مشتري مي باشد - ماندگاري بالا و افت مدل -( ايرادات غير قابل ريورك مطابق استاندارد كارخانه )</t>
  </si>
  <si>
    <t>شماره بدنه: MD921412</t>
  </si>
  <si>
    <t>NJ928608</t>
  </si>
  <si>
    <t>166B0070130</t>
  </si>
  <si>
    <t>خط و خش و قري و كسري هاي ظاهري به رؤيت مشتري مي باشد - تصادف گلگير عقب چپ و سپر عقب و چراغ خطر عقب چپ - ( ايرادات غير قابل ريورك مطابق استاندارد كارخانه )</t>
  </si>
  <si>
    <t>شماره بدنه: NJ928608</t>
  </si>
  <si>
    <t>NY065746</t>
  </si>
  <si>
    <t>484QT26004320A</t>
  </si>
  <si>
    <t>خط و خش و قري و كسري هاي ظاهري به رؤيت مشتري مي باشد - قري سقف ( زير پايه باربند سقف ) - دفرمگي و قري باربند سقف دو طرف - كسري زير پايي ها - ( ايرادات غير قابل ريورك مطابق استاندارد كارخانه )</t>
  </si>
  <si>
    <t>شماره بدنه: NY065746</t>
  </si>
  <si>
    <t>MH689169</t>
  </si>
  <si>
    <t>139B0244054</t>
  </si>
  <si>
    <t>خط و خش و قري و كسري هاي ظاهري به رؤيت مشتري مي باشد - عدم تست فني خودرو - قري و رنگ پريدگي درب صندوق و آچارخوردگي پيچ هاي درب صندوق و درب موتور و گلگير جلو راست ( تعويضي كارخانه ) - خوردگي سپر جلو و گلگيرهاي جلو و سرشاسي جلو چپ و پلوس و زيرخودرو از ناحيه جلو - شكستگي چراغ جلو چپ و مه شكن هاي جلو - خوردگي بكسل بند جلو و دربهاي راست - قري ستون عقب راست - رنگ پريدگي و قري گلگير عقب راست - جانبودن زه درب جلو راست - خوردگي ركابها و بكسل بند عقب و رنگ پريدگي سپر عقب و كسري قاب بكسل بند عقب - شكستگي خار درب جعبه فيوز - باز شدن ايربك ها - كسري قاب دور دستگيره درب جلو راست - باز بودن قاب ركاب راست از داخل و باز بودن سيم پيچي هاي زير داشبورد - كسري ولوم ضبط و درپوش رم و دكمه هاي تنظيم كولر - شكستگي داشبورد و روي فرمان از ناحيه ايربك ها - كسري قاب كنار كنسول وسط - خودرو از ناحيه جلو چپ تصادف داشته و به بعضي از قطعات موتور آسيب وارد كرده - باطري مستعمل و دشارژ - خوردگي سيني زير موتور - زيرپايي جلو يك عدد كسري - تيغه برف پاك كن مستعمل و كسري قاب برف پاك كن چپ - خوردگي راهنماي آينه بغل چپ - شكستگي قالپاق ها - خوردگي رينگ و لاستيكهاي جلو و پنچري لاستيكهاي جلو - شكستگي درب باك فلزي - كسري زاپاس - كسري برخي قطعات موتوري و قطعات داخل اتاق - ( ايرادات غير قابل ريورك مطابق استاندارد كارخانه )</t>
  </si>
  <si>
    <t>شماره بدنه: MH689169</t>
  </si>
  <si>
    <t>سورن EF7 بنزيني کلاس 23 آبي كبود متاليك</t>
  </si>
  <si>
    <t>NF152434</t>
  </si>
  <si>
    <t>147H0626660</t>
  </si>
  <si>
    <t>خط و خش و قري و كسري هاي ظاهري به رؤيت مشتري مي باشد - ايراد رنگي سقف و درب صندوق و درب عقب چپ - كسري زبانه درب موتور - زاپاس كاركرده - خوردگي سپر عقب - خرابي شيشه بالابرها - موج ورق درب عقب چپ - ( ايرادات غير قابل ريورك مطابق استاندارد كارخانه )</t>
  </si>
  <si>
    <t>شماره بدنه: NF152434</t>
  </si>
  <si>
    <t>MD916665</t>
  </si>
  <si>
    <t>187B0009137</t>
  </si>
  <si>
    <t>شماره بدنه: MD916665</t>
  </si>
  <si>
    <t>NE712986</t>
  </si>
  <si>
    <t>153H0094314</t>
  </si>
  <si>
    <t>خط و خش و قري و كسري هاي ظاهري به رؤيت مشتري مي باشد - ايراد رنگي درب عقب چپ - كسري درب باك - ( ايرادات غير قابل ريورك مطابق استاندارد كارخانه )</t>
  </si>
  <si>
    <t>شماره بدنه: NE712986</t>
  </si>
  <si>
    <t>MD921329</t>
  </si>
  <si>
    <t>187B0008728</t>
  </si>
  <si>
    <t>شماره بدنه: MD921329</t>
  </si>
  <si>
    <t>MJ500014</t>
  </si>
  <si>
    <t>185B0000065</t>
  </si>
  <si>
    <t>خط و خش و قري و كسري هاي ظاهري به رؤيت مشتري مي باشد - ماندگاري بالا و افت مدل - خودروي پروژه اي سري اول توليد - عدم عملكرد شيشه بالابر عقب چپ - ( ايرادات غير قابل ريورك مطابق استاندارد كارخانه )</t>
  </si>
  <si>
    <t>شماره بدنه: MJ500014</t>
  </si>
  <si>
    <t>MY040977</t>
  </si>
  <si>
    <t>GN15TF19001364A</t>
  </si>
  <si>
    <t>خط و خش و قري و كسري هاي ظاهري به رؤيت مشتري مي باشد - ماندگاري بالا وافت مدل - كسري زيرپايي ها - باطري دشارژ - شكستگي خار جاسيگاري جلو چپ( ايرادات غير قابل ريورك مطابق استاندارد كارخانه )</t>
  </si>
  <si>
    <t>شماره بدنه: MY040977</t>
  </si>
  <si>
    <t>MD921337</t>
  </si>
  <si>
    <t>187B0008413</t>
  </si>
  <si>
    <t>شماره بدنه: MD921337</t>
  </si>
  <si>
    <t>MJ500009</t>
  </si>
  <si>
    <t>185B0000063</t>
  </si>
  <si>
    <t>خط و خش و قري و كسري هاي ظاهري به رؤيت مشتري مي باشد - ماندگاري بالا و افت مدل - خودروي پروژه اي سري اول توليد - عدم عملكرد مانيتور - چراغ روغن روشن - ( ايرادات غير قابل ريورك مطابق استاندارد كارخانه )</t>
  </si>
  <si>
    <t>شماره بدنه: MJ500009</t>
  </si>
  <si>
    <t>MD921354</t>
  </si>
  <si>
    <t>187B0009097</t>
  </si>
  <si>
    <t>شماره بدنه: MD921354</t>
  </si>
  <si>
    <t>MD916824</t>
  </si>
  <si>
    <t>187B0009361</t>
  </si>
  <si>
    <t>خط و خش و قري و كسري هاي ظاهري به رؤيت مشتري مي باشد - ماندگاري بالا و افت مدل - خش سپر عقب - ( ايرادات غير قابل ريورك مطابق استاندارد كارخانه )</t>
  </si>
  <si>
    <t>شماره بدنه: MD916824</t>
  </si>
  <si>
    <t>MF084967</t>
  </si>
  <si>
    <t>147H0618544</t>
  </si>
  <si>
    <t>خط و خش و قري و كسري هاي ظاهري به رؤيت مشتري مي باشد - ماندگاري بالا و افت مدل - رنگ پريدگي سپر جلو زير چراغ راست - ( ايرادات غير قابل ريورك مطابق استاندارد كارخانه )</t>
  </si>
  <si>
    <t>شماره بدنه: MF084967</t>
  </si>
  <si>
    <t>ND934745</t>
  </si>
  <si>
    <t>187B0015428</t>
  </si>
  <si>
    <t>خط و خش و قري و كسري هاي ظاهري به رؤيت مشتري مي باشد - تصادف بودن محور عرضي و نگهدارنده زير رادياتورها - كسري سپر جلو - شكستگي بچه گلگيرهاي جلو دو طرف - شكستگي دياق جلو راست - خش چراغ جلو - كسري بكسل بند داخل صندوق - شكستگي قاب زير شيشه جلو - كسري درب جعبه فيوز داخل موتور و آينه وسط - سائيدگي قالپاق چرخ جلو راست - خش درب موتور- شكستگي سيني زيرموتور - كسري آنتن - ( ايرادات غير قابل ريورك مطابق استاندارد كارخانه )</t>
  </si>
  <si>
    <t>شماره بدنه: ND934745</t>
  </si>
  <si>
    <t>MJ500122</t>
  </si>
  <si>
    <t>185B0000169</t>
  </si>
  <si>
    <t>شماره بدنه: MJ500122</t>
  </si>
  <si>
    <t>MF918387</t>
  </si>
  <si>
    <t>147H0610737</t>
  </si>
  <si>
    <t>خط و خش و قري و كسري هاي ظاهري به رؤيت مشتري مي باشد - ماندگاري بالا و افت مدل - زاپاس پنچر و كاركرده و متفرقه - ايراد رنگي سقف - رنگ پريدگي نقاطي از گلگيرها و دربها و درب موتور و سقف و درب صندوق و سپرها - ايراد رنگي بدنه - آچارخوردگي پيچ هاي درب صندوق ( تعويضي كارخانه ) - خوردگي سپر عقب - خش شديد درب صندوق - ( ايرادات غير قابل ريورك مطابق استاندارد كارخانه )</t>
  </si>
  <si>
    <t>شماره بدنه: MF918387</t>
  </si>
  <si>
    <t>MD916726</t>
  </si>
  <si>
    <t>187B0009220</t>
  </si>
  <si>
    <t>شماره بدنه: MD916726</t>
  </si>
  <si>
    <t>MJ500125</t>
  </si>
  <si>
    <t>185B0000245</t>
  </si>
  <si>
    <t>شماره بدنه: MJ500125</t>
  </si>
  <si>
    <t>MJ500057</t>
  </si>
  <si>
    <t>185B0000118</t>
  </si>
  <si>
    <t>خط و خش و قري و كسري هاي ظاهري به رؤيت مشتري مي باشد - ماندگاري بالا و افت مدل - قري درب جلو راست - ( ايرادات غير قابل ريورك مطابق استاندارد كارخانه )</t>
  </si>
  <si>
    <t>شماره بدنه: MJ500057</t>
  </si>
  <si>
    <t>NJ240594</t>
  </si>
  <si>
    <t>185B0000813</t>
  </si>
  <si>
    <t>خط و خش و قري و كسري هاي ظاهري به رؤيت مشتري مي باشد - ايراد رنگي سقف - موج ورق درب جلو راست - ( ايرادات غير قابل ريورك مطابق استاندارد كارخانه )</t>
  </si>
  <si>
    <t>شماره بدنه: NJ240594</t>
  </si>
  <si>
    <t>پژو 206 معمولي كلاس 31 قرمز رژ</t>
  </si>
  <si>
    <t>MJ630553</t>
  </si>
  <si>
    <t>165A0196724</t>
  </si>
  <si>
    <t>شماره بدنه: MJ630553</t>
  </si>
  <si>
    <t>NE490947</t>
  </si>
  <si>
    <t>153H0058032</t>
  </si>
  <si>
    <t>خط و خش و قري و كسري هاي ظاهري به رؤيت مشتري مي باشد - ايراد رنگي سقف و درب موتور و درب صندوق - كسري درب باك و آفتابگيرها - خرابي آمپر بنزين - كسري درپوش گازكولر - ( ايرادات غير قابل ريورك مطابق استاندارد كارخانه )</t>
  </si>
  <si>
    <t>شماره بدنه: NE490947</t>
  </si>
  <si>
    <t>MJ228859</t>
  </si>
  <si>
    <t>167B0144584</t>
  </si>
  <si>
    <t>خط و خش و قري و كسري هاي ظاهري به رؤيت مشتري مي باشد - ماندگاري بالا و افت مدل - پوسته شدن چراغ هاي جلو - ( ايرادات غير قابل ريورك مطابق استاندارد كارخانه )</t>
  </si>
  <si>
    <t>شماره بدنه: MJ228859</t>
  </si>
  <si>
    <t>ME365787</t>
  </si>
  <si>
    <t>153H0040512</t>
  </si>
  <si>
    <t>خط و خش و قري و كسري هاي ظاهري به رؤيت مشتري مي باشد - خودروي پروژه اي - سري اول دنا پلاس توربو شش دنده - ماندگاري بالا و افت مدل - كسري درپوش كولر - رنگ پريدگي درب جلو راست - ( ايرادات غير قابل ريورك مطابق استاندارد كارخانه )</t>
  </si>
  <si>
    <t>شماره بدنه: ME365787</t>
  </si>
  <si>
    <t>MT300776</t>
  </si>
  <si>
    <t>188B0000794</t>
  </si>
  <si>
    <t>شماره بدنه: MT300776</t>
  </si>
  <si>
    <t>MJ500132</t>
  </si>
  <si>
    <t>185B0000239</t>
  </si>
  <si>
    <t>خط و خش و قري و كسري هاي ظاهري به رؤيت مشتري مي باشد - ماندگاري بالا و افت مدل - خش سپر جلو و درب موتور - قري دربهاي چپ -( ايرادات غير قابل ريورك مطابق استاندارد كارخانه )</t>
  </si>
  <si>
    <t>شماره بدنه: MJ500132</t>
  </si>
  <si>
    <t>NF158174</t>
  </si>
  <si>
    <t>147H0631718</t>
  </si>
  <si>
    <t>خط و خش و قري و كسري هاي ظاهري به رؤيت مشتري مي باشد - ايراد رنگي درب جلو راست ( تعويضي كارخانه ) - قري درب جلو راست - ( ايرادات غير قابل ريورك مطابق استاندارد كارخانه )</t>
  </si>
  <si>
    <t>شماره بدنه: NF158174</t>
  </si>
  <si>
    <t>MJ500039</t>
  </si>
  <si>
    <t>185B0000085</t>
  </si>
  <si>
    <t>خط و خش و قري و كسري هاي ظاهري به رؤيت مشتري مي باشد - ماندگاري بالا و افت مدل - خودروي پروژه اي سري اول توليد - قري درب جلو راست - روشن ماندن چراغهاي پرژكتور ( ايراد برقي ) - يكعدد سوئيچ كسري - عدم عملكرد مانيتور - خش آينه چپ - صفحه كيلومتر ايراد دارد - ( ايرادات غير قابل ريورك مطابق استاندارد كارخانه )</t>
  </si>
  <si>
    <t>شماره بدنه: MJ500039</t>
  </si>
  <si>
    <t>NJ932479</t>
  </si>
  <si>
    <t>167B0179785</t>
  </si>
  <si>
    <t>خط و خش و قري و كسري هاي ظاهري به رؤيت مشتري مي باشد - تصادف گلگير عقب چپ و درب صندوق و سپر عقب و كف صندوق - چراغ چك روشن - شكستگي چراغ سپر عقب سمت چپ - كسري فندك و آنتن - ( ايرادات غير قابل ريورك مطابق استاندارد كارخانه )</t>
  </si>
  <si>
    <t>شماره بدنه: NJ932479</t>
  </si>
  <si>
    <t>NJ937828</t>
  </si>
  <si>
    <t>166B0072947</t>
  </si>
  <si>
    <t>خط و خش و قري و كسري هاي ظاهري به رؤيت مشتري مي باشد - ايراد رنگي گلگير جلو راست - كسري آنتن - ( ايرادات غير قابل ريورك مطابق استاندارد كارخانه )</t>
  </si>
  <si>
    <t>شماره بدنه: NJ937828</t>
  </si>
  <si>
    <t>MF918657</t>
  </si>
  <si>
    <t>147H0607881</t>
  </si>
  <si>
    <t>خط و خش و قري و كسري هاي ظاهري به رؤيت مشتري مي باشد - ماندگاري بالا و افت مدل - خش بال صندوق - ( ايرادات غير قابل ريورك مطابق استاندارد كارخانه )</t>
  </si>
  <si>
    <t>شماره بدنه: MF918657</t>
  </si>
  <si>
    <t>MJ500134</t>
  </si>
  <si>
    <t>185B0000236</t>
  </si>
  <si>
    <t>شماره بدنه: MJ500134</t>
  </si>
  <si>
    <t>NJ249732</t>
  </si>
  <si>
    <t>185B0008038</t>
  </si>
  <si>
    <t>خط و خش و قري و كسري هاي ظاهري به رؤيت مشتري مي باشد - تصادف درب جلو راست و ركاب راست و گلگير جلو راست - خش سپر جلو - ( ايرادات غير قابل ريورك مطابق استاندارد كارخانه )</t>
  </si>
  <si>
    <t>شماره بدنه: NJ249732</t>
  </si>
  <si>
    <t>MD921341</t>
  </si>
  <si>
    <t>187B0008715</t>
  </si>
  <si>
    <t>شماره بدنه: MD921341</t>
  </si>
  <si>
    <t>MD912375</t>
  </si>
  <si>
    <t>187B0003413</t>
  </si>
  <si>
    <t>شماره بدنه: MD912375</t>
  </si>
  <si>
    <t>MJ223043</t>
  </si>
  <si>
    <t>178B0076216</t>
  </si>
  <si>
    <t>خط و خش و قري و كسري هاي ظاهري به رؤيت مشتري مي باشد - ماندگاري بالا و افت مدل - ايراد رنگي بدنه - پوسته شدن چراغهاي جلو - ( ايرادات غير قابل ريورك مطابق استاندارد كارخانه )</t>
  </si>
  <si>
    <t>شماره بدنه: MJ223043</t>
  </si>
  <si>
    <t>NF167653</t>
  </si>
  <si>
    <t>147H0650227</t>
  </si>
  <si>
    <t>خط و خش و قري و كسري هاي ظاهري به رؤيت مشتري مي باشد - رنگ پريدگي دربهاي چپ و گلگير عقب چپ - ( ايرادات غير قابل ريورك مطابق استاندارد كارخانه )</t>
  </si>
  <si>
    <t>شماره بدنه: NF167653</t>
  </si>
  <si>
    <t>MD916717</t>
  </si>
  <si>
    <t>187B0008852</t>
  </si>
  <si>
    <t>خط و خش و قري و كسري هاي ظاهري به رؤيت مشتري مي باشد - ماندگاري بالا و افت مدل - باطري متفرقه - كسري قاب پايه درب صندوق - ( ايرادات غير قابل ريورك مطابق استاندارد كارخانه )</t>
  </si>
  <si>
    <t>شماره بدنه: MD916717</t>
  </si>
  <si>
    <t>MD912440</t>
  </si>
  <si>
    <t>187B0003057</t>
  </si>
  <si>
    <t>خط و خش و قري و كسري هاي ظاهري به رؤيت مشتري مي باشد - ماندگاري بالا و افت مدل - باطري متفرقه - كسري ميله درب موتور - ( ايرادات غير قابل ريورك مطابق استاندارد كارخانه )</t>
  </si>
  <si>
    <t>شماره بدنه: MD912440</t>
  </si>
  <si>
    <t>MJ500114</t>
  </si>
  <si>
    <t>185B0000254</t>
  </si>
  <si>
    <t>شماره بدنه: MJ500114</t>
  </si>
  <si>
    <t>NJ934206</t>
  </si>
  <si>
    <t>166B0072428</t>
  </si>
  <si>
    <t>خط و خش و قري و كسري هاي ظاهري به رؤيت مشتري مي باشد - تصادفي بودن سرشاسي جلو چپ و گلگيرهاي جلو و درب موتور و دربهاي جلو - شكستگي سپر جلو و چراغ جلو چپ - جابجايي قطعات موتوري و اكسل جلو چپ - شكستگي شيشه جلو - كسري درب جعبه فيوز - زدگي رينگ جلو چپ - كسري قاب پشت برف پاك كن عقب - شكستگي مه شكن جلو چپ - دفرمه بودن زه سپر عقب - چراغ اي بي اس روشن - مدولاتور ترمز صدا ميدهد و خوردگي و ايراد دارد - دنده بد جا ميرود و ايراد دارد - خوردگي سيني زير موتور و جلو پنجره - ( ايرادات غير قابل ريورك مطابق استاندارد كارخانه )</t>
  </si>
  <si>
    <t>شماره بدنه: NJ934206</t>
  </si>
  <si>
    <t>MJ530455</t>
  </si>
  <si>
    <t>178B0070464</t>
  </si>
  <si>
    <t>خط و خش و قري و كسري هاي ظاهري به رؤيت مشتري مي باشد - ماندگاري بالا و افت مدل - موج ورق درب جلو راست - ( ايرادات غير قابل ريورك مطابق استاندارد كارخانه )</t>
  </si>
  <si>
    <t>شماره بدنه: MJ530455</t>
  </si>
  <si>
    <t>MY040946</t>
  </si>
  <si>
    <t>GN15TF17001116A</t>
  </si>
  <si>
    <t>خط و خش و قري و كسري هاي ظاهري به رؤيت مشتري مي باشد - ماندگاري بالا و افت مدل - كسري زيرپايي ها - ( ايرادات غير قابل ريورك مطابق استاندارد كارخانه )</t>
  </si>
  <si>
    <t>شماره بدنه: MY040946</t>
  </si>
  <si>
    <t>MH675844</t>
  </si>
  <si>
    <t>139B0231462</t>
  </si>
  <si>
    <t>خط و خش و قري و كسري هاي ظاهري به رؤيت مشتري مي باشد - موتور خودرو استارت مي خورد ولي روشن نميشود - كسري شبرنگ و زيرپايي جلو چپ و زه گلگير جلو چپ - چراغ چك و اي بي اس روشن - خودرو تستي پروژه اي - ماندگاري بالا و افت مدل - قري درب جلو راست - ( ايرادات غير قابل ريورك مطابق استاندارد كارخانه )</t>
  </si>
  <si>
    <t>شماره بدنه: MH675844</t>
  </si>
  <si>
    <t>MD921350</t>
  </si>
  <si>
    <t>187B0009190</t>
  </si>
  <si>
    <t>خط و خش و قري و كسري هاي ظاهري به رؤيت مشتري مي باشد - ماندگاري بالا و افت مدل - شكستگي آنتن - ( ايرادات غير قابل ريورك مطابق استاندارد كارخانه )</t>
  </si>
  <si>
    <t>شماره بدنه: MD921350</t>
  </si>
  <si>
    <t>MD912404</t>
  </si>
  <si>
    <t>187B0003403</t>
  </si>
  <si>
    <t>شماره بدنه: MD912404</t>
  </si>
  <si>
    <t>MJ228322</t>
  </si>
  <si>
    <t>167B0144337</t>
  </si>
  <si>
    <t>شماره بدنه: MJ228322</t>
  </si>
  <si>
    <t>MJ229410</t>
  </si>
  <si>
    <t>166B0056093</t>
  </si>
  <si>
    <t>شماره بدنه: MJ229410</t>
  </si>
  <si>
    <t>NF165101</t>
  </si>
  <si>
    <t>147H0648294</t>
  </si>
  <si>
    <t>خط و خش و قري و كسري هاي ظاهري به رؤيت مشتري مي باشد - ايراد رنگي بدنه - خش و قري درب عقب و جلوي چپ و درب موتور و درب صندوق - كسري يكعدد قالپاق - آچارخوردگي پيچ هاي درب موتور ( تعويضي كارخانه ) - موج ورق درب جلو راست - خش ميق سقف - چراغ چك روشن - موتور ايراد فني دارد و بد كار ميكند - ايراد رنگي سقف - ( ايرادات غير قابل ريورك مطابق استاندارد كارخانه )</t>
  </si>
  <si>
    <t>شماره بدنه: NF165101</t>
  </si>
  <si>
    <t>MD920908</t>
  </si>
  <si>
    <t>187B0008959</t>
  </si>
  <si>
    <t>شماره بدنه: MD920908</t>
  </si>
  <si>
    <t>NY074937</t>
  </si>
  <si>
    <t>GN15TF26003811A</t>
  </si>
  <si>
    <t>خط و خش و قري و كسري هاي ظاهري به رؤيت مشتري مي باشد - ايراد رنگي درب صندوق - باز نشدن درب صندوق از بيرون - كسري زيرپايي ها - ( ايرادات غير قابل ريورك مطابق استاندارد كارخانه )</t>
  </si>
  <si>
    <t>شماره بدنه: NY074937</t>
  </si>
  <si>
    <t>MD921400</t>
  </si>
  <si>
    <t>187B0008422</t>
  </si>
  <si>
    <t>شماره بدنه: MD921400</t>
  </si>
  <si>
    <t>MD916866</t>
  </si>
  <si>
    <t>187B0009476</t>
  </si>
  <si>
    <t>خط و خش و قري و كسري هاي ظاهري به رؤيت مشتري مي باشد - ماندگاري بالا و افت مدل - خش دربهاي راست و گلگير عقب راست و دربهاي چپ - ( ايرادات غير قابل ريورك مطابق استاندارد كارخانه )</t>
  </si>
  <si>
    <t>شماره بدنه: MD916866</t>
  </si>
  <si>
    <t>NJ351937</t>
  </si>
  <si>
    <t>166B0074550</t>
  </si>
  <si>
    <t>خط و خش و قري و كسري هاي ظاهري به رؤيت مشتري مي باشد - تصادفي بودن ركاب چپ و قري زه دربهاي جلو - ( ايرادات غير قابل ريورك مطابق استاندارد كارخانه )</t>
  </si>
  <si>
    <t>شماره بدنه: NJ351937</t>
  </si>
  <si>
    <t>MD920004</t>
  </si>
  <si>
    <t>187B0000410</t>
  </si>
  <si>
    <t>خط و خش و قري و كسري هاي ظاهري به رؤيت مشتري مي باشد - خودرو تستي و سري اول توليد مي باشد - عدم تست فني خودرو - ماندگاري بالا و افت مدل - كسري چراغ سقف و راهنماي گلگير جلو چپ و راست و قاب آينه بغل چپ و راست و رودري دربهاي عقب و درب جعبه فيوز و قاب فرمان و سردنده و قاب كنسول وسط - خش سپر جلو - كسري قفل و قاب روي قفل درب عقب چپ و خار نگهدارنده ميله درب موتور و قاب جك درب صندوق و سنسور شيشه جلو و كنسول وسط و ليوان و قاب دور دنده و كليدهاي بالابر عقب راست و مانيتور و قاب دور مانيتور - خش دربهاي چپ و گلگير عقب چپ و سپر عقب - باطري مستعمل و متفرقه - گيج روغن شكسته - كسري راديوپخش و فندك و زيرپايي ها و تيغه برف پاك كن و آنتن و رينگ اسپرت و شبرنگ -( ايرادات غير قابل ريورك مطابق استاندارد كارخانه )</t>
  </si>
  <si>
    <t>شماره بدنه: MD920004</t>
  </si>
  <si>
    <t>MD912409</t>
  </si>
  <si>
    <t>187B0003897</t>
  </si>
  <si>
    <t>شماره بدنه: MD912409</t>
  </si>
  <si>
    <t>پژو 207i دستي کلاس 10 آبي كاسپين</t>
  </si>
  <si>
    <t>MJ228730</t>
  </si>
  <si>
    <t>آبي كاسپين</t>
  </si>
  <si>
    <t>167B0144581</t>
  </si>
  <si>
    <t>خط و خش و قري و كسري هاي ظاهري به رؤيت مشتري مي باشد - ماندگاري بالا و افت مدل - قري درب جلو چپ - پوسته شدن چراغ هاي جلو - ( ايرادات غير قابل ريورك مطابق استاندارد كارخانه )</t>
  </si>
  <si>
    <t>شماره بدنه: MJ228730</t>
  </si>
  <si>
    <t>MD921388</t>
  </si>
  <si>
    <t>187B0008831</t>
  </si>
  <si>
    <t>شماره بدنه: MD921388</t>
  </si>
  <si>
    <t>MD916657</t>
  </si>
  <si>
    <t>187B0006329</t>
  </si>
  <si>
    <t>شماره بدنه: MD916657</t>
  </si>
  <si>
    <t>NF155852</t>
  </si>
  <si>
    <t>147H0634876</t>
  </si>
  <si>
    <t>خط و خش و قري و كسري هاي ظاهري به رؤيت مشتري مي باشد - ايراد رنگي بدنه ( درب جلو راست ) - ( ايرادات غير قابل ريورك مطابق استاندارد كارخانه )</t>
  </si>
  <si>
    <t>شماره بدنه: NF155852</t>
  </si>
  <si>
    <t>MJ229254</t>
  </si>
  <si>
    <t>166B0056835</t>
  </si>
  <si>
    <t>خط و خش و قري و كسري هاي ظاهري به رؤيت مشتري مي باشد - ماندگاري بالا و افت مدل - پوسته شدن چراغ هاي جلو -( ايرادات غير قابل ريورك مطابق استاندارد كارخانه )</t>
  </si>
  <si>
    <t>شماره بدنه: MJ229254</t>
  </si>
  <si>
    <t>NE490646</t>
  </si>
  <si>
    <t>153H0055562</t>
  </si>
  <si>
    <t>خط و خش و قري و كسري هاي ظاهري به رؤيت مشتري مي باشد - ايراد رنگي سقف و درب موتور - كسري درب جعبه فيوز داخل موتور - نفوذ آب چراغ عقب راست - كسري درب باك بدنه - ( ايرادات غير قابل ريورك مطابق استاندارد كارخانه )</t>
  </si>
  <si>
    <t>شماره بدنه: NE490646</t>
  </si>
  <si>
    <t>NF159833</t>
  </si>
  <si>
    <t>147H0639711</t>
  </si>
  <si>
    <t>خط و خش و قري و كسري هاي ظاهري به رؤيت مشتري مي باشد - خط درب جلو چپ - تصادفي بودن گلگير جلو چپ - رنگ پريدگي درب موتور - كسري آنتن - مغايرت رنگ درب باك - اچارخوردگي پيچ هاي درب موتور و گلگير جلو چپ ( تعويضي كارخانه ) - كسري درب جعبه فيوز و درب راديات - ( ايرادات غير قابل ريورك مطابق استاندارد كارخانه )</t>
  </si>
  <si>
    <t>شماره بدنه: NF159833</t>
  </si>
  <si>
    <t>MD916664</t>
  </si>
  <si>
    <t>187B0009471</t>
  </si>
  <si>
    <t>خط و خش و قري و كسري هاي ظاهري به رؤيت مشتري مي باشد - ماندگاري بالا و افت مدل - كسري درب جعبه فيوز و ليوان - شكستگي پك جك - ( ايرادات غير قابل ريورك مطابق استاندارد كارخانه )</t>
  </si>
  <si>
    <t>شماره بدنه: MD916664</t>
  </si>
  <si>
    <t>NJ240513</t>
  </si>
  <si>
    <t>185B0001041</t>
  </si>
  <si>
    <t>خط و خش و قري و كسري هاي ظاهري به رؤيت مشتري مي باشد - ايراد رنگي سقف و درب موتور - آچارخوردگي پيچ هاي درب موتور ( تعويضي كارخانه ) - كسري درب جعبه فيوز - موتور بد كار ميكند و لرزش دارد - ( ايرادات غير قابل ريورك مطابق استاندارد كارخانه )</t>
  </si>
  <si>
    <t>شماره بدنه: NJ240513</t>
  </si>
  <si>
    <t>ME365819</t>
  </si>
  <si>
    <t>153H0044439</t>
  </si>
  <si>
    <t>خط و خش و قري و كسري هاي ظاهري به رؤيت مشتري مي باشد - خودروي پروژه اي - سري اول دنا پلاس توربو شش دنده - ماندگاري بالا و افت مدل - كسري داشبورد و درب و باكس داشبورد و درب باك فلزي - سائيدگي و ايراد رنگ سپر عقب و سپر جلو - ( ايرادات غير قابل ريورك مطابق استاندارد كارخانه )</t>
  </si>
  <si>
    <t>شماره بدنه: ME365819</t>
  </si>
  <si>
    <t>ME365820</t>
  </si>
  <si>
    <t>153H0044440</t>
  </si>
  <si>
    <t>خط و خش و قري و كسري هاي ظاهري به رؤيت مشتري مي باشد - خودروي پروژه اي - سري اول دنا پلاس توربو شش دنده - ماندگاري بالا و افت مدل - چراغ چك روشن - ايراد رنگي سقف و سپر عقب - ( ايرادات غير قابل ريورك مطابق استاندارد كارخانه )</t>
  </si>
  <si>
    <t>شماره بدنه: ME365820</t>
  </si>
  <si>
    <t>MJ500016</t>
  </si>
  <si>
    <t>185B0000057</t>
  </si>
  <si>
    <t>خط و خش و قري و كسري هاي ظاهري به رؤيت مشتري مي باشد - ماندگاري بالا و افت مدل - خودروي پروژه اي سري اول توليد - باطري كاركرده و مستعمل - شكستگي پايه آنتن - كسري درب جعبه فيوز - كسري آنتن - ( ايرادات غير قابل ريورك مطابق استاندارد كارخانه )</t>
  </si>
  <si>
    <t>شماره بدنه: MJ500016</t>
  </si>
  <si>
    <t>MJ500011</t>
  </si>
  <si>
    <t>185B0000066</t>
  </si>
  <si>
    <t>خط و خش و قري و كسري هاي ظاهري به رؤيت مشتري مي باشد - ماندگاري بالا و افت مدل - خودروي پروژه اي سري اول توليد - روشن بودن چراغ هاي پشت آمپر - كسري كليد قفل كن شيشه بالابر عقب - ( ايرادات غير قابل ريورك مطابق استاندارد كارخانه )</t>
  </si>
  <si>
    <t>شماره بدنه: MJ500011</t>
  </si>
  <si>
    <t>NF153011</t>
  </si>
  <si>
    <t>147H0628755</t>
  </si>
  <si>
    <t>خط و خش و قري و كسري هاي ظاهري به رؤيت مشتري مي باشد - شكستگي قفل درب جعبه كنسول وسط - خوردگي لبه درب جلو چپ - تصادفي بودن گلگير جلو چپ و درب موتور و درب جلو چپ - جانبودن سپر جلو - قري گلگير جلو راست - شكستگي سيني روي رادياتها - خوردگي رادياتها و سيني فن و سرشاسي جلو چپ - قري درب عقب چپ - ايراد رنگي درب باك - قري گلگير عقب راست - قري شديد دربهاي راست - زنگ زدگي درب راننده - شكستگي قاب داخل صندوق - زاپاس و جك كاركرده - قري گلگير عقب چپ - در حين حركت چراغ استوپ روشن ميشود - شكستگي قاب روي دكمه هاي تنظيم صندلي راننده - عدم عملكرد دكمه هاي تنظيم صندلي راننده - خودرو بدليل عدم عملكرد سيستم خنك كننده آمپر چسبانده و چراغ استوپ روشن شده و احنمال آسيب ديدگي فني به موتور وجود دارد - لاستيكها كاركرده - خش چراغ عقب چپ - ( ايرادات غير قابل ريورك مطابق استاندارد كارخانه )</t>
  </si>
  <si>
    <t>شماره بدنه: NF153011</t>
  </si>
  <si>
    <t>MJ500004</t>
  </si>
  <si>
    <t>185B0000062</t>
  </si>
  <si>
    <t>خط و خش و قري و كسري هاي ظاهري به رؤيت مشتري مي باشد - ماندگاري بالا و افت مدل - خودروي پروژه اي سري اول توليد - ( ايرادات غير قابل ريورك مطابق استاندارد كارخانه )</t>
  </si>
  <si>
    <t>شماره بدنه: MJ500004</t>
  </si>
  <si>
    <t>ME365795</t>
  </si>
  <si>
    <t>153H0041228</t>
  </si>
  <si>
    <t>خط و خش و قري و كسري هاي ظاهري به رؤيت مشتري مي باشد - خودروي پروژه اي - سري اول دنا پلاس توربو شش دنده - ماندگاري بالا و افت مدل - كسري درپوش گازكولر -روشن بودن چراغ هاي پشت آمپر - ( ايرادات غير قابل ريورك مطابق استاندارد كارخانه )</t>
  </si>
  <si>
    <t>شماره بدنه: ME365795</t>
  </si>
  <si>
    <t>MJ500053</t>
  </si>
  <si>
    <t>185B0000115</t>
  </si>
  <si>
    <t>خط و خش و قري و كسري هاي ظاهري به رؤيت مشتري مي باشد - ماندگاري بالا و افت مدل - زدگي قاب دور مانيتور راديوپخش - باطري دشارژ - شكستگي دستگيره نمدي سقف - ( ايرادات غير قابل ريورك مطابق استاندارد كارخانه )</t>
  </si>
  <si>
    <t>شماره بدنه: MJ500053</t>
  </si>
  <si>
    <t>ME365821</t>
  </si>
  <si>
    <t>153H0044437</t>
  </si>
  <si>
    <t>خط و خش و قري و كسري هاي ظاهري به رؤيت مشتري مي باشد - خودروي پروژه اي - سري اول دنا پلاس توربو شش دنده - ماندگاري بالا و افت مدل - ايراد رنگي بدنه - ( ايرادات غير قابل ريورك مطابق استاندارد كارخانه )</t>
  </si>
  <si>
    <t>شماره بدنه: ME365821</t>
  </si>
  <si>
    <t>MJ222779</t>
  </si>
  <si>
    <t>178B0076267</t>
  </si>
  <si>
    <t>خط و خش و قري و كسري هاي ظاهري به رؤيت مشتري مي باشد - ماندگاري بالا و افت مدل - كسري ناخني درب راننده - سائيدگي لبه درب جلو چپ - ( ايرادات غير قابل ريورك مطابق استاندارد كارخانه )</t>
  </si>
  <si>
    <t>شماره بدنه: MJ222779</t>
  </si>
  <si>
    <t>ME365793</t>
  </si>
  <si>
    <t>153H0041230</t>
  </si>
  <si>
    <t>خط و خش و قري و كسري هاي ظاهري به رؤيت مشتري مي باشد - خودروي پروژه اي - سري اول دنا پلاس توربو شش دنده - ماندگاري بالا و افت مدل - ايراد رنگي درب موتور - ( ايرادات غير قابل ريورك مطابق استاندارد كارخانه )</t>
  </si>
  <si>
    <t>شماره بدنه: ME365793</t>
  </si>
  <si>
    <t>MJ500038</t>
  </si>
  <si>
    <t>185B0000055</t>
  </si>
  <si>
    <t>شماره بدنه: MJ500038</t>
  </si>
  <si>
    <t>ME365805</t>
  </si>
  <si>
    <t>153H0042609</t>
  </si>
  <si>
    <t>خط و خش و قري و كسري هاي ظاهري به رؤيت مشتري مي باشد - خودروي پروژه اي - سري اول دنا پلاس توربو شش دنده - ماندگاري بالا و افت مدل - كسري درپ باك و درپوش بست باطري - ( ايرادات غير قابل ريورك مطابق استاندارد كارخانه )</t>
  </si>
  <si>
    <t>شماره بدنه: ME365805</t>
  </si>
  <si>
    <t>NT377810</t>
  </si>
  <si>
    <t>172B0094324</t>
  </si>
  <si>
    <t>خط و خش و قري و كسري هاي ظاهري به رؤيت مشتري مي باشد - تصادف گلگيرها و دربهاي چپ و سپر جلو - اثر سائيدگي تاير و قالپاق چرخ جلو چپ - خش سپر عقب - رنگ پريدگي ستون جلو چپ - ( ايرادات غير قابل ريورك مطابق استاندارد كارخانه )</t>
  </si>
  <si>
    <t>شماره بدنه: NT377810</t>
  </si>
  <si>
    <t>MJ500116</t>
  </si>
  <si>
    <t>185B0000166</t>
  </si>
  <si>
    <t>خط و خش و قري و كسري هاي ظاهري به رؤيت مشتري مي باشد - ماندگاري بالا و افت مدل - قري درب جلو راست -( ايرادات غير قابل ريورك مطابق استاندارد كارخانه )</t>
  </si>
  <si>
    <t>شماره بدنه: MJ500116</t>
  </si>
  <si>
    <t>NE490809</t>
  </si>
  <si>
    <t>153H0057036</t>
  </si>
  <si>
    <t>خط و خش و قري و كسري هاي ظاهري به رؤيت مشتري مي باشد - ايراد رنگي سقف - قري درب جلو راست - آچارخوردگي پيچ هاي درب موتور ( تعويضي كارخانه ) - ( ايرادات غير قابل ريورك مطابق استاندارد كارخانه )</t>
  </si>
  <si>
    <t>شماره بدنه: NE490809</t>
  </si>
  <si>
    <t>ME410885</t>
  </si>
  <si>
    <t>153H0047200</t>
  </si>
  <si>
    <t>خط و خش و قري و كسري هاي ظاهري به رؤيت مشتري مي باشد - خش سپر عقب و درب عقب راست و درب جلو راست و درب صندوق - ماندگاري بالا و افت مدل - چراغ چك روشن - باطري مستعمل و متفرقه - كسري لوگوي رينگ چرخ عقب چپ - استارت ميخورد ولي روشن نمي شود - ( ايرادات غير قابل ريورك مطابق استاندارد كارخانه )</t>
  </si>
  <si>
    <t>شماره بدنه: ME410885</t>
  </si>
  <si>
    <t>NT376579</t>
  </si>
  <si>
    <t>172B0092557</t>
  </si>
  <si>
    <t>خط و خش و قري و كسري هاي ظاهري به رؤيت مشتري مي باشد - خوردگي زير خودرو ( سپر جلو و رام ، چرخ جلو راست و سيني زير موتور و آسيب ديدگي محور عرضي شاسي از قسمت جلو راست ) - شكستگي ضربگير درب جلو چپ و قالپاق جلو راست - كسري زاپاس -( ايرادات غير قابل ريورك مطابق استاندارد كارخانه )</t>
  </si>
  <si>
    <t>شماره بدنه: NT376579</t>
  </si>
  <si>
    <t>MF082069</t>
  </si>
  <si>
    <t>147H0613658</t>
  </si>
  <si>
    <t>خط و خش و قري و كسري هاي ظاهري به رؤيت مشتري مي باشد - ماندگاري بالا و افت مدل - خوردگي درب موتور - جانبودن سپر - آچارخوردگي پيچ هاي گلگير جلو راست ( تعويضي كارخانه ) - ايراد رنگي درب باك - قري سقف - زنگ زدگي گلگيرهاي جلو و درب موتور - لاستيكها كاركرده - كسري شبرنگ و درب جعبه فيوز -( ايرادات غير قابل ريورك مطابق استاندارد كارخانه )</t>
  </si>
  <si>
    <t>شماره بدنه: MF082069</t>
  </si>
  <si>
    <t>NJ932739</t>
  </si>
  <si>
    <t>167B0180617</t>
  </si>
  <si>
    <t>خط و خش و قري و كسري هاي ظاهري به رؤيت مشتري مي باشد - تصادفي بودن ركاب راست - ( ايرادات غير قابل ريورك مطابق استاندارد كارخانه )</t>
  </si>
  <si>
    <t>شماره بدنه: NJ932739</t>
  </si>
  <si>
    <t>MJ500055</t>
  </si>
  <si>
    <t>185B0000117</t>
  </si>
  <si>
    <t>خط و خش و قري و كسري هاي ظاهري به رؤيت مشتري مي باشد - ماندگاري بالا و افت مدل - عدم عملكرد بوق - زدگي روي داشبورد - ( ايرادات غير قابل ريورك مطابق استاندارد كارخانه )</t>
  </si>
  <si>
    <t>شماره بدنه: MJ500055</t>
  </si>
  <si>
    <t>ME365778</t>
  </si>
  <si>
    <t>153H0038861</t>
  </si>
  <si>
    <t>خط و خش و قري و كسري هاي ظاهري به رؤيت مشتري مي باشد - خودروي پروژه اي - سري اول دنا پلاس توربو شش دنده - ماندگاري بالا و افت مدل - روشن ماندن چراغ هاي پشت آمپر - گاز خوردن اضافي موتور - كسري قاب پشت قفل درب جلو چپ - چراغ اي بي اس و سرويس روشن - شكستگي قاب روي فرمان - ( ايرادات غير قابل ريورك مطابق استاندارد كارخانه )</t>
  </si>
  <si>
    <t>شماره بدنه: ME365778</t>
  </si>
  <si>
    <t>ME365782</t>
  </si>
  <si>
    <t>153H0038858</t>
  </si>
  <si>
    <t>خط و خش و قري و كسري هاي ظاهري به رؤيت مشتري مي باشد - خودروي پروژه اي - سري اول دنا پلاس توربو شش دنده - ماندگاري بالا و افت مدل - ( ايرادات غير قابل ريورك مطابق استاندارد كارخانه )</t>
  </si>
  <si>
    <t>شماره بدنه: ME365782</t>
  </si>
  <si>
    <t>MJ500119</t>
  </si>
  <si>
    <t>185B0000247</t>
  </si>
  <si>
    <t>شماره بدنه: MJ500119</t>
  </si>
  <si>
    <t>MJ531239</t>
  </si>
  <si>
    <t>178B0071083</t>
  </si>
  <si>
    <t>خط و خش و قري و كسري هاي ظاهري به رؤيت مشتري مي باشد - ماندگاري بالا و افت مدل - خش سپر جلو و درب موتور - ايراد رنگي بدنه - ( ايرادات غير قابل ريورك مطابق استاندارد كارخانه )</t>
  </si>
  <si>
    <t>شماره بدنه: MJ531239</t>
  </si>
  <si>
    <t>MJ230865</t>
  </si>
  <si>
    <t>167B0147211</t>
  </si>
  <si>
    <t>شماره بدنه: MJ230865</t>
  </si>
  <si>
    <t>MJ500054</t>
  </si>
  <si>
    <t>185B0000116</t>
  </si>
  <si>
    <t>شماره بدنه: MJ500054</t>
  </si>
  <si>
    <t>MD916648</t>
  </si>
  <si>
    <t>187B0006244</t>
  </si>
  <si>
    <t>شماره بدنه: MD916648</t>
  </si>
  <si>
    <t>MJ500023</t>
  </si>
  <si>
    <t>185B0000082</t>
  </si>
  <si>
    <t>خط و خش و قري و كسري هاي ظاهري به رؤيت مشتري مي باشد - ماندگاري بالا و افت مدل - خودروي پروژه اي سري اول توليد - كسري آرم گلگير جلو راست و قاب بكسل بند جلو - باطري كاركرده و مستعمل - خوردگي درب جلو چپ - عدم عملكرد بوق و راديوپخش و مانيتور - قري درب جلو راست - شكستگي خار ضربگير درب جلو چپ - دوربين عقب خراب - ( ايرادات غير قابل ريورك مطابق استاندارد كارخانه )</t>
  </si>
  <si>
    <t>شماره بدنه: MJ500023</t>
  </si>
  <si>
    <t>MJ420316</t>
  </si>
  <si>
    <t>178B0065882</t>
  </si>
  <si>
    <t>خط و خش و قري و كسري هاي ظاهري به رؤيت مشتري مي باشد - ماندگاري بالا و افت مدل - پوسته شدن چراغ هاي جلو - كسري شبرنگ - قري درب جلو راست - خش جلو پنجره - كولر و بخاري خراب مي باشد -( ايرادات غير قابل ريورك مطابق استاندارد كارخانه )</t>
  </si>
  <si>
    <t>شماره بدنه: MJ420316</t>
  </si>
  <si>
    <t>MJ229216</t>
  </si>
  <si>
    <t>166B0058105</t>
  </si>
  <si>
    <t>خط و خش و قري و كسري هاي ظاهري به رؤيت مشتري مي باشد - ماندگاري بالا و افت مدل - عدم عملكرد بوق - ( ايرادات غير قابل ريورك مطابق استاندارد كارخانه )</t>
  </si>
  <si>
    <t>شماره بدنه: MJ229216</t>
  </si>
  <si>
    <t>MJ500120</t>
  </si>
  <si>
    <t>185B0000253</t>
  </si>
  <si>
    <t>شماره بدنه: MJ500120</t>
  </si>
  <si>
    <t>ME365792</t>
  </si>
  <si>
    <t>153H0041231</t>
  </si>
  <si>
    <t>خط و خش و قري و كسري هاي ظاهري به رؤيت مشتري مي باشد - خودروي پروژه اي - سري اول دنا پلاس توربو شش دنده - ماندگاري بالا و افت مدل - خراب بودن تنظيم صندلي - ( ايرادات غير قابل ريورك مطابق استاندارد كارخانه )</t>
  </si>
  <si>
    <t>شماره بدنه: ME365792</t>
  </si>
  <si>
    <t>MJ500133</t>
  </si>
  <si>
    <t>185B0000251</t>
  </si>
  <si>
    <t>خط و خش و قري و كسري هاي ظاهري به رؤيت مشتري مي باشد - ماندگاري بالا و افت مدل - خرابي جك درب صندوق - ( ايرادات غير قابل ريورك مطابق استاندارد كارخانه )</t>
  </si>
  <si>
    <t>شماره بدنه: MJ500133</t>
  </si>
  <si>
    <t>ME365806</t>
  </si>
  <si>
    <t>153H0042607</t>
  </si>
  <si>
    <t>خط و خش و قري و كسري هاي ظاهري به رؤيت مشتري مي باشد - خودروي پروژه اي - سري اول دنا پلاس توربو شش دنده - ماندگاري بالا و افت مدل - ايراد رنگي درب صندوق و درب عقب چپ - ( ايرادات غير قابل ريورك مطابق استاندارد كارخانه )</t>
  </si>
  <si>
    <t>شماره بدنه: ME365806</t>
  </si>
  <si>
    <t>MJ530348</t>
  </si>
  <si>
    <t>178B0070709</t>
  </si>
  <si>
    <t>شماره بدنه: MJ530348</t>
  </si>
  <si>
    <t>MJ500117</t>
  </si>
  <si>
    <t>185B0000248</t>
  </si>
  <si>
    <t>شماره بدنه: MJ500117</t>
  </si>
  <si>
    <t>MD912389</t>
  </si>
  <si>
    <t>187B0001640</t>
  </si>
  <si>
    <t>خط و خش و قري و كسري هاي ظاهري به رؤيت مشتري مي باشد - ماندگاري بالا و افت مدل - باطري متفرقه - شكستگي لچكي شيشه درب عقب راست - ( ايرادات غير قابل ريورك مطابق استاندارد كارخانه )</t>
  </si>
  <si>
    <t>شماره بدنه: MD912389</t>
  </si>
  <si>
    <t>MJ500059</t>
  </si>
  <si>
    <t>185B0000110</t>
  </si>
  <si>
    <t>خط و خش و قري و كسري هاي ظاهري به رؤيت مشتري مي باشد - ماندگاري بالا و افت مدل - چراغ چك روشن - ( ايرادات غير قابل ريورك مطابق استاندارد كارخانه )</t>
  </si>
  <si>
    <t>شماره بدنه: MJ500059</t>
  </si>
  <si>
    <t>MJ500128</t>
  </si>
  <si>
    <t>185B0000234</t>
  </si>
  <si>
    <t>شماره بدنه: MJ500128</t>
  </si>
  <si>
    <t>NE490641</t>
  </si>
  <si>
    <t>153H0056126</t>
  </si>
  <si>
    <t>خط و خش و قري و كسري هاي ظاهري به رؤيت مشتري مي باشد - ايراد رنگي سقف - خش درب عقب چپ - آچارخوردگي پيچ هاي درب صندوق ( تعويضي كارخانه ) - ( ايرادات غير قابل ريورك مطابق استاندارد كارخانه )</t>
  </si>
  <si>
    <t>شماره بدنه: NE490641</t>
  </si>
  <si>
    <t>MJ229092</t>
  </si>
  <si>
    <t>167B0145352</t>
  </si>
  <si>
    <t>خط و خش و قري و كسري هاي ظاهري به رؤيت مشتري مي باشد - ماندگاري بالا و افت مدل - پوسته شدن چراغهاي جلو - ( ايرادات غير قابل ريورك مطابق استاندارد كارخانه )</t>
  </si>
  <si>
    <t>شماره بدنه: MJ229092</t>
  </si>
  <si>
    <t>MD912411</t>
  </si>
  <si>
    <t>187B0003314</t>
  </si>
  <si>
    <t>خط و خش و قري و كسري هاي ظاهري به رؤيت مشتري مي باشد - ماندگاري بالا و افت مدل - باطري متفرقه - كسري زيرپايي جلو چپ - ( ايرادات غير قابل ريورك مطابق استاندارد كارخانه )</t>
  </si>
  <si>
    <t>شماره بدنه: MD912411</t>
  </si>
  <si>
    <t>NJ507149</t>
  </si>
  <si>
    <t>178B0090323</t>
  </si>
  <si>
    <t>خط و خش و قري و كسري هاي ظاهري به رؤيت مشتري مي باشد - خودرو تحت تست بوده است - باطري دشارژ - كسري جعبه و درب داشبورد و زبانه درب موتور - ( ايرادات غير قابل ريورك مطابق استاندارد كارخانه )</t>
  </si>
  <si>
    <t>شماره بدنه: NJ507149</t>
  </si>
  <si>
    <t>NE490931</t>
  </si>
  <si>
    <t>153H0055250</t>
  </si>
  <si>
    <t>خط و خش و قري و كسري هاي ظاهري به رؤيت مشتري مي باشد - ايراد رنگي سقف - خش گلگير عقب چپ - قري درب عقب راست - ( ايرادات غير قابل ريورك مطابق استاندارد كارخانه )</t>
  </si>
  <si>
    <t>شماره بدنه: NE490931</t>
  </si>
  <si>
    <t>NF157867</t>
  </si>
  <si>
    <t>147H0637168</t>
  </si>
  <si>
    <t>خط و خش و قري و كسري هاي ظاهري به رؤيت مشتري ميباشد - كسري فندك - خوردگي گلگير جلو و درب عقب چپ و درب عقب راست - كسري درب جعبه فيوز - عدم جذب زه دربها - رنگ پريدگي زه دربها - آچارخوردگي پيچ هايئدرب صندوق و درب موتور و گلگير جلو چپ ( تعويضي كارخانه ) - قري درب موتور - خوردگي بكسل بند جلو و اطراف آن - قري درب صندوق - ( ايرادات غير قابل ريورك مطابق استاندارد كارخانه )</t>
  </si>
  <si>
    <t>شماره بدنه: NF157867</t>
  </si>
  <si>
    <t>NE490746</t>
  </si>
  <si>
    <t>153H0057369</t>
  </si>
  <si>
    <t>خط و خش و قري و كسري هاي ظاهري به رؤيت مشتري مي باشد - ايراد رنگي سقف و درب صندوق - رنگ پريدگي گلگير عقب راست - كسري يك عدد زيرپايي و زيرسري و جعبه داشبورد - دنده جا مي رود ولي خودرو حركت نمي كند - آچارخوردگي پيچ هاي درب موتور ( تعويضي كارخانه ) - شكستگي درب جعبه فيوز داخل موتور - دفرمه بودن قاب روي دربها - خش فلاپ عقب و رنگ پريدگي درب صندوق و درب جلو راست - خش سپر جلو - رنگ پريدگي درب جلو چپ - خش سپر عقب - موتور خودرو بد كار مي كند و لرزش دارد - عدم تست فني حركتي خودرو - كسري قاب بست باطري - تيغه برف پاك كن مستعمل - ( ايرادات غير قابل ريورك مطابق استاندارد كارخانه )</t>
  </si>
  <si>
    <t>شماره بدنه: NE490746</t>
  </si>
  <si>
    <t>MJ500037</t>
  </si>
  <si>
    <t>185B0000070</t>
  </si>
  <si>
    <t>خط و خش و قري و كسري هاي ظاهري به رؤيت مشتري مي باشد - ماندگاري بالا و افت مدل - خودروي پروژه اي سري اول توليد - قري درب جلو چپ - عدم عملكرد مانيتور و دوربين عقب - ( ايرادات غير قابل ريورك مطابق استاندارد كارخانه )</t>
  </si>
  <si>
    <t>شماره بدنه: MJ500037</t>
  </si>
  <si>
    <t>ME365817</t>
  </si>
  <si>
    <t>153H0044438</t>
  </si>
  <si>
    <t>خط و خش و قري و كسري هاي ظاهري به رؤيت مشتري مي باشد - خودروي پروژه اي - سري اول دنا پلاس توربو شش دنده - ماندگاري بالا و افت مدل - خراش سپر جلو - ( ايرادات غير قابل ريورك مطابق استاندارد كارخانه )</t>
  </si>
  <si>
    <t>شماره بدنه: ME365817</t>
  </si>
  <si>
    <t>ME365824</t>
  </si>
  <si>
    <t>153H0044454</t>
  </si>
  <si>
    <t>خط و خش و قري و كسري هاي ظاهري به رؤيت مشتري مي باشد - خودروي پروژه اي - سري اول دنا پلاس توربو شش دنده - ماندگاري بالا و افت مدل - رنگ پريدگي سپر عقب - خراب بودن دوربين عقب - ايراد رنگي درب صندوق - ( ايرادات غير قابل ريورك مطابق استاندارد كارخانه )</t>
  </si>
  <si>
    <t>شماره بدنه: ME365824</t>
  </si>
  <si>
    <t>MJ500029</t>
  </si>
  <si>
    <t>185B0000069</t>
  </si>
  <si>
    <t>خط و خش و قري و كسري هاي ظاهري به رؤيت مشتري مي باشد - ماندگاري بالا و افت مدل - خودروي پروژه اي سري اول توليد - خش سپر جلو چپ - باطري كاركرده و مستعمل - كسري چراغ سقف - عدم عملكرد شيشه بالابر عقب راست - ( ايرادات غير قابل ريورك مطابق استاندارد كارخانه )</t>
  </si>
  <si>
    <t>شماره بدنه: MJ500029</t>
  </si>
  <si>
    <t>سورن EF7 بنزيني کلاس 22 خاكستري متال</t>
  </si>
  <si>
    <t>NF238108</t>
  </si>
  <si>
    <t>147H0670463</t>
  </si>
  <si>
    <t>خط و خش و قري و كسري هاي ظاهري به رؤيت مشتري مي باشد - ايراد رنگي درب عقب چپ - كسري درب رادياتور - ( ايرادات غير قابل ريورك مطابق استاندارد كارخانه )</t>
  </si>
  <si>
    <t>شماره بدنه: NF238108</t>
  </si>
  <si>
    <t>ME365803</t>
  </si>
  <si>
    <t>153H0042603</t>
  </si>
  <si>
    <t>خط و خش و قري و كسري هاي ظاهري به رؤيت مشتري مي باشد - خودروي پروژه اي - سري اول دنا پلاس توربو شش دنده - ماندگاري بالا و افت مدل - سائيدگي سپر جلو - ايراد رنگي درب موتور - ( ايرادات غير قابل ريورك مطابق استاندارد كارخانه )</t>
  </si>
  <si>
    <t>شماره بدنه: ME365803</t>
  </si>
  <si>
    <t>ME365823</t>
  </si>
  <si>
    <t>153H0044442</t>
  </si>
  <si>
    <t>خط و خش و قري و كسري هاي ظاهري به رؤيت مشتري مي باشد - خودروي پروژه اي - سري اول دنا پلاس توربو شش دنده - ماندگاري بالا و افت مدل - چراغ هاي پشت آمپر روشن - گاز خوردن خودبخود خودرو - خش داشبورد - كسري درب باك بدنه و قاب پشت سرباطري - عدم عملكرد شيشه بالابر جلو چپ - ( ايرادات غير قابل ريورك مطابق استاندارد كارخانه )</t>
  </si>
  <si>
    <t>شماره بدنه: ME365823</t>
  </si>
  <si>
    <t>MJ500061</t>
  </si>
  <si>
    <t>185B0000112</t>
  </si>
  <si>
    <t>شماره بدنه: MJ500061</t>
  </si>
  <si>
    <t>ME365777</t>
  </si>
  <si>
    <t>153H0038857</t>
  </si>
  <si>
    <t>خط و خش و قري و كسري هاي ظاهري به رؤيت مشتري مي باشد - خودرو پروژه اي - سري اول دنا توربو شش دنده - ماندگاري بالا و افت مدل - چراغ اي بي اس و سرويس روشن - خراب بودن دوربين عقب - كسري پنل زير راديوپخش و درب باك بدنه - اثر ضربه سپر جلو - باطري دشارژ - كسري كاور كابل مثبت - قري درب جلو راست - زنگ زدگي اگزوز -( ايرادات غير قابل ريورك مطابق استاندارد كارخانه )</t>
  </si>
  <si>
    <t>شماره بدنه: ME365777</t>
  </si>
  <si>
    <t>MJ500035</t>
  </si>
  <si>
    <t>185B0000059</t>
  </si>
  <si>
    <t>شماره بدنه: MJ500035</t>
  </si>
  <si>
    <t>MJ500044</t>
  </si>
  <si>
    <t>185B0000099</t>
  </si>
  <si>
    <t>خط و خش و قري و كسري هاي ظاهري به رؤيت مشتري مي باشد - ماندگاري بالا و افت مدل - خودروي پروژه اي سري اول توليد - عدم عملكرد مانيتور - ( ايرادات غير قابل ريورك مطابق استاندارد كارخانه )</t>
  </si>
  <si>
    <t>شماره بدنه: MJ500044</t>
  </si>
  <si>
    <t>NE490328</t>
  </si>
  <si>
    <t>153H0052555</t>
  </si>
  <si>
    <t>خط و خش و قري و كسري هاي ظاهري به رؤيت مشتري مي باشد - ايراد رنگي سقف - رنگ شدگي پيچ هاي درب صندوق ( تعويضي كارخانه ) - ( ايرادات غير قابل ريورك مطابق استاندارد كارخانه )</t>
  </si>
  <si>
    <t>شماره بدنه: NE490328</t>
  </si>
  <si>
    <t>MJ500031</t>
  </si>
  <si>
    <t>185B0000058</t>
  </si>
  <si>
    <t>خط و خش و قري و كسري هاي ظاهري به رؤيت مشتري مي باشد - ماندگاري بالا و افت مدل - خودروي پروژه اي سري اول توليد - تصادف ركاب چپ - باطري كاركرده و مستعمل - كسري آنتن - ( ايرادات غير قابل ريورك مطابق استاندارد كارخانه )</t>
  </si>
  <si>
    <t>شماره بدنه: MJ500031</t>
  </si>
  <si>
    <t>MJ230527</t>
  </si>
  <si>
    <t>166B0058769</t>
  </si>
  <si>
    <t>خط و خش و قري و كسري هاي ظاهري به رؤيت مشتري مي باشد - ماندگاري بالا و افت مدل - قري درب عقب چپ - ( ايرادات غير قابل ريورك مطابق استاندارد كارخانه )</t>
  </si>
  <si>
    <t>شماره بدنه: MJ230527</t>
  </si>
  <si>
    <t>MJ500036</t>
  </si>
  <si>
    <t>185B0000052</t>
  </si>
  <si>
    <t>خط و خش و قري و كسري هاي ظاهري به رؤيت مشتري مي باشد - ماندگاري بالا و افت مدل - خودروي پروژه اي سري اول توليد - خش سپر عقب چپ - باطري كاركره و مستعمل - قري درب هاي چپ - كسري آرم روي گلگير جلو چپ و درب رادياتور - ( ايرادات غير قابل ريورك مطابق استاندارد كارخانه )</t>
  </si>
  <si>
    <t>شماره بدنه: MJ500036</t>
  </si>
  <si>
    <t>NJ241046</t>
  </si>
  <si>
    <t>185B0001427</t>
  </si>
  <si>
    <t>شماره بدنه: NJ241046</t>
  </si>
  <si>
    <t>ME365781</t>
  </si>
  <si>
    <t>153H0038856</t>
  </si>
  <si>
    <t>خط و خش و قري و كسري هاي ظاهري به رؤيت مشتري مي باشد - خودروي پروژه اي - سري اول دنا پلاس توربو شش دنده - ماندگاري بالا و افت مدل - كسري درپوش گازكولر - خرابي دوبين عقب - كشري كلاف درب جلو چپ - زدگي سپر عقب - صداي غير عادي موتور - زنگ زدگي اگزوز - ( ايرادات غير قابل ريورك مطابق استاندارد كارخانه )</t>
  </si>
  <si>
    <t>شماره بدنه: ME365781</t>
  </si>
  <si>
    <t>ME365797</t>
  </si>
  <si>
    <t>153H0041233</t>
  </si>
  <si>
    <t>خط و خش و قري و كسري هاي ظاهري به رؤيت مشتري مي باشد - خودروي پروژه اي - سري اول دنا پلاس توربو شش دنده - ماندگاري بالا و افت مدل - كسري درپوش گازكولر -رنگ پريدگي سپر عقب - ( ايرادات غير قابل ريورك مطابق استاندارد كارخانه )</t>
  </si>
  <si>
    <t>شماره بدنه: ME365797</t>
  </si>
  <si>
    <t>ME365775</t>
  </si>
  <si>
    <t>153H0038854</t>
  </si>
  <si>
    <t>خط و خش و قري و كسري هاي ظاهري به رؤيت مشتري مي باشد - خودروي پروژه اي - سري اول دنا پلاس توربو شش دنده - ماندگاري بالا و افت مدل - كسري درب باك و فندك - خرابي دوربين عقب - رنگ پريدگي سپر جلو - ( ايرادات غير قابل ريورك مطابق استاندارد كارخانه )</t>
  </si>
  <si>
    <t>شماره بدنه: ME365775</t>
  </si>
  <si>
    <t>NE490166</t>
  </si>
  <si>
    <t>153H0051643</t>
  </si>
  <si>
    <t>خط و خش و قري و كسري هاي ظاهري به رؤيت مشتري مي باشد - اثر ضربه و رنگ پريدگي سپر جلو دو طرف - ضربه و قري درب موتور - ايراد رنگي درب موتور - كسري دستگيره موكت درب صندوق - ايراد رنگي درب جلو راست - خش سپر عقب - كسري لوگوي وسط رينگ جلو چپ - ( ايرادات غير قابل ريورك مطابق استاندارد كارخانه )</t>
  </si>
  <si>
    <t>شماره بدنه: NE490166</t>
  </si>
  <si>
    <t>MJ538270</t>
  </si>
  <si>
    <t>178B0074388</t>
  </si>
  <si>
    <t>خط و خش و قري و كسري هاي ظاهري به رؤيت مشتري مي باشد - ماندگاري بالا و افت مدل - پوسته شدن چراغ هاي جلو - كسري زيرپايي ها - قري درب جلو راست - خش سپر جلو -( ايرادات غير قابل ريورك مطابق استاندارد كارخانه )</t>
  </si>
  <si>
    <t>شماره بدنه: MJ538270</t>
  </si>
  <si>
    <t>ME365796</t>
  </si>
  <si>
    <t>153H0041227</t>
  </si>
  <si>
    <t>خط و خش و قري و كسري هاي ظاهري به رؤيت مشتري مي باشد - خودروي پروژه اي - سري اول دنا پلاس توربو شش دنده - ماندگاري بالا و افت مدل - قري درب جلو راست و درب عقب چپ - ( ايرادات غير قابل ريورك مطابق استاندارد كارخانه )</t>
  </si>
  <si>
    <t>شماره بدنه: ME365796</t>
  </si>
  <si>
    <t>MJ500046</t>
  </si>
  <si>
    <t>185B0000098</t>
  </si>
  <si>
    <t>خط و خش و قري و كسري هاي ظاهري به رؤيت مشتري مي باشد - ماندگاري بالا و افت مدل - خودروي پروژه اي سري اول توليد - چراغ چك روشن - ( ايرادات غير قابل ريورك مطابق استاندارد كارخانه )</t>
  </si>
  <si>
    <t>شماره بدنه: MJ500046</t>
  </si>
  <si>
    <t>MJ500056</t>
  </si>
  <si>
    <t>185B0000108</t>
  </si>
  <si>
    <t>خط و خش و قري و كسري هاي ظاهري به رؤيت مشتري مي باشد - ماندگاري بالا و افت مدل - خط و خش درب و گلگير عقب راست - ( ايرادات غير قابل ريورك مطابق استاندارد كارخانه )</t>
  </si>
  <si>
    <t>شماره بدنه: MJ500056</t>
  </si>
  <si>
    <t>MD912407</t>
  </si>
  <si>
    <t>187B0003414</t>
  </si>
  <si>
    <t>شماره بدنه: MD912407</t>
  </si>
  <si>
    <t>NJ240536</t>
  </si>
  <si>
    <t>185B0000929</t>
  </si>
  <si>
    <t>خط و خش و قري و كسري هاي ظاهري به رؤيت مشتري مي باشد - ايراد رنگي سقف - چراغ چك روشن - ( ايرادات غير قابل ريورك مطابق استاندارد كارخانه )</t>
  </si>
  <si>
    <t>شماره بدنه: NJ240536</t>
  </si>
  <si>
    <t>MD920862</t>
  </si>
  <si>
    <t>187B0007453</t>
  </si>
  <si>
    <t>شماره بدنه: MD920862</t>
  </si>
  <si>
    <t>ME365799</t>
  </si>
  <si>
    <t>153H0042610</t>
  </si>
  <si>
    <t>خط و خش و قري و كسري هاي ظاهري به رؤيت مشتري مي باشد - خودروي پروژه اي - سري اول دنا پلاس توربو شش دنده - ماندگاري بالا و افت مدل - شكستگي درب داشبورد - باطري دشارژ - چراغ سرويس و اي بي اس روشن - گاز درجا ميخورد - كسري درب جعبه كنسول وسط - ( ايرادات غير قابل ريورك مطابق استاندارد كارخانه )</t>
  </si>
  <si>
    <t>شماره بدنه: ME365799</t>
  </si>
  <si>
    <t>MJ228599</t>
  </si>
  <si>
    <t>167B0142582</t>
  </si>
  <si>
    <t>خط و خش و قري و كسري هاي ظاهري به رؤيت مشتري مي باشد - ماندگاري بالا و افت مدل - قري درب جلو راست و درب عقب چپ - ( ايرادات غير قابل ريورك مطابق استاندارد كارخانه )</t>
  </si>
  <si>
    <t>شماره بدنه: MJ228599</t>
  </si>
  <si>
    <t>MJ223764</t>
  </si>
  <si>
    <t>178B0076933</t>
  </si>
  <si>
    <t>شماره بدنه: MJ223764</t>
  </si>
  <si>
    <t>MD920010</t>
  </si>
  <si>
    <t>187B0000503</t>
  </si>
  <si>
    <t>خط و خش و قري و كسري هاي ظاهري به رؤيت مشتري مي باشد - خودرو تستي و سري اول توليد مي باشد - عدم تست فني خودرو - ماندگاري بالا و افت مدل - كسري ايربگ فرمان و چراغ گلگير جلو چپ و كنسول وسط و سردنده - باز بودن قطعات پليمري داخل اتاق - كج بودن ميله درب موتور - كسري كليدهاي تنظيم صندلي راننده - خراشيدگي سپر جلو - كسري سنسور سپر عقب - خراش سپر عقب و درب صندوق - رنگ پريدگي دربهاي جلو و درب عقب چپ - قري و رنگ پريدگي ركاب چپ - كسري قاب و قفل درب راننده - كسري قاب جك درب صندوق و پك صندوق - شكستگي قاب دور دنده و اينه وسط و قاب سنسور شيشه جلو - بازبودن قاب دور فرمان و سيم پيچي هاي زير فرمان - كسري پايه نگهدارنده آفتابگيرها - خرابي نمدي سانروف و قاب روي فرمان - باز بودن اي سي يو داخل داشبورد و باز بودن قاب دور مانيتور - شكستگي درب جعبه فيوز داخل موتور - باطري مستعمل و متفرقه - كسري تيغه سوئيچ و يك عدد سوئيچ و يك عدد زيرپايي جلو - تيغه برف پاك كن مستعمل - خش آينه هاي جانبي - لاستيكها كاركرده - ( ايرادات غير قابل ريورك مطابق استاندارد كارخانه )</t>
  </si>
  <si>
    <t>شماره بدنه: MD920010</t>
  </si>
  <si>
    <t>MJ500118</t>
  </si>
  <si>
    <t>185B0000249</t>
  </si>
  <si>
    <t>شماره بدنه: MJ500118</t>
  </si>
  <si>
    <t>NE490060</t>
  </si>
  <si>
    <t>153H0049561</t>
  </si>
  <si>
    <t>خط و خش و قري و كسري هاي ظاهري به رؤيت مشتري مي باشد - تصادفي بودن گلگير عقب راست و قري درب عقب راست - ( ايرادات غير قابل ريورك مطابق استاندارد كارخانه )</t>
  </si>
  <si>
    <t>شماره بدنه: NE490060</t>
  </si>
  <si>
    <t>NY064055</t>
  </si>
  <si>
    <t>484QT24002682A</t>
  </si>
  <si>
    <t>خط و خش و قري و كسري هاي ظاهري به رؤيت مشتري مي باشد - قري سقف زير باربند عقب راست - كسري لاستيكهاي كف پايي و آچار داخل صندوق- ( ايرادات غير قابل ريورك مطابق استاندارد كارخانه )</t>
  </si>
  <si>
    <t>شماره بدنه: NY064055</t>
  </si>
  <si>
    <t>MJ500022</t>
  </si>
  <si>
    <t>185B0000089</t>
  </si>
  <si>
    <t>خط و خش و قري و كسري هاي ظاهري به رؤيت مشتري مي باشد - ماندگاري بالا و افت مدل - خودروي پروژه اي سري اول توليد - عدم عملكرد بوق و مانيتور - ( ايرادات غير قابل ريورك مطابق استاندارد كارخانه )</t>
  </si>
  <si>
    <t>شماره بدنه: MJ500022</t>
  </si>
  <si>
    <t>ME365776</t>
  </si>
  <si>
    <t>153H0038859</t>
  </si>
  <si>
    <t>خط و خش و قري و كسري هاي ظاهري به رؤيت مشتري مي باشد - خودروي پروژه اي - سري اول دنا پلاس توربو شش دنده - ماندگاري بالا و افت مدل - شكستگي سپر عقب - ( ايرادات غير قابل ريورك مطابق استاندارد كارخانه )</t>
  </si>
  <si>
    <t>شماره بدنه: ME365776</t>
  </si>
  <si>
    <t>MD916677</t>
  </si>
  <si>
    <t>187B0006257</t>
  </si>
  <si>
    <t>خط و خش و قري و كسري هاي ظاهري به رؤيت مشتري مي باشد - ماندگاري بالا و افت مدل - شكستگي آرم جلو پنجره - ( ايرادات غير قابل ريورك مطابق استاندارد كارخانه )</t>
  </si>
  <si>
    <t>شماره بدنه: MD916677</t>
  </si>
  <si>
    <t>MY040950</t>
  </si>
  <si>
    <t>GN15TF17000811A</t>
  </si>
  <si>
    <t>خط و خش و قري و كسري هاي ظاهري به رؤيت مشتري مي باشد - خودرو تحت تست بوده است - ماندگاري بالا و افت مدل - كسري زيرپايي ها - ايراد رنگي بدنه - روشن ماندن چراغ هاي پشت آمپر - شكستگي جاسيگاري سمت راننده - ( ايرادات غير قابل ريورك مطابق استاندارد كارخانه )</t>
  </si>
  <si>
    <t>شماره بدنه: MY040950</t>
  </si>
  <si>
    <t>تارا اتوماتيک کلاس 1 قهوه اي روشن متاليك</t>
  </si>
  <si>
    <t>MD920061</t>
  </si>
  <si>
    <t>قهوه اي روشن متاليك</t>
  </si>
  <si>
    <t>187B0003543</t>
  </si>
  <si>
    <t>خط و خش و قري و كسري هاي ظاهري به رؤيت مشتري مي باشد - خودرو تستي و سري اول توليد مي باشد - عدم تست فني خودرو - ماندگاري بالا و افت مدل - كسري درب جعبه فيوز و يك عدد زيرسري جلو چپ و ميله درب موتور - سائيدگي سپر جلو - باز بودن قاب دور دنده و قاب دور فرمان و بازبودن سيم پيچي هاي زير فرمان - رنگ پريدگي گلگير عقب راست و سپر عقب و درب موتور و سپر جلو - خوردگي درب صندوق - قري درب عقب چپ و رنگ پريدگي درب جلو چپ و گلگير جلو چپ - رنگ پريدگي كل بدنه - كسري لوله هواكش - كسري كليد بالابر درب عقب چپ و يك عدد زيرسري جلو - كسري آنتن - كسري سوئيچ ها - خوردگي رينگ چرخ عقب راست -باز بودن جلوپنجره - ( ايرادات غير قابل ريورك مطابق استاندارد كارخانه )</t>
  </si>
  <si>
    <t>شماره بدنه: MD920061</t>
  </si>
  <si>
    <t>MD921414</t>
  </si>
  <si>
    <t>187B0008835</t>
  </si>
  <si>
    <t>شماره بدنه: MD921414</t>
  </si>
  <si>
    <t>MJ228623</t>
  </si>
  <si>
    <t>167B0144535</t>
  </si>
  <si>
    <t>شماره بدنه: MJ228623</t>
  </si>
  <si>
    <t>MF080045</t>
  </si>
  <si>
    <t>147H0613082</t>
  </si>
  <si>
    <t>خط و خش و قري و كسري هاي ظاهري به رؤيت مشتري مي باشد - ماندگاري بالا و افت مدل - آچارخوردگي پيچ هاي درب موتور و گلگير جلو راست ( تعويضي كارخانه ) - كسري زيرپايي جلو چپ و سردنده و دو عدد سوئيچ - تصادفي بودن گلگير عقب چپ و گلگير جلو راست - رنگ پريدگي درب عقب چپ و زه درب جلو چپ - باطري مستعمل و متفرقه - زيرپايي ها و تيغه برف پاك كن و موكت صندوق مستعمل - لاستيكها كاركرده و متفرقه - ( ايرادات غير قابل ريورك مطابق استاندارد كارخانه )</t>
  </si>
  <si>
    <t>شماره بدنه: MF080045</t>
  </si>
  <si>
    <t>MY040003</t>
  </si>
  <si>
    <t>GN15TF0B500047A</t>
  </si>
  <si>
    <t>خط و خش و قري و كسري هاي ظاهري به رؤيت مشتري مي باشد - ماندگاري بالا و افت مدل - كسري ليوان و زيرپايي و قاب بكسل بند جلو و درپوش گازكولر - خرابي نمدي سانروف - زاپاس كاركرده - كسري ابزار داخل صندوق - روشن بودن چراغ اي بي اس و اتومبيل - خودرو تحت تست بوده است - ( ايرادات غير قابل ريورك مطابق استاندارد كارخانه )</t>
  </si>
  <si>
    <t>شماره بدنه: MY040003</t>
  </si>
  <si>
    <t>MF085722</t>
  </si>
  <si>
    <t>147H0619603</t>
  </si>
  <si>
    <t>خط و خش و قري و كسري هاي ظاهري به رؤيت مشتري مي باشد - شكستگي پايه آينه وسط - تصادفي بودن گلگير جلو راست و سپر جلو - آچارخوردگي پيچ هاي درب موتور و گلگيرهاي جلو ( تعويضي كارخانه ) - رنگ پريدگي درب جلو راست - كسري درب جعبه فيوز - ماندگاري بالا و افت مدل - تصادفي بودن شاسي جلو راست اطراف بكسل بند و گلگير جلو و درب عقب چپ - رنگ پريدگي و قري درب جلو چپ - قري و خراشيدگي درب عقب راست - خودرو استارت مي خورد ولي روشن نمي شود - باطري مستعمل و متفرقه - خوردگي سيني زير موتور - زيرپايي ها و تيغه برف پاك كن و موكت صندوق مستعمل - كسري آنتن - لاستيكها كاركرده - ( ايرادات غير قابل ريورك مطابق استاندارد كارخانه )</t>
  </si>
  <si>
    <t>شماره بدنه: MF085722</t>
  </si>
  <si>
    <t>سورن EF7 بنزيني کلاس 19 آبي كبود متاليك</t>
  </si>
  <si>
    <t>NF153980</t>
  </si>
  <si>
    <t>147H0632501</t>
  </si>
  <si>
    <t>خط و خش و قري و كسري هاي ظاهري به رؤيت مشتري ميباشد - كسري دكمه هاي شيشه بالابر - لاستيكها كف پايي مستعمل - لاستيكها كاركرده - كسري سروالف ها - كسري دستگيره درب عقب راست - آچارخوردگي پيچ هاي درب موتور ( تعويضي كارخانه ) - كسري درب باك - خوردگي و رنگ پريدگي درب موتور - شكستگي هواكش - كسري هواكش سمت راست - قري و خش درب عقب چپ - قري و رنگ پريدگي درب عقب چپ - كسري درب جعبه فيوز - كسري قاب ركاب چپ از داخل - خش گلگير جلو و درب جلو چپ - خش گلگير عقب چپ و سپر عقب و درب صندوق و درب عقب راست و درب جلو راست - ايراد رنگي سقف - ( ايرادات غير قابل ريورك مطابق استاندارد كارخانه )</t>
  </si>
  <si>
    <t>شماره بدنه: NF153980</t>
  </si>
  <si>
    <t>تارا اتوماتيک کلاس 1 سرمه اي متال</t>
  </si>
  <si>
    <t>MD920066</t>
  </si>
  <si>
    <t>187B0003524</t>
  </si>
  <si>
    <t>خط و خش و قري و كسري هاي ظاهري به رؤيت مشتري مي باشد - ماندگاري بالا و افت مدل - خودرو تحت تست بوده است ( سري اول توليد ) - خش و قري درب موتور - كسري قاب سنسور پشت شيشه جلو - خراشيدگي رنگ سپر عقب و كسري قاب آينه راست - روشن ماندن چراغ هاي پشت آمپر - كسري خار ميله درب موتور و قاب روي موتور - خرابي جك درب صندوق - كسري لوله هواكش و كوركن جلوي دنده - مغاير بودن دكمه هاي دور دنده - باز بودن نمدي درب صندوق پشت چراغ هاي عقب - خش و رنگ پريدگي درب صندوق و گلگير عقب چپ و گلگير عقب راست و دربهاي راست - خش سپر جلو و گلگير جلو چپ - خش و رنگ پريدگي دربهاي چپ - خش سقف - قري و رنگ پريدگي درب موتور و گلگير جلو راست - باز بودن كنسول وسط - لاستيكها كاركرده - خودرو ايرادات فني و برقي متعدد دارد - ( ايرادات غير قابل ريورك مطابق استاندارد كارخانه )</t>
  </si>
  <si>
    <t>شماره بدنه: MD920066</t>
  </si>
  <si>
    <t>MY040001</t>
  </si>
  <si>
    <t>GN15TF0B500060A</t>
  </si>
  <si>
    <t>خط و خش و قري و كسري هاي ظاهري به رؤيت مشتري مي باشد - ماندگاري بالا و افت مدل - كسري زيرپايي و ليوان و ابزار داخل صندوق - خودرو تحت تست بوده است - زدگي سردنده - ( ايرادات غير قابل ريورك مطابق استاندارد كارخانه )</t>
  </si>
  <si>
    <t>شماره بدنه: MY040001</t>
  </si>
  <si>
    <t>NF152566</t>
  </si>
  <si>
    <t>147H0632015</t>
  </si>
  <si>
    <t>خط و خش و قري و كسري هاي ظاهري به رؤيت مشتري مي باشد - كسري قاب روي برف پاك كن جلو چپ و جك و آچارچرخ و شبرنگ - زاپاس تركيده و پنچر - خش و رنگ پريدگي درب صندوق - خش گلگير عقب و سقف و دربهاي راست - رنگ پريدگي دربهاي راست و گلگير جلو راست و درب موتور - كسري زبانه درب موتور - خوردگي گلگير جلو چپ - خش گلگيرها و دربهاي چپ - شكستگي قاب دكمه تنظيم صندلي راننده - كسري درب جعبه فيوز - لاستيكها كاركرده - كسري قاب روي سرباطري مثبت - سائيدگي سپر جلو - باطري مستعمل و متفرقه - فندك متفرقه - خش درب باك - ( ايرادات غير قابل ريورك مطابق استاندارد كارخانه )</t>
  </si>
  <si>
    <t>شماره بدنه: NF152566</t>
  </si>
  <si>
    <t>NH417429</t>
  </si>
  <si>
    <t>164B0297683</t>
  </si>
  <si>
    <t>خط و خش و قري و كسري هاي ظاهري به رؤيت مشتري مي باشد - رنگ پريدگي و قري درب موتور - ايراد رنگي و رنگ پريدگي گلگير جلو چپ - تصادفي بودن درب جلو چپ - شكستگي قاب دور صندلي جلو راست - رنگ پريدگي ركابها - قري درب عقب چپ - رنگ پريدگي سپر عقب - زدگي رودريها - تصادفي بودن درب عقب راست - قري درب جلو راست - خوردگي گلگير جلو راست - قري گلگير عقب راست - قري و رنگ پريدگي صندوق عقب - كسري زيرپايي جلو - شكستگي و مغاير بودن درب جعبه فيوز - باز نشدن داشبورد - خرابي رودري راننده - مغاير بودن رودري درب عقب راست - كسري درپوش گازكولر و كنده شدن زه درب جلو و عقب چپ - شكستگي سپر جلو - آچارخوردگي پيچ هاي درب موتور و گلگيرهاي جلو ( تعويضي كارخانه ) - باز بودن سيني زير موتور - كسري قاب روي زبانه درب موتور - شكستگي قفل باز كن درب داشبورد و خش داشبورد - خوردگي اگزوز - كسري شلگير چرخ هاي جلو - خوردگي سرشاسي هاي جلو و اكسل جلو چپ و پلوس - خودرو تحت تست بوده است - بدليل نداشتن پيچ هاي رام به بدنه به قطعات جلوبندي و سيستم تعليق جلو و چرخها و جعبه فرمان و موتور آسيب رسيده است - آسيب ديدگي ديسك چرخ جلو چپ - اثر روغن ريزي محفظه موتور - آسيب ديدگي چراغ جلو چپ - شكستگي قاب آينه راست - لاستيكها كاركرده - كسري درب باك فلزي و جك و يكعدد كف پايي - موكت صندوق مستعمل -آسيب ديدگي گيربكس - ( ايرادات غير قابل ريورك مطابق استاندارد كارخانه )</t>
  </si>
  <si>
    <t>شماره بدنه: NH417429</t>
  </si>
  <si>
    <t>ND940576</t>
  </si>
  <si>
    <t>187B0010237</t>
  </si>
  <si>
    <t>خط و خش و قري و كسري هاي ظاهري به رؤيت مشتري مي باشد - خودرو تحت تست بوده است - كسري درب جعبه فيوز - رنگ پريدگي و خش سپرها - روشن ماندن چراغ هاي پشت آمپر - كسري قاب بكسل بند و يك عدد سوئيچ - لاستيكها كاركرده - ( ايرادات غير قابل ريورك مطابق استاندارد كارخانه )</t>
  </si>
  <si>
    <t>شماره بدنه: ND940576</t>
  </si>
  <si>
    <t>MF081590</t>
  </si>
  <si>
    <t>147H0615143</t>
  </si>
  <si>
    <t>خط و خش و قري و كسري هاي ظاهري به رؤيت مشتري مي باشد - ايراد رنگي سقف - رنگ پريدگي سپر عقب - ماندگاري بالا و افت مدل - زاپاس كاركرده - ريگلاژ نبودن درب موتور - آچارخوردگي پيچ هاي درب موتور و درب صندوق ( تعويضي كارخانه ) - خش گلگير جلو چپ و دربهاي چپ و درب صندوق و گلگير عقب چپ و سپر عقب - رنگ پريدگي لبه درب عقب چپ - قري گلگير عقب چپ - زيرپايي و لاستيكها كاركرده - ( ايرادات غير قابل ريورك مطابق استاندارد كارخانه )</t>
  </si>
  <si>
    <t>شماره بدنه: MF081590</t>
  </si>
  <si>
    <t>MJ500003</t>
  </si>
  <si>
    <t>185B0000047</t>
  </si>
  <si>
    <t>خط و خش و قري و كسري هاي ظاهري به رؤيت مشتري مي باشد - ماندگاري بالا و افت مدل - خودروي پروژه اي سري اول توليد - خراش رنگ ضربگير درب جلو چپ - باطري كاركرده و مستعمل - - خش گلگير جلو و درب جلو راست - كسري درب جعبه فيوز - ( ايرادات غير قابل ريورك مطابق استاندارد كارخانه )</t>
  </si>
  <si>
    <t>شماره بدنه: MJ500003</t>
  </si>
  <si>
    <t>ME365818</t>
  </si>
  <si>
    <t>153H0044441</t>
  </si>
  <si>
    <t>خط و خش و قري و كسري هاي ظاهري به رؤيت مشتري مي باشد - خودروي پروژه اي - سري اول دنا پلاس توربو شش دنده - ماندگاري بالا و افت مدل - كسري درب باك - باطري دشارژ - ( ايرادات غير قابل ريورك مطابق استاندارد كارخانه )</t>
  </si>
  <si>
    <t>شماره بدنه: ME365818</t>
  </si>
  <si>
    <t>MJ500025</t>
  </si>
  <si>
    <t>185B0000080</t>
  </si>
  <si>
    <t>خط و خش و قري و كسري هاي ظاهري به رؤيت مشتري مي باشد - ماندگاري بالا و افت مدل - خودروي پروژه اي سري اول توليد - عدم عملكرد بوق - ( ايرادات غير قابل ريورك مطابق استاندارد كارخانه )</t>
  </si>
  <si>
    <t>شماره بدنه: MJ500025</t>
  </si>
  <si>
    <t>MH676259</t>
  </si>
  <si>
    <t>139B0231471</t>
  </si>
  <si>
    <t>خط و خش و قري و كسري هاي ظاهري به رؤيت مشتري مي باشد - موتور خودرو استارت نميخورد و روشن نمي شود - كسري آنتن و قاب دريچه هواي روي دربهاي جلو - شكستگي درب پك جك - موج ورق درب جلو چپ - خودرو تستي پروژه اي بوده است - ماندگاري بالا و افت مدل - كسري چراغ سقف - تيغه برف پاك كن مستعمل - ( ايرادات غير قابل ريورك مطابق استاندارد كارخانه )</t>
  </si>
  <si>
    <t>شماره بدنه: MH676259</t>
  </si>
  <si>
    <t>NE490432</t>
  </si>
  <si>
    <t>153H0054866</t>
  </si>
  <si>
    <t>خط و خش و قري و كسري هاي ظاهري به رؤيت مشتري مي باشد - خودرو تحت تست بوده است - تايرها تستي مي باشد - باطري دشارژ - كسري جاسيگاري جلو - ( ايرادات غير قابل ريورك مطابق استاندارد كارخانه )</t>
  </si>
  <si>
    <t>شماره بدنه: NE490432</t>
  </si>
  <si>
    <t>NE490007</t>
  </si>
  <si>
    <t>153H0044433</t>
  </si>
  <si>
    <t>خط و خش و قري و كسري هاي ظاهري به رؤيت مشتري مي باشد - خودروي تستي و پروژه اي - تصادفي بودن گلگير عقب چپ و خراش سپر عقب و درب عقب چپ و تصادفي بودن درب صندوق - ايراد رنگي سقف - قري درب جلو چپ - كسري درپوش روي موتور - ( ايرادات غير قابل ريورك مطابق استاندارد كارخانه )</t>
  </si>
  <si>
    <t>شماره بدنه: NE490007</t>
  </si>
  <si>
    <t>MJ500010</t>
  </si>
  <si>
    <t>185B0000075</t>
  </si>
  <si>
    <t>خط و خش و قري و كسري هاي ظاهري به رؤيت مشتري مي باشد - ماندگاري بالا و افت مدل - خودروي پروژه اي سري اول توليد - خرابي جك درب صندوق - چراغ چك روشن - قري درب جلو راست و گلگير عقب چپ - باطري دشارژ - ( ايرادات غير قابل ريورك مطابق استاندارد كارخانه )</t>
  </si>
  <si>
    <t>شماره بدنه: MJ500010</t>
  </si>
  <si>
    <t>NE490217</t>
  </si>
  <si>
    <t>153H0053004</t>
  </si>
  <si>
    <t>خط و خش و قري و كسري هاي ظاهري به رؤيت مشتري مي باشد - ايراد رنگي سقف و درب موتور و درب صندوق - قري درب عقب چپ - آچارخوردگي پيچ هاي درب موتور ( تعويضي كارخانه ) - ( ايرادات غير قابل ريورك مطابق استاندارد كارخانه )</t>
  </si>
  <si>
    <t>شماره بدنه: NE490217</t>
  </si>
  <si>
    <t>ND942299</t>
  </si>
  <si>
    <t>187B0017412</t>
  </si>
  <si>
    <t>خط و خش و قري و كسري هاي ظاهري به رؤيت مشتري مي باشد - ايراد رنگي درب صندوق و قطعات سمت چپ بدنه - شكستگي راهنماي آينه راست - زدگي رينگ جلو راست - كسري آرم درب صندوق - شكستگي چراغ روي درب صندوق - ( ايرادات غير قابل ريورك مطابق استاندارد كارخانه )</t>
  </si>
  <si>
    <t>شماره بدنه: ND942299</t>
  </si>
  <si>
    <t>NY074012</t>
  </si>
  <si>
    <t>GN15TF25002743A</t>
  </si>
  <si>
    <t>خط و خش و قري و كسري هاي ظاهري به رؤيت مشتري مي باشد - تصادف گلگير عقب چپ و خش سپر عقب - سائيدگي ضربگير گلگير عقب چپ - خش درب موتور - كسري ابزار داخل صندوق و فندك و زيرپايي ها - ( ايرادات غير قابل ريورك مطابق استاندارد كارخانه )</t>
  </si>
  <si>
    <t>شماره بدنه: NY074012</t>
  </si>
  <si>
    <t>NF151720</t>
  </si>
  <si>
    <t>147H0626199</t>
  </si>
  <si>
    <t>خط و خش و قري و كسري هاي ظاهري به رؤيت مشتري مي باشد - ايراد رنگي و قري درب عقب راست ( تعميري و تعويضي كارخانه ) - موج ورق درب جلو راست و درب عقب چپ - شكستگي طلق آمپر - ( ايرادات غير قابل ريورك مطابق استاندارد كارخانه )</t>
  </si>
  <si>
    <t>شماره بدنه: NF151720</t>
  </si>
  <si>
    <t>ME365790</t>
  </si>
  <si>
    <t>153H0040517</t>
  </si>
  <si>
    <t>خط و خش و قري و كسري هاي ظاهري به رؤيت مشتري مي باشد - خودروي پروژه اي - سري اول دنا پلاس توربو شش دنده - ماندگاري بالا و افت مدل - رنگ پريدگي سپر جلو - ( ايرادات غير قابل ريورك مطابق استاندارد كارخانه )</t>
  </si>
  <si>
    <t>شماره بدنه: ME365790</t>
  </si>
  <si>
    <t>MJ500028</t>
  </si>
  <si>
    <t>185B0000060</t>
  </si>
  <si>
    <t>خط و خش و قري و كسري هاي ظاهري به رؤيت مشتري مي باشد - ماندگاري بالا و افت مدل - خودروي پروژه اي سري اول توليد - كسري درب جعبه فيوز - ( ايرادات غير قابل ريورك مطابق استاندارد كارخانه )</t>
  </si>
  <si>
    <t>شماره بدنه: MJ500028</t>
  </si>
  <si>
    <t>MJ500048</t>
  </si>
  <si>
    <t>185B0000095</t>
  </si>
  <si>
    <t>خط و خش و قري و كسري هاي ظاهري به رؤيت مشتري مي باشد - ماندگاري بالا و افت مدل - خودروي پروژه اي سري اول توليد - قري درب جلو راست - باطري كاركرده و مستعمل - شكستگي اهرم تنطيم برف پاك كن - عدم عملكرد مانيتور - لاستيكها كاركرده - ( ايرادات غير قابل ريورك مطابق استاندارد كارخانه )</t>
  </si>
  <si>
    <t>شماره بدنه: MJ500048</t>
  </si>
  <si>
    <t>NF160791</t>
  </si>
  <si>
    <t>147H0641296</t>
  </si>
  <si>
    <t>خط و خش و قري و كسري هاي ظاهري به رؤيت مشتري مي باشد - قري گلگير جلو چپ - خوردگي درب عقب راست - قري درب عقب چپ - خوردگي درب موتور - آچارخوردگي پيچ هاي درب موتور و گلگير جلو چپ ( تعويضي كارخانه ) - اثر ضربه از عقب خودرو ( كف صندوق ) - زيرپايي ها مستعمل - ( ايرادات غيرقابل ريورك مطابق استاندارد كارخانه )</t>
  </si>
  <si>
    <t>شماره بدنه: NF160791</t>
  </si>
  <si>
    <t>MJ500047</t>
  </si>
  <si>
    <t>185B0000090</t>
  </si>
  <si>
    <t>خط و خش و قري و كسري هاي ظاهري به رؤيت مشتري مي باشد - ماندگاري بالا و افت مدل - خودروي پروژه اي سري اول توليد - قري درب جلو راست - كسري آنتن - ( ايرادات غير قابل ريورك مطابق استاندارد كارخانه )</t>
  </si>
  <si>
    <t>شماره بدنه: MJ500047</t>
  </si>
  <si>
    <t>MJ500007</t>
  </si>
  <si>
    <t>185B0000073</t>
  </si>
  <si>
    <t>خط و خش و قري و كسري هاي ظاهري به رؤيت مشتري مي باشد - ماندگاري بالا و افت مدل - خودروي پروژه اي سري اول توليد - قري دربهاي جلو - كسري آنتن و درب جعبه فيوز - ( ايرادات غير قابل ريورك مطابق استاندارد كارخانه )</t>
  </si>
  <si>
    <t>شماره بدنه: MJ500007</t>
  </si>
  <si>
    <t>ME365784</t>
  </si>
  <si>
    <t>153H0040509</t>
  </si>
  <si>
    <t>خط و خش و قري و كسري هاي ظاهري به رؤيت مشتري مي باشد - خودروي پروژه اي - سري اول دنا پلاس توربو شش دنده - ماندگاري بالا و افت مدل - شكستگي قاب آينه راست - ايراد رنگي لبه درب صندوق - قري درب جلو راست و درب عقب چپ - چراغ چك روشن - ( ايرادات غير قابل ريورك مطابق استاندارد كارخانه )</t>
  </si>
  <si>
    <t>شماره بدنه: ME365784</t>
  </si>
  <si>
    <t>MD920003</t>
  </si>
  <si>
    <t>187B0000316</t>
  </si>
  <si>
    <t>خط و خش و قري و كسري هاي ظاهري به رؤيت مشتري مي باشد - ماندگاري بالا و افت مدل - خودروي تست و روژه اي ( سري اول توليد ) - كسري قاب آينه هاي بغل - مغايرت قاب زير دنده - شكستگي پايه چراغ مه شكن جلو چپ - كسري كوركن روي قاب دنده و مثلثي بالاي رودري دربهاي جلو - مغايرت رينگ چرخ عقب چپ - روشن ماندن چراغ پشت آمپر - كسري ليوان - ايراد رنگي بدنه - كسري قاب بكسل بند جلو - باطري دشارژ - چراغ ايربك روشن - شكستگي دكمه تنظيم آينه كنار فرمان - خش سپر جلو و گلگير عقب چپ و دربهاي چپ و سقف و سپر عقب - كسري قاب پشت آينه ها - رنگ پريدگي لبه درب جلو راست - خراب بودن جك درب صندوق - كسري قاب روي جك هاي درب صندوق - قري درب صندوق - خراب بودن كولر و بخاري - كسري فندك و يك عدد قالپاق و آنتن - خش دربهاي چپ - خودرو ايراد فني برقي دارد - ( ايرادات غير قابل ريورك مطابق استاندارد كارخانه )</t>
  </si>
  <si>
    <t>شماره بدنه: MD920003</t>
  </si>
  <si>
    <t>NE491381</t>
  </si>
  <si>
    <t>153H0057648</t>
  </si>
  <si>
    <t>شماره بدنه: NE491381</t>
  </si>
  <si>
    <t>NK801146</t>
  </si>
  <si>
    <t>125K0063699</t>
  </si>
  <si>
    <t>خط و خش و قري و كسري هاي ظاهري به رؤيت مشتري مي باشد - خودرو تصادفي مي باشد و هيچ جاي سالمي ندارد - خوردگي درب موتور و درب صندوق و گلگيرها و دربها و ركابها و سپرها و سقف و ستونها و كلاف دربها و سرشاسي ها و زير خودرو و پلوس و چرخ جلوي راست و كف صندوق و رادياتها و مجموعه فن و سيني فن و سيني روي رادياتها و سيني پشت موتور - موتور جا خورده و به گيربكس آسيب وارد كرده - شكستگي چراغ جلو راست و پايه چراغ جلو چپ و دستگيره دربها و شكستگي داشبورد و كنسول وسط و پارگي رودريهاي جلو - كسري آفتابگير سمت راست و درب جعبه فيوز و قفل كن دربها و دكمه وسط كنسول و قاب توري باند درب جلو راست و دريچه كولر رودري جلو راست و كسري و شكستگي بعضي از قطعات موتور و اتاق - كسري اي سي يو - نمدي درب موتور مستعمل - خوردگي سيني زير موتور - كسري فندك و دكمه هاي بالابر و يك عدد زيرپايي جلو و آينه هاي جانبي و آنتن و قالپاق ها و شيشه جلو و چراغ عقب راست و درب باك و جك و آچارچرخ و شبرنگ و موكت صندوق - شكستگي جلو پنجره - تيغه برف پاك كن مستعمل و شكسته - لاستيكها مستعمل و لاستيك جلو راست پنچر - شكستگي شيشه هاي جانبي جلو و شيشه عقب</t>
  </si>
  <si>
    <t>شماره بدنه: NK801146</t>
  </si>
  <si>
    <t>NK801177</t>
  </si>
  <si>
    <t>125K0065478</t>
  </si>
  <si>
    <t>خط و خش و قري و كسري هاي ظاهري به رؤيت مشتري مي باشد - خودرو تصادفي شديد مي باشد و هيچ جاي سالمي ندارد - جابجايي موتور و قطعات موتوري - شكستگي چراغ ها - تصادفي بودن سقف و گلگيرهاي عقب و گلگيرهاي جلو و درب موتور و درب صندوق و سقف و دربها و ركابها و شاسي ها و زير خودرو و پلوس و اكسل و كف صندوق و سيني فن و پشت موتور و رادياتها - كسري سپرها و چراغ هاي عقب و چراغ خطر عقب - خوردگي ستونها و كلاف دربها - شيشه دربهاي راست و درب عقب چپ دارد - كسري چراغ هاي جلو - بسياري از قطعات موتور شكسته و كسري مي باشد - خوردگي هواكش و تمامي سيم پيچي ها و لوله هاي داخل موتور باز مي باشد - خوردگي چرخ ها - شكستگي اگزوز و كسري قسمتي از اگزوز - كسري درب راديات و درب روغن ترمز و روغن هيدروليك و روغن موتور و باطري و گيج روغن و سنسور هوا و دو عدد سوئيچ و جلو پنجره و آنتن و قالپاق ها و شيشه جلو و جك و آچارچرخ و شبرنگ و موكت صندوق - نمدي درب موتور مستعمل و پارگي دارد - شكستگي سيني زير موتور - تيغه برف پاك كن شكسته - كسري آينه بغل چپ - خوردگي آينه بغل راست - شكستگي درب باك - زاپاس پنچر</t>
  </si>
  <si>
    <t>شماره بدنه: NK801177</t>
  </si>
  <si>
    <t>NK806984</t>
  </si>
  <si>
    <t>125K0073802</t>
  </si>
  <si>
    <t>خط و خش و قري و كسري هاي ظاهري به رؤيت مشتري مي باشد - تصادفي بودن سپر جلو - شكستگي مه شكن ها - تصادفي بودن سپر عقب و گلگير عقب راست و گلگير جلو راست و درب جلو چپ و شاسي هاي عقب و درب موتور و سقف - شكستگي شيشه جلو راست - تصادفي بودن گلگير عقب چپ و دربهاي عقب و درب صندوق - شكستگي چراغ هاي عقب و كارتل روغن و گيربكس و زيرخودرو شديد - خوردگي سيني تقويتي زير رادياتها - گيربكس ايراد دارد و دنده ول مي باشد - كسري قاب پشت آينه سمت چپ - خوردگي پلوس و اكسل و كف صندوق - زنگ زدگي و ترك لبه درب جلو راست - خوردگي بكسل بندها و مجموعه اگزوز - خوردگي كامل زير خودرو - كسري بست نگهدارنده باطري - باطري دشارژ - كسري سيني زير موتور و فندك و چراغ عقب و جك و آچارچرخ و شبرنگ - جانبودن شيشه درب جلو راست - ( ايرادات غير قابل ريورك مطابق استاندارد كارخانه )</t>
  </si>
  <si>
    <t>شماره بدنه: NK806984</t>
  </si>
  <si>
    <t>MY051057</t>
  </si>
  <si>
    <t>484QT16002483A</t>
  </si>
  <si>
    <t>خط و خش و قري و كسري هاي ظاهري به رؤيت مشتري مي باشد - ماندگاري بالا و افت مدل - زنگ زدگي درب صندوق - كسري ابزار داخل صندوق - برق پشت آمپر نمي آيد و خودرو روشن نمي شود ( ايراد فني برقي دارد ) - باطري دشارژ - كسري زيرپايي ها - ( ايرادات غير قابل ريورك مطابق استاندارد كارخانه )</t>
  </si>
  <si>
    <t>شماره بدنه: MY051057</t>
  </si>
  <si>
    <t>NT378812</t>
  </si>
  <si>
    <t>172B0095707</t>
  </si>
  <si>
    <t>خط و خش و قري و كسري هاي ظاهري به رؤيت مشتري مي باشد - تصادفي بودن كل بدنه - خوردگي درب موتور و گلگيرهاي راست و دربهاي راست و شاسي هاي راست و سپر جلو و كف صندوق و سپر عقب و درب صندوق و بكسل بندها و گلگير عقب چپ و رادياتها و مجموعه كامل فن و سيني فن و سيني روي رادياتها و تقويت عرضي زير رادياتها - خودرو از ناحيه جلو سمت راست و عقب تصادف شديد داشته - خوردگي چرخ عقب راست و ستون عقب راست و زير خودرو و پلوس و اكسل و ركاب راست و درب عقب چپ - كسري مه شكن عقب راست و فلاپ عقب و آرم صندوق عقب و چراغ هاي پلاك عقب و چراغ عقب راست و چراغ جلو راست - شكستگي چراغ جلو چپ و چراغ عقب چپ - درب موتور باز و داخل خودرو - رنگ پريدگي لبه ستون جلو راست - خوردگي شاسي عقب - جابجايي قطعات موتوري - كسري درب راديات - خوردگي سيني زير موتور - شكستگي جلو پنجره - تيغه برف پاك كن مستعمل - خش آينه بغل چپ - كسري يك عدد قالپاق - شكستگي شيشه جلو - كسري شيشه عقب وسط - كسري چراغ عقب راست و چپ شكسته - رنگ پريدگي درب باك - موكت صندوق مستعمل - ( ايرادات غير قابل ريورك مطابق استاندارد كارخانه )</t>
  </si>
  <si>
    <t>شماره بدنه: NT378812</t>
  </si>
  <si>
    <t>NE713162</t>
  </si>
  <si>
    <t>153H0072459</t>
  </si>
  <si>
    <t>خط و خش و قري و كسري هاي ظاهري به رؤيت مشتري مي باشد - تصادفي بودن گلگير عقب راست و رنگ پريدگي و خراشيدگي سپر عقب - كسري كوركن جلو دنده و آينه وسط - رنگ پريدگي سپر جلو و بكسل بند جلو - استارت ميخورد ولي روشن نمي شود ( ايراد فني دارد ) - عدم تست فني خودرو - - كسري بست باطري منفي و دشارژ مي باشد - داخل رينگ اسپرت زنگ زدگي دارد - ( ايرادات غير قابل ريورك مطابق استاندارد كارخانه )</t>
  </si>
  <si>
    <t>شماره بدنه: NE713162</t>
  </si>
  <si>
    <t>NE490647</t>
  </si>
  <si>
    <t>153H0056116</t>
  </si>
  <si>
    <t>خط و خش و قري و كسري هاي ظاهري به رؤيت مشتري مي باشد - ايراد رنگي سقف و درب موتور و درب صندوق - كسري رودري و متعلقات درب عقب راست و رنگ پريدگي گلگير عقب راست - باطري دشارژ - ( ايرادات غير قابل ريورك مطابق استاندارد كارخانه )</t>
  </si>
  <si>
    <t>شماره بدنه: NE490647</t>
  </si>
  <si>
    <t>ME365791</t>
  </si>
  <si>
    <t>153H0041229</t>
  </si>
  <si>
    <t>خط و خش و قري و كسري هاي ظاهري به رؤيت مشتري مي باشد - خودروي پروژه اي - سري اول دنا پلاس توربو شش دنده - ماندگاري بالا و افت مدل - ايراد رنگي درب موتور - كسري درپوش گازكولر -( ايرادات غير قابل ريورك مطابق استاندارد كارخانه )</t>
  </si>
  <si>
    <t>شماره بدنه: ME365791</t>
  </si>
  <si>
    <t>هايما S5 توربو اتوماتيک کلاس 1 خاكستري متاليك</t>
  </si>
  <si>
    <t>NY073771</t>
  </si>
  <si>
    <t>GN15TF23001944A</t>
  </si>
  <si>
    <t>خط و خش و قري و كسري هاي ظاهري به رؤيت مشتري مي باشد - ايراد رنگي درب عقب راست - روشن بودن چراغ هاي پشت آمپر - ( ايرادات غير قابل ريورك مطابق استاندارد كارخانه )</t>
  </si>
  <si>
    <t>شماره بدنه: NY073771</t>
  </si>
  <si>
    <t>NE490970</t>
  </si>
  <si>
    <t>153H0057361</t>
  </si>
  <si>
    <t>خط و خش و قري و كسري هاي ظاهري به رؤيت مشتري مي باشد - ايراد رنگي سقف - قري درب جلو و عقب راست و رنگ پريدگي درب موتور - كسري جاسيگاري جلو و درب باك و فندك و قاب كمك هاي داخل موتور - آچارخوردگي پيچ هاي درب صندوق ( تعويضي كارخانه ) - ( ايرادات غير قابل ريورك مطابق استاندارد كارخانه )</t>
  </si>
  <si>
    <t>شماره بدنه: NE490970</t>
  </si>
  <si>
    <t>MJ500005</t>
  </si>
  <si>
    <t>185B0000049</t>
  </si>
  <si>
    <t>خط و خش و قري و كسري هاي ظاهري به رؤيت مشتري مي باشد - ماندگاري بالا و افت مدل - خودروي پروژه اي سري اول توليد - عدم عملكرد بوق - رنگ پريدگي سپر عقب - خوردگي گلگير عقب چپ - ( ايرادات غير قابل ريورك مطابق استاندارد كارخانه )</t>
  </si>
  <si>
    <t>شماره بدنه: MJ500005</t>
  </si>
  <si>
    <t>NF242170</t>
  </si>
  <si>
    <t>147H0677765</t>
  </si>
  <si>
    <t>خط و خش و قري و كسري هاي ظاهري به رؤيت مشتري مي باشد - تصادفي بودن گلگير جلو راست - جانبودن سپر جلو و عقب - قري درب عقب چپ - خراب بودن آمپر بنزين - آچارخوردگي پيچ هاي درب موتور و گلگير جلو راست ( تعويضي كارخانه ) - خوردگي كف صندوق محل زاپاس - خراش سپرها -( ايرادات غير قابل ريورك مطابق استاندارد كارخانه )</t>
  </si>
  <si>
    <t>شماره بدنه: NF242170</t>
  </si>
  <si>
    <t>NE490738</t>
  </si>
  <si>
    <t>153H0055580</t>
  </si>
  <si>
    <t>خط و خش و قري و كسري هاي ظاهري به رؤيت مشتري مي باشد - ايراد رنگي سقف و درب موتور - مات بودن شيشه جلو - قري درب جلو راست - ( ايرادات غير قابل ريورك مطابق استاندارد كارخانه )</t>
  </si>
  <si>
    <t>شماره بدنه: NE490738</t>
  </si>
  <si>
    <t>NE490805</t>
  </si>
  <si>
    <t>153H0057080</t>
  </si>
  <si>
    <t>خط و خش و قري و كسري هاي ظاهري به رؤيت مشتري مي باشد - ايراد رنگي سقف و قري درب جلو راست و درب موتور - كسري درپوش گازكولر - ( ايرادات غير قابل ريورك مطابق استاندارد كارخانه )</t>
  </si>
  <si>
    <t>شماره بدنه: NE490805</t>
  </si>
  <si>
    <t>ME365786</t>
  </si>
  <si>
    <t>153H0040516</t>
  </si>
  <si>
    <t>خط و خش و قري و كسري هاي ظاهري به رؤيت مشتري مي باشد - خودروي پروژه اي - سري اول دنا پلاس توربو شش دنده - ماندگاري بالا و افت مدل - رنگ پريدگي سپر جلو - چراغ چك و چراغ اي بي اس روشن - خودرو گاز اضافه مي خورد ( خودبخود گاز مي خورد ) - ( ايرادات غير قابل ريورك مطابق استاندارد كارخانه )</t>
  </si>
  <si>
    <t>شماره بدنه: ME365786</t>
  </si>
  <si>
    <t>NE490626</t>
  </si>
  <si>
    <t>153H0055601</t>
  </si>
  <si>
    <t>خط و خش و قري و كسري هاي ظاهري به رؤيت مشتري مي باشد - ايراد رنگي سقف و درب صندوق - ( ايرادات غير قابل ريورك مطابق استاندارد كارخانه )</t>
  </si>
  <si>
    <t>شماره بدنه: NE490626</t>
  </si>
  <si>
    <t>NE718150</t>
  </si>
  <si>
    <t>153H0104908</t>
  </si>
  <si>
    <t>خط و خش و قري و كسري هاي ظاهري به رؤيت مشتري مي باشد - تصادف گلگير عقب چپ - خراشيدگي سپر عقب - خوردگي درب عقب چپ - ( ايرادات غير قابل ريورك مطابق استاندارد كارخانه )</t>
  </si>
  <si>
    <t>شماره بدنه: NE718150</t>
  </si>
  <si>
    <t>MJ500049</t>
  </si>
  <si>
    <t>185B0000105</t>
  </si>
  <si>
    <t>خط و خش و قري و كسري هاي ظاهري به رؤيت مشتري مي باشد - ماندگاري بالا و افت مدل - خودروي پروژه اي سري اول توليد - خرابي تيغه برف پاك كن هاي جلو - كسري اهرم تنظيم برف پاك كن - كسري درب جعبه فيوز - خش آينه چپ - عدم عملكرد مانيتور - ( ايرادات غير قابل ريورك مطابق استاندارد كارخانه )</t>
  </si>
  <si>
    <t>شماره بدنه: MJ500049</t>
  </si>
  <si>
    <t>MD910017</t>
  </si>
  <si>
    <t>187B0000178</t>
  </si>
  <si>
    <t>خط و خش و قري و كسري هاي ظاهري به رؤيت مشتري مي باشد - ماندگاري بالا و افت مدل - خودرو تحت تست بوده است ( سري اول توليد ) - قري درب عقب راست - نصب نامناسب قاب ركاب اصلي درب عقب چپ - ايراد رنگي درب موتور - خم شدن بكسل بند جلو - باز بودن قاب دور كنسول وسط - آچارخوردگي پيچ هاي درب موتور ( تعويضي كارخانه ) - تصادفي بودن درب صندوق - كسري پك پشت لاستيك عقب و قاب دور پايه نگهدارنده درب صندوق - رنگ پريدگي سپر جلو - كسري سنسور عقب - خراب بودن جك نگهدارنده درب صندوق - ترك و قري درب عقب راست - دفرمه بودن نوار دور شيشه جلو راست - قري و خش و رنگ پريدگي درب جلو چپ و قري درب عقب چپ - باز بودن قاب دور فرمان و زير فرمان و باز بودن سيم پيچي هاي زير فرمان و مغزي سوئيچ و قاب دور كيلومتر - كسري فيوزهاي داخل اتاق و موتور - خودرو استارت مي خورد ولي روشن نمي شود - عدم تست فني خودرو - باطري مستعمل و متفرقه و دشارژ - شكستگي قاب اي سي يو - باز بودن جلو پنجره - تيغه برف پاك كن مستعمل - رنگ پريدگي آينه چپ - كسري آنتن - شكستگي چراغ هاي عقب - مغاير بودن رنگ درب باك با بدنه - كسري كيت الكترونيكي سوئيچ - مغايرت سوئيچ با قفل درب راننده - ( ايرادات غير قابل ريورك مطابق استاندارد كارخانه )</t>
  </si>
  <si>
    <t>شماره بدنه: MD910017</t>
  </si>
  <si>
    <t>NF157269</t>
  </si>
  <si>
    <t>147H0637276</t>
  </si>
  <si>
    <t>خط و خش و قري و كسري هاي ظاهري به رؤيت مشتري مي باشد - تصادف سرشاسي جلو راست و بكسل بد جلو - شكستگي دسته تنظيم صندلي راننده - خوردگي و شكستگي سپر عقب - كسري قاب روي موتور - بازنشدن درب عقب چپ - كسري اهرم تنظيم صندلي راننده - شكستگي شل گير عقب چپ - قري و خش درب موتور - شكستگي داشبورد - كسري دستگيره درب عقب راست - خرابي شيشه بالابر عقب راست - كسري درب جعبه فيوز - جاسيگاري شكسته - كسري قفل درب راننده - خرابي دستگيره درب عقب چپ - شكستگي بكسل بند و خوردگي تقويت عرضي و سرشاسي جلو راست - خوردگي كف صندوق و سنسور عقب - رنگ شدگي پيچ هاي درب صندوق و درب موتور و گلگيرهاي جلو ( تعويضي كارخانه ) - خش عميق و رنگ پريدگي درب صندوق - درب عقب چپ باز نميشود - رنگ پريدگي و خش گلگير عقب راست و دربهاي راست - رنگ پريدگي سپر جلو و درب موتور - خوردگي درب جلو چپ - كسري قاب دستگيره درب راننده - شكستگي رودري درب راننده - كسري نمدي درب موتور - شكستگي سيني زير موتور - كسري يك عدد سوئيچ و فندك و دكمه هاي شيشه بالابر درب راننده و آنتن و شبرنگ - لاستيكها كاركرده - شكستگي درب باك و شلگير عقب - ( ايرادات غير قابل ريورك مطابق استاندارد كارخانه )</t>
  </si>
  <si>
    <t>شماره بدنه: NF157269</t>
  </si>
  <si>
    <t>NH480479</t>
  </si>
  <si>
    <t>164B0308608</t>
  </si>
  <si>
    <t>خط و خش و قري و كسري هاي ظاهري به رؤيت مشتري مي باشد - تصادفي بودن گلگير جلو راست و درب جلو و عقب راست - ايراد رنگي درب باك و زير كار رنگ سقف - قري دربهاي چپ - زاپاس پنچر و متفرقه - قري و خش درب صندوق - جانبودن دستگيره و شيشه بالابر جلو راست - رنگ پريدگي درب جلو چپ - آچارخوردگي پيچ هاي درب موتور و گلگير جلو راست و درب صندوق ( تعويضي كارخانه ) - كسري يك عدد پيچ درب موتور - چراغ چك روشن - درب جعبه فيوز متفرقه - قري هلالي گلگير عقب راست - ( ايرادات غير قابل ريورك مطابق استاندارد كارخانه )</t>
  </si>
  <si>
    <t>شماره بدنه: NH480479</t>
  </si>
  <si>
    <t>NF152433</t>
  </si>
  <si>
    <t>147H0632197</t>
  </si>
  <si>
    <t>خط و خش و قري و كسري هاي ظاهري به رؤيت مشتري مي باشد - ايراد رنگي سقف - قري درب موتور - زاپاس كاركرده و پنچر و متفرقه - خوردگي گلگير جلو راست - سائيدگي سپر جلو - خش دربهاي راست - شكستگي زه درب جلو راست و رنگ پريدگي لبه درب جلو راست - كسري قاب دستگيره درب راننده - خش دربها و گلگيرهاي چپ و درب صندوق و درب موتور - شكستگي سپر عقب - لاستيكها كاركرده - باطري مستعمل و متفرقه - فندك متفرقه -( ايرادات غير قابل ريورك مطابق استاندارد كارخانه )</t>
  </si>
  <si>
    <t>شماره بدنه: NF152433</t>
  </si>
  <si>
    <t>MF083486</t>
  </si>
  <si>
    <t>147H0619182</t>
  </si>
  <si>
    <t>خط و خش و قري و كسري هاي ظاهري به رؤيت مشتري مي باشد - ماندگاري بالا و افت مدل - خودرو استارت مي خورد ولي روشن نمي شود - عدم تست فني خودرو - عدم عملكرد بالابر جلو راست - باطري مستعمل - فندك متفرقه و مستعمل - زيرپايي ها و تيغه برف پاك كن و موكت صندوق مستعمل - كسري يك عدد زيرپايي جلو - لاستيكها كاركرده و متفرقه - كسري زاپاس و شبرنگ و درب جعبه فيوز - خش درب صندوق - كسري زه درب جلو راست - عدم عملكرد كليد صندوق پران - باز بودن سيم هاي متصل به درب صندوق - كسري درپوش كولر - خش گلگير جلو راست - ايراد رنگي درب موتور - آچارخوردگي پيچ هاي درب موتور و درب صندوق ( تعويضي كارخانه ) - صندليها و رودريها مستعمل و زدگي دارند - زدگي و خش داشبورد و كنسول وسط - ايراد رنگي سقف - قري درب عقب راست - باز بودن باند درب عقب چپ - قري درب جلو راست - خش سپرها و ستون عقب چپ و گلگير عقب چپ - خش و رنگ پريدگي درب عقب چپ و گلگير جلو چپ - ( ايرادات غير قابل ريورك مطابق استاندارد كارخانه )</t>
  </si>
  <si>
    <t>شماره بدنه: MF083486</t>
  </si>
  <si>
    <t>NF152435</t>
  </si>
  <si>
    <t>147H0632394</t>
  </si>
  <si>
    <t>خط و خش و قري و كسري هاي ظاهري به رؤيت مشتري مي باشد - تصادفي بودن هلالي گلگير عقب چپ - كسري درب جعبه فيوز - زاپاس كاركرده و پنچر - كسري جك و آچارچرخ و شبرنگ - تصادفي بودن سپر عقب - كسري آينه وسط - خش و رنگ پريدگي درب صندوق - قري درب عقب چپ - لاستيكها كاركرده - خش دربهاي راست و رنگ پريدگي درب عقب راست - خش گلگير عقب راست و دربهاي چپ و درب موتور و گلگير جلو چپ - رنگ پريدگي گلگير جلو راست - ( ايرادات غير قابل ريورك مطابق استاندارد كارخانه )</t>
  </si>
  <si>
    <t>شماره بدنه: NF152435</t>
  </si>
  <si>
    <t>MJ500008</t>
  </si>
  <si>
    <t>185B0000061</t>
  </si>
  <si>
    <t>خط و خش و قري و كسري هاي ظاهري به رؤيت مشتري مي باشد - ماندگاري بالا و افت مدل - خودروي پروژه اي سري اول توليد - سائيدگي گلگير عقب راست - خش سپر جلو - قري و خش درب عقب راست - درب جلو راست بسته نمي شود ( قفل درب شكسته و خراب مي باشد ) - ( ايرادات غير قابل ريورك مطابق استاندارد كارخانه )</t>
  </si>
  <si>
    <t>شماره بدنه: MJ500008</t>
  </si>
  <si>
    <t>MD921267</t>
  </si>
  <si>
    <t>187B0008705</t>
  </si>
  <si>
    <t>خط و خش و قري و كسري هاي ظاهري به رؤيت مشتري مي باشد - ماندگاري بالا و افت مدل - زدگي رينگ چرخ عقب چپ و چرخ جلو چپ - ( ايرادات غير قابل ريورك مطابق استاندارد كارخانه )</t>
  </si>
  <si>
    <t>شماره بدنه: MD921267</t>
  </si>
  <si>
    <t>NY061075</t>
  </si>
  <si>
    <t>484QT1A003950A</t>
  </si>
  <si>
    <t>خط و خش و قري و كسري هاي ظاهري به رؤيت مشتري مي باشد - خودرو تحت تست بوده است - كسري بكسل بند و ابزار داخل صندوق و زيرپايي ها - لاستيكها كاركرده - خش چراغ عقب راست - ( ايرادات غير قابل ريورك مطابق استاندارد كارخانه )</t>
  </si>
  <si>
    <t>شماره بدنه: NY061075</t>
  </si>
  <si>
    <t>ME365801</t>
  </si>
  <si>
    <t>153H0042608</t>
  </si>
  <si>
    <t>شماره بدنه: ME365801</t>
  </si>
  <si>
    <t>MH687978</t>
  </si>
  <si>
    <t>164B0294409</t>
  </si>
  <si>
    <t>خط و خش و قري و كسري هاي ظاهري به رؤيت مشتري مي باشد - رنگ پريدگي درب جلو راست و سپر عقب - آچار خوردگي پيچ هاي درب موتور و گلگير جلو چپ ( تعويضي كارخانه ) - تصادفي بودن گلگير جلو و عقب چپ - خش قالپاق ها - رنگ پريدگي سپر جلو - شكستگي مه شكن راست - تصادفي بودن دربهاي چپ و گلگير جلو راست و سپر جلو راست - قري ستون عقب راست - خراشيدگي كلاف درب عقب راست - ماندگاري بالا و افت مدل - خوردگي درب عقب راست - كيلومتر خراب - پارگي رودري درب جلو چپ - دنده جا مي رود ولي خودرو حركت نمي كند ( ايراد فني ) - باطري دشارژ - زيرپايي ها و تيغه برف پاك كن مستعمل - شكستگي دو عدد قالپاق - لاستيكها كاركرده و متفرقه - موكت صندوق مستعمل - كسري آنتن - ( ايرادات غير قابل ريورك مطابق استاندارد كارخانه )</t>
  </si>
  <si>
    <t>شماره بدنه: MH687978</t>
  </si>
  <si>
    <t>ME365779</t>
  </si>
  <si>
    <t>153H0038860</t>
  </si>
  <si>
    <t>خط و خش و قري و كسري هاي ظاهري به رؤيت مشتري مي باشد - خودروي پروژه اي - سري اول دنا پلاس توربو شش دنده - ماندگاري بالا و افت مدل - كسري كاور روي موتور و درپوش سرباطري - سائيدگي و خش سپر جلو - كسري موكت كف صندوق - ( ايرادات غير قابل ريورك مطابق استاندارد كارخانه )</t>
  </si>
  <si>
    <t>شماره بدنه: ME365779</t>
  </si>
  <si>
    <t>NH210842</t>
  </si>
  <si>
    <t>139B0292191</t>
  </si>
  <si>
    <t>خط و خش و قري و كسري هاي ظاهري به رؤيت مشتري مي باشد - شكستگي سپر جلو - قري درب جلو راست - خوردگي درب عقب راست - آچارخوردگي پيچ هاي درب صندوق و گلگيرهاي جلو ( تعويضي كارخانه ) - چراغ استوپ و چراغ هاي پشت آمپر روشن - زاپاس كاركرده و پنچر - قري و رنگ پريدگي درب موتور - قري سقف و درب صندوق - خش گلگير عقب راست - خوردگي گلگير جلو راست - كسري زه درب جلو چپ - تصادفي بودن گلگير جلو چپ - رنگ پريدگي قالپاق ها - كسري قاب برف پاك كن چپ - قري درب عقب چپ - خوردگي سپر عقب - خش ركابها - خوردگي سپر جلو - شكستگي مه شكن جلو راست - عدم جذب ضربگير درب راننده - رنگ پريدگي جلو پنجره و آينه هاي جانبي - لاستيكها كاركرده - زاپاس مستعمل ومتفرقه و پنچر -موتور خودرو صداي غير عادي ميدهد و بد كار ميكند( ايراد فني دارد ) - ( ايرادات غير قابل ريورك مطابق استاندارد كارخانه )</t>
  </si>
  <si>
    <t>شماره بدنه: NH210842</t>
  </si>
  <si>
    <t>ME365789</t>
  </si>
  <si>
    <t>153H0040514</t>
  </si>
  <si>
    <t>خط و خش و قري و كسري هاي ظاهري به رؤيت مشتري مي باشد - خودروي پروژه اي - سري اول دنا پلاس توربو شش دنده - ماندگاري بالا و افت مدل - چراغ چك روشن - ( ايرادات غير قابل ريورك مطابق استاندارد كارخانه )</t>
  </si>
  <si>
    <t>شماره بدنه: ME365789</t>
  </si>
  <si>
    <t>سورن EF7 بنزيني کلاس 24 سفيد دوپوششه كانزاي</t>
  </si>
  <si>
    <t>NF244659</t>
  </si>
  <si>
    <t>147H0684783</t>
  </si>
  <si>
    <t>خط و خش و قري و كسري هاي ظاهري به رؤيت مشتري مي باشد - ايراد رنگي بدنه - خوردگي گلگير عقب چپ و سپر عقب و شاسي عقب - دفرمگي رينگ و قالپاق چرخ عقب چپ - شكستگي چراغ عقب چپ - كسري يكعدد سوئيچ - ( ايرادات غير قابل ريورك مطابق استاندارد كارخانه )</t>
  </si>
  <si>
    <t>کد کلاس: 57524</t>
  </si>
  <si>
    <t>شماره بدنه: NF244659</t>
  </si>
  <si>
    <t>MJ500027</t>
  </si>
  <si>
    <t>185B0000081</t>
  </si>
  <si>
    <t>شماره بدنه: MJ500027</t>
  </si>
  <si>
    <t>MJ500018</t>
  </si>
  <si>
    <t>185B0000050</t>
  </si>
  <si>
    <t>خط و خش و قري و كسري هاي ظاهري به رؤيت مشتري مي باشد - ماندگاري بالا و افت مدل - خودروي پروژه اي سري اول توليد - باطري كاركرده و مستعمل - خرابي جك درب صندوق - رنگ پريدگي قاب آينه چپ - فن يكسره كار ميكند ( ايراد فني دارد ) - چراغ چك روشن - كسري آنتن - ( ايرادات غير قابل ريورك مطابق استاندارد كارخانه )</t>
  </si>
  <si>
    <t>شماره بدنه: MJ500018</t>
  </si>
  <si>
    <t>MJ500006</t>
  </si>
  <si>
    <t>185B0000064</t>
  </si>
  <si>
    <t>خط و خش و قري و كسري هاي ظاهري به رؤيت مشتري مي باشد - ماندگاري بالا و افت مدل - خودروي پروژه اي سري اول توليد - كسري درب جعبه فيوز - قري درب جلو چپ - عدم عملكرد مانيتور - باطري مستعمل - ( ايرادات غير قابل ريورك مطابق استاندارد كارخانه )</t>
  </si>
  <si>
    <t>شماره بدنه: MJ500006</t>
  </si>
  <si>
    <t>MJ500013</t>
  </si>
  <si>
    <t>185B0000078</t>
  </si>
  <si>
    <t>خط و خش و قري و كسري هاي ظاهري به رؤيت مشتري مي باشد - ماندگاري بالا و افت مدل - خودروي پروژه اي سري اول توليد - باطري كاركرده و مستعمل - قري دربهاي راست - خش سپر عقب راست - عدم عملكرد شيشه بالابر عقب راست - ( ايرادات غير قابل ريورك مطابق استاندارد كارخانه )</t>
  </si>
  <si>
    <t>شماره بدنه: MJ500013</t>
  </si>
  <si>
    <t>سورن EF7 بنزيني کلاس 24 سفيد دو پوششه</t>
  </si>
  <si>
    <t>NF240234</t>
  </si>
  <si>
    <t>147H0673131</t>
  </si>
  <si>
    <t>خط و خش و قري و كسري هاي ظاهري به رؤيت مشتري مي باشد - ايراد رنگي بدنه - خوردگي سرشاسي جلو راست - درب موتور تعويضي كارخانه - قري گلگير جلو چپ - خش ركاب راست - خرابي قفل درب راننده - خوردگي سپر عقب - قري درب جلو راست و گلگير عقب چپ - دفرمگي رينگ و قالپاق چرخ عقب چپ - شكستگي چراغ عقب چپ - كسري آنتن - ( ايرادات غير قابل ريورك مطابق استاندارد كارخانه )</t>
  </si>
  <si>
    <t>شماره بدنه: NF240234</t>
  </si>
  <si>
    <t>ME399999</t>
  </si>
  <si>
    <t>153H0036392</t>
  </si>
  <si>
    <t>خط و خش و قري و كسري هاي ظاهري به رؤيت مشتري ميباشد - اثر پوليش روي گلگير جلو و درب چپ و گلگير عقب چپ - سائيدگي سپر جلو و گلگير جلو راست و اثر پوليش روي بدنه - ايراد رنگي بدنه (غير قابل ريورك طبق استاندارد كارخانه اي )</t>
  </si>
  <si>
    <t>شماره بدنه: ME399999</t>
  </si>
  <si>
    <t>تارا اتوماتيک کلاس 4 سفيد دو پوششه</t>
  </si>
  <si>
    <t>MD920306</t>
  </si>
  <si>
    <t>187B0005793</t>
  </si>
  <si>
    <t>خط و خش و قري و كسري هاي ظاهري به رؤيت مشتري مي باشد - خودروي پروژه اي ( سري اول توليد ) - ماندگاري بالا و افت مدل - كسري يك عدد سوئيچ - ايراد رنگي بدنه - شكستگي راهنماي آينه چپ - ( ايرادات غير قابل ريورك مطابق استاندارد كارخانه )</t>
  </si>
  <si>
    <t>کد کلاس: 32304</t>
  </si>
  <si>
    <t>شماره بدنه: MD920306</t>
  </si>
  <si>
    <t>NE490009</t>
  </si>
  <si>
    <t>153H0044435</t>
  </si>
  <si>
    <t>خط و خش و قري و كسري هاي ظاهري به رؤيت مشتري مي باشد - ايراد رنگي سقف - خودروي پروژه اي - سري اول توليد دناي شش دنده - كسري درب باك - ( ايرادات غير قابل ريورك مطابق استاندارد كارخانه )</t>
  </si>
  <si>
    <t>شماره بدنه: NE490009</t>
  </si>
  <si>
    <t>MJ500050</t>
  </si>
  <si>
    <t>185B0000091</t>
  </si>
  <si>
    <t>خط و خش و قري و كسري هاي ظاهري به رؤيت مشتري مي باشد - ماندگاري بالا و افت مدل - خودروي پروژه اي سري اول توليد - قري درب جلو راست - باطري كاركرده و مستعمل - قري درب جلو راست - عدم عملكرد مانيتور - ( ايرادات غير قابل ريورك مطابق استاندارد كارخانه )</t>
  </si>
  <si>
    <t>شماره بدنه: MJ500050</t>
  </si>
  <si>
    <t>MJ500019</t>
  </si>
  <si>
    <t>185B0000051</t>
  </si>
  <si>
    <t>خط و خش و قري و كسري هاي ظاهري به رؤيت مشتري مي باشد - ماندگاري بالا و افت مدل - خودروي پروژه اي سري اول توليد - عدم عملكرد بوق - روشن بودن چراغ هاي پشت آمپر - لاستيكها كاركرده - ( ايرادات غير قابل ريورك مطابق استاندارد كارخانه )</t>
  </si>
  <si>
    <t>شماره بدنه: MJ500019</t>
  </si>
  <si>
    <t>NE490014</t>
  </si>
  <si>
    <t>153H0044432</t>
  </si>
  <si>
    <t>خط و خش و قري و كسري هاي ظاهري به رؤيت مشتري مي باشد - ايراد رنگي سقف - خودروي پروژه اي - سري اول توليد دناي شش دنده - ( ايرادات غير قابل ريورك مطابق استاندارد كارخانه )</t>
  </si>
  <si>
    <t>شماره بدنه: NE490014</t>
  </si>
  <si>
    <t>MJ500015</t>
  </si>
  <si>
    <t>185B0000053</t>
  </si>
  <si>
    <t>خط و خش و قري و كسري هاي ظاهري به رؤيت مشتري مي باشد - ماندگاري بالا و افت مدل - خودروي پروژه اي سري اول توليد - سائيدگي سپر جلو راست - قري درب جلو چپ - ( ايرادات غير قابل ريورك مطابق استاندارد كارخانه )</t>
  </si>
  <si>
    <t>شماره بدنه: MJ500015</t>
  </si>
  <si>
    <t>NJ240939</t>
  </si>
  <si>
    <t>185B0001482</t>
  </si>
  <si>
    <t>خط و خش و قري و كسري هاي ظاهري به رؤيت مشتري مي باشد - ايراد رنگي سقف و خش سپر عقب - كسري درب جعبه فيوز و آنتن و شبرنگ - ( ايرادات غير قابل ريورك مطابق استاندارد كارخانه )</t>
  </si>
  <si>
    <t>شماره بدنه: NJ240939</t>
  </si>
  <si>
    <t>NK802765</t>
  </si>
  <si>
    <t>125K0065961</t>
  </si>
  <si>
    <t>خط و خش و قري و كسري هاي ظاهري به رؤيت مشتري مي باشد - خودرو تصادفي مي باشد و هيچ جاي سالمي ندارد - خوردگي درب موتور و درب صندوق و سقف و ستونها و گلگيرها و سرشاسي ها و دربهاي چپ و درب عقب راست و كلاف دربها و ركاب چپ و پلوس و پليت عقب و كف صندوق و سپرها و چرخ هاي جلو و زير خودرو و رادياتها و مجموعه فن و سيني فن و سيني روي رادياتهات و قفل درب موتور و جعبه فيوز داخل موتور و مخزن هيدروليك - زدگي و مستعمل بودن رودريها و داشبورد و كنسول وسط و صندليها - كسري چراغ جلو چپ و زير ابرويي چپ - خوردگي رينگ چرخ عقب چپ و چرخ عقب راست - كسري درب روغن ترمز و درب روغن هيدروليك و بست منفي باطري و اي سي يو و زيرپايي ها و سه عدد قالپاق و شيشه جلو و درب پلاستيكي باك و شبرنگ - نمدي درب موتور مستعمل و پارگي دارد - خوردگي سيني زير موتور - شكستگي جلو پنجره - تيغه برف پاك كن مستعمل - كسري آينه بغل چپ - دو عدد لاستيكها تركيده - كسري شيشه عقب راست - شكستگي چراغ عقب راست و كسري چراغ عقب چپ</t>
  </si>
  <si>
    <t>شماره بدنه: NK802765</t>
  </si>
  <si>
    <t>NH442784</t>
  </si>
  <si>
    <t>125K0004712</t>
  </si>
  <si>
    <t>خط و خش و قري و كسري هاي ظاهري به رؤيت مشتري مي باشد - عدم تست فني خودرو - خودرو تصادفي و از ناحيه جلو تصادف شديد داشته - خوردگي كف صندوق و پليت عقب و گلگيرهاي راست و سپرها و درب عقب راست - قري و رنگ پريدگي درب جلو راست - رنگ پريدگي ركاب راست - قري و خش سقف و درب صندوق رنگ پريدگي و قري دارد - خوردگي گلگير جلو و درب جلو چپ - قري ستون عقب راست - قري و خش درب عقب چپ و ستون عقب چپ - خوردگي درب موتور و مجموعه كامل فن و سيني فن و رادياتها و سيني روي رادياتها و هواكش و جعبه فيوز - كسري چراغ هاي جلو و شكستگي مه شكن جلو چپ و كسري شيلنگ متصل به موتور - شكستگي قفل درب موتورو زبانه درب موتور و كسري ابرويي هاي چراغ هاي جلو و كسري سنسور دريچه ها و مپ سنسور و وايرها و درپوش گازكولر - باز بودن رودري درب راننده و باند درب راننده - آچارخوردگي پيچ هاي گلگيرهاي جلو و درب موتور و درب صندوق ( تعويضي كارخانه ) - باز بودن ضبط و داشبورد و قاب دور كنسول وسط و كسري قاب كشويي زير ضبط و درب كنسول وسط و درب جعبه فيوز داخل اتاق و باز بودن سيم پيچي هاي درب راننده و زير داشبورد سمت راننده - باطري و زيرپايي ها و تيغه برف پاك كن و موكت صندوق مستعمل - نمدي درب موتور مستعمل و پارگي دارد - راديو پخش باز مي باشد - زيرپايي جلو يك عدد كسري - رنگ پريدگي جلو پنجره - شكستگي آينه راست و باز بودن آينه چپ - يك عدد لوگوي وسط رينگ متفرقه - لاستيكها مستعمل - شكستگي شيشه جلو - شكستگي درب باك فلزي - خوردگي اي سي يو و سيني زير موتور - سنسور هوا ندارد - كسري برخي قطعات موتوري و قطعات داخل اتاق - ( ايرادات غير قابل ريورك مطابق استاندارد كارخانه )</t>
  </si>
  <si>
    <t>شماره بدنه: NH442784</t>
  </si>
  <si>
    <t>سورن +(پلاس) دوگانه سوز كلاس 5 سفيد دو پوششه</t>
  </si>
  <si>
    <t>NF212866</t>
  </si>
  <si>
    <t>147H0677959</t>
  </si>
  <si>
    <t>خط و خش و قري و كسري هاي ظاهري به رؤيت مشتري مي باشد - تصادفي بودن شاسي جلو چپ و گلگير جلو چپ و درب موتور و سپر جلو و چراغ هاي جلو و سيني فن و سيني زير موتور - خوردگي رادياتها و سپر عقب - قري و رنگ پريدگي درب جلو چپ - رنگ پريدگي گلگير جلو راست - كسري زبانه درب موتور و قاب دستگيره درب راننده - شكستگي مه شكن هاي جلو و سيني روي رادياتها - كسري قاب روي موتور و سوكت هاي جلو موتور - خودرو از ناحيه جلو تصادف شديد داشته - خودرو استارت ميخورد ولي روشن نمي شود ( ايراد فني دارد ) - عدم تست فني خودرو - كسري درب روغن ترمز - شكستگي درب روغن هيدروليك - باطري مستعمل و كسري بست منفي باطري - خوردگي سيني زير موتور - كسري جلو پنجره - كسري درب باك فلزي و درب باك سي ان جي - ( ايرادات غير قابل ريورك مطابق استاندارد كارخانه )</t>
  </si>
  <si>
    <t>SOREN EF7 CNG</t>
  </si>
  <si>
    <t>کد کلاس: 55505</t>
  </si>
  <si>
    <t>شماره بدنه: NF212866</t>
  </si>
  <si>
    <t>NJ240143</t>
  </si>
  <si>
    <t>185B0000422</t>
  </si>
  <si>
    <t>خط و خش و قري و كسري هاي ظاهري به رؤيت مشتري مي باشد - حريق در محوطه موتور و درب موتور و گلگيرهاي جلو ( سوختگي سپر جلو و جلو پنجره و سيني فن و دسته سيم و قطعات موتوري و آثار خاموش كننده ) - كسري درب جعبه فيوز و ناخني دربهاي راست - سوختگي مه شكن جلو راست - كسري ميله درب موتور - سوختگي چراغ جلو چپ و نوار دور چراغ جلو راست - سوختگي شيلنگ هاي متصل به راديات و موتور و سوختگي تمامي سيم هاي جلوي موتور و سنسور اكسيژن و سيم هاي متصل به دينام و سوكت ها و بسياري از قطعات ديگر سوخته و كسري مي باشد - كسري رله ها و خوردگي بكسل بند جلو و كسري قاب روي بكسل بند - سوختگي تسمه هيدروليك و خوردگي سرشاسي جلو راست - سوختگي قاب روي موتور و درب موتور و گلگيرهاي جلو از داخل - قري درب جلو راست و درب جلو چپ - خوردگي رادياتها و سيني فن و سيني زير و روي رادياتها - كسري مجموعه كامل فن و سيني فن - سوختگي شيلنگ هاي آب پاش برف پاك كن و دريچه روي درب موتور - موتور حريقي مي باشد - باطري مستعمل - سوختگي گج روغن و سيني پلاك و سيني زير موتور و جلو پنجره - ( ايرادات غير قابل ريورك مطابق استاندارد كارخانه )</t>
  </si>
  <si>
    <t>شماره بدنه: NJ240143</t>
  </si>
  <si>
    <t>NJ354338</t>
  </si>
  <si>
    <t>178B0111934</t>
  </si>
  <si>
    <t>خط و خش و قري و كسري هاي ظاهري به رؤيت مشتري مي باشد - ايراد رنگي درب جلو راست و كلاف درب جلو راست - قري درب جلو چپ - كسري آنتن و سيني زير موتور - ( ايرادات غير قابل ريورك مطابق استاندارد كارخانه )</t>
  </si>
  <si>
    <t>شماره بدنه: NJ354338</t>
  </si>
  <si>
    <t>ME365798</t>
  </si>
  <si>
    <t>153H0041232</t>
  </si>
  <si>
    <t>خط و خش و قري و كسري هاي ظاهري به رؤيت مشتري مي باشد - خودروي پروژه اي - سري اول دنا پلاس توربو شش دنده - ماندگاري بالا و افت مدل - كسري درپوش گازكولر - رنگ پريدگي سپر عقب - كسري ليوان - ( ايرادات غير قابل ريورك مطابق استاندارد كارخانه )</t>
  </si>
  <si>
    <t>شماره بدنه: ME365798</t>
  </si>
  <si>
    <t>NE490522</t>
  </si>
  <si>
    <t>153H0055024</t>
  </si>
  <si>
    <t>خط و خش و قري و كسري هاي ظاهري به رؤيت مشتري مي باشد - ايراد رنگي سقف و درب موتور - خش سپر جلو - ( ايرادات غير قابل ريورك مطابق استاندارد كارخانه )</t>
  </si>
  <si>
    <t>شماره بدنه: NE490522</t>
  </si>
  <si>
    <t>ME365783</t>
  </si>
  <si>
    <t>153H0040513</t>
  </si>
  <si>
    <t>خط و خش و قري و كسري هاي ظاهري به رؤيت مشتري مي باشد - خودروي پروژه اي - سري اول دنا پلاس توربو شش دنده - ماندگاري بالا و افت مدل - كسري يك عدد سوئيچ - خراب بودن دوربين عقب - ( ايرادات غير قابل ريورك مطابق استاندارد كارخانه )</t>
  </si>
  <si>
    <t>شماره بدنه: ME365783</t>
  </si>
  <si>
    <t>MD920307</t>
  </si>
  <si>
    <t>187B0007002</t>
  </si>
  <si>
    <t>خط و خش و قري و كسري هاي ظاهري به رؤيت مشتري مي باشد - ماندگاري بالا و افت مدل - خودرو پروژه اي ( سري اول توليد ) - ايراد رنگي بدنه - باطري دشارژ - ترك راهنماي آينه چپ - خرابي جك درب صندوق - رنگ شدگي پيچ هاي درب موتور ( تعويضي كارخانه ) - آچارخوردگي پيچ هاي درب صندوق ( تعويضي كارخانه ) - چراغ چك روشن - كسري يك عدد سوئيچ - ( ايرادات غير قابل ريورك مطابق استاندارد كارخانه )</t>
  </si>
  <si>
    <t>شماره بدنه: MD920307</t>
  </si>
  <si>
    <t>MJ500034</t>
  </si>
  <si>
    <t>185B0000067</t>
  </si>
  <si>
    <t>خط و خش و قري و كسري هاي ظاهري به رؤيت مشتري مي باشد - ماندگاري بالا و افت مدل - خودروي پروژه اي سري اول توليد - خش قاب آينه چپ - قري درب جلو راست - كسري زيرسري عقب - باز بودن سيم كشي داخل داشبورد - كسري آنتن - ( ايرادات غير قابل ريورك مطابق استاندارد كارخانه )</t>
  </si>
  <si>
    <t>شماره بدنه: MJ500034</t>
  </si>
  <si>
    <t>ME365780</t>
  </si>
  <si>
    <t>153H0038855</t>
  </si>
  <si>
    <t>شماره بدنه: ME365780</t>
  </si>
  <si>
    <t>MJ500045</t>
  </si>
  <si>
    <t>185B0000106</t>
  </si>
  <si>
    <t>شماره بدنه: MJ500045</t>
  </si>
  <si>
    <t>ME365788</t>
  </si>
  <si>
    <t>153H0040511</t>
  </si>
  <si>
    <t>خط و خش و قري و كسري هاي ظاهري به رؤيت مشتري مي باشد - خودروي پروژه اي - سري اول دنا پلاس توربو شش دنده - ماندگاري بالا و افت مدل - كسري آرم قاب موتور و درپوش گاز كولر - ايراد رنگي درب موتور - ( ايرادات غير قابل ريورك مطابق استاندارد كارخانه )</t>
  </si>
  <si>
    <t>شماره بدنه: ME365788</t>
  </si>
  <si>
    <t>NE490663</t>
  </si>
  <si>
    <t>153H0056732</t>
  </si>
  <si>
    <t>خط و خش و قري و كسري هاي ظاهري به رؤيت مشتري مي باشد - ايراد رنگي سقف - قري و رنگ پريدگي درب جلو راست - سائيدگي گلگير عقب و سپر عقب چپ - قري گلگير عقب راست - سائيدگي سپر جلو - ( ايرادات غير قابل ريورك مطابق استاندارد كارخانه )</t>
  </si>
  <si>
    <t>شماره بدنه: NE490663</t>
  </si>
  <si>
    <t>MJ500026</t>
  </si>
  <si>
    <t>185B0000079</t>
  </si>
  <si>
    <t>خط و خش و قري و كسري هاي ظاهري به رؤيت مشتري مي باشد - ماندگاري بالا و افت مدل - خودروي پروژه اي سري اول توليد - خش درب جلو چپ - كسري قاب پشت باطري - قري درب جلو راست - خش سپر جلو - ( ايرادات غير قابل ريورك مطابق استاندارد كارخانه )</t>
  </si>
  <si>
    <t>شماره بدنه: MJ500026</t>
  </si>
  <si>
    <t>MJ500017</t>
  </si>
  <si>
    <t>185B0000054</t>
  </si>
  <si>
    <t>شماره بدنه: MJ500017</t>
  </si>
  <si>
    <t>MJ500024</t>
  </si>
  <si>
    <t>185B0000074</t>
  </si>
  <si>
    <t>خط و خش و قري و كسري هاي ظاهري به رؤيت مشتري مي باشد - ماندگاري بالا و افت مدل - خودروي پروژه اي سري اول توليد - خش سپر جلو و جلوپنجره - ( ايرادات غير قابل ريورك مطابق استاندارد كارخانه )</t>
  </si>
  <si>
    <t>شماره بدنه: MJ500024</t>
  </si>
  <si>
    <t>دنا+ (پلاس) كلاس 1 سفيد دو پوششه</t>
  </si>
  <si>
    <t>FE060002</t>
  </si>
  <si>
    <t>خودرو اوراقي</t>
  </si>
  <si>
    <t>147H0142252</t>
  </si>
  <si>
    <t>خودرو اوراقي مي باشد و كليه فرآيندهاي اوراق مانند مخدوش نمودن حك شاسي و حك موتور و سوراخ كردن بلوكه سيلندرو بريدن ستونها و پرس كردن سقف و... بر روي آن انجام شده است ، اين خودرو بدون پلاك و بيمه و اسناد تحويل داده خواهد شد و برنده موظف به ارائه تعهدنامه محضري مبني بر استفاده از قطعات منفصله خواهد بود - خش و قري و كسري هاي ظاهري به رؤيت مشتري ميباشد - سقف و گلگير عقب چپ برش خورده و جداشده - صندليها فرسوده - كسري راديوپخش و رودريها و شيشه عقب و شيشه هاي جانبي و صندليهاي جلو - آچارخوردگي درب موتور و گلگيرهاي جلو - خوردگي درب موتور و دربها سپرجلو - كسري ميله درب موتور و سيني پشت موتور و قاب فيلتر كابين و تمامي قطعات برف پاك كن ها و سيني زير شيشه و قفل درب موتور و پيچ هاي روي سيني فن و نوار روي سيني فن و سانروف و نشيمن عقب و كنسول وسط و تمامي رودريها و دستگيره ها و باندهاي عقب و طاغچه عقب و قاب ستونها و قاب زيرفرمان و سوكتها و سردنده و آفتاب گيرها و چراغ سقف و آينه وسط و نمدي زير سقف و كمربندها و فيوزها و تمامي نوارهاي دور شيشه ها و بازبودن سيم پيچي هاي داخل اتاق - كسري بسياري از قطعات داخل اتاق - شكستگي جك درب صندوق - كسري دستگيره هاي عقب و سپر عقب و ركابها و آرم صندوق عقب و آرم روي گلگيرها - باطري مستعمل و متفرقه - كسري دوعدد سوئيچ و راديوپخش و فندك و دكمه هاي بالابر و زيرپايي ها و تيغه برف پاك كن و آينه هاي جانبي و آنتن و شيشه هاي جانبي و عقب و چراغ عقب و درب باك و جك و آچارچرخ و زاپاس و شبرنگ و موكت صندوق - كسري دو عدد لوگوي وسط رينگ و خوردگي رينگها - لاستيكها مستعمل و متفرقه و پنچر - كسري اگزوز كامل و باك بنزين</t>
  </si>
  <si>
    <t>کد کلاس: 70301</t>
  </si>
  <si>
    <t>شماره بدنه: FE060002</t>
  </si>
  <si>
    <t>دنا پلاس اتوماتيك با موتور EF7 كلاس 1 سفيد دو پوششه</t>
  </si>
  <si>
    <t>JE010005</t>
  </si>
  <si>
    <t>147H0381017</t>
  </si>
  <si>
    <t>خودرو اوراقي مي باشد و كليه فرآيندهاي اوراق مانند مخدوش نمودن حك شاسي و حك موتور و سوراخ كردن بلوكه سيلندرو بريدن ستونها و پرس كردن سقف و... بر روي آن انجام شده است ، اين خودرو بدون پلاك و بيمه و اسناد تحويل داده خواهد شد و برنده موظف به ارائه تعهدنامه محضري مبني بر استفاده از قطعات منفصله خواهد بود - قري درب عقب راست -باطري دشارژ - مستعمل بودن لاستيكها و اقلام پليمري و برف پاك كن - كسري آينه بغل راست و ليوان - بازبودن كنسول وسط و قاب دور فرمان و زيرفرمان ( داخل صندوق ) - كسري قاب دور دنده و قاب بغل كنسول وسط - بازبودن قاب كنار صندلي راننده - كسري بعضي از قطعات داخل اتاق و نمدي درب صندوق و قاب روي پايه درب صندوق و دوربين عقب و درپوش گاز و بست باطري - كج بودن ميله درب موتور - خوردگي سپرها و كنده شدن بكسل بند جلو - قري و خش و رنگ پريدگي درب جلو چپ - خش درب عقب چپ و گلگير عقب چپ - خش و قري دربهاي راست و خش ركاب راست - خوردگي گلگير جلو راست - كسري يك عدد سوئيچ - موكت صندوق مستعمل - كسري آينه بغل راست - رينگ اسپرت مستعمل و متفرقه و خوردگي دارد - لاستيكها مستعمل و متفرقه و پنچر - كسري آچارچرخ و زاپاس - موكت صندوق مستعمل - شكستگي اگزوز</t>
  </si>
  <si>
    <t>کد کلاس: 70601</t>
  </si>
  <si>
    <t>شماره بدنه: JE010005</t>
  </si>
  <si>
    <t>دنا پلاس اتوماتيك با موتور EF7_TC كلاس 1 سفيد دو پوششه</t>
  </si>
  <si>
    <t>JE015004</t>
  </si>
  <si>
    <t>153H0007417</t>
  </si>
  <si>
    <t>خودرو اوراقي مي باشد و كليه فرآيندهاي اوراق مانند مخدوش نمودن حك شاسي و حك موتور و سوراخ كردن بلوكه سيلندرو بريدن ستونها و پرس كردن سقف و... بر روي آن انجام شده است ، اين خودرو بدون پلاك و بيمه و اسناد تحويل داده خواهد شد و برنده موظف به ارائه تعهدنامه محضري مبني بر استفاده از قطعات منفصله خواهد بود - عدم تست فني خودرو - قري درب شاگرد - فرسودگي تايرها - باطري دشارژ - كسري بسياري از قطعات موتوري و داخل محوطه موتور و داخل اتاق - آچارخوردگي پيچ هاي گلگيرهاي جلو ( تعويضي ) - خوردگي سپر جلو و رنگ پريدگي سپرعقب و گلگير عقب چپ و ركاب چپ - شكستگي كنسول وسط - كسري قاب دور فرمان و زير فرمان - باز بودن سيم كشي زير فرمان - كسري دكمه هاي روي فرمان - رنگ پريدگي دربهاي چپ و گلگير جلو چپ - خوردگي درب جلو راست - رنگ پريدگي درب موتور - كسري درب جعبه فيوز داخل موتور و فيوزها - كسري كوئل و سوكتها و تعدادي ديگر از قطعات موتوري - خوردگي رادياتورها - اي سي يو ندارد - سيي زير موتور ندارد - يكعدد سوئيچ كسري - فندك و لاستيكهاي زيرپايي ندارد - مستعمل بودن تيغه برف پاك ك ن ها و زاپاس - كسري يكعدد لوگول وسط رينگ - لاستيكها كاركرده و مستعمل - درب باك و جك و آچارچرخ ندارد</t>
  </si>
  <si>
    <t>کد کلاس: 70701</t>
  </si>
  <si>
    <t>شماره بدنه: JE015004</t>
  </si>
  <si>
    <t>دنا كلاس 2 سفيد دو پوششه</t>
  </si>
  <si>
    <t>HE461600</t>
  </si>
  <si>
    <t>147H0279448</t>
  </si>
  <si>
    <t>خودرو اوراقي مي باشد و كليه فرآيندهاي اوراق مانند مخدوش نمودن حك شاسي و حك موتور و سوراخ كردن بلوكه سيلندرو بريدن ستونها و پرس كردن سقف و... بر روي آن انجام شده است ، اين خودرو بدون پلاك و بيمه و اسناد تحويل داده خواهد شد و برنده موظف به ارائه تعهدنامه محضري مبني بر استفاده از قطعات منفصله خواهد بود - خش و قري و كسري هاي ظاهري به رؤيت مشتري ميباشد - باطري دشارژ - خرابي برف پاك كن ها - كسري دستگيره درب راننده - پوسته شدن چراغ هاي جلو - لاستيكها مستعمل - كسري پايه نگهدارنده درب موتور و ليوان و كوركن بالاي مونيتور - بازبودن قاب دور فرمان و زير فرمان و كسري قاب پشت آينه ها - شكستگي درب داشبورد - سوراخ بودن داشبورد - شكستگي دستگيره درب راننده از بيرون - كسري قاب زير آينه ها - سائيدگي سپرها - قير و موج نقاطي از بدنه - خوردگي درب عقب راست - قري درب جلو راست - خوردگي زه دور شيشه درب راننده - قري درب عقب چپ - خوردگي درب صندوق - كسري قفل درب صندوق - خوردگي لبه درب موتور - كسري دوعدد سوئيچ و انتن و جك و آچارچرخ و زاپاس - زيرپايي ها و تيغه برف پاك كن مستعمل - رينگ اسپرت مستعمل و متفرقه و خش دارد - لاستيكها مستعمل و متفرقه</t>
  </si>
  <si>
    <t>کد کلاس: 70102</t>
  </si>
  <si>
    <t>شماره بدنه: HE461600</t>
  </si>
  <si>
    <t>پژو 207i اتوماتيك كلاس 2 سفيد دو پوششه</t>
  </si>
  <si>
    <t>HJ476263</t>
  </si>
  <si>
    <t>177B0000188</t>
  </si>
  <si>
    <t>خودرو اوراقي مي باشد و كليه فرآيندهاي اوراق مانند مخدوش نمودن حك شاسي و حك موتور و سوراخ كردن بلوكه سيلندرو بريدن ستونها و پرس كردن سقف و... بر روي آن انجام شده است ، اين خودرو بدون پلاك و بيمه و اسناد تحويل داده خواهد شد و برنده موظف به ارائه تعهدنامه محضري مبني بر استفاده از قطعات منفصله خواهد بود - عدم تست فني خودرو - دفرمگي بكسل بند عقب - رنگ پريدگي و زنگ زدگي گلگير جلو راست - دفرمگي سپر عقب - پوسته شدن چراغها - خوردگي سپر جلو - لاستيكهاي كف پايي جلو ندارد - خرابي جك هاي درب صندوق - خوردگي سپر عقب - خش گلگير جلو چپ - رنگ پريدگي لبه درب جلو چپ و درب عقب چپ - قري درب عقب چپ و درب عقب راست و درب جلو راست - كسري لوله هاي هواكش - رنگ پريدگي گلگير جلو چپ - درب مخزن روغن هيدروليك ندارد - سوئيچ ندارد - مستعمل بودن تيغه هاي برف پاك كن و رينگها - لاستكيها مستعمل و متفرقه - جك ندارد - زاپاس ندارد</t>
  </si>
  <si>
    <t>کد کلاس: 60102</t>
  </si>
  <si>
    <t>شماره بدنه: HJ476263</t>
  </si>
  <si>
    <t>MF083448</t>
  </si>
  <si>
    <t>147H0618324</t>
  </si>
  <si>
    <t>خط و خش و قري و كسري هاي ظاهري به رؤيت مشتري مي باشد - شكستگي و رنگ پريدگي سپر عقب - زاپاس كاركرده و پنچر- رينگ جلو چپ معمولي - خوردگي گلگير جلو راست - كسري راهنماي گلگير جلو راست - كسري زه دربهاي چپ - آچارخوردگي پيچ هاي گلگيرهاي جلو ( تعويضي كارخانه ) - كسري درب جعبه فيوز - چراغ ايربك روشن - تصادفي بودن دربهاي چپ و گلگير عقب چپ - پنچري لاستيكها - كسري درپوش كولر - قري و رنگ پريدگي گلگير عقب راست و درب عقب راست - قري گلگير جلو چپ - كسري سه گوش آينه بغل راست - آسيب ديدگي كنسول وسط - ماندگاري بالا و افت مدل - شكستگي پايه نگهدارنده آفتابگير چپ - كيلومتر واقعي نميباشد ( خراب است ) - سائيدگي و خش درب صندوق - خوردگي سپر عقب - خش و رنگ پريدگي درب جلو راست - خوردگي سپر جلو - كسري زه زير ستون وسط چپ و قاب دستگيره درب راننده - شكستگي مه شكن جلو راست - صداي غير عادي از موتور - كسري فندك و جك و آچارچرخ - زيرپايي ها و نمدي درب موتور و تيغه برف پاك كن و موكت صندوق مستعمل - خش آينه هاي جانبي - لاستيكها كاركرده و مغاير و لاستيكهاي عقب و جلو راست پنچر - اختلاف رنگ درب باك -( ايرادات غير قابل ريورك مطابق استاندارد كارخانه )</t>
  </si>
  <si>
    <t>شماره بدنه: MF083448</t>
  </si>
  <si>
    <t>MF087282</t>
  </si>
  <si>
    <t>147H0622598</t>
  </si>
  <si>
    <t>خط و خش و قري و كسري هاي ظاهري به رؤيت مشتري مي باشد - كسري يك عدد سوئيچ و قاب دور دستگيره درب جلو چپ - زاپاس كاركرده و پنچر - كسري شبرنگ و آنتن و قاب درب باك - چراغ چك روشن - كاتاليزور سوراخ است - قري درب موتور - رنگ پريدگي زه درب جلو راست - كنده شدن بكسل بند جلو - كسري درب روغن موتور - پنچري لاستيكهاي عقب - كسري درب جعبه فيوز - قري و رنگ پريدگي درب جلو و عقب چپ - خوردگي ركاب راست و گلگير جلو راست - خش و رنگ پريدگي درب صندوق - خش درب موتور و سپر عقب - آچارخوردگي پيچ هاي درب موتور ( تعويضي كارخانه ) - خوردگي درب عقب چپ و ركاب چپ - رنگ پريدگي سپر عقب و گلگير عقب چپ و راست و درب جلو راست و زه درب عقب راست - كسري قاب روي موتور و بست منفي باطري و روكش دستگيره درب جلو چپ - صداي غير عادي از موتور خودرو - نمدي درب موتور و زيرپايي ها و تيغه برف پاك كن و موكت صندوق مستعمل - يك عدد رينگ معمولي دارد - لاستيكها كاركرده و متفرقه - كسري شبرنگ - ( ايرادات غير قابل ريورك مطابق استاندارد كارخانه )</t>
  </si>
  <si>
    <t>شماره بدنه: MF087282</t>
  </si>
  <si>
    <t>NF159495</t>
  </si>
  <si>
    <t>147H0639094</t>
  </si>
  <si>
    <t>خط و خش و قري و كسري هاي ظاهري به رؤيت مشتري مي باشد - خراب بودن دستگيره دربهاي چپ - زاپاس كاركرده و پنچر - ايراد رنگي سقف - عدم جذب ضربگير درب عقب چپ - قري و موج ورق دربها - رنگ پريدگي سپر عقب راست - خش عميق درب صندوق - خش گلگيرها و دربها - قري گلگير عقب راست - كسري درب جعبه فيوز - خش سپرها - رنگ پريدگي بكسل بند جلو - كسري فندك - خرابي دستگيره دربهاي چپ - ( ايرادات غير قابل ريورك مطابق استاندارد كارخانه )</t>
  </si>
  <si>
    <t>شماره بدنه: NF159495</t>
  </si>
  <si>
    <t>NE560457</t>
  </si>
  <si>
    <t>153H0059912</t>
  </si>
  <si>
    <t>خط و خش و قري و كسري هاي ظاهري به رؤيت مشتري مي باشد - خودرو تحت تست بوده است - خراش سپر عقب - لاستيكها كاركرده - رنگ پريدگي درب جلو راست - قري درب جلو چپ - كسري قاب روي موتور - چراغ هاي پشت آمپر روشن - باز بودن دوربين عقب - ( ايرادات غير قابل ريورك مطابق استاندارد كارخانه )</t>
  </si>
  <si>
    <t>شماره بدنه: NE560457</t>
  </si>
  <si>
    <t>ME365802</t>
  </si>
  <si>
    <t>153H0042606</t>
  </si>
  <si>
    <t>خط و خش و قري و كسري هاي ظاهري به رؤيت مشتري مي باشد - ماندگاري بالا و افت مدل - خودرو پروژه اي - سري اول توليد دنا شش دنده - لاستيكها كاركرده و متفرقه - شكستگي قاب دستگيره درب راننده - چرخ عقب چپ پنچر - كسري قاب پشت درب جلو چپ - روشن ماندن چراغ هاي پشت آمپر - زاپاس پنچر - چرخ عقب چپ با زاپاس تعويض شده - كج بودن ميله درب موتور - سائيدگي سپر عقب - ( ايرادات غير قابل ريورك مطابق استاندارد كارخانه )</t>
  </si>
  <si>
    <t>شماره بدنه: ME365802</t>
  </si>
  <si>
    <t>ME365800</t>
  </si>
  <si>
    <t>153H0042605</t>
  </si>
  <si>
    <t>خط و خش و قري و كسري هاي ظاهري به رؤيت مشتري مي باشد - خودروي پروژه اي - سري اول دنا پلاس توربو شش دنده - ماندگاري بالا و افت مدل - شكستگي شيشه جلو - صداي اضافي موتور - كسري پنل زير راديو پخش و جاسيگاري جلو كامل - چراغ سرويس روشن - كاتاليست جدا شده - لاستيكها كاركرده - ( ايرادات غير قابل ريورك مطابق استاندارد كارخانه )</t>
  </si>
  <si>
    <t>شماره بدنه: ME365800</t>
  </si>
  <si>
    <t>MF084069</t>
  </si>
  <si>
    <t>147H0616333</t>
  </si>
  <si>
    <t>خط و خش و قري و كسري هاي ظاهري به رؤيت مشتري مي باشد - تصادفي بودن گلگير جلو و درب جلو و عقب چپ - پنچري لاستيكهاي سمت چپ - خوردگي و جانبودن سپر عقب - خش عميق درب صندوق و خراشيدگي سپر عقب - تصادفي بودن درب عقب راست و درب موتور - كسري جاسيگاري و درب جعبه فيوز و شبرنگ - زاپاس كاركرده و پنچر - تصادفي بودن كف صندوق - قري گلگير عقب چپ و قري و سائيدگي درب عقب چپ و رنگ پريدگي بكسل بند جلو و آچارخوردگي پيچ هاي درب موتور و گلگير جلو چپ ( تعويضي كارخانه ) - خش ركابها و رنگ پريدگي گلگير عقب راست و خش و رنگ پريدگي درب جلو و گلگير جلو راست - موتور خودرو بد كار ميكند و صداي اضافي دارد ( ايراد دارد ) - باطري مستعمل و متفرقه - نمدي درب موتور و زيرپايي ها و تيغه برف پاك كن و موكت صندوق مستعمل - فندك متفرقه و مغاير - آينه جانبي راست خش دارد - لاستيكها كاركرده و متفرقه و مغاير و عقب و جلو چپ پنچر - خش چراغ عقب چپ - كسري آچارچرخ - زاپاس كاركرده و متفرقه و پنچر -( ايرادات غير قابل ريورك مطابق استاندارد كارخانه )</t>
  </si>
  <si>
    <t>شماره بدنه: MF084069</t>
  </si>
  <si>
    <t>NF160321</t>
  </si>
  <si>
    <t>147H0642392</t>
  </si>
  <si>
    <t>خط و خش و قري و كسري هاي ظاهري به رؤيت مشتري مي باشد - ايراد رنگي بدنه - تصادفي بودن سرشاسي جلو راست و بكسل بند جلو - درب موتور تعويضي كارخانه - قري درب جلو چپ و خوردگي گلگير جلو چپ - خش ركاب راست - خرابي قفل درب راننده و كسري قاب آن - درب عقب چپ تعويضي كارخانه - خراشيدگي سپر عقب - شكستگي چراغ مه شكن راست - ايراد رنگي درب باك - خرابي كنسول عقب - خش دربها و درب موتور - آچارخوردگي پيچ هاي درب موتور - خش عميق درب صندوق و گلگير عقب راست - خوردگي تقويت عرضي زير راديات و سپر جلو - دو عدد رينگ معمولي - لاستيكها كاركرده و متفرقه - كسري جك و آچارچرخ و شبرنگ - زاپاس كاركرده و پنچر - ( ايرادات غير قابل ريورك مطابق استاندارد كارخانه )</t>
  </si>
  <si>
    <t>شماره بدنه: NF160321</t>
  </si>
  <si>
    <t>MH651594</t>
  </si>
  <si>
    <t>139B0197909</t>
  </si>
  <si>
    <t>خط و خش و قري و كسري هاي ظاهري به رؤيت مشتري مي باشد - عدم عملكرد صندوق پران و تنظيم صندلي راست - باطري مستعمل و دشارژ - تصادفي بودن گلگير جلو چپ و درب جلو و عقب چپ و گلگير عقب چپ - آچارخوردگي پيچ هاي درب موتور و درب صندوق ( تعويضي كارخانه ) - چراغ چك روشن - خوردگي سپر عقب - تصادفي بودن و بسته نشدن درب صندوق - تصادفي بودن كف صندوق و ركاب چپ و درب موتور - رنگ پريدگي قاب آينه بغل چپ - تصادفي بودن گلگير عقب راست و درب عقب راست و ركاب راست و گلگير جلو راست و سپر جلو و عقب - شكستگي تيغه برف پاك كن - كسري يك عدد قالپاق - زدگي داشبورد و پارگي رودريها - صندليها مستعمل - مغاير بودن درب كنسول وسط - خوردگي پليت عقب و درب جلو راست - رنگ پريدگي بكسل بند جلو - موتور خودرو تك كار ميكند و لرزش دارد - گيج روغن شكسته - خوردگي سيني زير موتور - نمدي درب موتور و زيرپايي ها و تيغه برف پاك كن و موكت صندوق مستعمل - خوردگي جلو پنجره - رنگ پريدگي آينه هاي جانبي - لاستيكها كاركرده و متفرقه - شكستگي چراغ هاي عقب - كسري آچارچرخ و آنتن و يكعدد سوئيچ - ( ايرادات غير قابل ريورك مطابق استاندارد كارخانه )</t>
  </si>
  <si>
    <t>شماره بدنه: MH651594</t>
  </si>
  <si>
    <t>NF236299</t>
  </si>
  <si>
    <t>147H0666894</t>
  </si>
  <si>
    <t>خط و خش و قري و كسري هاي ظاهري به رؤيت مشتري مي باشد - تصادفي بودن بكسل بند جلو - كسري درب باك فلزي و جك و آچارچرخ - زاپاس كاركرده و پنچر و متفرقه - خراشيدگي سپر جلو - خوردگي گلگير جلو راست - خرابي دستگيره درب عقب راست - خش درب صندوق - باز بودن موكت داخل صندوق پشت گلگير عقب چپ - قري و خش دربهاي راست آچارخوردگي پيچ هاي گلگير جلو راست ( تعويضي كارخانه ) - قري و خش دربهاي چپ - قري درب موتور - كسري درب جعبه فيوز - درب عقب راست باز نميشود - دفرمگي و آسيب ديدگي محور عرضي شاسي جلو - زيرپايي ها مستعمل - لاستيكها كاركرده - شكستگي چراغ عقب راست - موكت صندوق مستعمل - باطري مستعمل و متفرقه - شكستگي سيني زير موتور و قفل درب جعبه كنسول وسط - كسري بكسل بند جلو - خوردگي سپرها - شكستگي دريچه كولر وسط داشبورد - ( ايرادات غير قابل ريورك مطابق استاندارد كارخانه )</t>
  </si>
  <si>
    <t>شماره بدنه: NF236299</t>
  </si>
  <si>
    <t>MF084823</t>
  </si>
  <si>
    <t>147H0622100</t>
  </si>
  <si>
    <t>خط و خش و قري و كسري هاي ظاهري به رؤيت مشتري مي باشد - ماندگاري بالا و افت مدل - ايراد رنگي بدنه - خوردگي گلگير جلو چپ و گلگير عقب راست و درب جلو چپ - كسري درب جعبه فيوز - چراغ ايربگ روشن - عدم عملكرد تنظيم صندلي جلو راست - قري گلگير جلو راست - زاپاس پنچر - جاسيگاري شكسته - قري درب موتور - كسري درپوش گاز كولر - آچارخوردگي پيچ هاي درب موتور و گلگير جلو چپ ( تعويضي كارخانه ) - قري درب عقب راست و درب عقب چپ و رب صندوق - دفرمگي درب موتور و گلگير جلو چپ - خش سپرها و بال درب صندوق - كسري درب مخزن روغن ترمز و يكعدد سوئيچ و فندك - آچارچرخ كاركرده - زاپاس پنچر و كاركرده - مغايرت سوئيچ با قفل درب ها - ( ايرادات غير قابل ريورك مطابق استاندارد كارخانه )</t>
  </si>
  <si>
    <t>شماره بدنه: MF084823</t>
  </si>
  <si>
    <t>NF155729</t>
  </si>
  <si>
    <t>147H0634490</t>
  </si>
  <si>
    <t>خط و خش و قري و كسري هاي ظاهري به رؤيت مشتري مي باشد - ايراد رنگي بدنه - خوردگي كف صندوق - دفرمگي جاي بكسل بند عقب - خش سپرها و ركاب راست - كسري دو عدد قالپاق - آچارخوردگي پيچ هاي درب موتور ( تعويضي كارخانه ) - قري درب عقب راست و درب جلو چپ - خوردگي درب موتور و گلگير عقب راست - خش عميق و قري درب صندوق - قري دربها - كسري يكعدد سوئيچ و جك و آچارچرخ - لاستيكهاي زيرپايي مستعمل - لاستيكها كاركرده - - ( ايرادات غير قابل ريورك مطابق استاندارد كارخانه )</t>
  </si>
  <si>
    <t>شماره بدنه: NF155729</t>
  </si>
  <si>
    <t>هايما S5 توربو اتوماتيك کلاس 1 مشكي متاليك (آبنوس)</t>
  </si>
  <si>
    <t>MY030310</t>
  </si>
  <si>
    <t>GN15TF0B500045A</t>
  </si>
  <si>
    <t>خط و خش و قري و كسري هاي ظاهري به رؤيت مشتري مي باشد - ماندگاري بالا و افت مدل - استارت ميخورد ولي روشن نمي شود - عدم تست فني خودرو - باطري مستعمل و دشارژ - كسري فندك و زيرپايي ها - تيغه برف پاك كن مستعمل - خش آينه جانبي چپ - لاستيكها كاركرده - قري و خش درب عقب راست - خش گلگير عقب چپ - سائيدگي رنگ درب جلو چپ - كسري درب جعبه فيوز و ميل جك چرخ و جاسيگاري و ليوان و ضربگير موتور - سوراخ بودن جاي پلاك - رنگ پريدگي و قري درب عقب راست - خش سپر جلو و درب موتور و گلگيرهاي عقب - رنگ پريدگي دستگيره درب جلو راست و لبه درب جلو راست - رنگ پريدگي و خش و قري دربهاي چپ و خش گلگير جلو چپ - ( ايرادات غير قابل ريورك مطابق استاندارد كارخانه )</t>
  </si>
  <si>
    <t>شماره بدنه: MY030310</t>
  </si>
  <si>
    <t>NF164873</t>
  </si>
  <si>
    <t>147H0646333</t>
  </si>
  <si>
    <t>خط و خش و قري و كسري هاي ظاهري به رؤيت مشتري مي باشد - ايراد رنگي بدنه - كسري قاب روي موتور - ايراد رنگي سقف - خش سپر جلو - تصادفي بودن گلگير جلو و درب جلو راست و گلگير عقب و ركاب راست و درب عقب راست - زاپاس كاركرده و پنچر و با چرخ جلو راست تعويض شده - شكستگي قفل درب كنسول وسط - خوردگي سپر جلو و كف صندوق - خش درب صندوق - خراب بودن مانيتور - كسري يك عدد سوئيچ - زيرپايي ها مستعمل - كسري يك عدد لوگوي وسط رينگ - لاستيكها كاركرده - كسري جك و آچارچرخ و شبرنگ - خراب بودن برف پاك كن - ( ايرادات غير قابل ريورك مطابق استاندارد كارخانه )</t>
  </si>
  <si>
    <t>شماره بدنه: NF164873</t>
  </si>
  <si>
    <t>MD920001</t>
  </si>
  <si>
    <t>187B0000315</t>
  </si>
  <si>
    <t>خط و خش و قري و كسري هاي ظاهري به رؤيت مشتري مي باشد - خودرو تستي و سري اول توليد مي باشد - ماندگاري بالا و افت مدل - خوردگي درب موتور - خراشيدگي سپر عقب - كسري قاب آينه ها - مغايرت رينگ و لاستيكهاي عقب - خراب بودن سانروف - آچارخوردگي پيچ هاي درب موتور ( تعويضي كارخانه ) - ترك مه شكن جلو راست - كسري آرم گلگير جلو راست و خراشيدگي سپر جلو و دستگيره درب جلو راست - خراب بودن جك درب صندوق و كسري قاب هاي آن - كسري پك صندوق - خش گلگير جلو راست و درب جلو چپ - رنگ پريدگي كلاف درب جلو چپ ( ضربه خورده ) - كليه چراغ هاي پشت آمپر روشن - كسري كليد بالابر چپ و درب جعبه فيوز و كوركن قاب دنده و جعبه كنسول وسط - باطري مستعمل و متفرقه - كسري يك عدد سوئيچ - آنتن متفرقه - لاستيكها كاركرده - كسري شبرنگ - ( ايرادات غير قابل ريورك مطابق استاندارد كارخانه )</t>
  </si>
  <si>
    <t>شماره بدنه: MD920001</t>
  </si>
  <si>
    <t>NF168811</t>
  </si>
  <si>
    <t>147H0653093</t>
  </si>
  <si>
    <t>خط و خش و قري و كسري هاي ظاهري به رؤيت مشتري مي باشد - تصادفي بودن سپر جلو - كسري چراغ جلو راست و مه شكن ها - تصادفي بودن گلگير جلو راست و شكستگي جلو پنجره و تصادفي بودن سيني فن رادياتها - خش درب موتور - خوردگي ركاب راست و خش عميق درب صندوق و ول بودن اگزوز ( از جا درآمده ) - خش عميق گلگير جلو چپ - خش و رنگ پريدگي درب جلو چپ و بسته نشدن كامل درب راننده - سائيدگي گلگير عقب چپ - خوردگي سپر عقب و خش گلگير عقب راست و درب عقب راست و شكستگي پايه چراغ جلو چپ - باطري مستعمل و متفرقه - شكستگي سيني زير موتور - زيرپايي ها و تيغه برف پاك كن و موكت صندوق مستعمل - كسري قاب برف پاك كن چپ و آنتن - لاستيكها كاركرده و متفرقه - زاپاس كاركرده و پنچر - ( ايرادات غير قابل ريورك مطابق استاندارد كارخانه )</t>
  </si>
  <si>
    <t>شماره بدنه: NF168811</t>
  </si>
  <si>
    <t>NY071408</t>
  </si>
  <si>
    <t>GN15TF21000168A</t>
  </si>
  <si>
    <t>خط و خش و قري و كسري هاي ظاهري به رؤيت مشتري مي باشد - خودرو تحت تست بوده است - خش سپر عقب - قري درب موتور - رنگ پريدگي لبه درب جلو راست و چپ - كسري زيرپايي ها - ( ايرادات غير قابل ريورك مطابق استاندارد كارخانه )</t>
  </si>
  <si>
    <t>شماره بدنه: NY071408</t>
  </si>
  <si>
    <t>NY060084</t>
  </si>
  <si>
    <t>484QT10003423A</t>
  </si>
  <si>
    <t>خط و خش و قري و كسري هاي ظاهري به رؤيت مشتري مي باشد - كسري زيرپايي ها - لاستيكها كاركرده - خودرو تحت تست بوده است - ايراد رنگي سقف - بازنشدن درب صندوق - ( ايرادات غير قابل ريورك مطابق استاندارد كارخانه )</t>
  </si>
  <si>
    <t>شماره بدنه: NY060084</t>
  </si>
  <si>
    <t>پژو 206 1600 سي سي كلاس18 سفيد دو پوششه</t>
  </si>
  <si>
    <t>KJ351501</t>
  </si>
  <si>
    <t>167B0068396</t>
  </si>
  <si>
    <t>خط و خش و قري و كسري هاي ظاهري به رؤيت مشتري مي باشد - ماندگاري بالا و افت مدل - كسري دو عدد سوئيچ و آنتن و راديوپخش - شكستگي داشبورد - كسري آينه چپ و باطري - قري گلگيرها و درب جلو راست - قري و رنگ پريدگي و زنگ زدگي درب موتور - كنده شدن درب و جعبه داشبورد - خوردگي درب جلو راست - كسري ناخني درب جلو راست - قري گلگير عقب و درب عقب راست - خش ستون جلو چپ - رنگ پريدگي سپر جلو - خش سپر عقب و گلگير عقب چپ و خوردگي گلگير جلو چپ - قري و خش درب جلو چپ - ايراد رنگي بدنه - تركيدگي لاستيكها - كسري راديوپخش و قالپاق ها و شبرنگ - زيرپايي ها و تيغه برف پاك كن و جك و آچارچرخ و موكت صندوق مستعمل - لاستيكها مستعمل و متفرقه و مغاير - زاپاس مستعمل و متفرقه و مغاير و تركيده ( ايرادات غير قابل ريورك مطابق استاندارد كارخانه ) - آينه چپ ندارد - قالپاق ندارد</t>
  </si>
  <si>
    <t>کد کلاس: 26818</t>
  </si>
  <si>
    <t>شماره بدنه: KJ351501</t>
  </si>
  <si>
    <t>MD920021</t>
  </si>
  <si>
    <t>187B0000620</t>
  </si>
  <si>
    <t>خط و خش و قري و كسري هاي ظاهري به رؤيت مشتري مي باشد - ماندگاري بالا و افت مدل - خودرو تحت تست بوده است ( سري اول توليد ) - خودرو روشن نميوشد ( عدم تست فني خودرو ) - زنگ زدگي داخل رينگها - خوردگي سپر جلو و گلگير جلو چپ - قري و رنگ پريدگي درب جلو چپ - خش درب عقب چپ و رنگ پريدگي گلگير عقب چپ - خش درب صندوق - رنگ پريدگي گلگير عقب راست و دربهاي راست و لبه درب موتور - كسري نوار دور درب عقب چپ - شكستگي قاب دور كليد شيشه بالابرهاي درب راننده و شكستگي جعبه كنسول وسط - باز بودن اي سي يو داخل داشبورد - متفرقه بودن قاب جلو دنده و كسري خار جلو دنده - شكستگي قاب روي رودري درب راننده - خش رودري راننده - كسري قاب دور كنسول وسط - كسري درب روغن ترمز و فندك - باطري مستعمل و متفرقه و دشارژ - تيغه برف پاك كن مستعمل - رنگ پريدگي آينه راست - لاستيكها كاركرده - خش چراغ عقب چپ - شكستگي تيغه سوئيچ - ( ايرادات غير قابل ريورك مطابق استاندارد كارخانه )</t>
  </si>
  <si>
    <t>شماره بدنه: MD920021</t>
  </si>
  <si>
    <t>NF164902</t>
  </si>
  <si>
    <t>147H0643394</t>
  </si>
  <si>
    <t>خط و خش و قري و كسري هاي ظاهري به رؤيت مشتري مي باشد - ايراد رنگي بدنه - زدگي داشبورد و درب داشبورد - شكستگي مه شكن عقب چپ - خراشيدگي سقف - رنگ پريدگي و قري دربهاي جلو و درب موتور و درب عقب راست و درب عقب چپ - كسري يك عدد سوئيچ - آچارخوردگي پيچ هاي گلگيرهاي جلو ( تعويضي كارخانه ) - خوردگي سپرها - تصادفي بودن گلگيرهاي جلو - شكستگي جاسيگاري جلو - كسري درب جعبه فيوز و فندك - خش درب صندوق - كسري بكسل بند - تصادفي بودن تقويت عرضي كنار بكسل بند و شاسي راست و بكسل بند - درب عقب چپ تعويضي كارخانه - كسري قاب روي سرباطري مثبت - تيغه برف پاك كن مستعمل - لاستيكها كاركرده - شكستگي چراغ عقب - مغاير بودن درب باك - كسري جك و آچارچرخ - ( ايرادات غير قابل ريورك مطابق استاندارد كارخانه )</t>
  </si>
  <si>
    <t>شماره بدنه: NF164902</t>
  </si>
  <si>
    <t>MD920055</t>
  </si>
  <si>
    <t>187B0003549</t>
  </si>
  <si>
    <t>خط و خش و قري و كسري هاي ظاهري به رؤيت مشتري مي باشد - ماندگاري بالا و افت مدل - خودرو پروژه اي ( سري اول توليد ) - شكستگي سپر جلو - كسري قالپاقها - لاستيك جلو راست تعويضي با زاپاس ( زاپاس كاركرده و پنچر ) - كسري درب جعبه فيوز و نوار دور شيشه درب راننده و قاب باند روي داشبورد و ليوان - خراب بودن جك درب صندوق - آچارخوردگي پيچ هاي درب موتور ( تعويضي كارخانه ) - روشن بودن چراغ هاي پشت آمپر ( چك و سرويس و اي بي اس و... ) - كسري آنتن - لاستيكها كاركرده - شكستگي سپر جلو و آينه راست - ( ايرادات غير قابل ريورك مطابق استاندارد كارخانه )</t>
  </si>
  <si>
    <t>شماره بدنه: MD920055</t>
  </si>
  <si>
    <t>MF081376</t>
  </si>
  <si>
    <t>147H0615144</t>
  </si>
  <si>
    <t>خط و خش و قري و كسري هاي ظاهري به رؤيت مشتري مي باشد - ماندگاري بالا و افت - ايراد رنگي سقف و درب موتور - درب موتور تعويضي كارخانه - تصادفي سپر جلو - عدم جذب ضربگير درب جلو چپ - جذب نبودن ضربگيرها - لاستيكها كاركرده - كسري جك و آچارچرخ - زاپاس كاركرده و متفرقه و پنچر - ( ايرادات غير قابل ريورك مطابق استاندارد كارخانه )</t>
  </si>
  <si>
    <t>شماره بدنه: MF081376</t>
  </si>
  <si>
    <t>سمند معمولي نقره اي متاليك</t>
  </si>
  <si>
    <t>خودرو اوراقي مي باشد و كليه فرآيندهاي اوراق مانند مخدوش نمودن حك شاسي و حك موتور و سوراخ كردن بلوكه سيلندرو بريدن ستونها و پرس كردن سقف و... بر روي آن انجام شده است ، اين خودرو بدون پلاك و بيمه و اسناد تحويل داده خواهد شد و برنده موظف به ارائه تعهدنامه محضري مبني بر استفاده از قطعات منفصله خواهد بود - خوردگي كف صندوق و سپرها - خش گلگير جلو چپ و رنگ پريدگي ركاب چپ - خش درب عقب چپ و رنگ پريدگي گلگير عقب چپ - خوردگي درب موتور و درب صندوق و سقف و گلگير عقب راست - قري و خش درب عقب راست و درب جلو راست - كسري زه سپر عقب و آرم درب صندوق و گلگير جلو راست و قاب دور دستگيره هاي دربهاي جلو و چراغ سقف جلو و دكمه شيشه بالابرهاي دربهاي راست و قاب وسط داشبورد و جعبه داشبورد - شكستگي درب داشبورد و دريچه كولر سمت چپ و قاب پيچ هاي رودريهاي جلو و قفل كن جعبه كنسول وسط - خوردگي بكسل بندها - كسري درب مخزن شيشه شور و فيوزهاي داخل موتور و لقمه اي درب موتور و درپوش كولر و بعضي از قطعات موتوري - باطري دشارژ - كسري اي سي يو و سنسور هوا و فندك و آنتن و جك و آچارچرخ و موكت صندوق - تيغه برف پاك كن مستعمل - رنگ پريدگي آينه هاي جانبي - شكستگي دو عدد قالپاق - لاستيكها و زاپاس و شبرنگ مستعمل</t>
  </si>
  <si>
    <t>X7</t>
  </si>
  <si>
    <t>کد کلاس: 0</t>
  </si>
  <si>
    <t>شماره بدنه: 82229876</t>
  </si>
  <si>
    <t>FE060001</t>
  </si>
  <si>
    <t>147h0142224</t>
  </si>
  <si>
    <t>خودرو اوراقي مي باشد و كليه فرآيندهاي اوراق مانند مخدوش نمودن حك شاسي و حك موتور و سوراخ كردن بلوكه سيلندرو بريدن ستونها و پرس كردن سقف و... بر روي آن انجام شده است ، اين خودرو بدون پلاك و بيمه و اسناد تحويل داده خواهد شد و برنده موظف به ارائه تعهدنامه محضري مبني بر استفاده از قطعات منفصله خواهد بود - عدم تست فني خودرو - كسري مجموعه غربيلك فرمان و كليد تنظيم صندلي راننده - تصادف گلگير عقب چپ - لاستيكا مستعمل - قري و رنگ پريدگي درب عقب چپ - كسري ليوان و دكمه هاي تنظيم صندلي راننده - كسري قاب و توري درب جلو راست و آينه وسط - خرابي آفتاب گيرها و درپوش سانروف - خرابي محل نصب آنتن روي سقف - كسري دوربين عقب و درپوش گاز كولر - سوراخ بودن سقف - آچارخرودگي پيچ هاي درب موتور و گلگيرهاي جلو - خوردگي سپر جلو - خش و رنگئ پريدگي دربهاي راست - رنگ پريدگي درب موتور - خش سپر عقب - رنگ پريدگي درب صندوق و گلگير جلو و درب جلو چپ و لبه درب متور - باطري مستعمل - سيني زير موتور و سوئيچ و فندك و لاستيكها زيرپايي ندارد - تيغه هاي برف پاك ك ن ندارد - خوردگي رينگها و كسري لوگوي وسط رينگ - مغاير بودن لاستيكها - جك و آچارچرخ و شرنگ ندارد - زاپاس مستعمل</t>
  </si>
  <si>
    <t>شماره بدنه: FE060001</t>
  </si>
  <si>
    <t>JE010006</t>
  </si>
  <si>
    <t>147H0378960</t>
  </si>
  <si>
    <t>خودرو اوراقي مي باشد و كليه فرآيندهاي اوراق مانند مخدوش نمودن حك شاسي و حك موتور و سوراخ كردن بلوكه سيلندرو بريدن ستونها و پرس كردن سقف و... بر روي آن انجام شده است ، اين خودرو بدون پلاك و بيمه و اسناد تحويل داده خواهد شد و برنده موظف به ارائه تعهدنامه محضري مبني بر استفاده از قطعات منفصله خواهد بود - قري درب شاگرد - رنگ پريدگي سپر جلو - باطري مستعمل - فرسودگي اقلام پليمري - كسري دسته سيم موتور و لوله و قاب دستگيره درب راننده - آچارخوردگي پيچ هاي گلگيرهاي جلو - كسري ليوان و خارجلو دنده و پمپ بنزين و مجموعه كامل هواكش و شمع ها و وايرها و قاب روي موتور و راديات و مجموعه كامل فن و سيني فن و تسمه ها و لوله هاي كولر و شيلنگ ها و سوكت ها و سيم پيچي ها و لوله هاي رادياتها و چدني روي اگزوز و قاب كمك فنر و بسياري از قطعات موتوري - خوردگي رادياتها و سپر جلو و سيني زير رادياتها و درب جلو راست - خش درب عقب راست و گلگير عقب راست و خوردگي سپر عقب و درب صندوق - خش و رنگ پريدگي دربهاي چپ - كسري درب راديات و درب روغن هيدروليك و باطري و اي سي يوها - سيني زير موتور و يك عدد سوئيچ و فندك - رنگ پريدگي جلو پنجره - تيغه برف پاك كن مستعمل - خوردگي رينگ اسپرت - لاستيكها مستعمل و متفرقه - شكستگي چراغ هاي عقب - جك و آچارچرخ مستعمل - زاپاس مستعمل و تركيده</t>
  </si>
  <si>
    <t>شماره بدنه: JE010006</t>
  </si>
  <si>
    <t>JE015006</t>
  </si>
  <si>
    <t>153H0007414</t>
  </si>
  <si>
    <t>خودرو اوراقي مي باشد و كليه فرآيندهاي اوراق مانند مخدوش نمودن حك شاسي و حك موتور و سوراخ كردن بلوكه سيلندرو بريدن ستونها و پرس كردن سقف و... بر روي آن انجام شده است ، اين خودرو بدون پلاك و بيمه و اسناد تحويل داده خواهد شد و برنده موظف به ارائه تعهدنامه محضري مبني بر استفاده از قطعات منفصله خواهد بود - عدم تست فني خودرو - لاستيكها كاركرده و مستعمل - پوسته شدن چراغها - كسري كوئل و قاب روي موتور و باطري و دسته دنده - باز بودن فرمان و رودري درب راننده و صندلي عقب - باز بودن سيم كشي زير فرمان - شكستگي دريچه وسط صندلي عقب - باز بودن كنسول وسط - شكستگي محل قرارگيري دنده - كسري كشويي وسط كنسول - شكستگي درب داشبورد - كسري قاب دور فرمان و داشبورد و برخي از قطعات و متعلقات آن - كسري درب جعبه فيوز و دكمه تنظيم صندلي جلو چپ - كسري و شكستگي بسياري از قطعات موتوري و محوطه موتور - خوردگي رادياتورها و سپرها - خش و رنگ پريدگي دربهاي چپ و ركاب چپ - خش درب صندوق - رنگ پريدگي ركاب راست - خش و رنگ پريدگي درب موتور - كسري ميله درب موتور و خراب بودن قفل درب صندوق - اي سي يو ندارد - سنسور هوا ندارد - سيني زير موتور و يكعدد سوئيچ ندارد - فندك و لاستيكهاي زيرپايي ندارد - تيغه برف پاك ك ن ها مستعمل - خوردگي رينگها _ كسري لوگوي وسط رينگه ) - كسري جك و آچارچرخ</t>
  </si>
  <si>
    <t>شماره بدنه: JE015006</t>
  </si>
  <si>
    <t>HE461543</t>
  </si>
  <si>
    <t>147H0279443</t>
  </si>
  <si>
    <t>خودرو اوراقي مي باشد و كليه فرآيندهاي اوراق مانند مخدوش نمودن حك شاسي و حك موتور و سوراخ كردن بلوكه سيلندرو بريدن ستونها و پرس كردن سقف و... بر روي آن انجام شده است ، اين خودرو بدون پلاك و بيمه و اسناد تحويل داده خواهد شد و برنده موظف به ارائه تعهدنامه محضري مبني بر استفاده از قطعات منفصله خواهد بود - عدم تست فني خودرو - قري و خوردگي درب عقب راست و شاسي عقب راست - فرسودگي لاستيكها و اقلام پليمري - شكستگي قاب آينه چپ و چراغ عقب راست و سپر جلو - مستعمل بودن تيغه هاي برف پاك ك ن - باطري دشارژ - كسري ليوان و قاب پشت آينه ها و قاب روي برف پاك ك ن - موتور خودرو جا خورده و به بعضي از قطعات آسيب وارد شده - خوردگي گلگير عقب راست - خش و رنگ پريدگي درب صندوق - قري ركاب راست و درب جلو چپ و درب عقب چپ و خوردگي ركاب چپ - زنگ زدگي بعضي نقاط بدنه - خوردگي كف صندوق - شكستگي دستگيره درب راننده از داخل - سوئيچ ندارد - فندك ندارد - لاستيكهاي كف پايي جلو ندارد - آينه راست شكسته - آنتن ندارد - خوردگي رينگها و كسري لوگوي وسط رينگها - لاستيكها كاركرده و مستعمل - چراغ عقب راست شكسته - فاقد جك و آچارچرخ و زاپاس مي باشد</t>
  </si>
  <si>
    <t>شماره بدنه: HE461543</t>
  </si>
  <si>
    <t>HJ476264</t>
  </si>
  <si>
    <t>177B0000185</t>
  </si>
  <si>
    <t>خودرو اوراقي مي باشد و كليه فرآيندهاي اوراق مانند مخدوش نمودن حك شاسي و حك موتور و سوراخ كردن بلوكه سيلندرو بريدن ستونها و پرس كردن سقف و... بر روي آن انجام شده است ، اين خودرو بدون پلاك و بيمه و اسناد تحويل داده خواهد شد و برنده موظف به ارائه تعهدنامه محضري مبني بر استفاده از قطعات منفصله خواهد بود - خرابي جك درب صندوق - فرسودگي رودري درب شاگرد - كسري روغن ترمز - لاستيك ها كار كرده - باطري دشارژ - كسري قاب آينه بغل چپ و قاب روي داشبورد و درپوش درب باك و آنتن و هواكش موتور - فاقد نمايشگر روي داشبورد - كسري جاسيگاري و قاب كنار ترمز دستي و فيوزها و قاب دور دستگيره درب جلو راست و دكمه بغل فرمان و سردنده و ناخني درب جلو راست و دستگيره درب موتور - خوردگي گلگير جلو چپ و درب موتور و گلگير عقب چپ - خش و رنگ پريدگي دربهاي چپ - خش سپر عقب و فلاپ عقب - خش و قري درب عقب راست - خش درب جلو راست - خوردگي گلگير جلو راست و خش ركابها - كسري درب راديات و درب روغن هيدروليك و يك عدد اي سي يو و دو عدد سوئيچ و فندك و يك عدد زيرپايي جلو و زيرسري عقب و جك و آچارچرخ و زاپاس و موكت صندوق - خوردگي سيني زير موتور - خش جلو پنجره - تيغه برف پاك كن مستعمل - رينگ اسپرت مستعمل و خوردگي دارد و كسري لوگوي وسط رينگ - لاستيكها متفرقه و مغاير و مستعمل - تيغه برف پاك كن عقب مستعمل - شبرنگ مستعمل و متفرقه</t>
  </si>
  <si>
    <t>شماره بدنه: HJ476264</t>
  </si>
  <si>
    <t>MF087684</t>
  </si>
  <si>
    <t>147H0623091</t>
  </si>
  <si>
    <t>خط و خش و قري و كسري هاي ظاهري به رؤيت مشتري مي باشد - تصادفي بودن سپر عقب و جلو و گلگيرها و دربهاي راست و گلگيرهاي چپ - لاستيكها مستعمل و متفرقه و پنچر - هواكش داخل موتور شكسته - شكستگي جاسيگاري جلو - كسري درب جعبه فيوز - آچارخوردگي پيچ هاي درب موتور و گلگيرهاي جلو ( تعويضي كارخانه ) - كسري درپوش كولر - رنگ پريدگي دربهاي چپ - كسري بكسل بند جلو - خوردگي تقويت عرضي جلو و دور بكسل بند جلو - كسري شلگير جلو راست - ماندگاري بالا و افت مدل - تصادفي بودن شاسي جلو و كف صندوق - خودرو استارت ميخورد روشن نميشود - باطري و نمدي درب موتور و زيرپايي ها و تيغه برف پاك كن و موكت صندوق مستعمل - شكستگي سيني زير موتور - رنگ پريدگي آينه جانبي راست - خش چراغ عقب چپ - ايراد رنگي درب باك - زاپاس كاركرده - ( ايرادات غير قابل ريورك مطابق استاندارد كارخانه )</t>
  </si>
  <si>
    <t>شماره بدنه: MF087684</t>
  </si>
  <si>
    <t>ND934962</t>
  </si>
  <si>
    <t>187B0015422</t>
  </si>
  <si>
    <t>خط و خش و قري و كسري هاي ظاهري به رؤيت مشتري مي باشد - تصادف گلگيرها و دربهاي راست و گلگير جلو و درب جلو چپ و درب عقب چپ و گلگير عقب چپ - شكستگي آينه ها ( و كسري ) - شكستگي شيشه درب راننده - تصادف ركاب راست - زاپاس پنچر وكاركرده - كسري ليوان - خش درب صندوق - مغايرت رينگ چرخ جلو راست - كسري بكسل بند داخل صندوق - كسري دو عدد قالپاق - تصادف سپرجلو و جلوپنجره - سائيدگي سپر عقب - كسري آينه وسط - خش ركاب چپ و درب موتور و سپرها - كسري فندك - لاستيكهاي زير پايي و زاپاس و موكت كف صندوق مستعمل - لاستيكها كاركرده - زاپاس مستعمل و متفرقه - شبرنگ مستعمل - كسري آنتن - ( ايرادات غير قابل ريورك مطابق استاندارد كارخانه )</t>
  </si>
  <si>
    <t>شماره بدنه: ND934962</t>
  </si>
  <si>
    <t>MF086127</t>
  </si>
  <si>
    <t>147H0621182</t>
  </si>
  <si>
    <t>خط و خش و قري و كسري هاي ظاهري به رؤيت مشتري مي باشد - تصادفي بودن سپر عقب و گلگير جلو و عقب چپ - كسري قاب آينه هاي بغل - قري و خش درب جلو راست - رنگ پريدگي سپر جلو - قري درب عقب راست - خش و قري درب موتور - كسري درپوش كولر - خش درب صندوق - كسري آنتن - شكستگي زير سيگاري - كسري يك عدد سوئيچ و درب جعبه فيوز و قاب آينه ها - ماندگاري بالا و افت مدل - كيلومتر واقعي نيست ( خراب مي باشد ) - بسته نشدن كامل درب جلو راست - ايراد رنگي نقاطي از بدنه - كلاچ سفت ميباشد ( ديسك و صفحه كلاچ ضعيف است ) - چراغ آچار روشن - دكمه تنظيم صندلي راننده خراب - خش عميق و رنگ پريدگي درب صندوق - آچار خوردگي پيچ هاي درب موتور و گلگير جلو چپ ( تعويضي كارخانه ) - خوردگي ركاب چپ - رنگ پريدگي دربهاي چپ - خش گلگير عقب راست - قري و رنگ پريدگي درب عقب راست - رنگ پريدگي درب جلو راست - باطري مستعمل و متفرقه - نمدي درب موتور و زيرپايي ها و تيغه برف پاك كن و موكت صندوق مستعمل - لاستيكها كاركرده و متفرقه و لاستيكهاي عقب پنچر - زاپاس كاركرده و متفرقه و پنچر و كسري لوگوي وسط رينگ - گسري شبرنگ - ( ايرادات غير قابل ريورك مطابق استاندارد كارخانه )</t>
  </si>
  <si>
    <t>شماره بدنه: MF086127</t>
  </si>
  <si>
    <t>NH869274</t>
  </si>
  <si>
    <t>139B0274129</t>
  </si>
  <si>
    <t>خط و خش و قري و كسري هاي ظاهري به رؤيت مشتري مي باشد - شكستگي سپر جلو و جلوپنجره - خوردگي گلگير جلو چپ - خوردگي گلگيرهاي عقب - كسري درب باك - شكستگي چراغ عقب راست و سپر عقب - خوردگي دربهاي راست - قري گلگيرهاي جلو و سقف - خوردگي ركابها - كسري يك عدد سوئيچ - شكستگي آينه بغل و درب جعبه فيوز - سائيدگي قالپاق ها - خرابي زيرپايي ها و رودري ها - خوردگي صندوق عقب - شكستگي مه شكن جلو راست - آچارخوردگي پيچ هاي درب موتور و گلگير جلو راست و درب صندوق ( تعويضي كارخانه ) - پارگي زيرپايي جلو - شكستگي قاب قفل صندلي كودك روي طاقچه عقب - خوردگي كف صندوق - شكستگي درب جعبه كنسول وسط - كسري جاسيگاري عقب و درپوش رم - سيستم برقي خودرو ايراد دارد - پدال گاز ول مي باشد - دنده جا مي رود ولي خودرو قابليت حركت ندارد - شكستگي قاب دكمه تنظيم صندلي جلو راست - صندليها و داشبورد و رودري ها مستعمل و زدگي و پارگي دارد - قري دربهاي چپ - كسري لامپ روي پلاك عقب - رنگ پريدگي بكسل بند جلو - خوردگي بكسل بند عقب - كسري مه شكن جلو چپ - چراغ چك روشن - كسري فيوزهاي داخل اتاق و درب جعبه فيوز داخل موتور - ديسك و صفحه كلاچ خراب مي باشد - كولر خراب - باطري مستعمل و دشارژ - خوردگي سيني زير موتور - كسري زيرپايي عقب - تيغه برف پاك كن مستعمل و شكسته و كسري قاب پشت برف پاك كن - كسري راهنماي آينه چپ و آنتن - لاستيك ها و زاپاس كاركرده و متفرقه - كسري دستگيره موكت صندوق - قري درب موتور - ( ايرادات غير قابل ريورك مطابق استاندارد كارخانه )</t>
  </si>
  <si>
    <t>شماره بدنه: NH869274</t>
  </si>
  <si>
    <t>MF914262</t>
  </si>
  <si>
    <t>147H0601505</t>
  </si>
  <si>
    <t>خط و خش و قري و كسري هاي ظاهري به رؤيت مشتري مي باشد - ماندگاري بالا و افت مدل - موتور خودرو بد كار مي كند - عدم عملكرد كليد تنظيم كولر و بخاري - كسري درب روغن ترمز - باطري مستعمل و دشارژ - كسري سيني زير موتور و آرم سوئيچ - زيرپايي ها و تيغه برف پاك كن و موكت صندوق مستعمل - شكستگي جلو پنجره - كسري آنتن - رينگ اسپرت متفرقه و مغاير - لاستيكها كاركرده و متفرقه - زاپاس كاركرده و پنچر - كسري شبرنگ - تصادفي بودن درب موتور و ركاب راست - خش گلگير جلو راست و درب صندوق و گلگير عقب راست و چپ و دربهاي راست - چراغ چك و ايربك روشن - كسري درپوش كولر و زبانه درب موتور - خوردگي سپر جلو - كندگي روكش فرمان - كسري دستگيره تنظيم كمربند راست و بكسل بند - شكستگي قفل درب جعبه كنسول وسط - كسري جاسيگاري عقب - رنگ پريدگي و قري و خش دربهاي چپ و گلگير عقب چپ و خش گلگير جلو چپ و خوردگي سپر عقب - و خش سقف و ستونها - خوردگي رادياتها - آچارخوردگي پيچ هاي درب موتور ( تعويضي كارخانه ) - كسري بكسل بند جلو - خوردگي تقويت عرضي و كنار بكسل بند جلو و سرشاسي جلو چپ و راست - ( ايرادات غير قابل ريورك مطابق استاندارد كارخانه )</t>
  </si>
  <si>
    <t>شماره بدنه: MF914262</t>
  </si>
  <si>
    <t>MD920018</t>
  </si>
  <si>
    <t>187B0000517</t>
  </si>
  <si>
    <t>خط و خش و قري و كسري هاي ظاهري به رؤيت مشتري مي باشد - ماندگاري بالا و افت مدل - خودرو تحت تست بوده است ( سري اول توليد ) - خش درب صندوق و گلگير عقب چپ و درب راننده و گلگيرهاي جلو - روشن ماندن چراغ هاي پشت آمپر - كسري درب جعبه فيوز و كوركن زير دنده - قري و رنگ پريدگي درب صندوق - تصادفي بودن درب عقب راست - قري گلگير عقب راست - عدم نصب اي سي يو داشبورد - شكستگي چراغ عقب چپ - سائيدگي سپر جلو - جانبودن قاب آينه جلو چپ - قري و رنگ پريدگي گلگير جلو راست و رنگ پريدگي كلاف راست - كسري زير پايي جلو چپ - كسري ميله بكسل بند - درب صندوق بسته نمي شود - كسري جك صندوق و قاب روي جك هاي درب صندوق - روشن بودن چراغ هاي پشت آمپر ( ايراد فني ) - خوردگي گلگير جلو راست و قري و رنگ پريدگي و خش درب موتور - شكستگي قاب زير پرف پاك كن - خش و قري و رنگ پريدگي دربها و گلگير عقب راست - رنگ پريدگي و خش سپر عقب و قري و رنگ پريدگي و خش درب صندوق و دربهاي چپ و گلگيرهاي چپ - خوردگي سپر جلو - آچارخوردگي پيچ هاي درب موتور ( تعويضي كارخانه ) - باز بودن هواكش و كسري پيچ هواكش - خوردگي پليت عقب و كسري قفل درب صندوق - سيستم گيربكس خراب مي باشد - كسري يك عدد سوئيچ - شكستگي قاب آينه چپ - كسري آنتن و رينگ - لاستيكها كاركرده و متفرقه - كسري قاب روي جكهاي درب صندوق و خرابي جكها - بازبودن نمدي و سيم كشي هاي درب صندوق - خودرو ايرادات فني و برقي متعدد دارد ( ايرادات غير قابل ريورك مطابق استاندارد كارخانه )</t>
  </si>
  <si>
    <t>شماره بدنه: MD920018</t>
  </si>
  <si>
    <t>دنا پلاس توربو شارژ کلاس8 مشكي متاليك</t>
  </si>
  <si>
    <t>NE491189</t>
  </si>
  <si>
    <t>153H0059412</t>
  </si>
  <si>
    <t>خط و خش و قري و كسري هاي ظاهري به رؤيت مشتري مي باشد - خودرو تحت تست بوده است - خراش و رنگ پريدگي گلگير جلو راست - كسري قاب روي موتور - ايراد رنگي درب موتور - كسري يكعدد توپي داخل رينگ و ليوان - رنگ پريدگي بكسل بند جلو - چراغ پشت آمپر روشن - لاستيكها كاركرده - ( ايرادات غير قابل ريورك مطابق استاندارد كارخانه )</t>
  </si>
  <si>
    <t>شماره بدنه: NE491189</t>
  </si>
  <si>
    <t>NY071406</t>
  </si>
  <si>
    <t>GN15TF21000160A</t>
  </si>
  <si>
    <t>خط و خش و قري و كسري هاي ظاهري به رؤيت مشتري مي باشد - خودرو تحت تست بوده است - كسري زيرپايي ها - لاستيكها كاركرده - شكستگي خار درب جعبه فيوز - كسري قاب باربند جلو راست - رنگ پريدگي درب جلو چپ - عدم نصب قاب بغل كنسول ( ايرادات غير قابل ريورك مطابق استاندارد كارخانه )</t>
  </si>
  <si>
    <t>شماره بدنه: NY071406</t>
  </si>
  <si>
    <t>NF150417</t>
  </si>
  <si>
    <t>147H0629094</t>
  </si>
  <si>
    <t>خط و خش و قري و كسري هاي ظاهري به رؤيت مشتري مي باشد - ايراد رنگي بدنه - رنگ پريدگي سپرها - كسري آرم روي قاب موتور - اثر ضربه روي گلگير هاي راست و دربهاي راست و ركاب جلو راست - رينگ چرخ عقب راست معمولي - شكستگي قفل درب كنسول وسط - خط گلگير عقب راست - شكستگي سوكت شلنگ بنزين داخل موتور - آچارخوردگي پيچ هاي درب موتور و گلگير جلو راست ( تعويضي كارخانه ) - كسري درب جعبه فيوز - قري گلگير جلو چپ - رنگ پريدگي زه درب راننده - كسري يكعد سوئيچ - لاستسكها زيرپايي مستعمل - لاستيكها كاركرده - كسري جك و آچارچرخ و زاپاس و شبرنگ - ( ايرادات غير قابل ريورك مطابق استاندارد كارخانه )</t>
  </si>
  <si>
    <t>شماره بدنه: NF150417</t>
  </si>
  <si>
    <t>NF152241</t>
  </si>
  <si>
    <t>147H0629302</t>
  </si>
  <si>
    <t>خط و خش و قري و كسري هاي ظاهري به رؤيت مشتري مي باشد - ايراد رنگي بدنه - ايراد رنگي سقف - تصادفي بودن بكسل بند جلو و گلگيرهاي جلو و درب جلو چپ - خش سپر عقب - قري درب موتور - خش درب موتور و گلگير عقب راست - چراغ چك روشن - خط و خش عميق درب عقب چپ و درب صندوق و گلگير عقب چپ - آچارخوردگي پيچ هاي درب موتور ( تعويضي كارخانه ) - خط و خش دربها و گلگيرها و درب موتور و سقف و سپرها - خرابي كليد تنظيم صندلي راست - لاستيكها و زاپاس كاركرده - ( ايرادات غير قابل ريورك مطابق استاندارد كارخانه )</t>
  </si>
  <si>
    <t>شماره بدنه: NF152241</t>
  </si>
  <si>
    <t>NF165104</t>
  </si>
  <si>
    <t>147H0647347</t>
  </si>
  <si>
    <t>خط و خش و قري و كسري هاي ظاهري به رؤيت مشتري مي باشد - تصادفي بودن گلگير جلو راست - قري دربهاي راست و درب عقب چپ - خوردگي گلگير عقب چپ - رنگ پريدگي سپر عقب - جانبودن سپر جلو - قري و رنگ پريدگي دربهاي چپ - خراب بودن دستگيره درب عقب چپ - جانبودن راهنماي گلگير جلو راست - آچارخوردگي پيچ هاي درب موتور و گلگيرهاي جلو ( تعويضي كارخانه ) - لاستيكها كاركرده -( ايرادات غير قابل ريورك مطابق استاندارد كارخانه )</t>
  </si>
  <si>
    <t>شماره بدنه: NF165104</t>
  </si>
  <si>
    <t>ND941241</t>
  </si>
  <si>
    <t>187B0011076</t>
  </si>
  <si>
    <t>خط و خش و قري و كسري هاي ظاهري به رؤيت مشتري مي باشد - خودرو تحت تست بوده است - كسري قاب بكسل بند جلو - لاستيكها كاركرده -( ايرادات غير قابل ريورك مطابق استاندارد كارخانه )</t>
  </si>
  <si>
    <t>شماره بدنه: ND941241</t>
  </si>
  <si>
    <t>MD920005</t>
  </si>
  <si>
    <t>187B0000411</t>
  </si>
  <si>
    <t>خط و خش و قري و كسري هاي ظاهري به رؤيت مشتري مي باشد - خودرو فاز پروژه و سري اول توليد مي باشد - ماندگاري بالا و افت مدل - عدم تست فني خودرو - قري درب عقب چپ و خش درب صندوق - كسري درپوش بكسل بند جلو و كنسول وسط و قاب زير فرمان و ايراد رنگي بدنه - كسري زبانه قفل بازكن درب موتور - خش چراغ جلو راست - رنگ شدگي پيچ هاي درب موتور ( تعويضي كارخانه ) - قري درب موتور - ايراد رنگي ستون عقب راست و درب عقب راست - قري و رنگ پريدگي درب جلو چپ و رنگ پريدگي گلگير عقب چپ - خش ركابها و كسري داشبورد و شكستگي درب داشبورد و جعبه فيوز داخل اتاق - كسري قاب روي سنسور شيشه جلو و باز بودن سيم پيچي هاي زير فرمان و كنسول وسط و زير داشبورد و كيت الكترونيكي داخل داشبورد باز مي باشد - كسري دكمه هاي دور قاب دنده و متفرقه بودن قاب دور دنده و قاب جك هاي درب صندوق و پك داخل صندوق - باز بودن سوكت پشت چراغ عقب چپ و باز بودن نمدي پشت چراغ هاي عقب - رنگ پريدگي گلگير جلو چپ - كسري فيوزهاي داخل موتور و اتاق و كسري درب جعبه فيوز داخل موتور - خرابي قفل درب موتور - قري و رنگ پريدگي درب عقب چپ - خش درب صندوق - رنگ پريدگي سپر عقب - خش و رنگ پريدگي دربهاي راست و گلگيرهاي راست - رنگ پريدگي ستون چپ - قفل شدن درب صندوق - باطري مستعمل و متفرقه و دشارژ - كسري سيني پلاك مشخصات خودرو و تيغه يك عدد سوئيچ و يك عدد سوئيچ - زيرپايي ها و تيغه برف پاك كن مستعمل - كسري قاب آينه راست - لاستيكها كاركرده - كسري شبرنگ - ( ايرادات غير قابل ريورك مطابق استاندارد كارخانه )</t>
  </si>
  <si>
    <t>شماره بدنه: MD920005</t>
  </si>
  <si>
    <t>NF150764</t>
  </si>
  <si>
    <t>147H0626072</t>
  </si>
  <si>
    <t>خط و خش و قري و كسري هاي ظاهري به رؤيت مشتري مي باشد - خوردگي سپر عقب و گلگير عقب چپ و درب موتور و سپر جلو - خش گلگير عقب راست - كسري درب روغن موتور و زاپاس - تصادفي بودن بكسل بند جلو ( آسيب ديدگي محور عرضي شاسي در محل اتصال بكسل بند ) - قري دربهاي عقب - قري و رنگ پريدگي درب عقب چپ - كسري درب جعبه فيوز - رنگ پريدگي لبه درب جلو راست - خش و قري درب عقب راست - خش عميق درب صندوق - باطري مستعمل و متفرقه - زيرپايي ها و تيغه برف پاك كن و موكت صندوق مستعمل - خش آينه هاي جانبي - ايراد رنگي درب باك - لاستيكها كاركرده و متفرقه و عقب چپ پنچر - ( ايرادات غير قابل ريورك مطابق استاندارد كارخانه )</t>
  </si>
  <si>
    <t>شماره بدنه: NF150764</t>
  </si>
  <si>
    <t>MF086329</t>
  </si>
  <si>
    <t>147H0621205</t>
  </si>
  <si>
    <t>خط و خش و قري و كسري هاي ظاهري به رؤيت مشتري مي باشد-ماندگاري بالاوافت مدل-تعويضي بودن درب موتوروگلگير جلوراست- تصادفي بودن سپرها-آچارخوردگي پيچهاي درب موتوروگلگيرهاي جلو(تعويضي كارخانه)-شكستگي قفل درب كنسول وسط-قري ورنگ پريدگي گلگيرعقب راست ودرب جلو راست-تصادفي بودن درب عقب راست-رنگ پريدگي زه ها-قري گلگيرجلوراست-شكستگي جاسيگاري جلووچراغ مه شكن جلوراست-تصادفي بودن گلگيرجلو چپ-عدم عملكرددكمه تنظيم صندليهاي جلو-تصادفي بودن درب جلو چپ ودرب صندوق-رنگ پريدگي گلگيرعقب چپ-قري ورنگ پريدگي دربهاي چپ-رنگ پريدگي درب موتور-كسري لوگوي وسط رينگ جلوراست-كنسول وسط ورودريها وصندليها وداشبوردوكنسول وسط زدگي وپارگي داردومستعمل است-رنگ پريدگي ركابها-خوردگي گلگيرجلوچپ ودرب جلوچپ ورنگ پريدگي بكسل بندجلو-خوردگي كف صندوق وبكسل بندعقب-خش چراغ جلو راست-كسري قاب پشت آينه راست-بازنشدن دربهاي عقب-خش ركابها-شكستگي دريچه وسط صندليهاي عقب وپايه جعبه فيوزداخل اتاق-كسري درب جعبه فيوزوفيوزهاي داخل اتاق - شكستگي قاب دكمه تنظيم صندلي راننده - موتور خودرو بد كار مي كند - كسري قاب روي كابل مثبت و باطري مستعمل و دشارژ - كسري يك عدد سوئيچ - زيرپايي ها و تيغه برف پاك كن و موكت صندوق مستعمل - شكستگي جلو پنجره - مغاير بودن رينگ جلو راست - لاستيكها مستعمل و متفرقه - شكستگي چراغ عقب راست و خش چراغ عقب چپ - مغاير بودن رنگ درب باك بدنه - كسري جك و آچارچرخ و زاپاس و شبرنگ - خراب بودن كولر و بخاري - ( ايرادات غير قابل ريورك مطابق استاندارد كارخانه )</t>
  </si>
  <si>
    <t>شماره بدنه: MF086329</t>
  </si>
  <si>
    <t>LK022650</t>
  </si>
  <si>
    <t>167B0094090</t>
  </si>
  <si>
    <t>خط و خش و قري و كسري هاي ظاهري به رؤيت مشتري مي باشد - عدم تست فني خودرو - كسري درپوش گاز كولر - آچارخوردگي پيچ هاي درب موتور و گلگير جلو راست و درب صندوق ( تعويضي كارخانه ) - كسري فنرهاي درب صندوق و نمدي پشت صندلي عقب از داخل صندوق - خوردگي كف صندوق - كسري قاب بكسل بند عقب و قاب طاقچه عقب و درپوش رم و فيوزهاي داخل اتاق و قاب پشت آينه ها و قاب دور ضبط و دريچه هاي وسط كولر - صندليها و رودريها و داشبورد و كنسول وسط مستعمل و زدگي و پارگي دارند - شكستگي درب كنسول وسط - باز بودن قاب چراغ داخل داشبورد و قاب وسط فرمان - دفرمه بودن قاب روي ايربك سمت راست ( مستعمل ) - كسري قاب دور ترمزدستي - باز بودن قاب دور كنسول وسط - خوردگي گلگير جلو راست و دربهاي راست و سپر جلو و رنگ پريدگي بكسل بند جلو - خش و زنگ زدگي و رنگ پريدگي و قري درب موتور - خش گلگير جلو چپ و خش و رنگ پريدگي درب عقب چپ و درب جلو چپ و سائيدگي و رنگ پريدگي سپر عقب - خش و قري و زنگ زدگي درب صندوق - زنگ زدگي نقاطي از بدنه - شكستگي ركاب راست - زنگ زدگي و رنگ پريدگي گلگير عقب چپ و خش سقف - دفرمه بودن زه دربها و جانبودن زه درب راننده - باطري مستعمل و دشارژ - زيرپايي ها و تيغه برف پاك كن و موكت صندوق مستعمل - رنگ پريدگي جلو پنجره - كسري قاب برف پاك كن چپ ودري روغن موتور - شكستگي آينه ها - مغاير بودن يك عدد قالپاق - لاستيكها مستعمل و متفرقه و پنچر - شكستگي درب باك فلزي - زاپاس مستعمل و پنچر و متفرقه - كسري آچارچرخ - كسري برخي قطعات موتوري و قطعات داخل اتاق - ( ايرادات غير قابل ريورك مطابق استاندارد كارخانه )</t>
  </si>
  <si>
    <t>شماره بدنه: LK022650</t>
  </si>
  <si>
    <t>NF236197</t>
  </si>
  <si>
    <t>147H0666435</t>
  </si>
  <si>
    <t>خط و خش و قري و كسري هاي ظاهري به رؤيت مشتري مي باشد - معيوب بودن سرباطري - رنگ پريدگي سپرها - قري و خش سقف - رنگ پريدگي و خش و قري درب عقب چپ و رنگ پريدگي و خش درب جلو چپ - تصادفي بودن درب عقب راست - كسري درب باك و درب جعبه فيوز - اثر ضربه روي سقف - كسري زه درب عقب راست و قاب روي بكسل بند عقب - صندليها و داشبورد و رودريها مستعمل و زدگي دارند - شكستگي قاب دكمه تنظيم صندلي راننده و پايه جعبه فيوز داخل اتاق - خش گلگير عقب چپ و قري و رنگ پريدگي درب جلو راست - خش ركابها - رنگ پريدگي گلگير عقب راست - خش عميق درب صندوق - باطري مستعمل و متفرقه - كسري يك عدد سوئيچ - زيرپايي ها و تيغه برف پاك كن مستعمل - خش آينه هاي جانبي - لاستيكها كاركرده و متفرقه - كسري شبرنگ -( ايرادات غير قابل ريورك مطابق استاندارد كارخانه )</t>
  </si>
  <si>
    <t>شماره بدنه: NF236197</t>
  </si>
  <si>
    <t>MD920002</t>
  </si>
  <si>
    <t>187B0000317</t>
  </si>
  <si>
    <t>خط و خش و قري و كسري هاي ظاهري به رؤيت مشتري مي باشد - ماندگاري بالا و افت مدل - خودروي پروژه اي و تستي ( سري اول توليد ) - قري ركاب چپ - كسري قاب بكسل بند جلو و رنگ پريدگي سپر عقب و كسري آنتن - خرابي جك درب صندوق - باطري دشارژ - كسري راهنماي روي گلگير جلو چپ - قري دربهاي راست - كسري قاب اي سي يو - عدم جذب ضربگير نوار دور شيشه درب جلو چپ و راست - كسري قاب روي موتور - رنگ پريدگي درب موتور و گلگير جلو راست - مغايرت رنگ قاب زير دنده - چراغ پشت آمپر روشن -خرابي قلب صندوق - كسري زبانه درب موتور - شكستگي چراغ عقب چپ - كسري قاب زير ترمزدستي - خش گلگير عقب و درب عقب راست - شكستگي دوربين عقب - قري دربهاي چپ - كسري پك شبرنگ و بكسل بند و نمدي پشت چراغ عقب چپ و جك هاي درب صندوق - چراغ چك و ايربك روشن - كسري خار جلو دنده و قاب سنسور پشت شيشه جلو - باز بودن سيم كنار كنسول وسط - لاستيكها كاركرده و متفرقه -كسري نمدي پشت چراغ عقب چپ - قاب دور دنده متفرقه - كسري خار جلوي دنده و قاب سنسور پشت شيشه جلو - باز بودن سيم كشي كنار كنسول - كسري قاب سوئيچ - ( ايرادات غير قابل ريورك مطابق استاندارد كارخانه )</t>
  </si>
  <si>
    <t>شماره بدنه: MD920002</t>
  </si>
  <si>
    <t>NH403475</t>
  </si>
  <si>
    <t>125K0041090</t>
  </si>
  <si>
    <t>خط و خش و قري و كسري هاي ظاهري به رؤيت مشتري مي باشد - خوردگي دربها و گلگيرهاي راست - شكستگي سپر عقب - كسري آنتن - قري شديد سقف - تصادفي بودن گلگير جلو چپ - شكستگي درب جعبه فيوز و سپر جلو - خودرو غير قابل حركت است ( دنده ها جا نمي رود ) - كسري سردنده - سائيدگي سپر جلو - آچارخوردگي پيچ هاي درب موتور و گلگيرهاي جلو و درب صندوق( تعويضي كارخانه ) - رنگ پريدگي بكسل بند جلو - خش عميق درب صندوق - كسري قاب بكسل بند عقب - قري و رنگ پريدگي درب عقب چپ - رنگ پريدگي درب جلو چپ و درب موتور - شكستگي درپوش قفل كمربند روي طاقچه عقب - آثار روغن ريزي محفظه موتور - باطري مستعمل - خوردگي سيني زير موتور - زيرپايي ها مستعمل - شكستگي قاب آينه راست و خش آينه چپ - كسري آنتن - لاستيكها كاركرده و متفرقه - درب باك خش دارد و مغاير است - زاپاس كاركرده و پنچر - كسري شبرنگ - كيلومتر غير واقعي مي باشد - عدم عملكرد شيشه بالابر درب عقب راست - ( ايرادات غير قابل ريورك مطابق استاندارد كارخانه )</t>
  </si>
  <si>
    <t>شماره بدنه: NH403475</t>
  </si>
  <si>
    <t>پژو 2008 اتوماتيك با موتورEP6 كلاس 1 قرمز ونيزي</t>
  </si>
  <si>
    <t>JD013000</t>
  </si>
  <si>
    <t>قرمز ونيزي</t>
  </si>
  <si>
    <t>10FJCE2390551</t>
  </si>
  <si>
    <t>خودرو اوراقي مي باشد و كليه فرآيندهاي اوراق مانند مخدوش نمودن حك شاسي و حك موتور و سوراخ كردن بلوكه سيلندرو بريدن ستونها و پرس كردن سقف و... بر روي آن انجام شده است ، اين خودرو بدون پلاك و بيمه و اسناد تحويل داده خواهد شد و برنده موظف به ارائه تعهدنامه محضري مبني بر استفاده از قطعات منفصله خواهد بود - خط و خش و قري و كسري هاي ظاهري به رؤيت مشتري مي باشد - تصادفي بودن ناحيه جلو خودرو ( شاسي هاي جلو و اكسل جلو و سيستم تعليق و فنربندي جلو و پلوس ) - جابجايي موتور و متعلقات موتوري - تصادفي بودن درب موتور و ركابها و ... - چراغ هاي جلو شكسته و داخل خودرو - خوردگي گلگيرهاي جلو و مجموعه كامل فن و سيني فن و رادياتها - موتور جا خورده و به گيربكس آسيب وارد كرده - خوردگي درب جلو و سيني پشت موتور و شكستگي سپر جلو و كسري مه شكن هاي جلو و درب جعبه فيوز و فيوزهاي داخل موتور و هواكش و سوكتها و بعضي از قطعات ديگر شكسته مي باشد - كسري قاب روي موتور و قاب روي گلگير جلو چپ - خش و قري و رنگ پريدگي دربها - كسري درب جعبه فيوز داخل اتاق - زدگي و مستعمل بودن و پارگي رودريها و صندليها و كنسول وسط و داشبورد - كسري بسياري لز قطعات موتوري و داخل اتاق - كسري سنسور دريچه گاز - باطري مستعمل - كسري اي سي يو و سنسور هوا و و سيني زير موتور و فندك و جلو پنجره و آنتن - شكستگي مونيتور ضبط - كسري يك عدد زيرپايي جلو - تيغه برف پاك كن مستعمل - خوردگي رينگ چرخ جلو چپ - لاستيكها مستعمل و پنچري لاستيكهاي چپ - تيغه برف پاك كن مستعمل - زاپاس مستعمل و متفرقه و پنچر</t>
  </si>
  <si>
    <t>شماره بدنه: JD013000</t>
  </si>
  <si>
    <t>شماره جایگاه: 673 (جهت بازدید)</t>
  </si>
  <si>
    <t>NF230091</t>
  </si>
  <si>
    <t>147H0652436</t>
  </si>
  <si>
    <t>خط و خش و قري و كسري هاي ظاهري به رؤيت مشتري مي باشد - دنده بد جا مي رود و صدا مي دهد - كسري فندك - باطري و زيرپايي ها و تيغه برف پاك كن و موكت صندوق مستعمل - كسري يك عدد زيرپايي و آنتن و زاپاس - لاستيكها كاركرده و متفرقه - كسري درب باك فلزي - تصادفي بودن سپر جلو و درب موتور و گلگير جلو چپ و درب جلو چپ و گلگير عقب راست و درب جلو و عقب راست و گلگير جلو راست - شكستگي دستگيره باز كن درب صندوق - خش سپر عقب - كسري فنر درب صندوق - بسته نشدن درب صندوق - چراغ چك روشن - آچارخوردگي گلگيرهاي جلو و درب موتور ( تعويضي كارخانه ) - تصادفي بودن سرشاسي جلو راست - شكستگي مه شكن و چراغ جلو راست - كسري چراغ سقف عقب و جاسيگاري عقب - گيربكس ايراد دارد - عدم عملكرد صندوق پران - خوردگي سيني پشت موتور - شكستگي پايه چراغ جلو راست و چپ - كسري مه شكن جلو راست - شكستگي سيني روي رادياتها - تصادفي بودن درب عقب چپ - رنگ پريدگي لبه گلگير عقب چپ و درب صندوق و درب جلو راست - مغايرت سوئيچ با قفل درب ها -( ايرادات غير قابل ريورك مطابق استاندارد كارخانه )</t>
  </si>
  <si>
    <t>شماره بدنه: NF230091</t>
  </si>
  <si>
    <t>NH866204</t>
  </si>
  <si>
    <t>139B0270303</t>
  </si>
  <si>
    <t>خط و خش و قري و كسري هاي ظاهري به رؤيت مشتري مي باشد - معيوب بودن سرباطري - شكسته شدن گيج روغن - خوردگي سپر جلو - جانبودن و رنگ پريدگي جلو پنجره - شكستگي درب داشبورد - چراغ چك روشن - كسري درپوش رم - زدگي داشبورد و رودريها و مستعمل بودن صندليها - قري سقف و درب موتور و خوردگي درب جلو راست و درب عقب راست - زاپاس پنچر و كاركرده - زنگ زدگي كف صندوق - خراشيدگي درب صندوق - رنگ پريدگي سپر عقب - قري گلگير عقب چپ و درب عقب چپ - آچارخوردگي پيچ هاي درب صندوق و درب موتور و گلگير جلو چپ ( تعويضي كارخانه ) - رنگ پريدگي گلگير جلو چپ - باز نشدن درب داشبورد - شكستگي درب كنسول وسط - عدم جذب ضربگير دربها - قري سقف - رنگ پريدگي بكسل بند جلو - خش ركابها - خودرو روشن مي شود و هنگام برداشتن پا از روي پدال گاز بلافاصله خاموش مي شود - قري ستون عقب راست - خوردگي بكسل بند عقب - كسري قاب روي بكسل بند - عدم عملكرد دكمه هاي تنظيم كولر و بخاري - خوردگي سيني زير موتور - راديوپخش خراب است - زيرپايي ها مستعمل - خش جلو پنجره - مغاير بودن رنگ باك بدنه - شكستگي پك جك - موكت صندوق مستعمل - دينام مستعمل و خراب مي باشد - لاستيكها كاركرده - ( ايرادات غير قابل ريورك مطابق استاندارد كارخانه )</t>
  </si>
  <si>
    <t>شماره بدنه: NH866204</t>
  </si>
  <si>
    <t>NF159989</t>
  </si>
  <si>
    <t>147H0641322</t>
  </si>
  <si>
    <t>خط و خش و قري و كسري هاي ظاهري به رؤيت مشتري مي باشد - خوردگي شاسي جلو راست و دربهاي چپ - كسري درپوش گازكولر - رنگ پريدگي و مغايرت رنگ درب باك - كسري درب جعبه فيوز - خش درب صندوق و خش و رنگ پريدگي درب موتور - كسري سنسور عقب - قري درب جلو راست - خوردگي درب عقب راست - رنگ پريدگي گلگير عقب چپ - شكستگي مه شكن جلو چپ - خوردگي سپر جلو و بكسل بند جلو - خوردگي سيني زير موتور - زيرپايي ها مستعمل - لاستيكها كاركرده - ( ايرادات غير قابل ريورك مطابق استاندارد كارخانه )</t>
  </si>
  <si>
    <t>شماره بدنه: NF159989</t>
  </si>
  <si>
    <t>سورن EF7 بنزيني کلاس 22 سفيد دوپوششه كانزاي</t>
  </si>
  <si>
    <t>NF232607</t>
  </si>
  <si>
    <t>147H0665389</t>
  </si>
  <si>
    <t>خط و خش و قري و كسري هاي ظاهري به رؤيت مشتري مي باشد - خراشيدگي رنگ سقف - خوردگي سپر عقب و دربها و درب موتور - آچارخوردگي پيچ هاي درب موتور ( تعويضي كارخانه ) - خوردگي دوربين دنده عقب - چراغ چك روشن - كسري يك عدد سوئيچ - عدم صحيح نصب متعلقات كولر و داشبورد - عدم باز شدن دربهاي عقب - عدم عملكرد بالابرها - لاستيكها كاركرده - مغايرت رنگ درب باك - زاپاس كاركرده - ( ايرادات غير قابل ريورك مطابق استاندارد كارخانه )</t>
  </si>
  <si>
    <t>شماره بدنه: NF232607</t>
  </si>
  <si>
    <t>MD912401</t>
  </si>
  <si>
    <t>187B0003918</t>
  </si>
  <si>
    <t>خط و خش و قري و كسري هاي ظاهري به رؤيت مشتري مي باشد - ماندگاري بالا و افت مدل - باطري متفرقه - چراغ هاي پشت آمپر روشن - ( ايرادات غير قابل ريورك مطابق استاندارد كارخانه )</t>
  </si>
  <si>
    <t>شماره بدنه: MD912401</t>
  </si>
  <si>
    <t>NH480182</t>
  </si>
  <si>
    <t>164B0308679</t>
  </si>
  <si>
    <t>خط و خش و قري و كسري هاي ظاهري به رؤيت مشتري مي باشد - ايراد رنگي درب عقب راست ( تعويضي كارخانه ) - كسري يكعدد قالپاق - شكستگي جلو پنجره - كسري آينه راست - قري درب جلو چپ و درب عقب چپ - سائيدگي سپر عقب - كسري آنتن و زاپاس - خرابي كولر - پنچري لاستيك عقب چپ -( ايرادات غير قابل ريورك مطابق استاندارد كارخانه )</t>
  </si>
  <si>
    <t>شماره بدنه: NH480182</t>
  </si>
  <si>
    <t>MD921399</t>
  </si>
  <si>
    <t>187B0008706</t>
  </si>
  <si>
    <t>شماره بدنه: MD921399</t>
  </si>
  <si>
    <t>MJ228810</t>
  </si>
  <si>
    <t>166B0056937</t>
  </si>
  <si>
    <t>خط و خش و قري و كسري هاي ظاهري به رؤيت مشتري مي باشد - ماندگاري بالا و افت مدل - ايراد رنگي بدنه - چراغ اي بي اس روشن - كسري درب جعبه فيوز - ( ايرادات غير قابل ريورك مطابق استاندارد كارخانه )</t>
  </si>
  <si>
    <t>شماره بدنه: MJ228810</t>
  </si>
  <si>
    <t>NE548967</t>
  </si>
  <si>
    <t>153H0095530</t>
  </si>
  <si>
    <t>خط و خش و قري و كسري هاي ظاهري به رؤيت مشتري مي باشد - ايراد رنگي درب موتور - سائيدگي و رنگ پريدگي سپر جلو - ( ايرادات غير قابل ريورك مطابق استاندارد كارخانه )</t>
  </si>
  <si>
    <t>شماره بدنه: NE548967</t>
  </si>
  <si>
    <t>MJ500041</t>
  </si>
  <si>
    <t>185B0000072</t>
  </si>
  <si>
    <t>خط و خش و قري و كسري هاي ظاهري به رؤيت مشتري مي باشد - ماندگاري بالا و افت مدل - خودروي پروژه اي سري اول توليد - قري درب جلو راست - باطري كاركرده و مستعمل - قري درب عقب چپ - كسري درپوش بكسل بند جلو و آنتن - ( ايرادات غير قابل ريورك مطابق استاندارد كارخانه )</t>
  </si>
  <si>
    <t>شماره بدنه: MJ500041</t>
  </si>
  <si>
    <t>NJ240622</t>
  </si>
  <si>
    <t>185B0000890</t>
  </si>
  <si>
    <t>خط و خش و قري و كسري هاي ظاهري به رؤيت مشتري مي باشد - خوردگي و تصادف سرشاسي جلو راست و بكسل بند جلو و پارگي ورق - ( ايرادات غير قابل ريورك مطابق استاندارد كارخانه )</t>
  </si>
  <si>
    <t>شماره بدنه: NJ240622</t>
  </si>
  <si>
    <t>NJ355977</t>
  </si>
  <si>
    <t>167B0182199</t>
  </si>
  <si>
    <t>خط و خش و قري و كسري هاي ظاهري به رؤيت مشتري مي باشد - تصادفي بودن سرشاسي جلو راست و گلگير جلو راست و درب جلو راست و مه شكن جلو راست - خراشيدگي رنگ ستون جلو راست و درب موتور - شكستگي سپر جلو و چراغ جلو راست و شلگير چرخ جلو راست - كسري قاب روي بكسل بند جلو - ( ايرادات غير قابل ريورك مطابق استاندارد كارخانه )</t>
  </si>
  <si>
    <t>شماره بدنه: NJ355977</t>
  </si>
  <si>
    <t>ME411466</t>
  </si>
  <si>
    <t>153H0048878</t>
  </si>
  <si>
    <t>خط و خش و قري و كسري هاي ظاهري به رؤيت مشتري مي باشد - ماندگاري بالا و افت مدل - دفرمه بودن قاب ستون وسط درب جلو راست - خودرو استارت ميخورد ولي روشن نمي شود - ( ايرادات غير قابل ريورك مطابق استاندارد كارخانه )</t>
  </si>
  <si>
    <t>شماره بدنه: ME411466</t>
  </si>
  <si>
    <t>NE491380</t>
  </si>
  <si>
    <t>153H0058060</t>
  </si>
  <si>
    <t>شماره بدنه: NE491380</t>
  </si>
  <si>
    <t>MJ500032</t>
  </si>
  <si>
    <t>185B0000056</t>
  </si>
  <si>
    <t>خط و خش و قري و كسري هاي ظاهري به رؤيت مشتري مي باشد - ماندگاري بالا و افت مدل - خودروي پروژه اي سري اول توليد - ترك قاب آينه چپ - كسري يكعدد سوئيچ - ( ايرادات غير قابل ريورك مطابق استاندارد كارخانه )</t>
  </si>
  <si>
    <t>شماره بدنه: MJ500032</t>
  </si>
  <si>
    <t>NH920165</t>
  </si>
  <si>
    <t>125K0055176</t>
  </si>
  <si>
    <t>خط و خش و قري و كسري هاي ظاهري به رؤيت مشتري مي باشد - كسري يكعدد سوئيچ - تصادف درب موتور - قري سقف - شكستگي شيشه جلو - رنگ پريدگي گلگيرهاي جلو - باطري دشارژ - كسري دستگيره موكت صندوق - ( ايرادات غير قابل ريورك مطابق استاندارد كارخانه )</t>
  </si>
  <si>
    <t>شماره بدنه: NH920165</t>
  </si>
  <si>
    <t>دنا پلاس اتوماتيك با موتور EF7_TC كلاس2 تيتانيوم</t>
  </si>
  <si>
    <t>NE711341</t>
  </si>
  <si>
    <t>تيتانيوم</t>
  </si>
  <si>
    <t>153H0098349</t>
  </si>
  <si>
    <t>خط و خش و قري و كسري هاي ظاهري به رؤيت مشتري مي باشد - ايراد رنگي بدنه ( خش درب موتور و درب صندوق و ساير سطوح بدنه ) - خش آينه بغل چپ - ( ايرادات غير قابل ريورك مطابق استاندارد كارخانه )</t>
  </si>
  <si>
    <t>شماره بدنه: NE711341</t>
  </si>
  <si>
    <t>NJ240566</t>
  </si>
  <si>
    <t>185B0001214</t>
  </si>
  <si>
    <t>شماره بدنه: NJ240566</t>
  </si>
  <si>
    <t>MJ229462</t>
  </si>
  <si>
    <t>167B0141156</t>
  </si>
  <si>
    <t>شماره بدنه: MJ229462</t>
  </si>
  <si>
    <t>NE490656</t>
  </si>
  <si>
    <t>153H0056752</t>
  </si>
  <si>
    <t>خط و خش و قري و كسري هاي ظاهري به رؤيت مشتري مي باشد - دفرمگي شاسي جلو راست ( فاصله بين درب موتور و گلگيرهاي جلو زياد و غير استاندارد است ) - رنگ پريدگي سپر عقب چپ - آچارخوردگي پيچ هاي درب صندوق ( تعويضي كارخانه ) - ( ايرادات غير قابل ريورك مطابق استاندارد كارخانه )</t>
  </si>
  <si>
    <t>شماره بدنه: NE490656</t>
  </si>
  <si>
    <t>NJ932774</t>
  </si>
  <si>
    <t>167B0180571</t>
  </si>
  <si>
    <t>خط و خش و قري و كسري هاي ظاهري به رؤيت مشتري مي باشد - تصادف گلگير و درب جلو راست - كسري تيغه برف پاك كن جلو - ( ايرادات غير قابل ريورك مطابق استاندارد كارخانه )</t>
  </si>
  <si>
    <t>شماره بدنه: NJ932774</t>
  </si>
  <si>
    <t>NJ937974</t>
  </si>
  <si>
    <t>166B0073840</t>
  </si>
  <si>
    <t>خط و خش و قري و كسري هاي ظاهري به رؤيت مشتري مي باشد - ايراد رنگي درب صندوق ( تعويضي كارخانه ) - شكستگي قالپاق جلو چپ - خرابي آبكاري آرم جلوپنجره - كسري آنتن - - ( ايرادات غير قابل ريورك مطابق استاندارد كارخانه )</t>
  </si>
  <si>
    <t>شماره بدنه: NJ937974</t>
  </si>
  <si>
    <t>NT377093</t>
  </si>
  <si>
    <t>172B0093697</t>
  </si>
  <si>
    <t>خط و خش و قري و كسري هاي ظاهري به رؤيت مشتري مي باشد - تصادف سرشاسي جلو راست ( شت چراغ ) و شكستگي جلوپنجره و سپرجلو - قري درب جلو راست - ( ايرادات غير قابل ريورك مطابق استاندارد كارخانه )</t>
  </si>
  <si>
    <t>شماره بدنه: NT377093</t>
  </si>
  <si>
    <t>ND935990</t>
  </si>
  <si>
    <t>187B0017999</t>
  </si>
  <si>
    <t>خط و خش و قري و كسري هاي ظاهري به رؤيت مشتري مي باشد - ايراد رنگي درب موتور ( تعويضي كارخانه ) - شكستگي سپر جلو و جلو پنجره - ( ايرادات غير قابل ريورك مطابق استاندارد كارخانه )</t>
  </si>
  <si>
    <t>شماره بدنه: ND935990</t>
  </si>
  <si>
    <t>ME365822</t>
  </si>
  <si>
    <t>153H0044456</t>
  </si>
  <si>
    <t>خط و خش و قري و كسري هاي ظاهري به رؤيت مشتري مي باشد - خودروي پروژه اي - سري اول دنا پلاس توربو شش دنده - ماندگاري بالا و افت مدل - كسري درب باك بدنه و قاب پشت قفل درب جلو چپ - زدگي سپر عقب - كسري قاب روي موتور و درپوش گاز كولر - چراغ چك روشن - صداي اضافي موتور - ( ايرادات غير قابل ريورك مطابق استاندارد كارخانه )</t>
  </si>
  <si>
    <t>شماره بدنه: ME365822</t>
  </si>
  <si>
    <t>NJ241297</t>
  </si>
  <si>
    <t>185B0000525</t>
  </si>
  <si>
    <t>خط و خش و قري و كسري هاي ظاهري به رؤيت مشتري مي باشد - تصادف گلگير عقب چپ - خش سپر عقب - تصادف درب جلو راست - قري درب عقب راست - ايراد رنگي سقف - كسري آنتن و فندك و شبرنگ - ( ايرادات غير قابل ريورك مطابق استاندارد كارخانه )</t>
  </si>
  <si>
    <t>شماره بدنه: NJ241297</t>
  </si>
  <si>
    <t>NE712296</t>
  </si>
  <si>
    <t>153H0099633</t>
  </si>
  <si>
    <t>خط و خش و قري و كسري هاي ظاهري به رؤيت مشتري مي باشد - ايراد رنگي درب موتور ( تعويضي كارخانه ) - خوردگي سپر جلو - كسري شبرنگ - ( ايرادات غير قابل ريورك مطابق استاندارد كارخانه )</t>
  </si>
  <si>
    <t>شماره بدنه: NE712296</t>
  </si>
  <si>
    <t>NF160261</t>
  </si>
  <si>
    <t>147H0642393</t>
  </si>
  <si>
    <t>خط و خش و قري و كسري هاي ظاهري به رؤيت مشتري مي باشد - ايراد رنگي روي سطوح بدنه - خط و خش بدنه - قري درب موتور - موج ورق پايين دربهاي جلو - كسري سرباطري - كسري قاب پلاستيكي قفل درب راننده - ( ايرادات غير قابل ريورك مطابق استاندارد كارخانه )</t>
  </si>
  <si>
    <t>شماره بدنه: NF160261</t>
  </si>
  <si>
    <t>NY066163</t>
  </si>
  <si>
    <t>484QT27004902A</t>
  </si>
  <si>
    <t>خط و خش و قري و كسري هاي ظاهري به رؤيت مشتري مي باشد - ايراد رنگي درب صندوق ( تعويضي كارخانه ) - كسري آرم درب صندوق و ابزار داخل صندوق و زيرپايي ها - ( ايرادات غير قابل ريورك مطابق استاندارد كارخانه )</t>
  </si>
  <si>
    <t>شماره بدنه: NY066163</t>
  </si>
  <si>
    <t>NY073964</t>
  </si>
  <si>
    <t>GN15TF21000549A</t>
  </si>
  <si>
    <t>خط و خش و قري و كسري هاي ظاهري به رؤيت مشتري مي باشد - تصادف گلگير عقب راست و چراغ خطر عقب راست و سپر عقب راست - خش درب موتور - ( ايرادات غير قابل ريورك مطابق استاندارد كارخانه )</t>
  </si>
  <si>
    <t>شماره بدنه: NY073964</t>
  </si>
  <si>
    <t>NJ248278</t>
  </si>
  <si>
    <t>191B0001521</t>
  </si>
  <si>
    <t>خط و خش و قري و كسري هاي ظاهري به رؤيت مشتري مي باشد - ايراد رنگي گلگير جلو راست ( تعميري و تعويضي ) - خراشيدگي سپر جلو و رنگ پريدگي ستون جلو راست - ( ايرادات غير قابل ريورك مطابق استاندارد كارخانه )</t>
  </si>
  <si>
    <t>شماره بدنه: NJ248278</t>
  </si>
  <si>
    <t>NT376184</t>
  </si>
  <si>
    <t>172B0093362</t>
  </si>
  <si>
    <t>خط و خش و قري و كسري هاي ظاهري به رؤيت مشتري مي باشد - خوردگي زير شاسي جلو ( محور عرضي ) و سپر جلو - به هم خوردگي فواصل و درزهاي قطعات بدنه اي جلوي خودرو - شكستگي سپر جلو - كسري درپوش بكسل بند جلو - ( ايرادات غير قابل ريورك مطابق استاندارد كارخانه )</t>
  </si>
  <si>
    <t>شماره بدنه: NT376184</t>
  </si>
  <si>
    <t>NF159364</t>
  </si>
  <si>
    <t>147H0639185</t>
  </si>
  <si>
    <t>خط و خش و قري و كسري هاي ظاهري به رؤيت مشتري مي باشد - تصادفي بودن محور عرضي شاسي جلو راست و بكسل بند جلو - زاپاس كاركرده و پنچر - كسري جك و آچارچرخ - آچارخوردگي پيچ هاي درب موتور ( تعويضي كارخانه ) - درگيربودن تسمه دينام با محور عرضي شاسي - تصادفي بودن درب جلو راست - رنگ پريدگي سپر جلو و عقب - باطري مستعمل و متفرقه - شكستگي سيني زير موتور - ( ايرادات غير قابل ريورك مطابق استاندارد كارخانه )</t>
  </si>
  <si>
    <t>شماره بدنه: NF159364</t>
  </si>
  <si>
    <t>NJ701584</t>
  </si>
  <si>
    <t>191B0003394</t>
  </si>
  <si>
    <t>خط و خش و قري و كسري هاي ظاهري به رؤيت مشتري مي باشد - تصادفي بودن سمت چپ خودرو ( گلگيرها و دربها و سپرها ) - كسري ضربگير دربهاي چپ و درب جعبه فيوز و آنتن - ( ايرادات غير قابل ريورك مطابق استاندارد كارخانه )</t>
  </si>
  <si>
    <t>شماره بدنه: NJ701584</t>
  </si>
  <si>
    <t>NE490729</t>
  </si>
  <si>
    <t>153H0055557</t>
  </si>
  <si>
    <t>خط و خش و قري و كسري هاي ظاهري به رؤيت مشتري مي باشد - ايراد رنگي سقف و قري دربهاي راست - كسري درپوش گازكولر و قاب پشت باطري - خش درب موتور - كسري آفتابگيرها و زيرسري جلو چپ و ليوان - ( ايرادات غير قابل ريورك مطابق استاندارد كارخانه )</t>
  </si>
  <si>
    <t>شماره بدنه: NE490729</t>
  </si>
  <si>
    <t>NF152813</t>
  </si>
  <si>
    <t>147H0628567</t>
  </si>
  <si>
    <t>خط و خش و قري و كسري هاي ظاهري به رؤيت مشتري مي باشد - ايراد رنگي بدنه - ايراد رنگي سقف و درب موتور - عدم جذب ضربگيرها - كسري درب جعبه فيوز - موج ورق درب جلو راست - عدم عملكرد شيشه بالابرهاي جلو - ( ايرادات غير قابل ريورك مطابق استاندارد كارخانه )</t>
  </si>
  <si>
    <t>شماره بدنه: NF152813</t>
  </si>
  <si>
    <t>NJ356853</t>
  </si>
  <si>
    <t>167B0183461</t>
  </si>
  <si>
    <t>خط و خش و قري و كسري هاي ظاهري به رؤيت مشتري مي باشد - تصادف دربهاي راست - قري درب عقب چپ - ( ايرادات غير قابل ريورك مطابق استاندارد كارخانه )</t>
  </si>
  <si>
    <t>شماره بدنه: NJ356853</t>
  </si>
  <si>
    <t>NK184237</t>
  </si>
  <si>
    <t>167B0159201</t>
  </si>
  <si>
    <t>خط و خش و قري و كسري هاي ظاهري به رؤيت مشتري مي باشد - رودريها و صندليها و داشبورد و كنسول وسط مستعمل و زدگي و پارگي دارد - زاپاس كاركرده و پنچر - شكستگي چراغ عقب چپ - قري و رنگ پريدگي درب صندوق - تصادفي بودن گلگير عقب چپ - لاستيكهاي عقب پنچر - عدم چسبندگي زه دربها - تصادفي بودن گلگير جلو چپ - شكستگي چراغ جلو چپ و جلو پنجره - تصادفي بودن سپر جلو - شكستگي مه شكن جلو چپ - كسري درب روغن ترمز و درب جعبه فيوز - تصادفي بودن گلگير جلو راست و پليت عقب - خش چراغ جلو راست - شكستگي قفل درب جعبه كنسول وسط - چراغ اي بي اس روشن - كيلومتر غير واقعي مي باشد - خراب بودن شيشه بالابرهاي عقب - آچارخوردگي پيچ هاي درب موتور ( تعويضي كارخانه ) - خش و قري و رنگ پريدگي دربهاي چپ - جانبودن سپر عقب - خش و قري و رنگ پريدگي دربهاي راست و رنگ پريدگي ركاب راست - كسري ابرويي هاي چراغ هاي جلو - رنگ پريدگي بكسل بند جلو - قري درب موتور - زيرپايي و تيغه برف پاك كن مستعمل - شكستگي جلو پنجره - خش آينه هاي جانبي - كسري سه عدد قالپاق - لاستيكها كاركرده و متفرقه - زاپاس مستعمل و پنچر - كسري شبرنگ -موكت صندوق مستعمل - ( ايرادات غير قابل ريورك مطابق استاندارد كارخانه )</t>
  </si>
  <si>
    <t>شماره بدنه: NK184237</t>
  </si>
  <si>
    <t>NE490011</t>
  </si>
  <si>
    <t>153H0044436</t>
  </si>
  <si>
    <t>شماره بدنه: NE490011</t>
  </si>
  <si>
    <t>NF152225</t>
  </si>
  <si>
    <t>147H0628404</t>
  </si>
  <si>
    <t>خط و خش و قري و كسري هاي ظاهري به رؤيت مشتري مي باشد - ايراد رنگي بدنه - خش گلگير جلو چپ - قري زه درب جلو راست - ايراد رنگي سقف - ( ايرادات غير قابل ريورك مطابق استاندارد كارخانه )</t>
  </si>
  <si>
    <t>شماره بدنه: NF152225</t>
  </si>
  <si>
    <t>NJ937131</t>
  </si>
  <si>
    <t>166B0072065</t>
  </si>
  <si>
    <t>خط و خش و قري و كسري هاي ظاهري به رؤيت مشتري مي باشد - خوردگي دربهاي راست و قري دربهاي چپ - سائيدگي قالپاق جلو و عقب راست - ( ايرادات غير قابل ريورك مطابق استاندارد كارخانه )</t>
  </si>
  <si>
    <t>شماره بدنه: NJ937131</t>
  </si>
  <si>
    <t>NF150276</t>
  </si>
  <si>
    <t>147H0625830</t>
  </si>
  <si>
    <t>خط و خش و قري و كسري هاي ظاهري به رؤيت مشتري مي باشد - ايراد رنگي بدنه - ايراد رنگي سقف - قري درب عقب راست - ( ايرادات غير قابل ريورك مطابق استاندارد كارخانه )</t>
  </si>
  <si>
    <t>شماره بدنه: NF150276</t>
  </si>
  <si>
    <t>NF166867</t>
  </si>
  <si>
    <t>147H0649098</t>
  </si>
  <si>
    <t>خط و خش و قري و كسري هاي ظاهري به رؤيت مشتري مي باشد - تصادفي بودن بكسل بند جلو ( شكستگي از محور عرضي ) - شكستگي سپر جلو - ( ايرادات غير قابل ريورك مطابق استاندارد كارخانه )</t>
  </si>
  <si>
    <t>شماره بدنه: NF166867</t>
  </si>
  <si>
    <t>NJ240663</t>
  </si>
  <si>
    <t>185B0001057</t>
  </si>
  <si>
    <t>شماره بدنه: NJ240663</t>
  </si>
  <si>
    <t>NJ240626</t>
  </si>
  <si>
    <t>185B0000887</t>
  </si>
  <si>
    <t>شماره بدنه: NJ240626</t>
  </si>
  <si>
    <t>پژو پارس سال با موتور XU7 P کلاس 2 سفيد دو پوششه</t>
  </si>
  <si>
    <t>NH924974</t>
  </si>
  <si>
    <t>125K0064708</t>
  </si>
  <si>
    <t>خط و خش و قري و كسري هاي ظاهري به رؤيت مشتري مي باشد - تصادف درب موتور و ستون عقب دو طرف و گلگير عقب چپ - شكستگي شيشه عقب و سپر جلو و چراغ جلو چپ - باطري دشارژ - كسري سروالف - شكستگي جلونجره - رنگ پريدگي جلوپنجره و سپر جلو - شكستگي چراغ سقفي عقب - كسري بست منفي باطري - ( ايرادات غير قابل ريورك مطابق استاندارد كارخانه )</t>
  </si>
  <si>
    <t>کد کلاس: 35102</t>
  </si>
  <si>
    <t>شماره بدنه: NH924974</t>
  </si>
  <si>
    <t>دنا پلاس توربو شارژ کلاس 6 نقره اي متاليك</t>
  </si>
  <si>
    <t>NE493595</t>
  </si>
  <si>
    <t>153H0085159</t>
  </si>
  <si>
    <t>خط و خش و قري و كسري هاي ظاهري به رؤيت مشتري مي باشد - خش و رنگ پريدگي سپر عقب - تصادفي بودن گلگير عقب و سپر عقب راست - ( ايرادات غير قابل ريورك مطابق استاندارد كارخانه )</t>
  </si>
  <si>
    <t>شماره بدنه: NE493595</t>
  </si>
  <si>
    <t>MJ500058</t>
  </si>
  <si>
    <t>185B0000114</t>
  </si>
  <si>
    <t>شماره بدنه: MJ500058</t>
  </si>
  <si>
    <t>NY066799</t>
  </si>
  <si>
    <t>484QT27006011A</t>
  </si>
  <si>
    <t>خط و خش و قري و كسري هاي ظاهري به رؤيت مشتري مي باشد - سائيدگي و خش شديد درب عقب راست و گلگير عقب راست - ( ايرادات غير قابل ريورك مطابق استاندارد كارخانه )</t>
  </si>
  <si>
    <t>شماره بدنه: NY066799</t>
  </si>
  <si>
    <t>ME365804</t>
  </si>
  <si>
    <t>153H0042604</t>
  </si>
  <si>
    <t>خط و خش و قري و كسري هاي ظاهري به رؤيت مشتري مي باشد - خودروي پروژه اي - سري اول دنا پلاس توربو شش دنده - ماندگاري بالا و افت مدل - كسري درپوش گازكولر و آرم روي قاب موتور و قاب پشت سرباطري و درب روغن ترمز - ( ايرادات غير قابل ريورك مطابق استاندارد كارخانه )</t>
  </si>
  <si>
    <t>شماره بدنه: ME365804</t>
  </si>
  <si>
    <t>NJ241279</t>
  </si>
  <si>
    <t>185B0000495</t>
  </si>
  <si>
    <t>خط و خش و قري و كسري هاي ظاهري به رؤيت مشتري مي باشد - ايراد رنگي سقف و درب موتور - كسري درب جعبه فيوز - آچارخوردگي پيچ هاي درب موتور ( تعويضي كارخانه ) - قري درب جلو راست - ( ايرادات غير قابل ريورك مطابق استاندارد كارخانه )</t>
  </si>
  <si>
    <t>شماره بدنه: NJ241279</t>
  </si>
  <si>
    <t>NE491384</t>
  </si>
  <si>
    <t>153H0057353</t>
  </si>
  <si>
    <t>شماره بدنه: NE491384</t>
  </si>
  <si>
    <t>NF150301</t>
  </si>
  <si>
    <t>147H0629100</t>
  </si>
  <si>
    <t>خط و خش و قري و كسري هاي ظاهري به رؤيت مشتري ميباشد - تصادف گلگير جلو چپ و درب و گلگير جلو راست - كسري زه درب جلو راست - آچارخوردگي پيچ هاي درب موتور و گلگيرهاي جلو و دربهاي جلو ( تعويضي كارخانه ) - مغايرت رنگ درب باك با بدنه - رنگ پريدگي و قري درب جلو چپ و سپر عقب - قري درب عقب چپ - خرابي رنگ و خش عميق سقف - ( ايرادات غير قابل ريورك مطابق استاندارد كارخانه )</t>
  </si>
  <si>
    <t>شماره بدنه: NF150301</t>
  </si>
  <si>
    <t>NJ240901</t>
  </si>
  <si>
    <t>185B0001356</t>
  </si>
  <si>
    <t>خط و خش و قري و كسري هاي ظاهري به رؤيت مشتري مي باشد - خوردگي ركاب راست - ايراد رنگي سپر جلو - كسري قاب پشت سرباطري و آنتن و شبرنگ - ( ايرادات غير قابل ريورك مطابق استاندارد كارخانه )</t>
  </si>
  <si>
    <t>شماره بدنه: NJ240901</t>
  </si>
  <si>
    <t>NJ353385</t>
  </si>
  <si>
    <t>178B0111140</t>
  </si>
  <si>
    <t>خط و خش و قري و كسري هاي ظاهري به رؤيت مشتري مي باشد - تصادفي بودن درب عقب راست و گلگير عقب راست - خش و رنگ پريدگي سپر عقب - ( ايرادات غير قابل ريورك مطابق استاندارد كارخانه )</t>
  </si>
  <si>
    <t>شماره بدنه: NJ353385</t>
  </si>
  <si>
    <t>NY064405</t>
  </si>
  <si>
    <t>484QT25003075A</t>
  </si>
  <si>
    <t>خط و خش و قري و كسري هاي ظاهري به رؤيت مشتري مي باشد - تصادف گلگير عقب راست - خش و رنگ پريدگي درب عقب راست - كسري ابزار داخل صندوق و زيرپايي ها - خط و خش گلگير جلو راست و سپر جلو - ( ايرادات غير قابل ريورك مطابق استاندارد كارخانه )</t>
  </si>
  <si>
    <t>شماره بدنه: NY064405</t>
  </si>
  <si>
    <t>NE490804</t>
  </si>
  <si>
    <t>153H0057051</t>
  </si>
  <si>
    <t>خط و خش و قري و كسري هاي ظاهري به رؤيت مشتري مي باشد - ايراد رنگي سقف و درب موتور - باطري دشارژ - شكستگي كاور كابل مثبت - خش درب موتور - آچار خوردگي پيچ هاي درب صندوق ( تعويضي كارخانه ) - ( ايرادات غير قابل ريورك مطابق استاندارد كارخانه )</t>
  </si>
  <si>
    <t>شماره بدنه: NE490804</t>
  </si>
  <si>
    <t>MF918856</t>
  </si>
  <si>
    <t>147H0608945</t>
  </si>
  <si>
    <t>خط و خش و قري و كسري هاي ظاهري به رؤيت مشتري مي باشد - ماندگاري بالا و افت مدل - پوسته شدن مثلثي عقب چپ - رنگ پريدگي بكسل بند جلو - ( ايرادات غير قابل ريورك مطابق استاندارد كارخانه )</t>
  </si>
  <si>
    <t>شماره بدنه: MF918856</t>
  </si>
  <si>
    <t>NJ368030</t>
  </si>
  <si>
    <t>166B0079967</t>
  </si>
  <si>
    <t>خط و خش و قري و كسري هاي ظاهري به رؤيت مشتري مي باشد - ايراد رنگي درب جلو چپ - شكستگي آينه چپ - كسري آنتن - ( ايرادات غير قابل ريورك مطابق استاندارد كارخانه )</t>
  </si>
  <si>
    <t>شماره بدنه: NJ368030</t>
  </si>
  <si>
    <t>NE549905</t>
  </si>
  <si>
    <t>153H0095322</t>
  </si>
  <si>
    <t>خط و خش و قري و كسري هاي ظاهري به رؤيت مشتري مي باشد - قري و ايراد رنگي درب جلو چپ - قري درب عقب چپ - دفرمگي ركاب چپ - زدگي رينگ جلو چپ - كسري ليوان - ( ايرادات غير قابل ريورك مطابق استاندارد كارخانه )</t>
  </si>
  <si>
    <t>شماره بدنه: NE549905</t>
  </si>
  <si>
    <t>NF152777</t>
  </si>
  <si>
    <t>147H0628606</t>
  </si>
  <si>
    <t>خط و خش و قري و كسري هاي ظاهري به رؤيت مشتري مي باشد - ايراد رنگي بدنه - قري درب عقب راست - ( ايرادات غير قابل ريورك مطابق استاندارد كارخانه )</t>
  </si>
  <si>
    <t>شماره بدنه: NF152777</t>
  </si>
  <si>
    <t>NJ930530</t>
  </si>
  <si>
    <t>178B0103949</t>
  </si>
  <si>
    <t>خط و خش و قري و كسري هاي ظاهري به رؤيت مشتري مي باشد - تصادف گلگير جلو راست و سپر جلو و درب جلو راست - عدم عملكرد شيشه بالابر جلو راست - كسري شبرنگ - ( ايرادات غير قابل ريورك مطابق استاندارد كارخانه )</t>
  </si>
  <si>
    <t>شماره بدنه: NJ930530</t>
  </si>
  <si>
    <t>NY074597</t>
  </si>
  <si>
    <t>GN15TF23001758A</t>
  </si>
  <si>
    <t>خط و خش و قري و كسري هاي ظاهري به رؤيت مشتري مي باشد - خش عميق روي درب موتور - ( ايرادات غير قابل ريورك مطابق استاندارد كارخانه )</t>
  </si>
  <si>
    <t>شماره بدنه: NY074597</t>
  </si>
  <si>
    <t>NE490650</t>
  </si>
  <si>
    <t>153H0056124</t>
  </si>
  <si>
    <t>خط و خش و قري و كسري هاي ظاهري به رؤيت مشتري مي باشد - ايراد رنگي سقف و درب موتور - كسري جاسيگاري جلو - آچارخوردگي پيچ هاي درب صندوق ( تعويضي كارخانه ) - ( ايرادات غير قابل ريورك مطابق استاندارد كارخانه )</t>
  </si>
  <si>
    <t>شماره بدنه: NE490650</t>
  </si>
  <si>
    <t>NT441847</t>
  </si>
  <si>
    <t>172B0098507</t>
  </si>
  <si>
    <t>خط و خش و قري و كسري هاي ظاهري به رؤيت مشتري مي باشد - خوردگي هلالي گلگير عقب چپ و درب عقب چپ - ( ايرادات غير قابل ريورك مطابق استاندارد كارخانه )</t>
  </si>
  <si>
    <t>شماره بدنه: NT441847</t>
  </si>
  <si>
    <t>NJ921713</t>
  </si>
  <si>
    <t>166B0066704</t>
  </si>
  <si>
    <t>خط و خش و قري و كسري هاي ظاهري به رؤيت مشتري مي باشد - ايراد رنگي درب جلو چپ - كسري زيرپايي هاي جلو - چراغ چك روشن - كسري آنتن و شبرنگ -( ايرادات غير قابل ريورك مطابق استاندارد كارخانه )</t>
  </si>
  <si>
    <t>شماره بدنه: NJ921713</t>
  </si>
  <si>
    <t>MJ500021</t>
  </si>
  <si>
    <t>185B0000086</t>
  </si>
  <si>
    <t>خط و خش و قري و كسري هاي ظاهري به رؤيت مشتري مي باشد - ماندگاري بالا و افت مدل - خودروي پروژه اي سري اول توليد - عدم عملكرد بوق -( ايرادات غير قابل ريورك مطابق استاندارد كارخانه )</t>
  </si>
  <si>
    <t>شماره بدنه: MJ500021</t>
  </si>
  <si>
    <t>MJ500124</t>
  </si>
  <si>
    <t>185B0000246</t>
  </si>
  <si>
    <t>شماره بدنه: MJ500124</t>
  </si>
  <si>
    <t>NE490773</t>
  </si>
  <si>
    <t>153H0057075</t>
  </si>
  <si>
    <t>خط و خش و قري و كسري هاي ظاهري به رؤيت مشتري مي باشد - ايراد رنگي سقف - خش درب موتور - ( ايرادات غير قابل ريورك مطابق استاندارد كارخانه )</t>
  </si>
  <si>
    <t>شماره بدنه: NE490773</t>
  </si>
  <si>
    <t>NJ356715</t>
  </si>
  <si>
    <t>178B0113755</t>
  </si>
  <si>
    <t>خط و خش و قري و كسري هاي ظاهري به رؤيت مشتري مي باشد - قري و خش سايد سقف سمت راست و درب عقب راست و ستون عقب راست - كسري شبرنگ - چراغ هاي پشت آمپر روشن - آچارخوردگي پيچ هاي درب موتور ( تعويضي كارخانه ) - سائيدگي گلگير عقب راست - كيلومتر خراب است - خوردگي درب جلو چپ - ( ايرادات غير قابل ريورك مطابق استاندارد كارخانه )</t>
  </si>
  <si>
    <t>شماره بدنه: NJ356715</t>
  </si>
  <si>
    <t>NF165313</t>
  </si>
  <si>
    <t>147H0647087</t>
  </si>
  <si>
    <t>خط و خش و قري و كسري هاي ظاهري به رؤيت مشتري مي باشد - تصادفي بودن گلگير عقب چپ و درب عقب چپ و سپر عقب - رنگ پريدگي گلگير عقب راست - كسري زبانه درب موتور - تصادفي بودن درب عقب راست - نفوذ آب چراغ عقب راست - باطري دشارژ - درب جلو راست ريگلاژ نمي باشد - كسري آنتن و شبرنگ - ( ايرادات غير قابل ريورك مطابق استاندارد كارخانه )</t>
  </si>
  <si>
    <t>شماره بدنه: NF165313</t>
  </si>
  <si>
    <t>NJ354175</t>
  </si>
  <si>
    <t>166B0075808</t>
  </si>
  <si>
    <t>خط و خش و قري و كسري هاي ظاهري به رؤيت مشتري مي باشد - ايراد رنگي درب صندوق و ايراد شيشه عقب ( هر دو تعويضي ) - ( ايرادات غير قابل ريورك مطابق استاندارد كارخانه )</t>
  </si>
  <si>
    <t>شماره بدنه: NJ354175</t>
  </si>
  <si>
    <t>MY040742</t>
  </si>
  <si>
    <t>GN15TF19001425A</t>
  </si>
  <si>
    <t>خط و خش و قري و كسري هاي ظاهري به رؤيت مشتري مي باشد - ماندگاري بالا و افت مدل - كسري قاب باربند عقب راست و زيرپايي و ليوان و درب جعبه فيوز و جك - ( ايرادات غير قابل ريورك مطابق استاندارد كارخانه )</t>
  </si>
  <si>
    <t>شماره بدنه: MY040742</t>
  </si>
  <si>
    <t>NF165225</t>
  </si>
  <si>
    <t>147H0647559</t>
  </si>
  <si>
    <t>خط و خش و قري و كسري هاي ظاهري به رؤيت مشتري مي باشد - ايراد رنگي درب عقب راست ( تعويضي كارخانه ) - زدگي دستگيره درب عقب راست - ( ايرادات غير قابل ريورك مطابق استاندارد كارخانه )</t>
  </si>
  <si>
    <t>شماره بدنه: NF165225</t>
  </si>
  <si>
    <t>NJ249122</t>
  </si>
  <si>
    <t>191B0002345</t>
  </si>
  <si>
    <t>خط و خش و قري و كسري هاي ظاهري به رؤيت مشتري مي باشد - تصادغ ركاب و درب جلو چپ - خش گلگير و ضربگير جلو چپ - شكستگي آينه چپ - عدم عملكرد شيشه بالابر جلو چپ - ( ايرادات غير قابل ريورك مطابق استاندارد كارخانه )</t>
  </si>
  <si>
    <t>شماره بدنه: NJ249122</t>
  </si>
  <si>
    <t>NJ367072</t>
  </si>
  <si>
    <t>178B0114640</t>
  </si>
  <si>
    <t>خط و خش و قري و كسري هاي ظاهري به رؤيت مشتري مي باشد - تصادفي بودن دربهاي راست - ( ايرادات غير قابل ريورك مطابق استاندارد كارخانه )</t>
  </si>
  <si>
    <t>شماره بدنه: NJ367072</t>
  </si>
  <si>
    <t>NE490828</t>
  </si>
  <si>
    <t>153H0055582</t>
  </si>
  <si>
    <t>خط و خش و قري و كسري هاي ظاهري به رؤيت مشتري مي باشد - تصادفي بودن گلگير عقب و درب عقب چپ و سپر عقب و درب جلو چپ - كسري يك عدد لوگوي وسط رينگ - ( ايرادات غير قابل ريورك مطابق استاندارد كارخانه )</t>
  </si>
  <si>
    <t>شماره بدنه: NE490828</t>
  </si>
  <si>
    <t>NJ240811</t>
  </si>
  <si>
    <t>185B0001362</t>
  </si>
  <si>
    <t>خط و خش و قري و كسري هاي ظاهري به رؤيت مشتري مي باشد - ايراد رنگي سقف - قري درب جلو راست - كسري درب داشبورد - - ( ايرادات غير قابل ريورك مطابق استاندارد كارخانه )</t>
  </si>
  <si>
    <t>شماره بدنه: NJ240811</t>
  </si>
  <si>
    <t>MJ225712</t>
  </si>
  <si>
    <t>178B0077840</t>
  </si>
  <si>
    <t>خط و خش و قري و كسري هاي ظاهري به رؤيت مشتري مي باشد - ماندگاري بالا و افت مدل - كسري آنتن - ( ايرادات غير قابل ريورك مطابق استاندارد كارخانه )</t>
  </si>
  <si>
    <t>شماره بدنه: MJ225712</t>
  </si>
  <si>
    <t>NE490514</t>
  </si>
  <si>
    <t>153H0055052</t>
  </si>
  <si>
    <t>خط و خش و قري و كسري هاي ظاهري به رؤيت مشتري مي باشد - ايراد رنگي سقف و درب موتور و درب صندوق - كسري يك عدد لوگوي وسط رينگ و فندك - ( ايرادات غير قابل ريورك مطابق استاندارد كارخانه )</t>
  </si>
  <si>
    <t>شماره بدنه: NE490514</t>
  </si>
  <si>
    <t>NF245587</t>
  </si>
  <si>
    <t>147H0685379</t>
  </si>
  <si>
    <t>خط و خش و قري و كسري هاي ظاهري به رؤيت مشتري مي باشد - ايراد رنگي گلگير جلو چپ ( تعويضي كارخانه ) - خش قاب ستون دربهاي چپ و خش قاب آينه چپ و درب جلو چپ- ( ايرادات غير قابل ريورك مطابق استاندارد كارخانه )</t>
  </si>
  <si>
    <t>شماره بدنه: NF245587</t>
  </si>
  <si>
    <t>ND936239</t>
  </si>
  <si>
    <t>187B0019584</t>
  </si>
  <si>
    <t>خط و خش و قري و كسري هاي ظاهري به رؤيت مشتري مي باشد - تصادف گلگيرهاي عقب - زدگي قالپاق عقب چپ - آچارخوردگي پيچ هاي درب موتور ( تعويضي كارخانه ) - ( ايرادات غير قابل ريورك مطابق استاندارد كارخانه )</t>
  </si>
  <si>
    <t>شماره بدنه: ND936239</t>
  </si>
  <si>
    <t>NF154294</t>
  </si>
  <si>
    <t>147H0630966</t>
  </si>
  <si>
    <t>خط و خش و قري و كسري هاي ظاهري به رؤيت مشتري مي باشد - ايراد رنگي بدنه - شيشه عقب تعويض شده است - ( ايرادات غير قابل ريورك مطابق استاندارد كارخانه )</t>
  </si>
  <si>
    <t>شماره بدنه: NF154294</t>
  </si>
  <si>
    <t>ND942507</t>
  </si>
  <si>
    <t>187B0017131</t>
  </si>
  <si>
    <t>خط و خش و قري و كسري هاي ظاهري به رؤيت مشتري مي باشد - تصادف درب موتور ( دورنگي درب موتور ) - شكستگي جلوپنجره و سيني فن - تصادف سپر عقب - خش چراغ جلو راست - بازبودن سنسورهاي سپر عقب - ( ايرادات غير قابل ريورك مطابق استاندارد كارخانه )</t>
  </si>
  <si>
    <t>شماره بدنه: ND942507</t>
  </si>
  <si>
    <t>NJ240520</t>
  </si>
  <si>
    <t>185B0000388</t>
  </si>
  <si>
    <t>خط و خش و قري و كسري هاي ظاهري به رؤيت مشتري مي باشد - تصادف ركاب چپ و گلگير جلو چپ - قري درب جلو راست و درب عقب راست - ايراد رنگي بدنه - ( ايرادات غير قابل ريورك مطابق استاندارد كارخانه )</t>
  </si>
  <si>
    <t>شماره بدنه: NJ240520</t>
  </si>
  <si>
    <t>NH218283</t>
  </si>
  <si>
    <t>164B0306627</t>
  </si>
  <si>
    <t>خط و خش و قري و كسري هاي ظاهري به رؤيت مشتري مي باشد - خودرو ايراد فني دارد و موتور بد كار ميكند - رنگ پريدگي سپر جلو - روشن بودن چراغ اي بي اس و چك - شكستگي جلو پنجره - قري گلگير عقب راست - خوردگي سپر عقب - قري درب عقب راست - متفرقه بودن درب جعبه فيوز - قري درب موتور و صندوق - زاپاس كاركرده و پنچر - خوردگي درب صندوق - تصادفي بودن گلگير عقب چپ - قري درب عقب چپ - رنگ پريدگي لبه درب جلو چپ - تصادفي بودن درب جلو راست - خوردگي گلگير عقب راست - قري گلگير جلو چپ - آچارخوردگي پيچ هاي درب موتور و گلگيرهاي جلو ( تعويضي كارخانه ) - شكستگي درب داشبورد - خوردگي كف صندوق - خراش سپرها و آينه راننده - خوردگي سيني زير موتور - خش آينه ها - لاستيكها كاركرده - چراغ عقب چپ شكسته - ( ايرادات غير قابل ريورك مطابق استاندارد كارخانه )</t>
  </si>
  <si>
    <t>شماره بدنه: NH218283</t>
  </si>
  <si>
    <t>NE491371</t>
  </si>
  <si>
    <t>153H0058059</t>
  </si>
  <si>
    <t>شماره بدنه: NE491371</t>
  </si>
  <si>
    <t>NJ240696</t>
  </si>
  <si>
    <t>185B0001096</t>
  </si>
  <si>
    <t>خط و خش و قري و كسري هاي ظاهري به رؤيت مشتري مي باشد - ايراد رنگي سقف - - ( ايرادات غير قابل ريورك مطابق استاندارد كارخانه )</t>
  </si>
  <si>
    <t>شماره بدنه: NJ240696</t>
  </si>
  <si>
    <t>تيپ خودرو</t>
  </si>
  <si>
    <t>مدل خودرو</t>
  </si>
  <si>
    <t>last</t>
  </si>
  <si>
    <t>before</t>
  </si>
  <si>
    <t>1399</t>
  </si>
  <si>
    <t xml:space="preserve"> </t>
  </si>
  <si>
    <t>پژو 206 اس دي اتوماتيك كلاس‏1 سفيد دوپوششه كانزاي</t>
  </si>
  <si>
    <t>وانت پيكان OHV كلاس‏ 20 سفيدشيري</t>
  </si>
  <si>
    <t>LC104078</t>
  </si>
  <si>
    <t>NK697625</t>
  </si>
  <si>
    <t>Min of درصد</t>
  </si>
  <si>
    <t>عادی</t>
  </si>
  <si>
    <t>طرح جوانی جمعیت</t>
  </si>
  <si>
    <t>طرح جایگزینی خودرو فرسوده</t>
  </si>
  <si>
    <t>پیش فروش</t>
  </si>
  <si>
    <t>تارا اتومات</t>
  </si>
  <si>
    <t>تارا دستی</t>
  </si>
  <si>
    <t>دناپلاس توربو MT6</t>
  </si>
  <si>
    <t>دناپلاس توربو اتومات</t>
  </si>
  <si>
    <t>رانا پلاس</t>
  </si>
  <si>
    <t>فوق العاده</t>
  </si>
  <si>
    <t>207 اتومات مولتی کالر</t>
  </si>
  <si>
    <t>207 دستی فرمان برقی</t>
  </si>
  <si>
    <t>پارس XU7P</t>
  </si>
  <si>
    <t>پارس XU7P سفارشی</t>
  </si>
  <si>
    <t>سورن پلاس</t>
  </si>
  <si>
    <t>ردیف</t>
  </si>
  <si>
    <t>شناسه خودرو</t>
  </si>
  <si>
    <t>شرح</t>
  </si>
  <si>
    <t>كاركرد (KM)</t>
  </si>
  <si>
    <t>مبلغ پایه(ریال)</t>
  </si>
  <si>
    <t>قيمت برنده(ریال)</t>
  </si>
  <si>
    <t>جایگاه بازدید</t>
  </si>
  <si>
    <t>ردیف: 14  پژو پارس TU5 كلاس20 سفيد دو پوششه  شناسه خودرو  مبلغ پایه  قيمت برنده  جایگاه  MH689982  800,000,000  2,330,000,021  14</t>
  </si>
  <si>
    <t>ردیف: 37  دنا كلاس 1 نقره اي متاليك  شناسه خودرو  مبلغ پایه  قيمت برنده  جایگاه  EE003227  2,000,000,000  2,610,000,000  37</t>
  </si>
  <si>
    <t>ردیف: 45  دنا پلاس اتوماتيك با موتور EF7_TC كلاس2 مشكي متاليك  شناسه خودرو  مبلغ پایه  قيمت برنده  جایگاه  NE560917  3,700,000,000  4,780,999,999  45</t>
  </si>
  <si>
    <t>ردیف: 460  سمند SE کلاس 1 سفيد دو پوششه  شناسه خودرو  مبلغ پایه  قيمت برنده  جایگاه  BF752236  70,000,000  101,000,000  484</t>
  </si>
  <si>
    <t>ردیف: 462  تارا دستي کلاس 1 مشكي متاليك  شناسه خودرو  مبلغ پایه  قيمت برنده  جایگاه  LD900010  500,000,000  738,900,000  486</t>
  </si>
  <si>
    <t>ردیف: 463  وانت آريسان دوگانه سوز کلاس 1 مشكي متاليك  شناسه خودرو  مبلغ پایه  قيمت برنده  جایگاه  EV500012  250,000,000  388,900,000  487</t>
  </si>
  <si>
    <t>ردیف: 464  H30 CROSS AT كلاس 1 سفيد دو پوششه  شناسه خودرو  مبلغ پایه  قيمت برنده  جایگاه  HX031333  1,600,000,000  2,106,700,000  488</t>
  </si>
  <si>
    <t>پژو 206 اس دي اتوماتيك كلاس‏1  سفيد دوپوششه كانزاي</t>
  </si>
  <si>
    <t>ردیف: 30  پژو 206 اس دي اتوماتيك كلاس‏1  سفيد دوپوششه كانزاي  شناسه خودرو  مبلغ پایه  قيمت برنده  جایگاه  BJ371591  1,350,000,000  2,310,000,000  30</t>
  </si>
  <si>
    <t>پژو جي ال ايكس دوگانه سوز كلاس‏3 نقره اي متاليك</t>
  </si>
  <si>
    <t>ردیف: 51  پژو جي ال ايكس دوگانه سوز كلاس‏3 نقره اي متاليك  شناسه خودرو  مبلغ پایه  قيمت برنده  جایگاه  40414546  700,000,000  1,210,000,000  51</t>
  </si>
  <si>
    <t>پژو  جي ال ايكس انژكتوري كلاس 2 نقره اي متاليك</t>
  </si>
  <si>
    <t>ردیف: 52  پژو  جي ال ايكس انژكتوري كلاس 2 نقره اي متاليك  شناسه خودرو  مبلغ پایه  قيمت برنده  جایگاه  9K920958  750,000,000  1,279,999,999  52</t>
  </si>
  <si>
    <t>ردیف: 53  پژو 405 - جي ال آي معمولي نوك مدادي ساليد  شناسه خودرو  مبلغ پایه  قيمت برنده  جایگاه  83341282  500,000,000  1,155,555,555  53</t>
  </si>
  <si>
    <t>ردیف: 26  سمند ال ايكسEF7 كلاس 16 سفيد دو پوششه  شناسه خودرو  مبلغ پایه  قيمت برنده  جایگاه  JF419189  1,900,000,000  2,560,000,000  26</t>
  </si>
  <si>
    <t>ردیف: 38  دنا كلاس18 سفيد دوپوششه كانزاي  شناسه خودرو  مبلغ پایه  قيمت برنده  جایگاه  KE161599  2,200,000,000  3,134,736,252  38</t>
  </si>
  <si>
    <t>ردیف: 40  دنا+ (پلاس) كلاس9 سفيد دوپوششه كانزاي  شناسه خودرو  مبلغ پایه  قيمت برنده  جایگاه  KE184630  2,550,000,000  3,666,666,666  40</t>
  </si>
  <si>
    <t>ردیف: 49  دنا پلاس اتوماتيك با موتور EF7_TC كلاس2 مشكي متاليك  شناسه خودرو  مبلغ پایه  قيمت برنده  جایگاه  LE240379  3,300,000,000  4,267,099,999  49</t>
  </si>
  <si>
    <t>ردیف: 36  وانت پيكان OHV دوگانه سوز كلاس 5 سفيد  شناسه خودرو  مبلغ پایه  قيمت برنده  جایگاه  31666895  500,000,000  989,999,999  36</t>
  </si>
  <si>
    <t>ردیف: 39  دنا+ (پلاس) كلاس9 سفيد دوپوششه كانزاي  شناسه خودرو  مبلغ پایه  قيمت برنده  جایگاه  KE189399  2,650,000,000  3,680,000,000  39</t>
  </si>
  <si>
    <t>ردیف: 27  سمند ال ايكسEF7 كلاس 19 سفيد دو پوششه  شناسه خودرو  مبلغ پایه  قيمت برنده  جایگاه  HF234808  1,500,000,000  2,712,200,000  27</t>
  </si>
  <si>
    <t>ردیف: 1  تارا دستي کلاس 1 سفيد دو پوششه  شناسه خودرو  مبلغ پایه  قيمت برنده  جایگاه  MD910557  3,200,000,000  3,750,000,000  1</t>
  </si>
  <si>
    <t>ردیف: 5  پژو پارس کلاس 42 خاكستري متاليك  شناسه خودرو  مبلغ پایه  قيمت برنده  جایگاه  MK068591  2,100,000,000  2,737,199,999  5</t>
  </si>
  <si>
    <t>ردیف: 23  هايماS7 توربو اتوماتيك كلاس2 سفيد دوپوششه كانزاي  شناسه خودرو  مبلغ پایه  قيمت برنده  جایگاه  MY023511  7,500,000,000  8,911,700,000  23</t>
  </si>
  <si>
    <t>ردیف: 35  وانت 1600 انژكتوري كلاس 1 سفيد  شناسه خودرو  مبلغ پایه  قيمت برنده  جایگاه  22103755  400,000,000  999,999,999  35</t>
  </si>
  <si>
    <t>ردیف: 33  پژو 207i دستي کلاس 10 سفيد دو پوششه  شناسه خودرو  مبلغ پایه  قيمت برنده  جایگاه  MJ432486  3,000,000,000  3,963,333,333  33</t>
  </si>
  <si>
    <t>ردیف: 29  پژو جي ال ايكس دوگانه سوز کلاس 35 نقره اي متاليك  شناسه خودرو  مبلغ پایه  قيمت برنده  جایگاه  LK568499  2,100,000,000  2,866,666,666  29</t>
  </si>
  <si>
    <t>ردیف: 13  پژو پارس TU5 كلاس20 سفيد دو پوششه  شناسه خودرو  مبلغ پایه  قيمت برنده  جایگاه  MH672031  2,900,000,000  3,312,525,200  13</t>
  </si>
  <si>
    <t>ردیف: 24  هايماS7 توربو اتوماتيك كلاس2 مشكي متاليك  شناسه خودرو  مبلغ پایه  قيمت برنده  جایگاه  MY051284  7,300,000,000  8,802,700,000  24</t>
  </si>
  <si>
    <t>ردیف: 50  دنا پلاس اتوماتيك با موتور EF7_TC كلاس2 مشكي متاليك  شناسه خودرو  مبلغ پایه  قيمت برنده  جایگاه  LE240740  3,250,000,000  4,509,999,999  50</t>
  </si>
  <si>
    <t>ردیف: 48  دنا پلاس اتوماتيك با موتور EF7_TC كلاس2 خاكستري متاليك  شناسه خودرو  مبلغ پایه  قيمت برنده  جایگاه  ME399467  3,550,000,000  4,737,999,999  48</t>
  </si>
  <si>
    <t>ردیف: 42  دنا پلاس اتوماتيك با موتور EF7_TC كلاس2 مشكي متاليك  شناسه خودرو  مبلغ پایه  قيمت برنده  جایگاه  LE241053  3,400,000,000  4,578,999,999  42</t>
  </si>
  <si>
    <t>ردیف: 16  سورن EF7 بنزيني كلاس18 مشكي متاليك  شناسه خودرو  مبلغ پایه  قيمت برنده  جایگاه  LF650173  2,000,000,000  2,717,777,777  16</t>
  </si>
  <si>
    <t>ردیف: 44  دنا پلاس اتوماتيك با موتور EF7_TC كلاس2 سفيد دوپوششه كانزاي  شناسه خودرو  مبلغ پایه  قيمت برنده  جایگاه  NE481072  3,900,000,000  5,056,999,999  44</t>
  </si>
  <si>
    <t>ردیف: 3  تارا دستي کلاس 1 سفيد دو پوششه  شناسه خودرو  مبلغ پایه  قيمت برنده  جایگاه  MD911233  3,400,000,000  4,025,123,214  3</t>
  </si>
  <si>
    <t>ردیف: 366  دنا+ (پلاس) کلاس 14 سفيد دو پوششه  شناسه خودرو  مبلغ پایه  قيمت برنده  جایگاه  ME361049  3,300,000,000  3,911,000,012  390</t>
  </si>
  <si>
    <t>ردیف: 9  پژو پارس کلاس 42 خاكستري متاليك  شناسه خودرو  مبلغ پایه  قيمت برنده  جایگاه  MK169861  2,150,000,000  2,888,000,000  9</t>
  </si>
  <si>
    <t>پژو 2008 اتوماتيك با موتورEP6  كلاس 1 سفيد دو پوششه</t>
  </si>
  <si>
    <t>ردیف: 34  پژو 2008 اتوماتيك با موتورEP6  كلاس 1 سفيد دو پوششه  شناسه خودرو  مبلغ پایه  قيمت برنده  جایگاه  LD060137  9,800,000,000  13,222,222,222  34</t>
  </si>
  <si>
    <t>ردیف: 46  دنا پلاس اتوماتيك با موتور EF7_TC كلاس2 مشكي متاليك  شناسه خودرو  مبلغ پایه  قيمت برنده  جایگاه  NE565770  4,000,000,000  5,399,000,000  46</t>
  </si>
  <si>
    <t>ردیف: 21  سورن EF7 بنزيني کلاس 19 سفيد دو پوششه  شناسه خودرو  مبلغ پایه  قيمت برنده  جایگاه  MF918425  2,370,000,000  3,081,000,000  21</t>
  </si>
  <si>
    <t>ردیف: 20  سورن EF7 بنزيني کلاس 19 مشكي متاليك  شناسه خودرو  مبلغ پایه  قيمت برنده  جایگاه  NF168902  2,350,000,000  3,318,050,000  20</t>
  </si>
  <si>
    <t>ردیف: 309  سورن EF7 بنزيني کلاس 19 سفيد دو پوششه  شناسه خودرو  مبلغ پایه  قيمت برنده  جایگاه  MF085992  2,400,000,000  2,577,777,777  333</t>
  </si>
  <si>
    <t>ردیف: 43  دنا پلاس اتوماتيك با موتور EF7_TC كلاس2 مشكي متاليك  شناسه خودرو  مبلغ پایه  قيمت برنده  جایگاه  NE567988  3,950,000,000  5,375,000,000  43</t>
  </si>
  <si>
    <t>ردیف: 6  پژو پارس TU5 کلاس 27 مشكي متاليك  شناسه خودرو  مبلغ پایه  قيمت برنده  جایگاه  NH871371  3,300,000,000  4,127,777,770  6</t>
  </si>
  <si>
    <t>ردیف: 314  سورن EF7 بنزيني کلاس 19 سفيد دو پوششه  شناسه خودرو  مبلغ پایه  قيمت برنده  جایگاه  NF163938  2,350,000,000  2,644,400,001  338</t>
  </si>
  <si>
    <t>ردیف: 10  پژو پارس TU5 كلاس20 سفيد دو پوششه  شناسه خودرو  مبلغ پایه  قيمت برنده  جایگاه  NH876186  3,000,000,000  3,735,991,111  10</t>
  </si>
  <si>
    <t>ردیف: 12  پژو پارس TU5 كلاس20 سفيد دو پوششه  شناسه خودرو  مبلغ پایه  قيمت برنده  جایگاه  MH672191  3,100,000,000  3,666,666,666  12</t>
  </si>
  <si>
    <t>ردیف: 337  سورن EF7 بنزيني کلاس 19 سفيد دو پوششه  شناسه خودرو  مبلغ پایه  قيمت برنده  جایگاه  MF910796  2,300,000,000  2,911,111,111  361</t>
  </si>
  <si>
    <t>ردیف: 441  پژو 207i دستي كلاس 6 سفيد دو پوششه  شناسه خودرو  مبلغ پایه  قيمت برنده  جایگاه  MJ428341  3,100,000,000  3,970,000,000  465</t>
  </si>
  <si>
    <t>ردیف: 17  سورن EF7 بنزيني كلاس18 سفيد دو پوششه  شناسه خودرو  مبلغ پایه  قيمت برنده  جایگاه  KF611916  1,800,000,000  2,580,000,000  17</t>
  </si>
  <si>
    <t>ردیف: 411  پژو 206 معمولي كلاس 31 سفيد دو پوششه  شناسه خودرو  مبلغ پایه  قيمت برنده  جایگاه  MJ633265  2,350,000,000  3,080,111,111  435</t>
  </si>
  <si>
    <t>ردیف: 2  تارا دستي کلاس 1 سفيد دو پوششه  شناسه خودرو  مبلغ پایه  قيمت برنده  جایگاه  MD916589  3,400,000,000  4,066,999,999  2</t>
  </si>
  <si>
    <t>ردیف: 47  دنا پلاس اتوماتيك با موتور EF7_TC كلاس2 مشكي متاليك  شناسه خودرو  مبلغ پایه  قيمت برنده  جایگاه  NE562571  3,950,000,000  5,080,000,000  47</t>
  </si>
  <si>
    <t>ردیف: 311  سورن EF7 بنزيني کلاس 19 سفيد دو پوششه  شناسه خودرو  مبلغ پایه  قيمت برنده  جایگاه  NF169632  2,450,000,000  2,862,555,555  335</t>
  </si>
  <si>
    <t>ردیف: 461  تارا دستي کلاس 1 سفيد دو پوششه  شناسه خودرو  مبلغ پایه  قيمت برنده  جایگاه  LD900001  300,000,000  568,900,000  485</t>
  </si>
  <si>
    <t>ردیف: 307  سورن EF7 بنزيني کلاس 19 سفيد دو پوششه  شناسه خودرو  مبلغ پایه  قيمت برنده  جایگاه  MF084974  2,300,000,000  2,790,000,000  331</t>
  </si>
  <si>
    <t>ردیف: 310  سورن EF7 بنزيني کلاس 19 سفيد دو پوششه  شناسه خودرو  مبلغ پایه  قيمت برنده  جایگاه  MF080273  2,300,000,000  2,830,000,000  334</t>
  </si>
  <si>
    <t>ردیف: 19  سورن EF7 بنزيني کلاس 19 مشكي متاليك  شناسه خودرو  مبلغ پایه  قيمت برنده  جایگاه  NF167790  2,300,000,000  3,013,333,333  19</t>
  </si>
  <si>
    <t>ردیف: 500  پژو پارس سال با موتور XU7 P کلاس 1 سفيد دو پوششه  شناسه خودرو  مبلغ پایه  قيمت برنده  جایگاه  NH440923  2,150,000,000  2,672,000,000  537</t>
  </si>
  <si>
    <t>ردیف: 497  پژو پارس سال با موتور XU7 P کلاس 1 مشكي متاليك  شناسه خودرو  مبلغ پایه  قيمت برنده  جایگاه  NH443020  2,500,000,000  3,171,000,000  534</t>
  </si>
  <si>
    <t>ردیف: 457  پژو 207i دستي کلاس 10 سفيد دو پوششه  شناسه خودرو  مبلغ پایه  قيمت برنده  جایگاه  NJ274576  3,500,000,000  4,160,000,000  481</t>
  </si>
  <si>
    <t>ردیف: 18  سورن EF7 بنزيني كلاس18 سفيد دوپوششه كانزاي  شناسه خودرو  مبلغ پایه  قيمت برنده  جایگاه  KF612421  1,800,000,000  2,872,310,000  18</t>
  </si>
  <si>
    <t>ردیف: 388  رانا کلاس 15 سفيد دو پوششه  شناسه خودرو  مبلغ پایه  قيمت برنده  جایگاه  MT324167  2,400,000,000  2,928,999,899  412</t>
  </si>
  <si>
    <t>ردیف: 313  سورن EF7 بنزيني کلاس 19 سفيد دوپوششه كانزاي  شناسه خودرو  مبلغ پایه  قيمت برنده  جایگاه  MF082080  2,100,000,000  2,890,000,000  337</t>
  </si>
  <si>
    <t>ردیف: 340  دنا پلاس توربو شارژ کلاس8 سفيد دو پوششه  شناسه خودرو  مبلغ پایه  قيمت برنده  جایگاه  NE491086  3,700,000,000  4,785,000,000  364</t>
  </si>
  <si>
    <t>ردیف: 508  پژو پارس سال با موتور XU7 P کلاس 1 سفيد دو پوششه  شناسه خودرو  مبلغ پایه  قيمت برنده  جایگاه  NH440929  2,300,000,000  2,763,339,999  545</t>
  </si>
  <si>
    <t>تارا اتوماتيک کلاس 1  سفيد دو پوششه</t>
  </si>
  <si>
    <t>ردیف: 397  تارا اتوماتيک کلاس 1  سفيد دو پوششه  شناسه خودرو  مبلغ پایه  قيمت برنده  جایگاه  MD920023  4,680,000,000  5,136,666,666  421</t>
  </si>
  <si>
    <t>ردیف: 31  پژو 207i دستي کلاس 10 سفيد دو پوششه  شناسه خودرو  مبلغ پایه  قيمت برنده  جایگاه  NJ494340  3,200,000,000  4,199,999,999  31</t>
  </si>
  <si>
    <t>ردیف: 532  پژو پارس TU5 كلاس20 سفيد دو پوششه  شناسه خودرو  مبلغ پایه  قيمت برنده  جایگاه  MH675595  3,000,000,000  3,578,888,888  569</t>
  </si>
  <si>
    <t>ردیف: 316  سورن EF7 بنزيني کلاس 19 سفيد دو پوششه  شناسه خودرو  مبلغ پایه  قيمت برنده  جایگاه  NF162644  2,400,000,000  3,075,555,555  340</t>
  </si>
  <si>
    <t>ردیف: 317  سورن EF7 بنزيني کلاس 19 سفيد دو پوششه  شناسه خودرو  مبلغ پایه  قيمت برنده  جایگاه  NF168356  2,550,000,000  2,798,000,001  341</t>
  </si>
  <si>
    <t>ردیف: 308  سورن EF7 بنزيني کلاس 19 سفيد دو پوششه  شناسه خودرو  مبلغ پایه  قيمت برنده  جایگاه  NF150121  2,500,000,000  2,853,332,220  332</t>
  </si>
  <si>
    <t>ردیف: 32  پژو 207i دستي کلاس 10 سفيد دو پوششه  شناسه خودرو  مبلغ پایه  قيمت برنده  جایگاه  NJ261038  3,200,000,000  4,232,900,000  32</t>
  </si>
  <si>
    <t>ردیف: 548  پژو پارس TU5 كلاس20 سفيد دو پوششه  شناسه خودرو  مبلغ پایه  قيمت برنده  جایگاه  MH688234  2,900,000,000  3,410,000,000  585</t>
  </si>
  <si>
    <t>ردیف: 442  پژو 207i دستي کلاس 10 سفيد دو پوششه  شناسه خودرو  مبلغ پایه  قيمت برنده  جایگاه  NJ264733  3,500,000,000  4,261,500,000  466</t>
  </si>
  <si>
    <t>ردیف: 323  سورن EF7 بنزيني کلاس 19 سفيد دو پوششه  شناسه خودرو  مبلغ پایه  قيمت برنده  جایگاه  NF168088  2,700,000,000  3,088,523,333  347</t>
  </si>
  <si>
    <t>ردیف: 325  سورن EF7 بنزيني کلاس 19 سفيد دو پوششه  شناسه خودرو  مبلغ پایه  قيمت برنده  جایگاه  NF150108  2,200,000,000  3,109,876,549  349</t>
  </si>
  <si>
    <t>ردیف: 546  پژو پارس TU5 كلاس20 سفيد دوپوششه كانزاي  شناسه خودرو  مبلغ پایه  قيمت برنده  جایگاه  MH753160  3,000,000,000  3,387,800,000  583</t>
  </si>
  <si>
    <t>ردیف: 547  پژو پارس TU5 كلاس20 سفيد دو پوششه  شناسه خودرو  مبلغ پایه  قيمت برنده  جایگاه  MH685090  2,850,000,000  3,310,000,008  584</t>
  </si>
  <si>
    <t>ردیف: 41  دنا پلاس اتوماتيك با موتور EF7_TC كلاس2 سفيد دو پوششه  شناسه خودرو  مبلغ پایه  قيمت برنده  جایگاه  NE567861  3,800,000,000  5,140,000,000  41</t>
  </si>
  <si>
    <t>ردیف: 234  پژو پارس سال با موتور XU7 P کلاس 1 سفيد دو پوششه  شناسه خودرو  مبلغ پایه  قيمت برنده  جایگاه  NH442391  2,000,000,000  2,759,999,999  258</t>
  </si>
  <si>
    <t>ردیف: 563  پژو پارس TU5 کلاس 27 سفيد دو پوششه  شناسه خودرو  مبلغ پایه  قيمت برنده  جایگاه  NH206777  3,200,000,000  3,833,000,000  600</t>
  </si>
  <si>
    <t>ردیف: 562  پژو پارس TU5 كلاس20 سفيد دو پوششه  شناسه خودرو  مبلغ پایه  قيمت برنده  جایگاه  MH675591  3,000,000,000  3,800,000,000  599</t>
  </si>
  <si>
    <t>ردیف: 501  پژو پارس سال با موتور XU7 P کلاس 1 مشكي متاليك  شناسه خودرو  مبلغ پایه  قيمت برنده  جایگاه  NH442829  2,500,000,000  3,080,000,123  538</t>
  </si>
  <si>
    <t>ردیف: 459  هايماS7 توربو اتوماتيك كلاس2 خاكستري متاليك  شناسه خودرو  مبلغ پایه  قيمت برنده  جایگاه  NY061029  8,450,000,000  10,210,000,000  483</t>
  </si>
  <si>
    <t>تارا اتوماتيک کلاس 1  سفيد دوپوششه كانزاي</t>
  </si>
  <si>
    <t>ردیف: 399  تارا اتوماتيک کلاس 1  سفيد دوپوششه كانزاي  شناسه خودرو  مبلغ پایه  قيمت برنده  جایگاه  MD920101  4,600,000,000  5,131,090,000  423</t>
  </si>
  <si>
    <t>ردیف: 526  پژو پارس TU5 كلاس20 سفيد دو پوششه  شناسه خودرو  مبلغ پایه  قيمت برنده  جایگاه  MH689154  3,000,000,000  3,180,000,000  563</t>
  </si>
  <si>
    <t>ردیف: 561  پژو پارس TU5 كلاس20 سفيد دو پوششه  شناسه خودرو  مبلغ پایه  قيمت برنده  جایگاه  MH676280  3,000,000,000  3,720,000,000  598</t>
  </si>
  <si>
    <t>ردیف: 11  پژو پارس TU5 كلاس20 سفيد دو پوششه  شناسه خودرو  مبلغ پایه  قيمت برنده  جایگاه  MK150223  2,950,000,000  3,749,000,000  11</t>
  </si>
  <si>
    <t>ردیف: 7  پژو پارس TU5 کلاس 27 مشكي متاليك  شناسه خودرو  مبلغ پایه  قيمت برنده  جایگاه  NH418969  3,300,000,000  4,422,000,000  7</t>
  </si>
  <si>
    <t>ردیف: 345  دنا كلاس17 سفيد دو پوششه  شناسه خودرو  مبلغ پایه  قيمت برنده  جایگاه  ME325309  3,100,000,000  3,680,088,088  369</t>
  </si>
  <si>
    <t>ردیف: 344  دنا كلاس17 سفيد دو پوششه  شناسه خودرو  مبلغ پایه  قيمت برنده  جایگاه  ME325548  3,130,000,000  3,499,999,999  368</t>
  </si>
  <si>
    <t>ردیف: 400  تارا اتوماتيک کلاس 1  سفيد دو پوششه  شناسه خودرو  مبلغ پایه  قيمت برنده  جایگاه  MD921415  4,750,000,000  5,118,000,000  424</t>
  </si>
  <si>
    <t>ردیف: 361  هايما S5 توربو اتوماتيک کلاس 1 مشكي متاليك  شناسه خودرو  مبلغ پایه  قيمت برنده  جایگاه  NY070226  7,700,000,000  8,778,766,880  385</t>
  </si>
  <si>
    <t>ردیف: 342  دنا كلاس17 سفيد دو پوششه  شناسه خودرو  مبلغ پایه  قيمت برنده  جایگاه  ME325285  3,150,000,000  3,645,000,000  366</t>
  </si>
  <si>
    <t>ردیف: 564  پژو پارس TU5 کلاس 27 سفيد دو پوششه  شناسه خودرو  مبلغ پایه  قيمت برنده  جایگاه  NH418496  3,500,000,000  4,316,500,001  601</t>
  </si>
  <si>
    <t>ردیف: 527  پژو پارس TU5 كلاس20 سفيد دو پوششه  شناسه خودرو  مبلغ پایه  قيمت برنده  جایگاه  MH675978  3,000,000,000  3,772,200,000  564</t>
  </si>
  <si>
    <t>ردیف: 522  پژو پارس TU5 كلاس20 سفيد دو پوششه  شناسه خودرو  مبلغ پایه  قيمت برنده  جایگاه  MH675916  3,100,000,000  3,835,000,000  559</t>
  </si>
  <si>
    <t>ردیف: 488  پژو پارس سال با موتور XU7 P کلاس 3 سفيد دو پوششه  شناسه خودرو  مبلغ پایه  قيمت برنده  جایگاه  NH444382  2,550,000,000  3,081,111,111  525</t>
  </si>
  <si>
    <t>پژو 207i اتوماتيک با موتور TU5P  کلاس 2 مشكي متاليك</t>
  </si>
  <si>
    <t>ردیف: 259  پژو 207i اتوماتيک با موتور TU5P  کلاس 2 مشكي متاليك  شناسه خودرو  مبلغ پایه  قيمت برنده  جایگاه  MJ500075  3,900,000,000  4,837,870,000  283</t>
  </si>
  <si>
    <t>ردیف: 521  پژو پارس TU5 كلاس20 سفيد دو پوششه  شناسه خودرو  مبلغ پایه  قيمت برنده  جایگاه  MH667282  3,100,000,000  3,811,200,000  558</t>
  </si>
  <si>
    <t>ردیف: 15  سورن EF7 بنزيني کلاس 19 سفيد دو پوششه  شناسه خودرو  مبلغ پایه  قيمت برنده  جایگاه  NF168368  2,350,000,000  3,256,789,874  15</t>
  </si>
  <si>
    <t>ردیف: 383  رانا کلاس 15 سفيد دو پوششه  شناسه خودرو  مبلغ پایه  قيمت برنده  جایگاه  MT322749  2,400,000,000  2,988,999,999  407</t>
  </si>
  <si>
    <t>ردیف: 505  پژو پارس سال با موتور XU7 P کلاس 1 سفيد دو پوششه  شناسه خودرو  مبلغ پایه  قيمت برنده  جایگاه  NH453569  2,450,000,000  3,035,000,000  542</t>
  </si>
  <si>
    <t>ردیف: 328  سورن EF7 بنزيني کلاس 23 مشكي متاليك  شناسه خودرو  مبلغ پایه  قيمت برنده  جایگاه  NF152631  2,800,000,000  3,450,799,999  352</t>
  </si>
  <si>
    <t>تارا اتوماتيک کلاس 1  قهوه اي كادرو</t>
  </si>
  <si>
    <t>ردیف: 406  تارا اتوماتيک کلاس 1  قهوه اي كادرو   شناسه خودرو  مبلغ پایه  قيمت برنده  جایگاه  MD920062  4,600,000,000  4,999,999,999  430</t>
  </si>
  <si>
    <t>پژو 207i اتوماتيک با موتور TU5P  کلاس 2 سفيد دو پوششه</t>
  </si>
  <si>
    <t>ردیف: 285  پژو 207i اتوماتيک با موتور TU5P  کلاس 2 سفيد دو پوششه  شناسه خودرو  مبلغ پایه  قيمت برنده  جایگاه  MJ500079  3,900,000,000  4,858,756,000  309</t>
  </si>
  <si>
    <t>ردیف: 542  پژو پارس TU5 كلاس20 سفيد دوپوششه كانزاي  شناسه خودرو  مبلغ پایه  قيمت برنده  جایگاه  NK186155  3,300,000,000  3,911,200,000  579</t>
  </si>
  <si>
    <t>ردیف: 434  پژو 207i اتوماتيک با موتور TU5P  کلاس 2 مشكي متاليك  شناسه خودرو  مبلغ پایه  قيمت برنده  جایگاه  MJ500096  3,900,000,000  4,990,000,000  458</t>
  </si>
  <si>
    <t>ردیف: 351  دنا پلاس اتوماتيك با موتور EF7_TC كلاس2 مشكي متاليك  شناسه خودرو  مبلغ پایه  قيمت برنده  جایگاه  NE571832  4,200,000,000  5,367,129,999  375</t>
  </si>
  <si>
    <t>ردیف: 486  پژو پارس سال با موتور XU7 P کلاس 3 مشكي متاليك  شناسه خودرو  مبلغ پایه  قيمت برنده  جایگاه  NH450263  2,550,000,000  3,141,140,000  523</t>
  </si>
  <si>
    <t>ردیف: 222  پژو 206 معمولي كلاس 31 سفيد دو پوششه  شناسه خودرو  مبلغ پایه  قيمت برنده  جایگاه  NJ282141  1,900,000,000  2,655,555,500  246</t>
  </si>
  <si>
    <t>ردیف: 223  پژو 206 معمولي كلاس 31 سفيد دو پوششه  شناسه خودرو  مبلغ پایه  قيمت برنده  جایگاه  NJ283900  1,950,000,000  2,913,333,333  247</t>
  </si>
  <si>
    <t>ردیف: 236  پژو پارس سال با موتور XU7 P کلاس 1 سفيد دوپوششه كانزاي  شناسه خودرو  مبلغ پایه  قيمت برنده  جایگاه  NK464655  1,800,000,000  2,633,999,999  260</t>
  </si>
  <si>
    <t>ردیف: 239  دنا پلاس اتوماتيك با موتور EF7_TC كلاس2 سفيد دو پوششه  شناسه خودرو  مبلغ پایه  قيمت برنده  جایگاه  NE565781  3,900,000,000  4,869,999,999  263</t>
  </si>
  <si>
    <t>ردیف: 241  دنا كلاس17 سفيد دو پوششه  شناسه خودرو  مبلغ پایه  قيمت برنده  جایگاه  NE440468  1,800,000,000  2,736,000,000  265</t>
  </si>
  <si>
    <t>ردیف: 435  پژو 207i دستي کلاس 10 مشكي متاليك  شناسه خودرو  مبلغ پایه  قيمت برنده  جایگاه  NJ275719  3,400,000,000  3,922,000,000  459</t>
  </si>
  <si>
    <t>ردیف: 492  پژو پارس سال با موتور XU7 P کلاس 3 خاكستري متاليك  شناسه خودرو  مبلغ پایه  قيمت برنده  جایگاه  NK464888  2,550,000,000  3,165,000,000  529</t>
  </si>
  <si>
    <t>ردیف: 578  پژو پارس TU5 کلاس 27 مشكي متاليك  شناسه خودرو  مبلغ پایه  قيمت برنده  جایگاه  NH877512  3,500,000,000  4,319,999,888  615</t>
  </si>
  <si>
    <t>ردیف: 365  دنا+ (پلاس) کلاس 17 سفيد دوپوششه كانزاي  شناسه خودرو  مبلغ پایه  قيمت برنده  جایگاه  ME361801  3,350,000,000  4,227,800,000  389</t>
  </si>
  <si>
    <t>ردیف: 479  رانا پلاس با موتور TU5P و گيربکس 6 سرعته دستي کلاس 3 سفيد دو پوششه  شناسه خودرو  مبلغ پایه  قيمت برنده  جایگاه  NT341245  2,750,000,000  3,356,789,999  516</t>
  </si>
  <si>
    <t>ردیف: 615  پژو پارس TU5 کلاس 27 سفيد دو پوششه  شناسه خودرو  مبلغ پایه  قيمت برنده  جایگاه  NH416571  3,500,000,000  4,505,555,110  652</t>
  </si>
  <si>
    <t>ردیف: 253  پژو 207i اتوماتيک با موتور TU5P  کلاس 2 مشكي متاليك  شناسه خودرو  مبلغ پایه  قيمت برنده  جایگاه  MJ500074  3,890,000,000  4,688,787,000  277</t>
  </si>
  <si>
    <t>ردیف: 276  پژو 207i اتوماتيک با موتور TU5P  کلاس 2 سفيد دو پوششه  شناسه خودرو  مبلغ پایه  قيمت برنده  جایگاه  MJ500086  3,900,000,000  4,858,756,000  300</t>
  </si>
  <si>
    <t>ردیف: 297  پژو 207i اتوماتيک با موتور TU5P  کلاس 2 سفيد دو پوششه  شناسه خودرو  مبلغ پایه  قيمت برنده  جایگاه  MJ500093  3,880,000,000  4,361,999,999  321</t>
  </si>
  <si>
    <t>ردیف: 440  پژو 207i دستي كلاس 6 مشكي متاليك  شناسه خودرو  مبلغ پایه  قيمت برنده  جایگاه  NJ485460  3,300,000,000  4,081,000,500  464</t>
  </si>
  <si>
    <t>ردیف: 602  پژو پارس TU5 کلاس 27 سفيد دو پوششه  شناسه خودرو  مبلغ پایه  قيمت برنده  جایگاه  NH877549  3,300,000,000  3,988,888,888  639</t>
  </si>
  <si>
    <t>ردیف: 334  سورن EF7 بنزيني کلاس 19 سفيد دو پوششه  شناسه خودرو  مبلغ پایه  قيمت برنده  جایگاه  NF168630  2,450,000,000  3,126,666,600  358</t>
  </si>
  <si>
    <t>ردیف: 428  پژو 207i اتوماتيک با موتور TU5P  کلاس 2 سفيد دو پوششه  شناسه خودرو  مبلغ پایه  قيمت برنده  جایگاه  MJ500109  3,900,000,000  5,155,555,599  452</t>
  </si>
  <si>
    <t>ردیف: 523  پژو پارس TU5 كلاس20 سفيد دو پوششه  شناسه خودرو  مبلغ پایه  قيمت برنده  جایگاه  MH675975  3,100,000,000  3,885,200,000  560</t>
  </si>
  <si>
    <t>ردیف: 483  رانا پلاس با موتور TU5P و گيربکس 6 سرعته دستي کلاس 3 خاكستري متاليك  شناسه خودرو  مبلغ پایه  قيمت برنده  جایگاه  NT346214  2,750,000,000  3,469,876,521  520</t>
  </si>
  <si>
    <t>ردیف: 525  پژو پارس TU5 كلاس20 سفيد دو پوششه  شناسه خودرو  مبلغ پایه  قيمت برنده  جایگاه  NK190641  3,200,000,000  3,226,000,000  562</t>
  </si>
  <si>
    <t>ردیف: 494  پژو پارس سال با موتور XU7 P کلاس 3 سفيد دو پوششه  شناسه خودرو  مبلغ پایه  قيمت برنده  جایگاه  NH446863  2,550,000,000  3,205,990,000  531</t>
  </si>
  <si>
    <t>ردیف: 298  پژو 207i اتوماتيک با موتور TU5P  کلاس 2 سفيد دو پوششه  شناسه خودرو  مبلغ پایه  قيمت برنده  جایگاه  MJ500064  3,900,000,000  4,875,000,000  322</t>
  </si>
  <si>
    <t>ردیف: 544  پژو پارس TU5 كلاس20 خاكستري متاليك  شناسه خودرو  مبلغ پایه  قيمت برنده  جایگاه  NK190877  3,300,000,000  3,663,000,000  581</t>
  </si>
  <si>
    <t>ردیف: 254  پژو 207i اتوماتيک با موتور TU5P  کلاس 2 مشكي متاليك  شناسه خودرو  مبلغ پایه  قيمت برنده  جایگاه  MJ500104  3,800,000,000  4,481,540,369  278</t>
  </si>
  <si>
    <t>ردیف: 262  پژو 207i اتوماتيک با موتور TU5P  کلاس 2 مشكي متاليك  شناسه خودرو  مبلغ پایه  قيمت برنده  جایگاه  MJ500082  3,900,000,000  4,495,210,000  286</t>
  </si>
  <si>
    <t>ردیف: 499  پژو پارس سال با موتور XU7 P کلاس 1 مشكي متاليك  شناسه خودرو  مبلغ پایه  قيمت برنده  جایگاه  NH443026  2,500,000,000  3,010,000,000  536</t>
  </si>
  <si>
    <t>ردیف: 384  رانا کلاس 15 سفيد دو پوششه  شناسه خودرو  مبلغ پایه  قيمت برنده  جایگاه  MT325329  2,380,000,000  2,959,999,999  408</t>
  </si>
  <si>
    <t>ردیف: 516  پژو پارس سال با موتور XU7 P کلاس 1 سفيد دو پوششه  شناسه خودرو  مبلغ پایه  قيمت برنده  جایگاه  NH442916  2,350,000,000  3,035,000,000  553</t>
  </si>
  <si>
    <t>ردیف: 277  پژو 207i اتوماتيک با موتور TU5P  کلاس 2 مشكي متاليك  شناسه خودرو  مبلغ پایه  قيمت برنده  جایگاه  MJ500098  3,870,000,000  4,477,777,000  301</t>
  </si>
  <si>
    <t>ردیف: 246  پژو 207i اتوماتيک با موتور TU5P  کلاس 2 مشكي متاليك  شناسه خودرو  مبلغ پایه  قيمت برنده  جایگاه  NJ242005  4,030,000,000  4,755,000,000  270</t>
  </si>
  <si>
    <t>ردیف: 370  دنا+ (پلاس) کلاس 17 مشكي متاليك  شناسه خودرو  مبلغ پایه  قيمت برنده  جایگاه  ME357128  3,330,000,000  4,194,000,000  394</t>
  </si>
  <si>
    <t>ردیف: 248  پژو 207i اتوماتيک با موتور TU5P  کلاس 2 مشكي متاليك  شناسه خودرو  مبلغ پایه  قيمت برنده  جایگاه  MJ500072  3,800,000,000  4,988,888,888  272</t>
  </si>
  <si>
    <t>ردیف: 343  دنا كلاس17 سفيد دو پوششه  شناسه خودرو  مبلغ پایه  قيمت برنده  جایگاه  ME325575  3,170,000,000  3,705,000,000  367</t>
  </si>
  <si>
    <t>ردیف: 251  پژو 207i اتوماتيک با موتور TU5P  کلاس 2 سفيد دو پوششه  شناسه خودرو  مبلغ پایه  قيمت برنده  جایگاه  MJ500100  3,900,000,000  5,129,983,269  275</t>
  </si>
  <si>
    <t>ردیف: 390  پژو 207i اتوماتيک با موتور TU5P  کلاس 2 سفيد دو پوششه  شناسه خودرو  مبلغ پایه  قيمت برنده  جایگاه  MJ500076  3,900,000,000  5,069,843,720  414</t>
  </si>
  <si>
    <t>ردیف: 103  وانت آريسان دوگانه سوز كلاس 4 سفيد دو پوششه  شناسه خودرو  مبلغ پایه  قيمت برنده  جایگاه  LC104019  2,000,000,000  2,150,007,890  103</t>
  </si>
  <si>
    <t>ردیف: 481  رانا پلاس با موتور TU5P و گيربکس 6 سرعته دستي کلاس 2 سفيد دو پوششه  شناسه خودرو  مبلغ پایه  قيمت برنده  جایگاه  MT300128  2,720,000,000  3,235,000,000  518</t>
  </si>
  <si>
    <t>ردیف: 536  پژو پارس TU5 كلاس20 سفيد دو پوششه  شناسه خودرو  مبلغ پایه  قيمت برنده  جایگاه  MH683020  2,900,000,000  3,112,500,000  573</t>
  </si>
  <si>
    <t>ردیف: 250  پژو 207i اتوماتيک با موتور TU5P  کلاس 2 سفيد دو پوششه  شناسه خودرو  مبلغ پایه  قيمت برنده  جایگاه  MJ500095  3,900,000,000  5,052,000,000  274</t>
  </si>
  <si>
    <t>ردیف: 426  پژو 207i اتوماتيک با موتور TU5P  کلاس 2 سفيد دو پوششه  شناسه خودرو  مبلغ پایه  قيمت برنده  جایگاه  MJ500065  3,900,000,000  4,731,600,000  450</t>
  </si>
  <si>
    <t>ردیف: 520  پژو پارس TU5 كلاس20 سفيد دو پوششه  شناسه خودرو  مبلغ پایه  قيمت برنده  جایگاه  NK691974  3,200,000,000  3,500,000,000  557</t>
  </si>
  <si>
    <t>ردیف: 269  پژو 207i اتوماتيک با موتور TU5P  کلاس 2 سفيد دو پوششه  شناسه خودرو  مبلغ پایه  قيمت برنده  جایگاه  NJ240205  4,000,000,000  4,776,000,000  293</t>
  </si>
  <si>
    <t>ردیف: 436  پژو 207i اتوماتيک با موتور TU5P  کلاس 2 مشكي متاليك  شناسه خودرو  مبلغ پایه  قيمت برنده  جایگاه  MJ500067  3,800,000,000  4,450,000,000  460</t>
  </si>
  <si>
    <t>ردیف: 453  پژو 207i دستي کلاس 10 سفيد دو پوششه  شناسه خودرو  مبلغ پایه  قيمت برنده  جایگاه  MJ225844  3,300,000,000  4,109,999,999  477</t>
  </si>
  <si>
    <t>ردیف: 491  پژو پارس سال با موتور XU7 P کلاس 3 خاكستري متاليك  شناسه خودرو  مبلغ پایه  قيمت برنده  جایگاه  NK851370  2,500,000,000  2,920,009,000  528</t>
  </si>
  <si>
    <t>ردیف: 271  پژو 207i اتوماتيک با موتور TU5P  کلاس 2 مشكي متاليك  شناسه خودرو  مبلغ پایه  قيمت برنده  جایگاه  MJ500083  3,870,000,000  4,588,888,888  295</t>
  </si>
  <si>
    <t>ردیف: 539  پژو پارس TU5 كلاس20 سفيد دو پوششه  شناسه خودرو  مبلغ پایه  قيمت برنده  جایگاه  MH689360  3,000,000,000  3,700,000,000  576</t>
  </si>
  <si>
    <t>ردیف: 543  پژو پارس TU5 كلاس20 سفيد دو پوششه  شناسه خودرو  مبلغ پایه  قيمت برنده  جایگاه  NH876438  3,300,000,000  3,855,590,000  580</t>
  </si>
  <si>
    <t>ردیف: 381  رانا کلاس 15 سفيد دو پوششه  شناسه خودرو  مبلغ پایه  قيمت برنده  جایگاه  MT325387  2,300,000,000  2,789,900,000  405</t>
  </si>
  <si>
    <t>ردیف: 408  تارا اتوماتيک کلاس 1  سفيد دوپوششه كانزاي  شناسه خودرو  مبلغ پایه  قيمت برنده  جایگاه  MD920110  4,800,000,000  5,524,850,000  432</t>
  </si>
  <si>
    <t>ردیف: 485  پژو پارس سال با موتور XU7 P کلاس 3 سفيد دو پوششه  شناسه خودرو  مبلغ پایه  قيمت برنده  جایگاه  NH459026  2,550,000,000  3,176,000,000  522</t>
  </si>
  <si>
    <t>ردیف: 261  پژو 207i اتوماتيک با موتور TU5P  کلاس 2 مشكي متاليك  شناسه خودرو  مبلغ پایه  قيمت برنده  جایگاه  NJ241720  4,000,000,000  4,650,000,000  285</t>
  </si>
  <si>
    <t>تارا اتوماتيک کلاس 1  مشكي متاليك (آبنوس)</t>
  </si>
  <si>
    <t>ردیف: 405  تارا اتوماتيک کلاس 1  مشكي متاليك (آبنوس)  شناسه خودرو  مبلغ پایه  قيمت برنده  جایگاه  MD920118  4,800,000,000  5,535,966,666  429</t>
  </si>
  <si>
    <t>ردیف: 327  سورن EF7 بنزيني کلاس 19 سفيد دو پوششه  شناسه خودرو  مبلغ پایه  قيمت برنده  جایگاه  NF162194  2,600,000,000  3,321,599,999  351</t>
  </si>
  <si>
    <t>ردیف: 350  دنا پلاس اتوماتيك با موتور EF7_TC كلاس2 سفيد دو پوششه  شناسه خودرو  مبلغ پایه  قيمت برنده  جایگاه  NE488888  4,100,000,000  5,425,500,000  374</t>
  </si>
  <si>
    <t>ردیف: 291  پژو 207i اتوماتيک با موتور TU5P  کلاس 2 سفيد دو پوششه  شناسه خودرو  مبلغ پایه  قيمت برنده  جایگاه  MJ500077  3,900,000,000  4,715,550,777  315</t>
  </si>
  <si>
    <t>ردیف: 286  پژو 207i اتوماتيک با موتور TU5P  کلاس 2 مشكي متاليك  شناسه خودرو  مبلغ پایه  قيمت برنده  جایگاه  MJ500107  3,850,000,000  4,416,666,666  310</t>
  </si>
  <si>
    <t>ردیف: 531  پژو پارس TU5 كلاس20 سفيد دو پوششه  شناسه خودرو  مبلغ پایه  قيمت برنده  جایگاه  MH674560  3,000,000,000  3,828,000,000  568</t>
  </si>
  <si>
    <t>ردیف: 541  پژو پارس TU5 كلاس20 خاكستري متاليك  شناسه خودرو  مبلغ پایه  قيمت برنده  جایگاه  NK193281  3,300,000,000  3,717,999,999  578</t>
  </si>
  <si>
    <t>ردیف: 263  پژو 207i اتوماتيک با موتور TU5P  کلاس 2 سفيد دو پوششه  شناسه خودرو  مبلغ پایه  قيمت برنده  جایگاه  MJ500070  3,870,000,000  4,550,000,999  287</t>
  </si>
  <si>
    <t>ردیف: 535  پژو پارس TU5 كلاس20 سفيد دو پوششه  شناسه خودرو  مبلغ پایه  قيمت برنده  جایگاه  MH689112  3,000,000,000  3,825,550,000  572</t>
  </si>
  <si>
    <t>ردیف: 295  پژو 207i اتوماتيک با موتور TU5P  کلاس 2 سفيد دو پوششه  شناسه خودرو  مبلغ پایه  قيمت برنده  جایگاه  MJ500071  3,880,000,000  4,480,000,000  319</t>
  </si>
  <si>
    <t>ردیف: 243  پژو 207i اتوماتيک با موتور TU5P  کلاس 2 سفيد دو پوششه  شناسه خودرو  مبلغ پایه  قيمت برنده  جایگاه  MJ500101  3,900,000,000  5,000,000,000  267</t>
  </si>
  <si>
    <t>ردیف: 385  رانا کلاس 15 سفيد دو پوششه  شناسه خودرو  مبلغ پایه  قيمت برنده  جایگاه  MT323474  2,370,000,000  2,920,089,400  409</t>
  </si>
  <si>
    <t>ردیف: 530  پژو پارس TU5 كلاس20 سفيد دو پوششه  شناسه خودرو  مبلغ پایه  قيمت برنده  جایگاه  MH675837  3,000,000,000  3,663,663,663  567</t>
  </si>
  <si>
    <t>ردیف: 395  تارا اتوماتيک کلاس 1  سفيد دوپوششه كانزاي  شناسه خودرو  مبلغ پایه  قيمت برنده  جایگاه  MD920102  4,780,000,000  5,319,000,000  419</t>
  </si>
  <si>
    <t>ردیف: 293  پژو 207i اتوماتيک با موتور TU5P  کلاس 2 مشكي متاليك  شناسه خودرو  مبلغ پایه  قيمت برنده  جایگاه  MJ500099  3,880,000,000  4,090,000,000  317</t>
  </si>
  <si>
    <t>تارا اتوماتيک کلاس 1  نقره اي متاليك</t>
  </si>
  <si>
    <t>ردیف: 394  تارا اتوماتيک کلاس 1  نقره اي متاليك  شناسه خودرو  مبلغ پایه  قيمت برنده  جایگاه  MD920120  4,800,000,000  5,351,000,000  418</t>
  </si>
  <si>
    <t>ردیف: 302  پژو 207i اتوماتيک با موتور TU5P  کلاس 2 مشكي متاليك  شناسه خودرو  مبلغ پایه  قيمت برنده  جایگاه  MJ500106  3,900,000,000  4,858,756,000  326</t>
  </si>
  <si>
    <t>ردیف: 355  دنا پلاس اتوماتيك با موتور EF7_TC كلاس2 خاكستري متاليك  شناسه خودرو  مبلغ پایه  قيمت برنده  جایگاه  NE571161  4,050,000,000  5,050,000,000  379</t>
  </si>
  <si>
    <t>ردیف: 357  دنا پلاس اتوماتيك با موتور EF7_TC كلاس2 سفيد دو پوششه  شناسه خودرو  مبلغ پایه  قيمت برنده  جایگاه  NE567021  4,100,000,000  5,355,500,000  381</t>
  </si>
  <si>
    <t>ردیف: 484  پژو پارس سال با موتور XU7 P کلاس 3 خاكستري متاليك  شناسه خودرو  مبلغ پایه  قيمت برنده  جایگاه  NK460439  2,580,000,000  3,215,111,111  521</t>
  </si>
  <si>
    <t>ردیف: 529  پژو پارس TU5 كلاس20 مشكي متاليك  شناسه خودرو  مبلغ پایه  قيمت برنده  جایگاه  NK186579  3,300,000,000  3,737,800,000  566</t>
  </si>
  <si>
    <t>ردیف: 89  وانت آريسان دوگانه سوز كلاس 4 سفيد دو پوششه  شناسه خودرو  مبلغ پایه  قيمت برنده  جایگاه  LC104120  2,000,000,000  2,160,999,999  89</t>
  </si>
  <si>
    <t>ردیف: 221  رانا کلاس 15 سفيد دو پوششه  شناسه خودرو  مبلغ پایه  قيمت برنده  جایگاه  NT373492  1,700,000,000  2,751,414,141  245</t>
  </si>
  <si>
    <t>ردیف: 347  دنا پلاس اتوماتيك با موتور EF7_TC كلاس2 مشكي متاليك  شناسه خودرو  مبلغ پایه  قيمت برنده  جایگاه  ME408304  4,100,000,000  5,235,000,000  371</t>
  </si>
  <si>
    <t>ردیف: 244  پژو 207i اتوماتيک با موتور TU5P  کلاس 2 مشكي متاليك  شناسه خودرو  مبلغ پایه  قيمت برنده  جایگاه  NJ243179  4,050,000,000  4,755,555,555  268</t>
  </si>
  <si>
    <t>ردیف: 386  رانا کلاس 15 مشكي متاليك  شناسه خودرو  مبلغ پایه  قيمت برنده  جایگاه  NT368776  2,580,000,000  2,965,000,000  410</t>
  </si>
  <si>
    <t>ردیف: 425  پژو 207i اتوماتيک با موتور TU5P  کلاس 2 سفيد دو پوششه  شناسه خودرو  مبلغ پایه  قيمت برنده  جایگاه  MJ500069  3,900,000,000  5,105,555,555  449</t>
  </si>
  <si>
    <t>ردیف: 432  پژو 207i اتوماتيک با موتور TU5P  کلاس 2 مشكي متاليك  شناسه خودرو  مبلغ پایه  قيمت برنده  جایگاه  MJ500091  3,900,000,000  4,601,000,000  456</t>
  </si>
  <si>
    <t>ردیف: 303  پژو 207i اتوماتيک با موتور TU5P  کلاس 2 سفيد دو پوششه  شناسه خودرو  مبلغ پایه  قيمت برنده  جایگاه  MJ500110  3,880,000,000  4,459,999,999  327</t>
  </si>
  <si>
    <t>ردیف: 433  پژو 207i اتوماتيک با موتور TU5P  کلاس 2 سفيد دو پوششه  شناسه خودرو  مبلغ پایه  قيمت برنده  جایگاه  MJ500068  3,900,000,000  4,756,990,000  457</t>
  </si>
  <si>
    <t>ردیف: 455  پژو 207i دستي کلاس 10 مشكي متاليك  شناسه خودرو  مبلغ پایه  قيمت برنده  جایگاه  NJ509263  3,400,000,000  4,800,000,999  479</t>
  </si>
  <si>
    <t>ردیف: 200  وانت آريسان دوگانه سوز كلاس 4 سفيد دو پوششه  شناسه خودرو  مبلغ پایه  قيمت برنده  جایگاه  LC103666  1,980,000,000  2,169,999,999  200</t>
  </si>
  <si>
    <t>ردیف: 625  پژو پارس TU5 کلاس 27 مشكي متاليك  شناسه خودرو  مبلغ پایه  قيمت برنده  جایگاه  NH871729  3,400,000,000  4,159,999,999  662</t>
  </si>
  <si>
    <t>ردیف: 273  پژو 207i اتوماتيک با موتور TU5P  کلاس 2 مشكي متاليك  شناسه خودرو  مبلغ پایه  قيمت برنده  جایگاه  MJ500073  3,900,000,000  4,665,839,999  297</t>
  </si>
  <si>
    <t>ردیف: 288  پژو 207i اتوماتيک با موتور TU5P  کلاس 2 سفيد دو پوششه  شناسه خودرو  مبلغ پایه  قيمت برنده  جایگاه  MJ500085  3,900,000,000  4,985,756,000  312</t>
  </si>
  <si>
    <t>ردیف: 416  پژو 206 معمولي كلاس 31 مشكي متاليك  شناسه خودرو  مبلغ پایه  قيمت برنده  جایگاه  NJ285040  2,500,000,000  2,979,999,999  440</t>
  </si>
  <si>
    <t>ردیف: 264  پژو 207i اتوماتيک با موتور TU5P  کلاس 2 مشكي متاليك  شناسه خودرو  مبلغ پایه  قيمت برنده  جایگاه  NJ243197  4,050,000,000  4,619,553,250  288</t>
  </si>
  <si>
    <t>ردیف: 279  پژو 207i اتوماتيک با موتور TU5P  کلاس 2 مشكي متاليك  شناسه خودرو  مبلغ پایه  قيمت برنده  جایگاه  MJ500080  3,880,000,000  4,617,897,897  303</t>
  </si>
  <si>
    <t>ردیف: 391  پژو 207i اتوماتيک با موتور TU5P  کلاس 2 سفيد دو پوششه  شناسه خودرو  مبلغ پایه  قيمت برنده  جایگاه  MJ500092  3,900,000,000  5,093,214,652  415</t>
  </si>
  <si>
    <t>ردیف: 126  وانت آريسان دوگانه سوز كلاس 4 سفيد دو پوششه  شناسه خودرو  مبلغ پایه  قيمت برنده  جایگاه  LC103792  2,000,000,000  2,126,789,999  126</t>
  </si>
  <si>
    <t>ردیف: 559  پژو پارس TU5 كلاس20 مشكي متاليك  شناسه خودرو  مبلغ پایه  قيمت برنده  جایگاه  NH867162  3,300,000,000  3,637,373,000  596</t>
  </si>
  <si>
    <t>ردیف: 133  وانت آريسان دوگانه سوز كلاس 4 سفيد دو پوششه  شناسه خودرو  مبلغ پایه  قيمت برنده  جایگاه  LC104150  2,000,000,000  2,183,000,000  133</t>
  </si>
  <si>
    <t>ردیف: 360  هايما S5 توربو اتوماتيک کلاس 1 نقره اي متاليك  شناسه خودرو  مبلغ پایه  قيمت برنده  جایگاه  NY071872  7,700,000,000  9,050,000,000  384</t>
  </si>
  <si>
    <t>ردیف: 446  پژو 207i دستي کلاس 10 مشكي متاليك  شناسه خودرو  مبلغ پایه  قيمت برنده  جایگاه  NJ494814  3,400,000,000  3,913,000,000  470</t>
  </si>
  <si>
    <t>ردیف: 452  پژو 207i دستي کلاس 10 مشكي متاليك  شناسه خودرو  مبلغ پایه  قيمت برنده  جایگاه  MJ224653  3,200,000,000  4,115,000,000  476</t>
  </si>
  <si>
    <t>ردیف: 456  پژو 207i دستي کلاس 10 سفيد دو پوششه  شناسه خودرو  مبلغ پایه  قيمت برنده  جایگاه  NJ509935  3,400,000,000  4,141,414,141  480</t>
  </si>
  <si>
    <t>ردیف: 469  وانت آريسان دوگانه سوز كلاس 4 سفيد دو پوششه  شناسه خودرو  مبلغ پایه  قيمت برنده  جایگاه  LC103903  2,000,000,000  2,246,750,000  493</t>
  </si>
  <si>
    <t>ردیف: 601  پژو پارس TU5 کلاس 27 سفيد دو پوششه  شناسه خودرو  مبلغ پایه  قيمت برنده  جایگاه  NH206837  3,200,000,000  3,773,924,157  638</t>
  </si>
  <si>
    <t>ردیف: 80  وانت آريسان دوگانه سوز كلاس 4 سفيد دو پوششه  شناسه خودرو  مبلغ پایه  قيمت برنده  جایگاه  LC103724  2,000,000,000  2,160,000,000  80</t>
  </si>
  <si>
    <t>ردیف: 85  وانت آريسان دوگانه سوز كلاس 4 سفيد دو پوششه  شناسه خودرو  مبلغ پایه  قيمت برنده  جایگاه  LC104163  2,000,000,000  2,177,440,001  85</t>
  </si>
  <si>
    <t>ردیف: 95  وانت آريسان دوگانه سوز كلاس 4 سفيد دو پوششه  شناسه خودرو  مبلغ پایه  قيمت برنده  جایگاه  LC104102  2,000,000,000  2,199,990,000  95</t>
  </si>
  <si>
    <t>ردیف: 125  وانت آريسان دوگانه سوز كلاس 4 سفيد دو پوششه  شناسه خودرو  مبلغ پایه  قيمت برنده  جایگاه  LC103963  2,000,000,000  2,088,888,888  125</t>
  </si>
  <si>
    <t>ردیف: 393  تارا دستي کلاس 1 مشكي متاليك (آبنوس)  شناسه خودرو  مبلغ پایه  قيمت برنده  جایگاه  ND932084  3,550,000,000  4,444,440,000  417</t>
  </si>
  <si>
    <t>ردیف: 448  پژو 207i دستي کلاس 10 مشكي متاليك  شناسه خودرو  مبلغ پایه  قيمت برنده  جایگاه  NJ498506  3,480,000,000  4,189,999,999  472</t>
  </si>
  <si>
    <t>ردیف: 59  وانت آريسان دوگانه سوز كلاس 4 سفيد دو پوششه  شناسه خودرو  مبلغ پایه  قيمت برنده  جایگاه  LC103928  2,000,000,000  2,217,770,000  59</t>
  </si>
  <si>
    <t>ردیف: 105  وانت آريسان دوگانه سوز كلاس 4 سفيد دو پوششه  شناسه خودرو  مبلغ پایه  قيمت برنده  جایگاه  LC104100  2,000,000,000  2,277,777,777  105</t>
  </si>
  <si>
    <t>ردیف: 214  وانت آريسان دوگانه سوز كلاس 4 سفيد دو پوششه  شناسه خودرو  مبلغ پایه  قيمت برنده  جایگاه  LC103937  2,000,000,000  2,202,999,999  230</t>
  </si>
  <si>
    <t>ردیف: 242  هايما S5 توربو اتوماتيک کلاس 1 مشكي متاليك  شناسه خودرو  مبلغ پایه  قيمت برنده  جایگاه  NY073093  6,500,000,000  7,520,000,000  266</t>
  </si>
  <si>
    <t>ردیف: 252  پژو 207i اتوماتيک با موتور TU5P  کلاس 2 سفيد دو پوششه  شناسه خودرو  مبلغ پایه  قيمت برنده  جایگاه  MJ500084  3,850,000,000  4,381,111,111  276</t>
  </si>
  <si>
    <t>ردیف: 369  دنا+ (پلاس) کلاس 17 مشكي متاليك  شناسه خودرو  مبلغ پایه  قيمت برنده  جایگاه  NE522057  3,500,000,000  4,850,011,111  393</t>
  </si>
  <si>
    <t>ردیف: 444  پژو 207i دستي کلاس 10 مشكي متاليك  شناسه خودرو  مبلغ پایه  قيمت برنده  جایگاه  NJ508901  3,450,000,000  4,240,000,000  468</t>
  </si>
  <si>
    <t>ردیف: 454  پژو 207i دستي کلاس 10 سفيد دو پوششه  شناسه خودرو  مبلغ پایه  قيمت برنده  جایگاه  NJ265691  3,450,000,000  4,220,001,111  478</t>
  </si>
  <si>
    <t>ردیف: 458  پژو 207i دستي کلاس 10 سفيد دو پوششه  شناسه خودرو  مبلغ پایه  قيمت برنده  جایگاه  NJ490844  3,450,000,000  4,001,000,000  482</t>
  </si>
  <si>
    <t>ردیف: 102  وانت آريسان دوگانه سوز كلاس 4 سفيد دو پوششه  شناسه خودرو  مبلغ پایه  قيمت برنده  جایگاه  LC103941  2,000,000,000  2,170,007,890  102</t>
  </si>
  <si>
    <t>ردیف: 118  وانت آريسان دوگانه سوز كلاس 4 سفيد دو پوششه  شناسه خودرو  مبلغ پایه  قيمت برنده  جایگاه  LC103578  2,000,000,000  2,126,660,000  118</t>
  </si>
  <si>
    <t>ردیف: 149  وانت آريسان دوگانه سوز كلاس 4 سفيد دو پوششه  شناسه خودرو  مبلغ پایه  قيمت برنده  جایگاه  LC104084  2,000,000,000  2,181,000,000  149</t>
  </si>
  <si>
    <t>ردیف: 210  وانت آريسان دوگانه سوز كلاس 4 سفيد دو پوششه  شناسه خودرو  مبلغ پایه  قيمت برنده  جایگاه  LC104119  1,980,000,000  2,122,999,999  210</t>
  </si>
  <si>
    <t>ردیف: 551  پژو پارس TU5 كلاس20 سفيد دو پوششه  شناسه خودرو  مبلغ پایه  قيمت برنده  جایگاه  NH877178  3,300,000,000  3,871,200,000  588</t>
  </si>
  <si>
    <t>ردیف: 99  وانت آريسان دوگانه سوز كلاس 4 سفيد دو پوششه  شناسه خودرو  مبلغ پایه  قيمت برنده  جایگاه  LC103543  2,000,000,000  2,311,111,111  99</t>
  </si>
  <si>
    <t>ردیف: 119  وانت آريسان دوگانه سوز كلاس 4 سفيد دو پوششه  شناسه خودرو  مبلغ پایه  قيمت برنده  جایگاه  LC103879  2,000,000,000  2,131,000,000  119</t>
  </si>
  <si>
    <t>ردیف: 201  وانت آريسان دوگانه سوز كلاس 4 سفيد دو پوششه  شناسه خودرو  مبلغ پایه  قيمت برنده  جایگاه  LC103915  2,000,000,000  2,177,000,000  201</t>
  </si>
  <si>
    <t>ردیف: 260  پژو 207i اتوماتيک با موتور TU5P  کلاس 2 مشكي متاليك  شناسه خودرو  مبلغ پایه  قيمت برنده  جایگاه  NJ242475  4,070,000,000  4,767,000,000  284</t>
  </si>
  <si>
    <t>ردیف: 315  سورن EF7 بنزيني کلاس 19 سفيد دوپوششه كانزاي  شناسه خودرو  مبلغ پایه  قيمت برنده  جایگاه  NF167729  2,400,000,000  2,867,799,999  339</t>
  </si>
  <si>
    <t>ردیف: 363  هايما S5 توربو اتوماتيک کلاس 1 مشكي متاليك  شناسه خودرو  مبلغ پایه  قيمت برنده  جایگاه  NY071813  7,650,000,000  8,821,000,000  387</t>
  </si>
  <si>
    <t>ردیف: 475  وانت آريسان دوگانه سوز كلاس 4 سفيد دو پوششه  شناسه خودرو  مبلغ پایه  قيمت برنده  جایگاه  LC103673  2,000,000,000  2,210,000,000  499</t>
  </si>
  <si>
    <t>ردیف: 476  وانت آريسان دوگانه سوز كلاس 4 سفيد دو پوششه  شناسه خودرو  مبلغ پایه  قيمت برنده  جایگاه  LC103765  2,000,000,000  2,250,000,000  500</t>
  </si>
  <si>
    <t>ردیف: 57  وانت آريسان دوگانه سوز كلاس 4 سفيد دو پوششه  شناسه خودرو  مبلغ پایه  قيمت برنده  جایگاه  LC103576  2,000,000,000  2,111,999,999  57</t>
  </si>
  <si>
    <t>ردیف: 67  وانت آريسان دوگانه سوز كلاس 4 سفيد دو پوششه  شناسه خودرو  مبلغ پایه  قيمت برنده  جایگاه  LC103894  2,000,000,000  2,200,000,000  67</t>
  </si>
  <si>
    <t>ردیف: 72  وانت آريسان دوگانه سوز كلاس 4 سفيد دو پوششه  شناسه خودرو  مبلغ پایه  قيمت برنده  جایگاه  LC104172  2,000,000,000  2,224,999,999  72</t>
  </si>
  <si>
    <t>ردیف: 114  وانت آريسان دوگانه سوز كلاس 4 سفيد دو پوششه  شناسه خودرو  مبلغ پایه  قيمت برنده  جایگاه  LC103601  2,000,000,000  2,161,616,161  114</t>
  </si>
  <si>
    <t>ردیف: 131  وانت آريسان دوگانه سوز كلاس 4 سفيد دو پوششه  شناسه خودرو  مبلغ پایه  قيمت برنده  جایگاه  LC104000  1,980,000,000  2,212,000,000  131</t>
  </si>
  <si>
    <t>ردیف: 198  وانت آريسان دوگانه سوز كلاس 4 سفيد دو پوششه  شناسه خودرو  مبلغ پایه  قيمت برنده  جایگاه  LC103873  2,000,000,000  2,179,999,999  198</t>
  </si>
  <si>
    <t>ردیف: 209  وانت آريسان دوگانه سوز كلاس 4 سفيد دو پوششه  شناسه خودرو  مبلغ پایه  قيمت برنده  جایگاه  LC103682  1,980,000,000  2,100,000,000  209</t>
  </si>
  <si>
    <t>ردیف: 216  وانت آريسان دوگانه سوز كلاس 4 سفيد دو پوششه  شناسه خودرو  مبلغ پایه  قيمت برنده  جایگاه  LC103853  1,950,000,000  2,120,055,110  232</t>
  </si>
  <si>
    <t>ردیف: 249  پژو 207i اتوماتيک با موتور TU5P  کلاس 2 مشكي متاليك  شناسه خودرو  مبلغ پایه  قيمت برنده  جایگاه  NJ242420  4,050,000,000  4,760,000,000  273</t>
  </si>
  <si>
    <t>ردیف: 278  پژو 207i اتوماتيک با موتور TU5P  کلاس 2 مشكي متاليك  شناسه خودرو  مبلغ پایه  قيمت برنده  جایگاه  MJ500105  3,900,000,000  4,910,000,000  302</t>
  </si>
  <si>
    <t>ردیف: 336  سورن EF7 بنزيني کلاس 19 سفيد دو پوششه  شناسه خودرو  مبلغ پایه  قيمت برنده  جایگاه  NF168061  2,500,000,000  3,030,000,000  360</t>
  </si>
  <si>
    <t>تارا اتوماتيک کلاس 1  خاكستري متاليك</t>
  </si>
  <si>
    <t>ردیف: 404  تارا اتوماتيک کلاس 1  خاكستري متاليك  شناسه خودرو  مبلغ پایه  قيمت برنده  جایگاه  ND942012  4,950,000,000  5,735,005,555  428</t>
  </si>
  <si>
    <t>ردیف: 451  پژو 207i دستي کلاس 10 مشكي متاليك  شناسه خودرو  مبلغ پایه  قيمت برنده  جایگاه  NJ490665  3,480,000,000  4,775,000,000  475</t>
  </si>
  <si>
    <t>ردیف: 574  پژو پارس TU5 کلاس 27 مشكي متاليك  شناسه خودرو  مبلغ پایه  قيمت برنده  جایگاه  NH871159  3,500,000,000  4,335,000,000  611</t>
  </si>
  <si>
    <t>ردیف: 106  وانت آريسان دوگانه سوز كلاس 4 سفيد دو پوششه  شناسه خودرو  مبلغ پایه  قيمت برنده  جایگاه  LC104030  2,000,000,000  2,288,888,898  106</t>
  </si>
  <si>
    <t>ردیف: 148  وانت آريسان دوگانه سوز كلاس 4 سفيد دو پوششه  شناسه خودرو  مبلغ پایه  قيمت برنده  جایگاه  LC104038  2,000,000,000  2,222,000,000  148</t>
  </si>
  <si>
    <t>ردیف: 296  پژو 207i اتوماتيک با موتور TU5P  کلاس 2 مشكي متاليك  شناسه خودرو  مبلغ پایه  قيمت برنده  جایگاه  MJ500081  3,800,000,000  4,463,335,551  320</t>
  </si>
  <si>
    <t>ردیف: 305  پژو 207i اتوماتيک با موتور TU5P  کلاس 2 مشكي متاليك  شناسه خودرو  مبلغ پایه  قيمت برنده  جایگاه  MJ500088  3,900,000,000  4,897,979,000  329</t>
  </si>
  <si>
    <t>ردیف: 341  دنا كلاس17 سفيد دو پوششه  شناسه خودرو  مبلغ پایه  قيمت برنده  جایگاه  ME326161  3,050,000,000  3,550,000,000  365</t>
  </si>
  <si>
    <t>ردیف: 473  وانت آريسان دوگانه سوز كلاس 4 سفيد دو پوششه  شناسه خودرو  مبلغ پایه  قيمت برنده  جایگاه  LC103786  2,000,000,000  2,122,999,999  497</t>
  </si>
  <si>
    <t>ردیف: 509  پژو پارس سال با موتور XU7 P کلاس 1 مشكي متاليك  شناسه خودرو  مبلغ پایه  قيمت برنده  جایگاه  NH442828  2,450,000,000  2,809,999,990  546</t>
  </si>
  <si>
    <t>ردیف: 134  وانت آريسان دوگانه سوز كلاس 4 سفيد دو پوششه  شناسه خودرو  مبلغ پایه  قيمت برنده  جایگاه  LC103281  2,000,000,000  2,222,000,000  134</t>
  </si>
  <si>
    <t>ردیف: 179  وانت آريسان دوگانه سوز كلاس 4 سفيد دو پوششه  شناسه خودرو  مبلغ پایه  قيمت برنده  جایگاه  LC104080  2,000,000,000  2,056,099,999  179</t>
  </si>
  <si>
    <t>ردیف: 180  وانت آريسان دوگانه سوز كلاس 4 سفيد دو پوششه  شناسه خودرو  مبلغ پایه  قيمت برنده  جایگاه  LC104164  2,000,000,000  2,157,999,000  180</t>
  </si>
  <si>
    <t>ردیف: 182  وانت آريسان دوگانه سوز كلاس 4 سفيد دو پوششه  شناسه خودرو  مبلغ پایه  قيمت برنده  جایگاه  LC103948  1,980,000,000  2,035,500,000  182</t>
  </si>
  <si>
    <t>ردیف: 289  پژو 207i اتوماتيک با موتور TU5P  کلاس 2 سفيد دو پوششه  شناسه خودرو  مبلغ پایه  قيمت برنده  جایگاه  MJ500103  3,900,000,000  4,858,756,000  313</t>
  </si>
  <si>
    <t>ردیف: 376  رانا کلاس 15 سفيد دو پوششه  شناسه خودرو  مبلغ پایه  قيمت برنده  جایگاه  NT370857  2,370,000,000  2,956,666,666  400</t>
  </si>
  <si>
    <t>ردیف: 421  پژو 206 معمولي كلاس 31 سفيد دو پوششه  شناسه خودرو  مبلغ پایه  قيمت برنده  جایگاه  NJ291962  2,500,000,000  3,028,999,999  445</t>
  </si>
  <si>
    <t>ردیف: 430  پژو 207i اتوماتيک با موتور TU5P  کلاس 2 مشكي متاليك  شناسه خودرو  مبلغ پایه  قيمت برنده  جایگاه  NJ240728  4,050,000,000  4,539,999,999  454</t>
  </si>
  <si>
    <t>ردیف: 449  پژو 207i دستي کلاس 10 سفيد دو پوششه  شناسه خودرو  مبلغ پایه  قيمت برنده  جایگاه  NJ266131  3,500,000,000  4,175,000,000  473</t>
  </si>
  <si>
    <t>ردیف: 450  پژو 207i دستي کلاس 10 مشكي متاليك  شناسه خودرو  مبلغ پایه  قيمت برنده  جایگاه  NJ491268  3,500,000,000  4,219,999,999  474</t>
  </si>
  <si>
    <t>ردیف: 79  وانت آريسان دوگانه سوز كلاس 4 سفيد دو پوششه  شناسه خودرو  مبلغ پایه  قيمت برنده  جایگاه  LC103633  2,000,000,000  2,129,298,929  79</t>
  </si>
  <si>
    <t>ردیف: 82  وانت آريسان دوگانه سوز كلاس 4 سفيد دو پوششه  شناسه خودرو  مبلغ پایه  قيمت برنده  جایگاه  LC103706  2,000,000,000  2,202,000,000  82</t>
  </si>
  <si>
    <t>ردیف: 92  وانت آريسان دوگانه سوز كلاس 4 سفيد دو پوششه  شناسه خودرو  مبلغ پایه  قيمت برنده  جایگاه  LC103998  2,000,000,000  2,250,000,999  92</t>
  </si>
  <si>
    <t>ردیف: 96  وانت آريسان دوگانه سوز كلاس 4 سفيد دو پوششه  شناسه خودرو  مبلغ پایه  قيمت برنده  جایگاه  LC103729  2,000,000,000  2,220,000,000  96</t>
  </si>
  <si>
    <t>ردیف: 101  وانت آريسان دوگانه سوز كلاس 4 سفيد دو پوششه  شناسه خودرو  مبلغ پایه  قيمت برنده  جایگاه  LC103687  2,000,000,000  2,108,785,000  101</t>
  </si>
  <si>
    <t>ردیف: 117  وانت آريسان دوگانه سوز كلاس 4 سفيد دو پوششه  شناسه خودرو  مبلغ پایه  قيمت برنده  جایگاه  LC104115  2,000,000,000  2,150,000,000  117</t>
  </si>
  <si>
    <t>ردیف: 121  وانت آريسان دوگانه سوز كلاس 4 سفيد دو پوششه  شناسه خودرو  مبلغ پایه  قيمت برنده  جایگاه  LC103710  2,000,000,000  2,235,000,000  121</t>
  </si>
  <si>
    <t>ردیف: 144  وانت آريسان دوگانه سوز كلاس 4 سفيد دو پوششه  شناسه خودرو  مبلغ پایه  قيمت برنده  جایگاه  LC103679  2,000,000,000  2,150,000,000  144</t>
  </si>
  <si>
    <t>ردیف: 158  وانت آريسان دوگانه سوز كلاس 4 سفيد دو پوششه  شناسه خودرو  مبلغ پایه  قيمت برنده  جایگاه  LC103850  2,000,000,000  2,222,222,222  158</t>
  </si>
  <si>
    <t>ردیف: 176  وانت آريسان دوگانه سوز كلاس 4 سفيد دو پوششه  شناسه خودرو  مبلغ پایه  قيمت برنده  جایگاه  LC103871  2,000,000,000  2,169,999,999  176</t>
  </si>
  <si>
    <t>ردیف: 191  وانت آريسان دوگانه سوز كلاس 4 سفيد دو پوششه  شناسه خودرو  مبلغ پایه  قيمت برنده  جایگاه  LC103883  1,980,000,000  2,067,990,000  191</t>
  </si>
  <si>
    <t>ردیف: 215  وانت آريسان دوگانه سوز كلاس 4 سفيد دو پوششه  شناسه خودرو  مبلغ پایه  قيمت برنده  جایگاه  LC103952  1,950,000,000  2,188,660,000  231</t>
  </si>
  <si>
    <t>ردیف: 282  پژو 207i اتوماتيک با موتور TU5P  کلاس 2 سفيد دو پوششه  شناسه خودرو  مبلغ پایه  قيمت برنده  جایگاه  MJ500094  3,870,000,000  5,019,999,999  306</t>
  </si>
  <si>
    <t>ردیف: 284  پژو 207i اتوماتيک با موتور TU5P  کلاس 2 سفيد دو پوششه  شناسه خودرو  مبلغ پایه  قيمت برنده  جایگاه  MJ500102  3,850,000,000  4,401,099,999  308</t>
  </si>
  <si>
    <t>ردیف: 346  دنا كلاس17 سفيد دوپوششه كانزاي  شناسه خودرو  مبلغ پایه  قيمت برنده  جایگاه  ME322587  3,000,000,000  3,680,000,000  370</t>
  </si>
  <si>
    <t>ردیف: 471  وانت آريسان دوگانه سوز كلاس 4 سفيد دو پوششه  شناسه خودرو  مبلغ پایه  قيمت برنده  جایگاه  LC103811  2,000,000,000  2,220,000,000  495</t>
  </si>
  <si>
    <t>ردیف: 474  وانت آريسان دوگانه سوز كلاس 4 سفيد دو پوششه  شناسه خودرو  مبلغ پایه  قيمت برنده  جایگاه  LC103875  2,000,000,000  2,177,440,001  498</t>
  </si>
  <si>
    <t>ردیف: 617  پژو پارس TU5 کلاس 27 مشكي متاليك  شناسه خودرو  مبلغ پایه  قيمت برنده  جایگاه  NH871781  3,500,000,000  4,300,000,000  654</t>
  </si>
  <si>
    <t>ردیف: 100  وانت آريسان دوگانه سوز كلاس 4 سفيد دو پوششه  شناسه خودرو  مبلغ پایه  قيمت برنده  جایگاه  LC103642  2,000,000,000  2,301,111,111  100</t>
  </si>
  <si>
    <t>ردیف: 116  وانت آريسان دوگانه سوز كلاس 4 سفيد دو پوششه  شناسه خودرو  مبلغ پایه  قيمت برنده  جایگاه  LC104062  2,000,000,000  2,126,660,000  116</t>
  </si>
  <si>
    <t>ردیف: 122  وانت آريسان دوگانه سوز كلاس 4 سفيد دو پوششه  شناسه خودرو  مبلغ پایه  قيمت برنده  جایگاه  LC104034  2,000,000,000  2,106,000,000  122</t>
  </si>
  <si>
    <t>ردیف: 129  وانت آريسان دوگانه سوز كلاس 4 سفيد دو پوششه  شناسه خودرو  مبلغ پایه  قيمت برنده  جایگاه  LC104107  2,000,000,000  2,266,600,000  129</t>
  </si>
  <si>
    <t>ردیف: 189  وانت آريسان دوگانه سوز كلاس 4 سفيد دو پوششه  شناسه خودرو  مبلغ پایه  قيمت برنده  جایگاه  LC103739  1,970,000,000  2,109,999,000  189</t>
  </si>
  <si>
    <t>ردیف: 206  وانت آريسان دوگانه سوز كلاس 4 سفيد دو پوششه  شناسه خودرو  مبلغ پایه  قيمت برنده  جایگاه  LC103756  1,950,000,000  2,389,451,545  206</t>
  </si>
  <si>
    <t>ردیف: 256  پژو 207i اتوماتيک با موتور TU5P  کلاس 2 مشكي متاليك  شناسه خودرو  مبلغ پایه  قيمت برنده  جایگاه  NJ243062  4,100,000,000  4,759,999,999  280</t>
  </si>
  <si>
    <t>ردیف: 322  سورن EF7 بنزيني کلاس 19 سفيد دو پوششه  شناسه خودرو  مبلغ پایه  قيمت برنده  جایگاه  NF159876  2,700,000,000  3,310,021,000  346</t>
  </si>
  <si>
    <t>ردیف: 338  دنا پلاس توربو شارژ کلاس8 سفيد دو پوششه  شناسه خودرو  مبلغ پایه  قيمت برنده  جایگاه  NE491289  3,600,000,000  4,580,000,000  362</t>
  </si>
  <si>
    <t>ردیف: 466  پژو 207i دستي کلاس 10 سفيد دو پوششه  شناسه خودرو  مبلغ پایه  قيمت برنده  جایگاه  MJ230553  3,000,000,000  3,732,900,000  490</t>
  </si>
  <si>
    <t>ردیف: 62  وانت آريسان دوگانه سوز كلاس 4 سفيد دو پوششه  شناسه خودرو  مبلغ پایه  قيمت برنده  جایگاه  LC103809  2,000,000,000  2,167,689,229  62</t>
  </si>
  <si>
    <t>ردیف: 83  وانت آريسان دوگانه سوز كلاس 4 سفيد دو پوششه  شناسه خودرو  مبلغ پایه  قيمت برنده  جایگاه  LC103604  2,000,000,000  2,207,639,929  83</t>
  </si>
  <si>
    <t>ردیف: 84  وانت آريسان دوگانه سوز كلاس 4 سفيد دو پوششه  شناسه خودرو  مبلغ پایه  قيمت برنده  جایگاه  LC104071  2,000,000,000  2,150,000,000  84</t>
  </si>
  <si>
    <t>ردیف: 91  وانت آريسان دوگانه سوز كلاس 4 سفيد دو پوششه  شناسه خودرو  مبلغ پایه  قيمت برنده  جایگاه  LC104048  2,000,000,000  2,128,888,888  91</t>
  </si>
  <si>
    <t>ردیف: 93  وانت آريسان دوگانه سوز كلاس 4 سفيد دو پوششه  شناسه خودرو  مبلغ پایه  قيمت برنده  جایگاه  LC103631  2,000,000,000  2,149,896,000  93</t>
  </si>
  <si>
    <t>ردیف: 120  وانت آريسان دوگانه سوز كلاس 4 سفيد دو پوششه  شناسه خودرو  مبلغ پایه  قيمت برنده  جایگاه  LC103615  2,000,000,000  2,222,000,000  120</t>
  </si>
  <si>
    <t>ردیف: 139  وانت آريسان دوگانه سوز كلاس 4 سفيد دو پوششه  شناسه خودرو  مبلغ پایه  قيمت برنده  جایگاه  LC104176  2,000,000,000  2,177,777,777  139</t>
  </si>
  <si>
    <t>ردیف: 159  وانت آريسان دوگانه سوز كلاس 4 سفيد دو پوششه  شناسه خودرو  مبلغ پایه  قيمت برنده  جایگاه  LC103787  1,980,000,000  2,215,000,000  159</t>
  </si>
  <si>
    <t>ردیف: 371  دنا+ (پلاس) کلاس 14 خاكستري متاليك  شناسه خودرو  مبلغ پایه  قيمت برنده  جایگاه  ME350447  3,350,000,000  4,238,000,000  395</t>
  </si>
  <si>
    <t>ردیف: 437  پژو 207i اتوماتيک با موتور TU5P  کلاس 2 مشكي متاليك  شناسه خودرو  مبلغ پایه  قيمت برنده  جایگاه  NJ240260  4,000,000,000  4,777,777,777  461</t>
  </si>
  <si>
    <t>ردیف: 445  پژو 207i دستي کلاس 10 مشكي متاليك  شناسه خودرو  مبلغ پایه  قيمت برنده  جایگاه  NJ491327  3,420,000,000  4,207,777,777  469</t>
  </si>
  <si>
    <t>ردیف: 472  وانت آريسان دوگانه سوز كلاس 4 سفيد دو پوششه  شناسه خودرو  مبلغ پایه  قيمت برنده  جایگاه  LC103838  2,000,000,000  2,166,600,000  496</t>
  </si>
  <si>
    <t>ردیف: 74  وانت آريسان دوگانه سوز كلاس 4 سفيد دو پوششه  شناسه خودرو  مبلغ پایه  قيمت برنده  جایگاه  LC103856  2,000,000,000  2,112,222,222  74</t>
  </si>
  <si>
    <t>ردیف: 98  وانت آريسان دوگانه سوز كلاس 4 سفيد دو پوششه  شناسه خودرو  مبلغ پایه  قيمت برنده  جایگاه  LC103606  2,000,000,000  2,142,500,000  98</t>
  </si>
  <si>
    <t>ردیف: 128  وانت آريسان دوگانه سوز كلاس 4 سفيد دو پوششه  شناسه خودرو  مبلغ پایه  قيمت برنده  جایگاه  LC103978  2,000,000,000  2,182,220,000  128</t>
  </si>
  <si>
    <t>ردیف: 132  وانت آريسان دوگانه سوز كلاس 4 سفيد دو پوششه  شناسه خودرو  مبلغ پایه  قيمت برنده  جایگاه  LC104087  1,970,000,000  2,200,000,000  132</t>
  </si>
  <si>
    <t>ردیف: 136  وانت آريسان دوگانه سوز كلاس 4 سفيد دو پوششه  شناسه خودرو  مبلغ پایه  قيمت برنده  جایگاه  LC103618  1,970,000,000  2,110,000,000  136</t>
  </si>
  <si>
    <t>ردیف: 137  وانت آريسان دوگانه سوز كلاس 4 سفيد دو پوششه  شناسه خودرو  مبلغ پایه  قيمت برنده  جایگاه  LC103684  2,000,000,000  2,128,000,000  137</t>
  </si>
  <si>
    <t>ردیف: 140  وانت آريسان دوگانه سوز كلاس 4 سفيد دو پوششه  شناسه خودرو  مبلغ پایه  قيمت برنده  جایگاه  LC103595  2,000,000,000  2,050,000,000  140</t>
  </si>
  <si>
    <t>ردیف: 142  وانت آريسان دوگانه سوز كلاس 4 سفيد دو پوششه  شناسه خودرو  مبلغ پایه  قيمت برنده  جایگاه  LC103985  2,000,000,000  2,068,000,000  142</t>
  </si>
  <si>
    <t>ردیف: 151  وانت آريسان دوگانه سوز كلاس 4 سفيد دو پوششه  شناسه خودرو  مبلغ پایه  قيمت برنده  جایگاه  LC103953  2,000,000,000  2,250,000,000  151</t>
  </si>
  <si>
    <t>ردیف: 187  وانت آريسان دوگانه سوز كلاس 4 سفيد دو پوششه  شناسه خودرو  مبلغ پایه  قيمت برنده  جایگاه  LC103754  2,000,000,000  2,010,000,000  187</t>
  </si>
  <si>
    <t>ردیف: 190  وانت آريسان دوگانه سوز كلاس 4 سفيد دو پوششه  شناسه خودرو  مبلغ پایه  قيمت برنده  جایگاه  LC103832  2,000,000,000  2,112,000,000  190</t>
  </si>
  <si>
    <t>ردیف: 257  پژو 207i اتوماتيک با موتور TU5P  کلاس 2 مشكي متاليك  شناسه خودرو  مبلغ پایه  قيمت برنده  جایگاه  NJ242283  4,100,000,000  4,723,000,000  281</t>
  </si>
  <si>
    <t>ردیف: 372  رانا کلاس 15 سفيد دو پوششه  شناسه خودرو  مبلغ پایه  قيمت برنده  جایگاه  NT372792  2,570,000,000  2,972,850,000  396</t>
  </si>
  <si>
    <t>ردیف: 424  پژو 207i اتوماتيک با موتور TU5P  کلاس 2 سفيد دو پوششه  شناسه خودرو  مبلغ پایه  قيمت برنده  جایگاه  MJ500087  3,900,000,000  5,100,000,111  448</t>
  </si>
  <si>
    <t>ردیف: 565  پژو پارس TU5 کلاس 27 مشكي متاليك  شناسه خودرو  مبلغ پایه  قيمت برنده  جایگاه  NH208319  3,500,000,000  3,889,900,000  602</t>
  </si>
  <si>
    <t>ردیف: 593  پژو پارس TU5 کلاس 27 مشكي متاليك  شناسه خودرو  مبلغ پایه  قيمت برنده  جایگاه  NH877507  3,500,000,000  4,019,999,000  630</t>
  </si>
  <si>
    <t>ردیف: 600  پژو پارس TU5 کلاس 27 مشكي متاليك  شناسه خودرو  مبلغ پایه  قيمت برنده  جایگاه  NH415020  3,500,000,000  4,251,111,111  637</t>
  </si>
  <si>
    <t>ردیف: 75  وانت آريسان دوگانه سوز كلاس 4 سفيد دو پوششه  شناسه خودرو  مبلغ پایه  قيمت برنده  جایگاه  LC103569  2,000,000,000  2,150,698,566  75</t>
  </si>
  <si>
    <t>ردیف: 81  وانت آريسان دوگانه سوز كلاس 4 سفيد دو پوششه  شناسه خودرو  مبلغ پایه  قيمت برنده  جایگاه  LC103625  2,000,000,000  2,250,000,000  81</t>
  </si>
  <si>
    <t>ردیف: 97  وانت آريسان دوگانه سوز كلاس 4 سفيد دو پوششه  شناسه خودرو  مبلغ پایه  قيمت برنده  جایگاه  LC103607  1,980,000,000  2,171,000,000  97</t>
  </si>
  <si>
    <t>ردیف: 111  وانت آريسان دوگانه سوز كلاس 4 سفيد دو پوششه  شناسه خودرو  مبلغ پایه  قيمت برنده  جایگاه  LC104051  2,000,000,000  2,126,666,000  111</t>
  </si>
  <si>
    <t>ردیف: 127  وانت آريسان دوگانه سوز كلاس 4 سفيد دو پوششه  شناسه خودرو  مبلغ پایه  قيمت برنده  جایگاه  LC103839  2,000,000,000  2,203,100,000  127</t>
  </si>
  <si>
    <t>ردیف: 178  وانت آريسان دوگانه سوز كلاس 4 سفيد دو پوششه  شناسه خودرو  مبلغ پایه  قيمت برنده  جایگاه  LC104069  2,000,000,000  2,116,900,000  178</t>
  </si>
  <si>
    <t>ردیف: 181  وانت آريسان دوگانه سوز كلاس 4 سفيد دو پوششه  شناسه خودرو  مبلغ پایه  قيمت برنده  جایگاه  LC103926  1,950,000,000  2,072,000,000  181</t>
  </si>
  <si>
    <t>ردیف: 339  دنا پلاس توربو شارژ کلاس8 سفيد دو پوششه  شناسه خودرو  مبلغ پایه  قيمت برنده  جایگاه  NE491246  3,650,000,000  4,750,000,000  363</t>
  </si>
  <si>
    <t>ردیف: 410  پژو 206 معمولي كلاس 31 سفيد دو پوششه  شناسه خودرو  مبلغ پایه  قيمت برنده  جایگاه  NJ294645  2,500,000,000  3,064,999,999  434</t>
  </si>
  <si>
    <t>ردیف: 60  وانت آريسان دوگانه سوز كلاس 4 سفيد دو پوششه  شناسه خودرو  مبلغ پایه  قيمت برنده  جایگاه  LC103956  2,000,000,000  2,225,350,000  60</t>
  </si>
  <si>
    <t>ردیف: 61  وانت آريسان دوگانه سوز كلاس 4 سفيد دو پوششه  شناسه خودرو  مبلغ پایه  قيمت برنده  جایگاه  LC103828  2,000,000,000  2,153,000,000  61</t>
  </si>
  <si>
    <t>ردیف: 78  وانت آريسان دوگانه سوز كلاس 4 سفيد دو پوششه  شناسه خودرو  مبلغ پایه  قيمت برنده  جایگاه  LC103996  2,000,000,000  2,177,440,001  78</t>
  </si>
  <si>
    <t>ردیف: 104  وانت آريسان دوگانه سوز كلاس 4 سفيد دو پوششه  شناسه خودرو  مبلغ پایه  قيمت برنده  جایگاه  LC104137  2,000,000,000  2,170,007,890  104</t>
  </si>
  <si>
    <t>ردیف: 110  وانت آريسان دوگانه سوز كلاس 4 سفيد دو پوششه  شناسه خودرو  مبلغ پایه  قيمت برنده  جایگاه  LC103983  2,000,000,000  2,126,666,000  110</t>
  </si>
  <si>
    <t>ردیف: 115  وانت آريسان دوگانه سوز كلاس 4 سفيد دو پوششه  شناسه خودرو  مبلغ پایه  قيمت برنده  جایگاه  LC103667  2,000,000,000  2,202,000,000  115</t>
  </si>
  <si>
    <t>ردیف: 138  وانت آريسان دوگانه سوز كلاس 4 سفيد دو پوششه  شناسه خودرو  مبلغ پایه  قيمت برنده  جایگاه  LC103735  1,960,000,000  2,111,111,111  138</t>
  </si>
  <si>
    <t>ردیف: 141  وانت آريسان دوگانه سوز كلاس 4 سفيد دو پوششه  شناسه خودرو  مبلغ پایه  قيمت برنده  جایگاه  LC103781  2,000,000,000  2,129,000,000  141</t>
  </si>
  <si>
    <t>ردیف: 143  وانت آريسان دوگانه سوز كلاس 4 سفيد دو پوششه  شناسه خودرو  مبلغ پایه  قيمت برنده  جایگاه  LC104166  2,000,000,000  2,119,999,999  143</t>
  </si>
  <si>
    <t>ردیف: 186  وانت آريسان دوگانه سوز كلاس 4 سفيد دو پوششه  شناسه خودرو  مبلغ پایه  قيمت برنده  جایگاه  LC103579  2,000,000,000  2,202,000,000  186</t>
  </si>
  <si>
    <t>ردیف: 208  وانت آريسان دوگانه سوز كلاس 4 سفيد دو پوششه  شناسه خودرو  مبلغ پایه  قيمت برنده  جایگاه  LC104049  2,000,000,000  2,157,800,000  208</t>
  </si>
  <si>
    <t>ردیف: 211  وانت آريسان دوگانه سوز كلاس 4 سفيد دو پوششه  شناسه خودرو  مبلغ پایه  قيمت برنده  جایگاه  LC104136  2,000,000,000  2,150,000,000  211</t>
  </si>
  <si>
    <t>ردیف: 255  پژو 207i اتوماتيک با موتور TU5P  کلاس 2 مشكي متاليك  شناسه خودرو  مبلغ پایه  قيمت برنده  جایگاه  NJ241739  4,070,000,000  4,880,009,990  279</t>
  </si>
  <si>
    <t>ردیف: 266  پژو 207i اتوماتيک با موتور TU5P  کلاس 2 مشكي متاليك  شناسه خودرو  مبلغ پایه  قيمت برنده  جایگاه  NJ242660  4,050,000,000  4,465,888,888  290</t>
  </si>
  <si>
    <t>ردیف: 353  دنا پلاس اتوماتيك با موتور EF7_TC كلاس2 مشكي متاليك  شناسه خودرو  مبلغ پایه  قيمت برنده  جایگاه  NE575807  4,000,000,000  4,125,500,000  377</t>
  </si>
  <si>
    <t>ردیف: 447  پژو 207i دستي کلاس 10 مشكي متاليك  شناسه خودرو  مبلغ پایه  قيمت برنده  جایگاه  NJ491329  3,450,000,000  4,215,900,000  471</t>
  </si>
  <si>
    <t>ردیف: 470  وانت آريسان دوگانه سوز كلاس 4 سفيد دو پوششه  شناسه خودرو  مبلغ پایه  قيمت برنده  جایگاه  LC104013  2,000,000,000  2,157,600,000  494</t>
  </si>
  <si>
    <t>ردیف: 73  وانت آريسان دوگانه سوز كلاس 4 سفيد دو پوششه  شناسه خودرو  مبلغ پایه  قيمت برنده  جایگاه  LC103694  2,000,000,000  2,150,000,000  73</t>
  </si>
  <si>
    <t>ردیف: 107  وانت آريسان دوگانه سوز كلاس 4 سفيد دو پوششه  شناسه خودرو  مبلغ پایه  قيمت برنده  جایگاه  LC103880  2,000,000,000  2,333,333,999  107</t>
  </si>
  <si>
    <t>ردیف: 109  وانت آريسان دوگانه سوز كلاس 4 سفيد دو پوششه  شناسه خودرو  مبلغ پایه  قيمت برنده  جایگاه  LC103742  2,000,000,000  2,145,555,555  109</t>
  </si>
  <si>
    <t>ردیف: 130  وانت آريسان دوگانه سوز كلاس 4 سفيد دو پوششه  شناسه خودرو  مبلغ پایه  قيمت برنده  جایگاه  LC104070  2,000,000,000  2,205,000,000  130</t>
  </si>
  <si>
    <t>ردیف: 145  وانت آريسان دوگانه سوز كلاس 4 سفيد دو پوششه  شناسه خودرو  مبلغ پایه  قيمت برنده  جایگاه  LC103796  2,000,000,000  2,120,000,000  145</t>
  </si>
  <si>
    <t>ردیف: 162  وانت آريسان دوگانه سوز كلاس 4 سفيد دو پوششه  شناسه خودرو  مبلغ پایه  قيمت برنده  جایگاه  LC103671  2,000,000,000  2,210,000,000  162</t>
  </si>
  <si>
    <t>ردیف: 174  وانت آريسان دوگانه سوز كلاس 4 سفيد دو پوششه  شناسه خودرو  مبلغ پایه  قيمت برنده  جایگاه  LC103919  2,000,000,000  2,071,000,000  174</t>
  </si>
  <si>
    <t>ردیف: 199  وانت آريسان دوگانه سوز كلاس 4 سفيد دو پوششه  شناسه خودرو  مبلغ پایه  قيمت برنده  جایگاه  LC103984  1,985,000,000  2,132,141,314  199</t>
  </si>
  <si>
    <t>ردیف: 203  وانت آريسان دوگانه سوز كلاس 4 سفيد دو پوششه  شناسه خودرو  مبلغ پایه  قيمت برنده  جایگاه  LC103643  2,000,000,000  2,210,000,000  203</t>
  </si>
  <si>
    <t>ردیف: 212  وانت آريسان دوگانه سوز كلاس 4 سفيد دو پوششه  شناسه خودرو  مبلغ پایه  قيمت برنده  جایگاه  LC103662  2,000,000,000  2,200,000,000  212</t>
  </si>
  <si>
    <t>ردیف: 247  پژو 207i اتوماتيک با موتور TU5P  کلاس 2 مشكي متاليك  شناسه خودرو  مبلغ پایه  قيمت برنده  جایگاه  NJ243075  4,080,000,000  5,010,000,000  271</t>
  </si>
  <si>
    <t>ردیف: 362  هايما S5 توربو اتوماتيک کلاس 1 مشكي متاليك  شناسه خودرو  مبلغ پایه  قيمت برنده  جایگاه  NY073483  7,680,000,000  8,787,869,670  386</t>
  </si>
  <si>
    <t>ردیف: 524  پژو پارس TU5 كلاس20 سفيد دو پوششه  شناسه خودرو  مبلغ پایه  قيمت برنده  جایگاه  MH751789  2,900,000,000  3,374,557,000  561</t>
  </si>
  <si>
    <t>ردیف: 534  پژو پارس TU5 كلاس20 سفيد دو پوششه  شناسه خودرو  مبلغ پایه  قيمت برنده  جایگاه  NH211197  3,000,000,000  3,821,200,000  571</t>
  </si>
  <si>
    <t>ردیف: 572  پژو پارس TU5 کلاس 27 مشكي متاليك  شناسه خودرو  مبلغ پایه  قيمت برنده  جایگاه  NH877698  3,500,000,000  4,388,888,888  609</t>
  </si>
  <si>
    <t>ردیف: 63  وانت آريسان دوگانه سوز كلاس 4 سفيد دو پوششه  شناسه خودرو  مبلغ پایه  قيمت برنده  جایگاه  LC103862  2,000,000,000  2,299,999,999  63</t>
  </si>
  <si>
    <t>ردیف: 66  وانت آريسان دوگانه سوز كلاس 4 سفيد دو پوششه  شناسه خودرو  مبلغ پایه  قيمت برنده  جایگاه  LC104131  2,000,000,000  2,126,500,000  66</t>
  </si>
  <si>
    <t>ردیف: 124  وانت آريسان دوگانه سوز كلاس 4 سفيد دو پوششه  شناسه خودرو  مبلغ پایه  قيمت برنده  جایگاه  LC103771  2,000,000,000  2,150,000,000  124</t>
  </si>
  <si>
    <t>ردیف: 171  وانت آريسان دوگانه سوز كلاس 4 سفيد دو پوششه  شناسه خودرو  مبلغ پایه  قيمت برنده  جایگاه  LC103990  2,000,000,000  2,130,000,000  171</t>
  </si>
  <si>
    <t>ردیف: 194  وانت آريسان دوگانه سوز كلاس 4 سفيد دو پوششه  شناسه خودرو  مبلغ پایه  قيمت برنده  جایگاه  LC103962  2,000,000,000  2,160,199,999  194</t>
  </si>
  <si>
    <t>ردیف: 196  وانت آريسان دوگانه سوز كلاس 4 سفيد دو پوششه  شناسه خودرو  مبلغ پایه  قيمت برنده  جایگاه  LC103774  2,000,000,000  2,242,100,999  196</t>
  </si>
  <si>
    <t>ردیف: 352  دنا پلاس اتوماتيك با موتور EF7_TC كلاس2 مشكي متاليك  شناسه خودرو  مبلغ پایه  قيمت برنده  جایگاه  NE579197  3,900,000,000  5,112,000,000  376</t>
  </si>
  <si>
    <t>ردیف: 358  دنا پلاس اتوماتيك با موتور EF7_TC كلاس2 سفيد دوپوششه كانزاي  شناسه خودرو  مبلغ پایه  قيمت برنده  جایگاه  NE578370  3,800,000,000  5,095,100,000  382</t>
  </si>
  <si>
    <t>ردیف: 379  رانا کلاس 15 خاكستري متاليك  شناسه خودرو  مبلغ پایه  قيمت برنده  جایگاه  NT363771  2,550,000,000  3,058,888,888  403</t>
  </si>
  <si>
    <t>ردیف: 90  وانت آريسان دوگانه سوز كلاس 4 سفيد دو پوششه  شناسه خودرو  مبلغ پایه  قيمت برنده  جایگاه  LC103650  2,000,000,000  2,134,200,000  90</t>
  </si>
  <si>
    <t>ردیف: 112  وانت آريسان دوگانه سوز كلاس 4 سفيد دو پوششه  شناسه خودرو  مبلغ پایه  قيمت برنده  جایگاه  LC103746  2,000,000,000  2,188,889,888  112</t>
  </si>
  <si>
    <t>ردیف: 155  وانت آريسان دوگانه سوز كلاس 4 سفيد دو پوششه  شناسه خودرو  مبلغ پایه  قيمت برنده  جایگاه  LC103810  2,000,000,000  2,132,580,009  155</t>
  </si>
  <si>
    <t>ردیف: 183  وانت آريسان دوگانه سوز كلاس 4 سفيد دو پوششه  شناسه خودرو  مبلغ پایه  قيمت برنده  جایگاه  LC103669  2,000,000,000  2,170,999,999  183</t>
  </si>
  <si>
    <t>ردیف: 195  وانت آريسان دوگانه سوز كلاس 4 سفيد دو پوششه  شناسه خودرو  مبلغ پایه  قيمت برنده  جایگاه  LC104021  2,000,000,000  2,242,100,999  195</t>
  </si>
  <si>
    <t>ردیف: 283  پژو 207i اتوماتيک با موتور TU5P  کلاس 2 مشكي متاليك  شناسه خودرو  مبلغ پایه  قيمت برنده  جایگاه  MJ500113  3,900,000,000  4,933,000,000  307</t>
  </si>
  <si>
    <t>ردیف: 319  سورن EF7 بنزيني کلاس 23 مشكي متاليك  شناسه خودرو  مبلغ پایه  قيمت برنده  جایگاه  NF155757  2,700,000,000  3,451,000,000  343</t>
  </si>
  <si>
    <t>ردیف: 359  دنا پلاس اتوماتيك با موتور EF7_TC كلاس2 مشكي متاليك  شناسه خودرو  مبلغ پایه  قيمت برنده  جایگاه  NE573724  4,150,000,000  5,310,000,000  383</t>
  </si>
  <si>
    <t>ردیف: 468  وانت آريسان دوگانه سوز كلاس 4 سفيد دو پوششه  شناسه خودرو  مبلغ پایه  قيمت برنده  جایگاه  LC103846  2,000,000,000  2,155,111,111  492</t>
  </si>
  <si>
    <t>ردیف: 514  پژو پارس سال با موتور XU7 P کلاس 1 سفيد دوپوششه كانزاي  شناسه خودرو  مبلغ پایه  قيمت برنده  جایگاه  NH455384  2,450,000,000  3,161,510,000  551</t>
  </si>
  <si>
    <t>ردیف: 528  پژو پارس TU5 كلاس20 سفيد دو پوششه  شناسه خودرو  مبلغ پایه  قيمت برنده  جایگاه  MH687667  2,900,000,000  3,566,666,667  565</t>
  </si>
  <si>
    <t>ردیف: 605  پژو پارس TU5 کلاس 27 مشكي متاليك  شناسه خودرو  مبلغ پایه  قيمت برنده  جایگاه  NH871779  3,500,000,000  4,215,263,253  642</t>
  </si>
  <si>
    <t>ردیف: 614  پژو پارس TU5 کلاس 27 مشكي متاليك  شناسه خودرو  مبلغ پایه  قيمت برنده  جایگاه  NH208314  3,500,000,000  4,339,999,999  651</t>
  </si>
  <si>
    <t>ردیف: 22  تندر 90 E2 + 2 A/B سفيد شيري پرشين  شناسه خودرو  مبلغ پایه  قيمت برنده  جایگاه  LA402398  3,900,000,000  12,888,888,888  22</t>
  </si>
  <si>
    <t>ردیف: 58  وانت آريسان دوگانه سوز كلاس 4 سفيد دو پوششه  شناسه خودرو  مبلغ پایه  قيمت برنده  جایگاه  LC103872  2,000,000,000  2,217,770,000  58</t>
  </si>
  <si>
    <t>ردیف: 64  وانت آريسان دوگانه سوز كلاس 4 سفيد دو پوششه  شناسه خودرو  مبلغ پایه  قيمت برنده  جایگاه  LC103605  2,000,000,000  2,144,444,444  64</t>
  </si>
  <si>
    <t>ردیف: 68  وانت آريسان دوگانه سوز كلاس 4 سفيد دو پوششه  شناسه خودرو  مبلغ پایه  قيمت برنده  جایگاه  LC103827  2,000,000,000  2,179,899,999  68</t>
  </si>
  <si>
    <t>ردیف: 70  وانت آريسان دوگانه سوز كلاس 4 سفيد دو پوششه  شناسه خودرو  مبلغ پایه  قيمت برنده  جایگاه  LC103874  2,000,000,000  2,148,785,000  70</t>
  </si>
  <si>
    <t>ردیف: 87  وانت آريسان دوگانه سوز كلاس 4 سفيد دو پوششه  شناسه خودرو  مبلغ پایه  قيمت برنده  جایگاه  LC103895  2,000,000,000  2,107,778,777  87</t>
  </si>
  <si>
    <t>ردیف: 88  وانت آريسان دوگانه سوز كلاس 4 سفيد دو پوششه  شناسه خودرو  مبلغ پایه  قيمت برنده  جایگاه  LC103732  2,000,000,000  2,040,000,000  88</t>
  </si>
  <si>
    <t>ردیف: 113  وانت آريسان دوگانه سوز كلاس 4 سفيد دو پوششه  شناسه خودرو  مبلغ پایه  قيمت برنده  جایگاه  LC103612  2,000,000,000  2,188,888,888  113</t>
  </si>
  <si>
    <t>ردیف: 123  وانت آريسان دوگانه سوز كلاس 4 سفيد دو پوششه  شناسه خودرو  مبلغ پایه  قيمت برنده  جایگاه  LC103717  2,000,000,000  2,166,000,000  123</t>
  </si>
  <si>
    <t>ردیف: 161  وانت آريسان دوگانه سوز كلاس 4 سفيد دو پوششه  شناسه خودرو  مبلغ پایه  قيمت برنده  جایگاه  LC103680  2,000,000,000  2,220,000,000  161</t>
  </si>
  <si>
    <t>ردیف: 164  وانت آريسان دوگانه سوز كلاس 4 سفيد دو پوششه  شناسه خودرو  مبلغ پایه  قيمت برنده  جایگاه  LC104073  2,000,000,000  2,173,765,432  164</t>
  </si>
  <si>
    <t>ردیف: 168  وانت آريسان دوگانه سوز كلاس 4 سفيد دو پوششه  شناسه خودرو  مبلغ پایه  قيمت برنده  جایگاه  LC103698  2,000,000,000  2,211,345,999  168</t>
  </si>
  <si>
    <t>ردیف: 169  وانت آريسان دوگانه سوز كلاس 4 سفيد دو پوششه  شناسه خودرو  مبلغ پایه  قيمت برنده  جایگاه  LC103701  2,000,000,000  2,111,000,000  169</t>
  </si>
  <si>
    <t>ردیف: 184  وانت آريسان دوگانه سوز كلاس 4 سفيد دو پوششه  شناسه خودرو  مبلغ پایه  قيمت برنده  جایگاه  LC104063  2,000,000,000    184</t>
  </si>
  <si>
    <t>ردیف: 185  وانت آريسان دوگانه سوز كلاس 4 سفيد دو پوششه  شناسه خودرو  مبلغ پایه  قيمت برنده  جایگاه  LC104075  2,000,000,000  2,125,580,000  185</t>
  </si>
  <si>
    <t>ردیف: 192  وانت آريسان دوگانه سوز كلاس 4 سفيد دو پوششه  شناسه خودرو  مبلغ پایه  قيمت برنده  جایگاه  LC103935  2,000,000,000  2,122,000,000  192</t>
  </si>
  <si>
    <t>ردیف: 321  سورن EF7 بنزيني کلاس 19 سفيد دو پوششه  شناسه خودرو  مبلغ پایه  قيمت برنده  جایگاه  NF233163  2,700,000,000  3,320,000,000  345</t>
  </si>
  <si>
    <t>ردیف: 329  سورن EF7 بنزيني کلاس 19 سفيد دوپوششه كانزاي  شناسه خودرو  مبلغ پایه  قيمت برنده  جایگاه  NF167904  2,600,000,000  3,267,322,300  353</t>
  </si>
  <si>
    <t>ردیف: 402  تارا اتوماتيک کلاس 1  خاكستري متاليك  شناسه خودرو  مبلغ پایه  قيمت برنده  جایگاه  ND940872  4,900,000,000  5,030,000,000  426</t>
  </si>
  <si>
    <t>ردیف: 616  پژو پارس TU5 کلاس 27 مشكي متاليك  شناسه خودرو  مبلغ پایه  قيمت برنده  جایگاه  NH879663  3,500,000,000  4,333,000,000  653</t>
  </si>
  <si>
    <t>ردیف: 54  وانت آريسان دوگانه سوز كلاس 4 سفيد دو پوششه  شناسه خودرو  مبلغ پایه  قيمت برنده  جایگاه  LC103836  2,000,000,000  2,333,333,333  54</t>
  </si>
  <si>
    <t>ردیف: 77  وانت آريسان دوگانه سوز كلاس 4 سفيد دو پوششه  شناسه خودرو  مبلغ پایه  قيمت برنده  جایگاه  LC103805  2,000,000,000  2,150,000,000  77</t>
  </si>
  <si>
    <t>ردیف: 86  وانت آريسان دوگانه سوز كلاس 4 سفيد دو پوششه  شناسه خودرو  مبلغ پایه  قيمت برنده  جایگاه  LC103991  2,000,000,000  2,157,999,000  86</t>
  </si>
  <si>
    <t>ردیف: 135  وانت آريسان دوگانه سوز كلاس 4 سفيد دو پوششه  شناسه خودرو  مبلغ پایه  قيمت برنده  جایگاه  LC103555  2,000,000,000  2,121,650,000  135</t>
  </si>
  <si>
    <t>ردیف: 147  وانت آريسان دوگانه سوز كلاس 4 سفيد دو پوششه  شناسه خودرو  مبلغ پایه  قيمت برنده  جایگاه  LC104039  1,980,000,000  2,124,853,699  147</t>
  </si>
  <si>
    <t>ردیف: 165  وانت آريسان دوگانه سوز كلاس 4 سفيد دو پوششه  شناسه خودرو  مبلغ پایه  قيمت برنده  جایگاه  LC104114  2,000,000,000  2,111,000,000  165</t>
  </si>
  <si>
    <t>ردیف: 204  وانت آريسان دوگانه سوز كلاس 4 سفيد دو پوششه  شناسه خودرو  مبلغ پایه  قيمت برنده  جایگاه  LC103987  2,000,000,000  2,178,787,877  204</t>
  </si>
  <si>
    <t>ردیف: 320  سورن EF7 بنزيني کلاس 19 سفيد دو پوششه  شناسه خودرو  مبلغ پایه  قيمت برنده  جایگاه  NF151009  2,630,000,000  3,339,999,999  344</t>
  </si>
  <si>
    <t>ردیف: 374  رانا کلاس 15 سفيد دو پوششه  شناسه خودرو  مبلغ پایه  قيمت برنده  جایگاه  NT369162  2,520,000,000  3,780,000,000  398</t>
  </si>
  <si>
    <t>ردیف: 396  تارا اتوماتيک کلاس 1  مشكي متاليك (آبنوس)  شناسه خودرو  مبلغ پایه  قيمت برنده  جایگاه  MD920093  4,800,000,000  5,677,777,777  420</t>
  </si>
  <si>
    <t>ردیف: 413  پژو 206 معمولي كلاس 31 سفيد دو پوششه  شناسه خودرو  مبلغ پایه  قيمت برنده  جایگاه  NJ281657  2,500,000,000  3,234,987,500  437</t>
  </si>
  <si>
    <t>ردیف: 427  پژو 207i اتوماتيک با موتور TU5P  کلاس 2 مشكي متاليك  شناسه خودرو  مبلغ پایه  قيمت برنده  جایگاه  MJ500089  3,900,000,000  4,611,000,000  451</t>
  </si>
  <si>
    <t>ردیف: 513  پژو پارس سال با موتور XU7 P کلاس 1 سفيد دو پوششه  شناسه خودرو  مبلغ پایه  قيمت برنده  جایگاه  NH453836  2,400,000,000  2,936,899,999  550</t>
  </si>
  <si>
    <t>ردیف: 540  پژو پارس TU5 كلاس20 مشكي متاليك  شناسه خودرو  مبلغ پایه  قيمت برنده  جایگاه  NH416283  3,250,000,000  3,850,000,990  577</t>
  </si>
  <si>
    <t>ردیف: 552  پژو پارس TU5 كلاس20 سفيد دو پوششه  شناسه خودرو  مبلغ پایه  قيمت برنده  جایگاه  NH868062  3,250,000,000  3,661,888,000  589</t>
  </si>
  <si>
    <t>ردیف: 555  پژو پارس TU5 كلاس20 سفيد دو پوششه  شناسه خودرو  مبلغ پایه  قيمت برنده  جایگاه  NH869964  3,300,000,000  3,850,000,000  592</t>
  </si>
  <si>
    <t>ردیف: 621  پژو پارس TU5 کلاس 27 مشكي متاليك  شناسه خودرو  مبلغ پایه  قيمت برنده  جایگاه  NH871654  3,450,000,000  4,208,510,000  658</t>
  </si>
  <si>
    <t>ردیف: 632  پژو پارس TU5 کلاس 27 مشكي متاليك  شناسه خودرو  مبلغ پایه  قيمت برنده  جایگاه  NH418843  3,500,000,000  4,372,150,000  669</t>
  </si>
  <si>
    <t>ردیف: 71  وانت آريسان دوگانه سوز كلاس 4 سفيد دو پوششه  شناسه خودرو  مبلغ پایه  قيمت برنده  جایگاه  LC104141  2,000,000,000  2,231,210,000  71</t>
  </si>
  <si>
    <t>ردیف: 150  وانت آريسان دوگانه سوز كلاس 4 سفيد دو پوششه  شناسه خودرو  مبلغ پایه  قيمت برنده  جایگاه  LC103665  2,000,000,000  2,533,333,330  150</t>
  </si>
  <si>
    <t>ردیف: 153  وانت آريسان دوگانه سوز كلاس 4 سفيد دو پوششه  شناسه خودرو  مبلغ پایه  قيمت برنده  جایگاه  LC103976  1,980,000,000  2,113,000,000  153</t>
  </si>
  <si>
    <t>ردیف: 156  وانت آريسان دوگانه سوز كلاس 4 سفيد دو پوششه  شناسه خودرو  مبلغ پایه  قيمت برنده  جایگاه  LC103815  2,000,000,000  2,188,888,888  156</t>
  </si>
  <si>
    <t>ردیف: 157  وانت آريسان دوگانه سوز كلاس 4 سفيد دو پوششه  شناسه خودرو  مبلغ پایه  قيمت برنده  جایگاه  LC103708  1,980,000,000  2,144,444,444  157</t>
  </si>
  <si>
    <t>ردیف: 160  وانت آريسان دوگانه سوز كلاس 4 سفيد دو پوششه  شناسه خودرو  مبلغ پایه  قيمت برنده  جایگاه  LC104042  2,000,000,000  2,212,000,010  160</t>
  </si>
  <si>
    <t>ردیف: 188  وانت آريسان دوگانه سوز كلاس 4 سفيد دو پوششه  شناسه خودرو  مبلغ پایه  قيمت برنده  جایگاه  LC104161  2,000,000,000  2,141,575,170  188</t>
  </si>
  <si>
    <t>ردیف: 205  وانت آريسان دوگانه سوز كلاس 4 سفيد دو پوششه  شناسه خودرو  مبلغ پایه  قيمت برنده  جایگاه  LC103930  2,000,000,000  2,167,999,000  205</t>
  </si>
  <si>
    <t>ردیف: 267  پژو 207i اتوماتيک با موتور TU5P  کلاس 2 سفيد دو پوششه  شناسه خودرو  مبلغ پایه  قيمت برنده  جایگاه  MJ500078  3,800,000,000  4,753,399,999  291</t>
  </si>
  <si>
    <t>ردیف: 268  پژو 207i اتوماتيک با موتور TU5P  کلاس 2 مشكي متاليك  شناسه خودرو  مبلغ پایه  قيمت برنده  جایگاه  NJ241832  4,080,000,000  4,895,452,139  292</t>
  </si>
  <si>
    <t>ردیف: 270  پژو 207i اتوماتيک با موتور TU5P  کلاس 2 مشكي متاليك  شناسه خودرو  مبلغ پایه  قيمت برنده  جایگاه  NJ240963  3,980,000,000  4,541,999,999  294</t>
  </si>
  <si>
    <t>ردیف: 280  پژو 207i اتوماتيک با موتور TU5P  کلاس 2 مشكي متاليك  شناسه خودرو  مبلغ پایه  قيمت برنده  جایگاه  MJ500097  3,890,000,000  4,500,000,001  304</t>
  </si>
  <si>
    <t>ردیف: 56  وانت آريسان دوگانه سوز كلاس 4 سفيد دو پوششه  شناسه خودرو  مبلغ پایه  قيمت برنده  جایگاه  LC104054  2,000,000,000  2,150,000,000  56</t>
  </si>
  <si>
    <t>ردیف: 76  وانت آريسان دوگانه سوز كلاس 4 سفيد دو پوششه  شناسه خودرو  مبلغ پایه  قيمت برنده  جایگاه  LC103637  2,000,000,000  2,171,131,109  76</t>
  </si>
  <si>
    <t>ردیف: 108  وانت آريسان دوگانه سوز كلاس 4 سفيد دو پوششه  شناسه خودرو  مبلغ پایه  قيمت برنده  جایگاه  LC103341  2,000,000,000  2,088,999,990  108</t>
  </si>
  <si>
    <t>ردیف: 163  وانت آريسان دوگانه سوز كلاس 4 سفيد دو پوششه  شناسه خودرو  مبلغ پایه  قيمت برنده  جایگاه  LC103656  2,000,000,000  2,240,000,000  163</t>
  </si>
  <si>
    <t>ردیف: 202  وانت آريسان دوگانه سوز كلاس 4 سفيد دو پوششه  شناسه خودرو  مبلغ پایه  قيمت برنده  جایگاه  LC103599  2,000,000,000  2,211,190,000  202</t>
  </si>
  <si>
    <t>ردیف: 300  پژو 207i اتوماتيک با موتور TU5P  کلاس 2 مشكي متاليك  شناسه خودرو  مبلغ پایه  قيمت برنده  جایگاه  NJ241835  4,100,000,000  4,615,000,000  324</t>
  </si>
  <si>
    <t>ردیف: 301  پژو 207i اتوماتيک با موتور TU5P  کلاس 2 سفيد دو پوششه  شناسه خودرو  مبلغ پایه  قيمت برنده  جایگاه  NJ240986  4,120,000,000  4,800,000,000  325</t>
  </si>
  <si>
    <t>ردیف: 318  سورن EF7 بنزيني کلاس 19 سفيد دو پوششه  شناسه خودرو  مبلغ پایه  قيمت برنده  جایگاه  MF083900  2,400,000,000  3,077,700,000  342</t>
  </si>
  <si>
    <t>ردیف: 326  سورن EF7 بنزيني کلاس 19 سفيد دو پوششه  شناسه خودرو  مبلغ پایه  قيمت برنده  جایگاه  MF084968  2,400,000,000  3,265,500,000  350</t>
  </si>
  <si>
    <t>ردیف: 356  دنا پلاس اتوماتيك با موتور EF7_TC كلاس2 مشكي متاليك  شناسه خودرو  مبلغ پایه  قيمت برنده  جایگاه  NE576890  4,000,000,000  4,960,000,000  380</t>
  </si>
  <si>
    <t>ردیف: 367  دنا+ (پلاس) کلاس 17 سفيد دو پوششه  شناسه خودرو  مبلغ پایه  قيمت برنده  جایگاه  NE524002  3,550,000,000  4,325,999,999  391</t>
  </si>
  <si>
    <t>ردیف: 490  پژو پارس سال با موتور XU7 P کلاس 3 سفيد دو پوششه  شناسه خودرو  مبلغ پایه  قيمت برنده  جایگاه  NH446072  2,350,000,000  3,000,100,000  527</t>
  </si>
  <si>
    <t>ردیف: 512  پژو پارس سال با موتور XU7 P کلاس 1 سفيد دو پوششه  شناسه خودرو  مبلغ پایه  قيمت برنده  جایگاه  NH451904  2,450,000,000  3,089,999,999  549</t>
  </si>
  <si>
    <t>ردیف: 553  پژو پارس TU5 كلاس20 سفيد دو پوششه  شناسه خودرو  مبلغ پایه  قيمت برنده  جایگاه  NH211144  3,300,000,000  3,919,999,999  590</t>
  </si>
  <si>
    <t>ردیف: 599  پژو پارس TU5 کلاس 27 مشكي متاليك  شناسه خودرو  مبلغ پایه  قيمت برنده  جایگاه  NH206107  3,500,000,000  3,983,000,000  636</t>
  </si>
  <si>
    <t>ردیف: 624  پژو پارس TU5 کلاس 27 مشكي متاليك  شناسه خودرو  مبلغ پایه  قيمت برنده  جایگاه  NH871378  3,500,000,000  4,259,999,999  661</t>
  </si>
  <si>
    <t>ردیف: 634  پژو پارس TU5 کلاس 27 سفيد دو پوششه  شناسه خودرو  مبلغ پایه  قيمت برنده  جایگاه  NH416328  3,400,000,000  4,060,000,000  671</t>
  </si>
  <si>
    <t>ردیف: 65  وانت آريسان دوگانه سوز كلاس 4 سفيد دو پوششه  شناسه خودرو  مبلغ پایه  قيمت برنده  جایگاه  LC104055  2,000,000,000  2,171,111,111  65</t>
  </si>
  <si>
    <t>ردیف: 94  وانت آريسان دوگانه سوز كلاس 4 سفيد دو پوششه  شناسه خودرو  مبلغ پایه  قيمت برنده  جایگاه  LC104050  2,000,000,000  2,180,000,000  94</t>
  </si>
  <si>
    <t>ردیف: 170  وانت آريسان دوگانه سوز كلاس 4 سفيد دو پوششه  شناسه خودرو  مبلغ پایه  قيمت برنده  جایگاه  LC103550  2,000,000,000  2,188,888,888  170</t>
  </si>
  <si>
    <t>ردیف: 177  وانت آريسان دوگانه سوز كلاس 4 سفيد دو پوششه  شناسه خودرو  مبلغ پایه  قيمت برنده  جایگاه  LC104046  2,000,000,000  2,323,232,323  177</t>
  </si>
  <si>
    <t>ردیف: 193  وانت آريسان دوگانه سوز كلاس 4 سفيد دو پوششه  شناسه خودرو  مبلغ پایه  قيمت برنده  جایگاه  LC103852  2,000,000,000  2,310,000,000  193</t>
  </si>
  <si>
    <t>ردیف: 333  سورن EF7 بنزيني کلاس 19 سفيد دو پوششه  شناسه خودرو  مبلغ پایه  قيمت برنده  جایگاه  NF151699  2,500,000,000  3,933,339,999  357</t>
  </si>
  <si>
    <t>ردیف: 354  دنا پلاس اتوماتيك با موتور EF7_TC كلاس2 سفيد دوپوششه كانزاي  شناسه خودرو  مبلغ پایه  قيمت برنده  جایگاه  NE576352  4,000,000,000  4,911,999,999  378</t>
  </si>
  <si>
    <t>ردیف: 431  پژو 207i اتوماتيک با موتور TU5P  کلاس 2 سفيد دو پوششه  شناسه خودرو  مبلغ پایه  قيمت برنده  جایگاه  MJ500108  3,900,000,000  4,731,600,000  455</t>
  </si>
  <si>
    <t>ردیف: 609  پژو پارس TU5 کلاس 27 مشكي متاليك  شناسه خودرو  مبلغ پایه  قيمت برنده  جایگاه  NH415023  3,500,000,000  4,233,332,220  646</t>
  </si>
  <si>
    <t>ردیف: 622  پژو پارس TU5 کلاس 27 مشكي متاليك  شناسه خودرو  مبلغ پایه  قيمت برنده  جایگاه  NH208670  3,450,000,000  4,300,000,000  659</t>
  </si>
  <si>
    <t>ردیف: 628  پژو پارس TU5 کلاس 27 مشكي متاليك  شناسه خودرو  مبلغ پایه  قيمت برنده  جایگاه  NH415021  3,500,000,000  4,335,000,000  665</t>
  </si>
  <si>
    <t>ردیف: 629  پژو پارس TU5 کلاس 27 مشكي متاليك  شناسه خودرو  مبلغ پایه  قيمت برنده  جایگاه  NH418840  3,500,000,000  4,221,555,000  666</t>
  </si>
  <si>
    <t>ردیف: 166  وانت آريسان دوگانه سوز كلاس 4 سفيد دو پوششه  شناسه خودرو  مبلغ پایه  قيمت برنده  جایگاه  LC103979  2,000,000,000  2,165,345,999  166</t>
  </si>
  <si>
    <t>ردیف: 172  وانت آريسان دوگانه سوز كلاس 4 سفيد دو پوششه  شناسه خودرو  مبلغ پایه  قيمت برنده  جایگاه  LC104151  2,000,000,000  2,090,000,000  172</t>
  </si>
  <si>
    <t>ردیف: 197  وانت آريسان دوگانه سوز كلاس 4 سفيد دو پوششه  شناسه خودرو  مبلغ پایه  قيمت برنده  جایگاه  LC103554  2,000,000,000  2,400,000,000  197</t>
  </si>
  <si>
    <t>ردیف: 207  وانت آريسان دوگانه سوز كلاس 4 سفيد دو پوششه  شناسه خودرو  مبلغ پایه  قيمت برنده  جایگاه  LC103993  2,000,000,000  2,234,512,515  207</t>
  </si>
  <si>
    <t>ردیف: 272  پژو 207i اتوماتيک با موتور TU5P  کلاس 2 سفيد دو پوششه  شناسه خودرو  مبلغ پایه  قيمت برنده  جایگاه  NJ240815  4,000,000,000  4,652,150,000  296</t>
  </si>
  <si>
    <t>ردیف: 292  پژو 207i اتوماتيک با موتور TU5P  کلاس 2 مشكي متاليك  شناسه خودرو  مبلغ پایه  قيمت برنده  جایگاه  NJ241638  4,080,000,000  4,782,350,000  316</t>
  </si>
  <si>
    <t>ردیف: 304  پژو 207i اتوماتيک با موتور TU5P  کلاس 2 مشكي متاليك  شناسه خودرو  مبلغ پایه  قيمت برنده  جایگاه  MJ500112  3,870,000,000  4,519,999,999  328</t>
  </si>
  <si>
    <t>ردیف: 312  سورن EF7 بنزيني کلاس 23 سفيد دوپوششه كانزاي  شناسه خودرو  مبلغ پایه  قيمت برنده  جایگاه  MF081427  2,400,000,000  3,299,999,999  336</t>
  </si>
  <si>
    <t>ردیف: 348  دنا پلاس اتوماتيك با موتور EF7_TC كلاس2 مشكي متاليك  شناسه خودرو  مبلغ پایه  قيمت برنده  جایگاه  NE567943  4,000,000,000  5,212,345,678  372</t>
  </si>
  <si>
    <t>ردیف: 389  پژو 207i اتوماتيک با موتور TU5P  کلاس 2 مشكي متاليك  شناسه خودرو  مبلغ پایه  قيمت برنده  جایگاه  NJ241172  4,020,000,000  4,860,000,000  413</t>
  </si>
  <si>
    <t>ردیف: 414  پژو 206 معمولي كلاس 31 سفيد دو پوششه  شناسه خودرو  مبلغ پایه  قيمت برنده  جایگاه  NJ292785  2,500,000,000  3,062,000,000  438</t>
  </si>
  <si>
    <t>ردیف: 467  وانت آريسان دوگانه سوز كلاس 4 سفيد دو پوششه  شناسه خودرو  مبلغ پایه  قيمت برنده  جایگاه  LC103629  2,000,000,000  2,166,999,000  491</t>
  </si>
  <si>
    <t>ردیف: 493  پژو پارس سال با موتور XU7 P کلاس 3 سفيد دو پوششه  شناسه خودرو  مبلغ پایه  قيمت برنده  جایگاه  NK466058  2,350,000,000  2,981,111,111  530</t>
  </si>
  <si>
    <t>ردیف: 517  پژو پارس سال با موتور XU7 P کلاس 1 سفيد دوپوششه كانزاي  شناسه خودرو  مبلغ پایه  قيمت برنده  جایگاه  NK846068  2,400,000,000  3,171,111,111  554</t>
  </si>
  <si>
    <t>ردیف: 55  وانت آريسان دوگانه سوز كلاس 4 سفيد دو پوششه  شناسه خودرو  مبلغ پایه  قيمت برنده  جایگاه  LC104142  2,000,000,000  2,161,110,000  55</t>
  </si>
  <si>
    <t>ردیف: 152  وانت آريسان دوگانه سوز كلاس 4 سفيد دو پوششه  شناسه خودرو  مبلغ پایه  قيمت برنده  جایگاه  LC103727  2,000,000,000  2,115,200,000  152</t>
  </si>
  <si>
    <t>ردیف: 167  وانت آريسان دوگانه سوز كلاس 4 سفيد دو پوششه  شناسه خودرو  مبلغ پایه  قيمت برنده  جایگاه  LC103715  2,000,000,000  2,079,863,000  167</t>
  </si>
  <si>
    <t>ردیف: 217  وانت آريسان دوگانه سوز كلاس 4 سفيد دو پوششه  شناسه خودرو  مبلغ پایه  قيمت برنده  جایگاه  LC103876  2,000,000,000  2,160,100,000  233</t>
  </si>
  <si>
    <t>ردیف: 275  پژو 207i اتوماتيک با موتور TU5P  کلاس 2 سفيد دو پوششه  شناسه خودرو  مبلغ پایه  قيمت برنده  جایگاه  NJ240820  3,970,000,000  4,739,500,000  299</t>
  </si>
  <si>
    <t>ردیف: 281  پژو 207i اتوماتيک با موتور TU5P  کلاس 2 مشكي متاليك  شناسه خودرو  مبلغ پایه  قيمت برنده  جایگاه  NJ240463  4,100,000,000  4,650,000,000  305</t>
  </si>
  <si>
    <t>ردیف: 324  سورن EF7 بنزيني کلاس 19 خاكستري متال  شناسه خودرو  مبلغ پایه  قيمت برنده  جایگاه  MF917058  2,500,000,000  3,155,800,000  348</t>
  </si>
  <si>
    <t>ردیف: 387  رانا کلاس 15 خاكستري متاليك  شناسه خودرو  مبلغ پایه  قيمت برنده  جایگاه  NT373366  2,600,000,000  3,020,000,000  411</t>
  </si>
  <si>
    <t>ردیف: 412  پژو 206 معمولي كلاس 31 سفيد دو پوششه  شناسه خودرو  مبلغ پایه  قيمت برنده  جایگاه  NJ289362  2,500,000,000  3,033,333,333  436</t>
  </si>
  <si>
    <t>ردیف: 429  پژو 207i اتوماتيک با موتور TU5P  کلاس 2 سفيد دو پوششه  شناسه خودرو  مبلغ پایه  قيمت برنده  جایگاه  NJ240866  4,070,000,000  4,750,888,000  453</t>
  </si>
  <si>
    <t>ردیف: 511  پژو پارس سال با موتور XU7 P کلاس 1 مشكي متاليك  شناسه خودرو  مبلغ پایه  قيمت برنده  جایگاه  NH443111  2,450,000,000  3,055,500,000  548</t>
  </si>
  <si>
    <t>ردیف: 560  پژو پارس TU5 كلاس20 مشكي متاليك  شناسه خودرو  مبلغ پایه  قيمت برنده  جایگاه  NH418292  3,300,000,000  3,588,888,000  597</t>
  </si>
  <si>
    <t>ردیف: 573  پژو پارس TU5 کلاس 27 مشكي متاليك  شناسه خودرو  مبلغ پایه  قيمت برنده  جایگاه  NH878129  3,500,000,000  4,340,000,000  610</t>
  </si>
  <si>
    <t>ردیف: 606  پژو پارس TU5 کلاس 27 مشكي متاليك  شناسه خودرو  مبلغ پایه  قيمت برنده  جایگاه  NH871410  3,500,000,000  4,410,000,000  643</t>
  </si>
  <si>
    <t>ردیف: 623  پژو پارس TU5 کلاس 27 مشكي متاليك  شناسه خودرو  مبلغ پایه  قيمت برنده  جایگاه  NH206220  3,500,000,000  4,046,000,000  660</t>
  </si>
  <si>
    <t>ردیف: 69  وانت آريسان دوگانه سوز كلاس 4 سفيد دو پوششه  شناسه خودرو  مبلغ پایه  قيمت برنده  جایگاه  LC103881  2,000,000,000  2,160,000,000  69</t>
  </si>
  <si>
    <t>ردیف: 154  وانت آريسان دوگانه سوز كلاس 4 سفيد دو پوششه  شناسه خودرو  مبلغ پایه  قيمت برنده  جایگاه  LC103769  2,000,000,000  2,274,777,777  154</t>
  </si>
  <si>
    <t>ردیف: 213  وانت آريسان دوگانه سوز كلاس 4 سفيد دو پوششه  شناسه خودرو  مبلغ پایه  قيمت برنده  جایگاه  LC104130  1,800,000,000  2,065,000,000  213</t>
  </si>
  <si>
    <t>ردیف: 274  پژو 207i اتوماتيک با موتور TU5P  کلاس 2 مشكي متاليك  شناسه خودرو  مبلغ پایه  قيمت برنده  جایگاه  NJ240933  4,050,000,000  5,210,000,000  298</t>
  </si>
  <si>
    <t>ردیف: 349  دنا پلاس اتوماتيك با موتور EF7_TC كلاس2 مشكي متاليك  شناسه خودرو  مبلغ پایه  قيمت برنده  جایگاه  NE576004  4,200,000,000  5,367,019,999  373</t>
  </si>
  <si>
    <t>ردیف: 380  رانا کلاس 15 سفيد دو پوششه  شناسه خودرو  مبلغ پایه  قيمت برنده  جایگاه  NT372060  2,480,000,000  3,028,888,888  404</t>
  </si>
  <si>
    <t>ردیف: 420  پژو 206 معمولي كلاس 31 سفيد دو پوششه  شناسه خودرو  مبلغ پایه  قيمت برنده  جایگاه  NJ280864  2,480,000,000  2,710,000,000  444</t>
  </si>
  <si>
    <t>ردیف: 480  رانا پلاس با موتور TU5P و گيربکس 6 سرعته دستي کلاس 3 سفيد دو پوششه  شناسه خودرو  مبلغ پایه  قيمت برنده  جایگاه  NT346065  2,750,000,000  3,433,333,333  517</t>
  </si>
  <si>
    <t>ردیف: 482  رانا پلاس با موتور TU5P و گيربکس 6 سرعته دستي کلاس 3 خاكستري متاليك  شناسه خودرو  مبلغ پایه  قيمت برنده  جایگاه  NT344874  2,720,000,000  3,174,687,337  519</t>
  </si>
  <si>
    <t>ردیف: 495  پژو پارس سال با موتور XU7 P کلاس 1 سفيد دو پوششه  شناسه خودرو  مبلغ پایه  قيمت برنده  جایگاه  NH453590  2,350,000,000  2,949,999,999  532</t>
  </si>
  <si>
    <t>ردیف: 557  پژو پارس TU5 كلاس20 مشكي متاليك  شناسه خودرو  مبلغ پایه  قيمت برنده  جایگاه  NH206933  3,300,000,000  3,959,999,999  594</t>
  </si>
  <si>
    <t>ردیف: 577  پژو پارس TU5 کلاس 27 مشكي متاليك  شناسه خودرو  مبلغ پایه  قيمت برنده  جایگاه  NH878496  3,500,000,000  4,320,009,990  614</t>
  </si>
  <si>
    <t>ردیف: 631  پژو پارس TU5 کلاس 27 مشكي متاليك  شناسه خودرو  مبلغ پایه  قيمت برنده  جایگاه  NH871577  3,500,000,000  4,123,655,691  668</t>
  </si>
  <si>
    <t>ردیف: 173  وانت آريسان دوگانه سوز كلاس 4 سفيد دو پوششه  شناسه خودرو  مبلغ پایه  قيمت برنده  جایگاه  LC103692  2,000,000,000  2,038,880,000  173</t>
  </si>
  <si>
    <t>ردیف: 240  دنا پلاس اتوماتيك با موتور EF7_TC كلاس2 سفيد دوپوششه كانزاي  شناسه خودرو  مبلغ پایه  قيمت برنده  جایگاه  NE480912  3,200,000,000  4,477,777,777  264</t>
  </si>
  <si>
    <t>ردیف: 245  پژو 207i اتوماتيک با موتور TU5P  کلاس 2 سفيد دو پوششه  شناسه خودرو  مبلغ پایه  قيمت برنده  جایگاه  NJ242880  4,080,000,000  4,856,950,000  269</t>
  </si>
  <si>
    <t>ردیف: 299  پژو 207i اتوماتيک با موتور TU5P  کلاس 2 مشكي متاليك  شناسه خودرو  مبلغ پایه  قيمت برنده  جایگاه  NJ240960  4,100,000,000  4,888,888,888  323</t>
  </si>
  <si>
    <t>ردیف: 306  پژو 207i اتوماتيک با موتور TU5P  کلاس 2 مشكي متاليك  شناسه خودرو  مبلغ پایه  قيمت برنده  جایگاه  NJ242894  4,100,000,000  5,155,555,555  330</t>
  </si>
  <si>
    <t>ردیف: 403  تارا اتوماتيک کلاس 1  مشكي متاليك (آبنوس)  شناسه خودرو  مبلغ پایه  قيمت برنده  جایگاه  MD920094  4,750,000,000  5,295,556,849  427</t>
  </si>
  <si>
    <t>ردیف: 419  پژو 206 معمولي كلاس 31 سفيد دو پوششه  شناسه خودرو  مبلغ پایه  قيمت برنده  جایگاه  NJ280503  2,500,000,000  2,988,888,800  443</t>
  </si>
  <si>
    <t>ردیف: 443  پژو 207i دستي کلاس 10 سفيد دو پوششه  شناسه خودرو  مبلغ پایه  قيمت برنده  جایگاه  NJ276427  3,400,000,000  3,975,555,559  467</t>
  </si>
  <si>
    <t>ردیف: 465  پژو 207i دستي کلاس 10 سفيد دو پوششه  شناسه خودرو  مبلغ پایه  قيمت برنده  جایگاه  MJ530300  2,900,000,000  3,769,000,000  489</t>
  </si>
  <si>
    <t>ردیف: 502  پژو پارس سال با موتور XU7 P کلاس 1 سفيد دو پوششه  شناسه خودرو  مبلغ پایه  قيمت برنده  جایگاه  NH455895  2,450,000,000  3,108,760,000  539</t>
  </si>
  <si>
    <t>ردیف: 538  پژو پارس TU5 كلاس20 مشكي متاليك  شناسه خودرو  مبلغ پایه  قيمت برنده  جایگاه  NH879895  2,900,000,000  3,755,950,000  575</t>
  </si>
  <si>
    <t>ردیف: 603  پژو پارس TU5 کلاس 27 مشكي متاليك  شناسه خودرو  مبلغ پایه  قيمت برنده  جایگاه  NH871458  3,500,000,000  4,350,000,000  640</t>
  </si>
  <si>
    <t>ردیف: 626  پژو پارس TU5 کلاس 27 مشكي متاليك  شناسه خودرو  مبلغ پایه  قيمت برنده  جایگاه  NH418858  3,500,000,000  4,301,000,000  663</t>
  </si>
  <si>
    <t>ردیف: 635  پژو پارس TU5 کلاس 27 مشكي متاليك  شناسه خودرو  مبلغ پایه  قيمت برنده  جایگاه  NH871783  3,450,000,000  4,380,000,000  672</t>
  </si>
  <si>
    <t>ردیف: 224  پژو پارس TU5 كلاس20 سفيد دو پوششه  شناسه خودرو  مبلغ پایه  قيمت برنده  جایگاه  MH685513  2,100,000,000  3,465,000,000  248</t>
  </si>
  <si>
    <t>ردیف: 331  سورن EF7 بنزيني کلاس 19 سفيد دو پوششه  شناسه خودرو  مبلغ پایه  قيمت برنده  جایگاه  NF169326  2,500,000,000  3,111,000,000  355</t>
  </si>
  <si>
    <t>ردیف: 392  تارا دستي کلاس 1 سفيد دو پوششه  شناسه خودرو  مبلغ پایه  قيمت برنده  جایگاه  ND930355  3,400,000,000  3,711,111,111  416</t>
  </si>
  <si>
    <t>ردیف: 571  پژو پارس TU5 کلاس 27 مشكي متاليك  شناسه خودرو  مبلغ پایه  قيمت برنده  جایگاه  NH871538  3,500,000,000  4,755,050,500  608</t>
  </si>
  <si>
    <t>ردیف: 581  پژو پارس TU5 کلاس 27 مشكي متاليك  شناسه خودرو  مبلغ پایه  قيمت برنده  جایگاه  NH208264  3,500,000,000  4,330,000,000  618</t>
  </si>
  <si>
    <t>ردیف: 591  پژو پارس TU5 کلاس 27 مشكي متاليك  شناسه خودرو  مبلغ پایه  قيمت برنده  جایگاه  NH879667  3,500,000,000  4,275,789,999  628</t>
  </si>
  <si>
    <t>ردیف: 604  پژو پارس TU5 کلاس 27 مشكي متاليك  شناسه خودرو  مبلغ پایه  قيمت برنده  جایگاه  NH871376  3,500,000,000  4,080,000,000  641</t>
  </si>
  <si>
    <t>ردیف: 607  پژو پارس TU5 کلاس 27 مشكي متاليك  شناسه خودرو  مبلغ پایه  قيمت برنده  جایگاه  NH871415  3,500,000,000  4,379,999,999  644</t>
  </si>
  <si>
    <t>ردیف: 618  پژو پارس TU5 کلاس 27 مشكي متاليك  شناسه خودرو  مبلغ پایه  قيمت برنده  جایگاه  NH877866  3,500,000,000  4,219,000,199  655</t>
  </si>
  <si>
    <t>ردیف: 25  هايماS7 توربو اتوماتيك كلاس2 مشكي متاليك  شناسه خودرو  مبلغ پایه  قيمت برنده  جایگاه  NY060014  8,100,000,000  9,666,660,000  25</t>
  </si>
  <si>
    <t>ردیف: 258  پژو 207i اتوماتيک با موتور TU5P  کلاس 2 مشكي متاليك  شناسه خودرو  مبلغ پایه  قيمت برنده  جایگاه  NJ240608  4,000,000,000  4,666,500,001  282</t>
  </si>
  <si>
    <t>ردیف: 290  پژو 207i اتوماتيک با موتور TU5P  کلاس 2 مشكي متاليك  شناسه خودرو  مبلغ پایه  قيمت برنده  جایگاه  NJ240929  4,050,000,000  4,634,444,444  314</t>
  </si>
  <si>
    <t>ردیف: 332  سورن EF7 بنزيني کلاس 19 سفيد دو پوششه  شناسه خودرو  مبلغ پایه  قيمت برنده  جایگاه  MF085160  2,400,000,000  2,961,000,000  356</t>
  </si>
  <si>
    <t>ردیف: 364  دنا+ (پلاس) کلاس 17 خاكستري متاليك  شناسه خودرو  مبلغ پایه  قيمت برنده  جایگاه  NE524164  3,400,000,000  3,959,999,990  388</t>
  </si>
  <si>
    <t>ردیف: 378  رانا کلاس 15 سفيد دو پوششه  شناسه خودرو  مبلغ پایه  قيمت برنده  جایگاه  NT360487  2,450,000,000  2,950,000,000  402</t>
  </si>
  <si>
    <t>ردیف: 382  رانا کلاس 15 خاكستري متاليك  شناسه خودرو  مبلغ پایه  قيمت برنده  جایگاه  NT374542  2,620,000,000  3,150,000,000  406</t>
  </si>
  <si>
    <t>ردیف: 398  تارا اتوماتيک کلاس 1  خاكستري متاليك  شناسه خودرو  مبلغ پایه  قيمت برنده  جایگاه  MD920014  4,650,000,000  4,737,892,000  422</t>
  </si>
  <si>
    <t>ردیف: 418  پژو 206 معمولي كلاس 31 سفيد دو پوششه  شناسه خودرو  مبلغ پایه  قيمت برنده  جایگاه  NJ292789  2,300,000,000  2,921,210,000  442</t>
  </si>
  <si>
    <t>ردیف: 498  پژو پارس سال با موتور XU7 P کلاس 1 سفيد دوپوششه كانزاي  شناسه خودرو  مبلغ پایه  قيمت برنده  جایگاه  NH454172  2,500,000,000  3,141,000,000  535</t>
  </si>
  <si>
    <t>ردیف: 550  پژو پارس TU5 كلاس20 مشكي متاليك  شناسه خودرو  مبلغ پایه  قيمت برنده  جایگاه  NH867085  3,300,000,000  3,936,666,666  587</t>
  </si>
  <si>
    <t>ردیف: 588  پژو پارس TU5 کلاس 27 مشكي متاليك  شناسه خودرو  مبلغ پایه  قيمت برنده  جایگاه  NH877513  3,500,000,000  4,191,111,111  625</t>
  </si>
  <si>
    <t>ردیف: 619  پژو پارس TU5 کلاس 27 مشكي متاليك  شناسه خودرو  مبلغ پایه  قيمت برنده  جایگاه  NH877699  3,500,000,000  4,319,999,999  656</t>
  </si>
  <si>
    <t>ردیف: 627  پژو پارس TU5 کلاس 27 مشكي متاليك  شناسه خودرو  مبلغ پایه  قيمت برنده  جایگاه  NH878117  3,500,000,000  4,259,999,999  664</t>
  </si>
  <si>
    <t>ردیف: 146  وانت آريسان دوگانه سوز كلاس 4 سفيد دو پوششه  شناسه خودرو  مبلغ پایه  قيمت برنده  جایگاه  LC103651  1,970,000,000  2,121,650,000  146</t>
  </si>
  <si>
    <t>ردیف: 330  سورن EF7 بنزيني کلاس 19 سفيد دو پوششه  شناسه خودرو  مبلغ پایه  قيمت برنده  جایگاه  NF151748  2,500,000,000  3,129,999,999  354</t>
  </si>
  <si>
    <t>ردیف: 335  سورن EF7 بنزيني کلاس 19 سفيد دو پوششه  شناسه خودرو  مبلغ پایه  قيمت برنده  جایگاه  NF155315  2,450,000,000  3,112,560,000  359</t>
  </si>
  <si>
    <t>ردیف: 368  دنا+ (پلاس) کلاس 17 سفيد دوپوششه كانزاي  شناسه خودرو  مبلغ پایه  قيمت برنده  جایگاه  NE526935  3,450,000,000  4,201,000,000  392</t>
  </si>
  <si>
    <t>ردیف: 417  پژو 206 معمولي كلاس 31 سفيد دو پوششه  شناسه خودرو  مبلغ پایه  قيمت برنده  جایگاه  NJ281622  2,530,000,000  3,052,210,000  441</t>
  </si>
  <si>
    <t>ردیف: 438  پژو 207i دستي كلاس 6 سفيد دو پوششه  شناسه خودرو  مبلغ پایه  قيمت برنده  جایگاه  NJ486922  3,200,000,000  4,063,010,000  462</t>
  </si>
  <si>
    <t>ردیف: 477  رانا پلاس با موتور TU5P و گيربکس 6 سرعته دستي کلاس 3 سفيد دو پوششه  شناسه خودرو  مبلغ پایه  قيمت برنده  جایگاه  NT341672  2,750,000,000  3,558,999,999  514</t>
  </si>
  <si>
    <t>ردیف: 545  پژو پارس TU5 كلاس20 مشكي متاليك  شناسه خودرو  مبلغ پایه  قيمت برنده  جایگاه  NH418543  3,300,000,000  3,732,200,000  582</t>
  </si>
  <si>
    <t>ردیف: 554  پژو پارس TU5 كلاس20 مشكي متاليك  شناسه خودرو  مبلغ پایه  قيمت برنده  جایگاه  NH417823  3,300,000,000  3,910,000,000  591</t>
  </si>
  <si>
    <t>ردیف: 556  پژو پارس TU5 كلاس20 سفيد دو پوششه  شناسه خودرو  مبلغ پایه  قيمت برنده  جایگاه  NH212357  3,300,000,000  3,860,000,000  593</t>
  </si>
  <si>
    <t>ردیف: 596  پژو پارس TU5 کلاس 27 مشكي متاليك  شناسه خودرو  مبلغ پایه  قيمت برنده  جایگاه  NH879679  3,500,000,000  4,437,699,990  633</t>
  </si>
  <si>
    <t>ردیف: 597  پژو پارس TU5 کلاس 27 مشكي متاليك  شناسه خودرو  مبلغ پایه  قيمت برنده  جایگاه  NH877511  3,500,000,000  4,239,999,999  634</t>
  </si>
  <si>
    <t>ردیف: 608  پژو پارس TU5 کلاس 27 سفيد دو پوششه  شناسه خودرو  مبلغ پایه  قيمت برنده  جایگاه  NH206234  3,550,000,000  4,489,999,100  645</t>
  </si>
  <si>
    <t>ردیف: 611  پژو پارس TU5 کلاس 27 مشكي متاليك  شناسه خودرو  مبلغ پایه  قيمت برنده  جایگاه  NH871844  3,500,000,000  4,129,999,999  648</t>
  </si>
  <si>
    <t>ردیف: 612  پژو پارس TU5 کلاس 27 مشكي متاليك  شناسه خودرو  مبلغ پایه  قيمت برنده  جایگاه  NH871731  3,500,000,000  4,456,300,000  649</t>
  </si>
  <si>
    <t>ردیف: 630  پژو پارس TU5 کلاس 27 مشكي متاليك  شناسه خودرو  مبلغ پایه  قيمت برنده  جایگاه  NH209357  3,500,000,000  4,242,099,999  667</t>
  </si>
  <si>
    <t>ردیف: 633  پژو پارس TU5 کلاس 27 مشكي متاليك  شناسه خودرو  مبلغ پایه  قيمت برنده  جایگاه  NH876872  3,500,000,000  4,520,000,000  670</t>
  </si>
  <si>
    <t>ردیف: 8  پژو پارس TU5 کلاس 27 مشكي متاليك  شناسه خودرو  مبلغ پایه  قيمت برنده  جایگاه  NH871650  2,800,000,000  3,866,666,669  8</t>
  </si>
  <si>
    <t>ردیف: 231  پژو پارس سال با موتور XU7 P کلاس 1 سفيد دو پوششه  شناسه خودرو  مبلغ پایه  قيمت برنده  جایگاه  NH457349  2,100,000,000  2,855,550,000  255</t>
  </si>
  <si>
    <t>ردیف: 265  پژو 207i اتوماتيک با موتور TU5P  کلاس 2 سفيد دو پوششه  شناسه خودرو  مبلغ پایه  قيمت برنده  جایگاه  NJ240277  4,030,000,000  4,777,777,777  289</t>
  </si>
  <si>
    <t>ردیف: 287  پژو 207i اتوماتيک با موتور TU5P  کلاس 2 سفيد دو پوششه  شناسه خودرو  مبلغ پایه  قيمت برنده  جایگاه  NJ241034  4,080,000,000  5,080,080,000  311</t>
  </si>
  <si>
    <t>ردیف: 373  رانا کلاس 15 سفيد دو پوششه  شناسه خودرو  مبلغ پایه  قيمت برنده  جایگاه  NT364351  2,470,000,000  3,020,000,000  397</t>
  </si>
  <si>
    <t>ردیف: 375  رانا کلاس 15 سفيد دو پوششه  شناسه خودرو  مبلغ پایه  قيمت برنده  جایگاه  NT371456  2,470,000,000  3,069,990,000  399</t>
  </si>
  <si>
    <t>ردیف: 377  رانا کلاس 15 سفيد دو پوششه  شناسه خودرو  مبلغ پایه  قيمت برنده  جایگاه  NT367066  2,500,000,000  3,085,999,999  401</t>
  </si>
  <si>
    <t>ردیف: 439  پژو 207i دستي كلاس 6 مشكي متاليك  شناسه خودرو  مبلغ پایه  قيمت برنده  جایگاه  NJ485106  3,300,000,000  4,160,000,000  463</t>
  </si>
  <si>
    <t>ردیف: 507  پژو پارس سال با موتور XU7 P کلاس 1 مشكي متاليك  شناسه خودرو  مبلغ پایه  قيمت برنده  جایگاه  NH443022  2,450,000,000  2,956,800,000  544</t>
  </si>
  <si>
    <t>ردیف: 549  پژو پارس TU5 كلاس20 سفيد دو پوششه  شناسه خودرو  مبلغ پایه  قيمت برنده  جایگاه  NH877076  3,300,000,000  4,123,129,129  586</t>
  </si>
  <si>
    <t>ردیف: 566  پژو پارس TU5 کلاس 27 مشكي متاليك  شناسه خودرو  مبلغ پایه  قيمت برنده  جایگاه  NH879671  3,500,000,000  4,381,111,112  603</t>
  </si>
  <si>
    <t>ردیف: 569  پژو پارس TU5 کلاس 27 مشكي متاليك  شناسه خودرو  مبلغ پایه  قيمت برنده  جایگاه  NH879665  3,500,000,000  4,239,090,000  606</t>
  </si>
  <si>
    <t>ردیف: 576  پژو پارس TU5 کلاس 27 مشكي متاليك  شناسه خودرو  مبلغ پایه  قيمت برنده  جایگاه  NH871583  3,500,000,000  4,210,099,999  613</t>
  </si>
  <si>
    <t>ردیف: 585  پژو پارس TU5 کلاس 27 مشكي متاليك  شناسه خودرو  مبلغ پایه  قيمت برنده  جایگاه  NH415016  3,500,000,000  4,177,770,000  622</t>
  </si>
  <si>
    <t>ردیف: 219  رانا کلاس 15 سفيد دو پوششه  شناسه خودرو  مبلغ پایه  قيمت برنده  جایگاه  NT360449  1,800,000,000  2,811,111,111  243</t>
  </si>
  <si>
    <t>ردیف: 227  پژو پارس TU5 كلاس20 سفيد دو پوششه  شناسه خودرو  مبلغ پایه  قيمت برنده  جایگاه  NH878607  2,550,000,000  3,711,000,001  251</t>
  </si>
  <si>
    <t>ردیف: 407  تارا اتوماتيک کلاس 1  مشكي متاليك (آبنوس)  شناسه خودرو  مبلغ پایه  قيمت برنده  جایگاه  MD920228  4,700,000,000  5,380,010,000  431</t>
  </si>
  <si>
    <t>ردیف: 422  پژو 206 معمولي كلاس 31 سفيد دو پوششه  شناسه خودرو  مبلغ پایه  قيمت برنده  جایگاه  NJ281237  2,500,000,000  2,980,000,000  446</t>
  </si>
  <si>
    <t>ردیف: 478  رانا پلاس با موتور TU5P و گيربکس 6 سرعته دستي کلاس 3 خاكستري متاليك  شناسه خودرو  مبلغ پایه  قيمت برنده  جایگاه  NT343240  2,700,000,000  3,310,000,000  515</t>
  </si>
  <si>
    <t>ردیف: 487  پژو پارس سال با موتور XU7 P کلاس 3 سفيد دو پوششه  شناسه خودرو  مبلغ پایه  قيمت برنده  جایگاه  NH448474  2,550,000,000  3,151,500,000  524</t>
  </si>
  <si>
    <t>ردیف: 558  پژو پارس TU5 كلاس20 مشكي متاليك  شناسه خودرو  مبلغ پایه  قيمت برنده  جایگاه  NH879894  3,300,000,000  3,588,888,000  595</t>
  </si>
  <si>
    <t>ردیف: 570  پژو پارس TU5 کلاس 27 مشكي متاليك  شناسه خودرو  مبلغ پایه  قيمت برنده  جایگاه  NH871460  3,500,000,000  4,399,999,999  607</t>
  </si>
  <si>
    <t>ردیف: 582  پژو پارس TU5 کلاس 27 مشكي متاليك  شناسه خودرو  مبلغ پایه  قيمت برنده  جایگاه  NH877509  3,500,000,000  4,400,000,000  619</t>
  </si>
  <si>
    <t>ردیف: 583  پژو پارس TU5 کلاس 27 مشكي متاليك  شناسه خودرو  مبلغ پایه  قيمت برنده  جایگاه  NH879670  3,500,000,000  4,381,250,000  620</t>
  </si>
  <si>
    <t>ردیف: 584  پژو پارس TU5 کلاس 27 مشكي متاليك  شناسه خودرو  مبلغ پایه  قيمت برنده  جایگاه  NH206217  3,500,000,000  3,900,000,880  621</t>
  </si>
  <si>
    <t>ردیف: 586  پژو پارس TU5 کلاس 27 مشكي متاليك  شناسه خودرو  مبلغ پایه  قيمت برنده  جایگاه  NH879662  3,500,000,000  4,111,000,000  623</t>
  </si>
  <si>
    <t>ردیف: 590  پژو پارس TU5 کلاس 27 مشكي متاليك  شناسه خودرو  مبلغ پایه  قيمت برنده  جایگاه  NH871372  3,500,000,000  4,109,999,999  627</t>
  </si>
  <si>
    <t>ردیف: 598  پژو پارس TU5 کلاس 27 مشكي متاليك  شناسه خودرو  مبلغ پایه  قيمت برنده  جایگاه  NH876875  3,500,000,000  4,400,000,000  635</t>
  </si>
  <si>
    <t>ردیف: 613  پژو پارس TU5 کلاس 27 مشكي متاليك  شناسه خودرو  مبلغ پایه  قيمت برنده  جایگاه  NH871257  3,500,000,000  4,399,999,999  650</t>
  </si>
  <si>
    <t>ردیف: 620  پژو پارس TU5 کلاس 27 مشكي متاليك  شناسه خودرو  مبلغ پایه  قيمت برنده  جایگاه  NH871385  3,450,000,000  4,353,530,000  657</t>
  </si>
  <si>
    <t>ردیف: 175  وانت آريسان دوگانه سوز كلاس 4 سفيد دو پوششه  شناسه خودرو  مبلغ پایه  قيمت برنده  جایگاه  LC103858  2,000,000,000  2,260,000,000  175</t>
  </si>
  <si>
    <t>ردیف: 294  پژو 207i اتوماتيک با موتور TU5P  کلاس 2 مشكي متاليك  شناسه خودرو  مبلغ پایه  قيمت برنده  جایگاه  NJ242592  4,100,000,000  5,188,888,888  318</t>
  </si>
  <si>
    <t>ردیف: 510  پژو پارس سال با موتور XU7 P کلاس 1 مشكي متاليك  شناسه خودرو  مبلغ پایه  قيمت برنده  جایگاه  NH442832  2,450,000,000  3,109,999,999  547</t>
  </si>
  <si>
    <t>ردیف: 515  پژو پارس سال با موتور XU7 P کلاس 1 مشكي متاليك  شناسه خودرو  مبلغ پایه  قيمت برنده  جایگاه  NH442825  2,450,000,000  2,955,000,000  552</t>
  </si>
  <si>
    <t>ردیف: 610  پژو پارس TU5 کلاس 27 سفيد دو پوششه  شناسه خودرو  مبلغ پایه  قيمت برنده  جایگاه  NH205529  3,200,000,000  3,973,679,999  647</t>
  </si>
  <si>
    <t>تارا اتوماتيک کلاس 1  مشكي متاليك</t>
  </si>
  <si>
    <t>ردیف: 409  تارا اتوماتيک کلاس 1  مشكي متاليك  شناسه خودرو  مبلغ پایه  قيمت برنده  جایگاه  MD920011  4,500,000,000  4,719,999,999  433</t>
  </si>
  <si>
    <t>ردیف: 415  پژو 206 معمولي كلاس 31 سفيد دو پوششه  شناسه خودرو  مبلغ پایه  قيمت برنده  جایگاه  NJ295652  2,500,000,000  3,001,000,000  439</t>
  </si>
  <si>
    <t>ردیف: 518  پژو پارس سال با موتور XU7 P کلاس 1 سفيد دو پوششه  شناسه خودرو  مبلغ پایه  قيمت برنده  جایگاه  NH457630  2,450,000,000  3,125,000,000  555</t>
  </si>
  <si>
    <t>ردیف: 533  پژو پارس TU5 كلاس20 سفيد دو پوششه  شناسه خودرو  مبلغ پایه  قيمت برنده  جایگاه  NH208428  2,950,000,000  3,217,000,000  570</t>
  </si>
  <si>
    <t>ردیف: 567  پژو پارس TU5 کلاس 27 مشكي متاليك  شناسه خودرو  مبلغ پایه  قيمت برنده  جایگاه  NH871850  3,500,000,000  4,312,233,451  604</t>
  </si>
  <si>
    <t>ردیف: 587  پژو پارس TU5 کلاس 27 مشكي متاليك  شناسه خودرو  مبلغ پایه  قيمت برنده  جایگاه  NH878118  3,500,000,000  4,332,111,112  624</t>
  </si>
  <si>
    <t>ردیف: 589  پژو پارس TU5 کلاس 27 مشكي متاليك  شناسه خودرو  مبلغ پایه  قيمت برنده  جایگاه  NH877505  3,500,000,000  4,255,552,220  626</t>
  </si>
  <si>
    <t>ردیف: 401  تارا اتوماتيک کلاس 1  سفيد دو پوششه  شناسه خودرو  مبلغ پایه  قيمت برنده  جایگاه  MD920029  4,700,000,000  5,120,000,000  425</t>
  </si>
  <si>
    <t>ردیف: 489  پژو پارس سال با موتور XU7 P کلاس 3 سفيد دو پوششه  شناسه خودرو  مبلغ پایه  قيمت برنده  جایگاه  NH459782  2,550,000,000  3,002,000,000  526</t>
  </si>
  <si>
    <t>ردیف: 496  پژو پارس سال با موتور XU7 P کلاس 1 سفيد دو پوششه  شناسه خودرو  مبلغ پایه  قيمت برنده  جایگاه  NH457826  2,400,000,000  3,110,009,990  533</t>
  </si>
  <si>
    <t>ردیف: 503  پژو پارس سال با موتور XU7 P کلاس 1 سفيد دو پوششه  شناسه خودرو  مبلغ پایه  قيمت برنده  جایگاه  NH442136  2,250,000,000  2,977,700,000  540</t>
  </si>
  <si>
    <t>ردیف: 506  پژو پارس سال با موتور XU7 P کلاس 1 مشكي متاليك  شناسه خودرو  مبلغ پایه  قيمت برنده  جایگاه  NH442827  2,450,000,000  3,037,878,789  543</t>
  </si>
  <si>
    <t>ردیف: 594  پژو پارس TU5 کلاس 27 مشكي متاليك  شناسه خودرو  مبلغ پایه  قيمت برنده  جایگاه  NH878136  3,500,000,000  4,199,999,999  631</t>
  </si>
  <si>
    <t>ردیف: 504  پژو پارس سال با موتور XU7 P کلاس 1 مشكي متاليك  شناسه خودرو  مبلغ پایه  قيمت برنده  جایگاه  NH442823  2,450,000,000  2,977,446,555  541</t>
  </si>
  <si>
    <t>ردیف: 579  پژو پارس TU5 کلاس 27 مشكي متاليك  شناسه خودرو  مبلغ پایه  قيمت برنده  جایگاه  NH878494  3,500,000,000  4,177,758,985  616</t>
  </si>
  <si>
    <t>ردیف: 595  پژو پارس TU5 کلاس 27 مشكي متاليك  شناسه خودرو  مبلغ پایه  قيمت برنده  جایگاه  NH878245  3,500,000,000  3,880,000,000  632</t>
  </si>
  <si>
    <t>ردیف: 568  پژو پارس TU5 کلاس 27 مشكي متاليك  شناسه خودرو  مبلغ پایه  قيمت برنده  جایگاه  NH871733  3,500,000,000  4,261,000,000  605</t>
  </si>
  <si>
    <t>ردیف: 575  پژو پارس TU5 کلاس 27 مشكي متاليك  شناسه خودرو  مبلغ پایه  قيمت برنده  جایگاه  NH879675  3,500,000,000  4,183,459,999  612</t>
  </si>
  <si>
    <t>ردیف: 580  پژو پارس TU5 کلاس 27 مشكي متاليك  شناسه خودرو  مبلغ پایه  قيمت برنده  جایگاه  NH877508  3,500,000,000  4,156,000,000  617</t>
  </si>
  <si>
    <t>ردیف: 4  پژو پارس کلاس 42 خاكستري متاليك  شناسه خودرو  مبلغ پایه  قيمت برنده  جایگاه  NK901043  2,400,000,000  3,131,000,000  4</t>
  </si>
  <si>
    <t>ردیف: 218  دنا پلاس اتوماتيك با موتور EF7_TC كلاس2 سفيد دو پوششه  شناسه خودرو  مبلغ پایه  قيمت برنده  جایگاه  NE541960  3,150,000,000  4,605,000,000  242</t>
  </si>
  <si>
    <t>ردیف: 232  پژو پارس سال با موتور XU7 P کلاس 1 سفيد دوپوششه كانزاي  شناسه خودرو  مبلغ پایه  قيمت برنده  جایگاه  NK846751  2,500,000,000  2,786,500,000  256</t>
  </si>
  <si>
    <t>ردیف: 537  پژو پارس TU5 كلاس20 مشكي متاليك  شناسه خودرو  مبلغ پایه  قيمت برنده  جایگاه  NH418296  3,200,000,000  3,746,740,000  574</t>
  </si>
  <si>
    <t>ردیف: 233  پژو پارس سال با موتور XU7 P کلاس 1 مشكي متاليك  شناسه خودرو  مبلغ پایه  قيمت برنده  جایگاه  NH442830  2,550,000,000  2,961,000,000  257</t>
  </si>
  <si>
    <t>ردیف: 592  پژو پارس TU5 کلاس 27 مشكي متاليك  شناسه خودرو  مبلغ پایه  قيمت برنده  جایگاه  NH877504  3,500,000,000  4,201,000,000  629</t>
  </si>
  <si>
    <t>ردیف: 238  پژو پارس TU5 كلاس20 سفيد دو پوششه  شناسه خودرو  مبلغ پایه  قيمت برنده  جایگاه  NK183567  2,900,000,000  3,555,555,555  262</t>
  </si>
  <si>
    <t>ردیف: 519  پژو پارس TU5 كلاس20 سفيد دو پوششه  شناسه خودرو  مبلغ پایه  قيمت برنده  جایگاه  NH868999  3,100,000,000  3,687,542,132  556</t>
  </si>
  <si>
    <t>ردیف: 226  پژو پارس TU5 كلاس20 سفيد دو پوششه  شناسه خودرو  مبلغ پایه  قيمت برنده  جایگاه  NH869723  2,400,000,000  3,150,000,000  250</t>
  </si>
  <si>
    <t>ردیف: 230  پژو پارس سال با موتور XU7 P کلاس 1 سفيد دو پوششه  شناسه خودرو  مبلغ پایه  قيمت برنده  جایگاه  NH458454  2,600,000,000  3,678,999,000  254</t>
  </si>
  <si>
    <t>ردیف: 237  پژو پارس سال با موتور XU7 P کلاس 3 سفيد دو پوششه  شناسه خودرو  مبلغ پایه  قيمت برنده  جایگاه  NH402607  2,600,000,000  3,117,700,000  261</t>
  </si>
  <si>
    <t>ردیف: 423  پژو 206 معمولي كلاس 31 سفيد دو پوششه  شناسه خودرو  مبلغ پایه  قيمت برنده  جایگاه  MJ632133  2,100,000,000  2,751,500,000  447</t>
  </si>
  <si>
    <t>ردیف: 225  پژو پارس TU5 كلاس20 سفيد دو پوششه  شناسه خودرو  مبلغ پایه  قيمت برنده  جایگاه  NH210847  2,300,000,000  3,175,000,000  249</t>
  </si>
  <si>
    <t>ردیف: 228  پژو پارس TU5 کلاس 27 سفيد دو پوششه  شناسه خودرو  مبلغ پایه  قيمت برنده  جایگاه  NH211584  3,100,000,000  3,719,999,999  252</t>
  </si>
  <si>
    <t>ردیف: 28  سمند - ال ايكس کلاس 57 سفيد دو پوششه  شناسه خودرو  مبلغ پایه  قيمت برنده  جایگاه  MF844579  2,200,000,000  3,055,000,000  28</t>
  </si>
  <si>
    <t>ردیف: 235  پژو پارس سال با موتور XU7 P کلاس 3 سفيد دو پوششه  شناسه خودرو  مبلغ پایه  قيمت برنده  جایگاه  NH459452  2,500,000,000  2,935,000,000  259</t>
  </si>
  <si>
    <t>ردیف: 220  رانا کلاس 15 سفيد دو پوششه  شناسه خودرو  مبلغ پایه  قيمت برنده  جایگاه  NT372498  1,600,000,000  2,736,000,000  244</t>
  </si>
  <si>
    <t>ردیف: 229  پژو پارس سال با موتور XU7 P کلاس 1 سفيد دو پوششه  شناسه خودرو  مبلغ پایه  قيمت برنده  جایگاه  NH457586  2,500,000,000  2,663,800,000  253</t>
  </si>
  <si>
    <t>ردیف: 407  پژو پارس TU5 كلاس20 سفيد دو پوششه  شناسه خودرو  مبلغ پایه  قيمت برنده  جایگاه  LH308375  2,000,000,000  2,750,000,000  504</t>
  </si>
  <si>
    <t>ردیف: 411  پژو پارس TU5 كلاس20 سفيد دو پوششه  شناسه خودرو  مبلغ پایه  قيمت برنده  جایگاه  NH878722  2,300,000,000  3,090,000,000  508</t>
  </si>
  <si>
    <t>ردیف: 413  پژو پارس سال با موتور XU7 P کلاس 3 سفيد دوپوششه كانزاي  شناسه خودرو  مبلغ پایه  قيمت برنده  جایگاه  NK848698  3,000,000,000  3,615,500,000  510</t>
  </si>
  <si>
    <t>ردیف: 431  دنا پلاس اتوماتيك با موتور EF7_TC كلاس2 مشكي متاليك  شناسه خودرو  مبلغ پایه  قيمت برنده  جایگاه  LE240744  3,600,000,000  4,619,999,999  528</t>
  </si>
  <si>
    <t>ردیف: 469  پژو 207i دستي کلاس 10 مشكي متاليك  شناسه خودرو  مبلغ پایه  قيمت برنده  جایگاه  MJ222394  3,750,000,000  4,633,000,000  573</t>
  </si>
  <si>
    <t>ردیف: 510  هايما S5 توربو اتوماتيک کلاس 1 مشكي متاليك  شناسه خودرو  مبلغ پایه  قيمت برنده  جایگاه  NY070729  8,150,000,000  10,366,099,999  620</t>
  </si>
  <si>
    <t>ردیف: 528  پژو 206 معمولي كلاس 30 سفيد دو پوششه  شناسه خودرو  مبلغ پایه  قيمت برنده  جایگاه  JJ568898  2,650,000,000  3,438,800,000  638</t>
  </si>
  <si>
    <t>ردیف: 479  پژو 206 اس دي 1600 سي سي كلاس 1 نقره اي متاليك  شناسه خودرو  مبلغ پایه  قيمت برنده  جایگاه  18901034  1,000,000,000  2,019,999,999  583</t>
  </si>
  <si>
    <t>ردیف: 480  پژو 206 اس دي اتوماتيك كلاس‏1  سفيد دوپوششه كانزاي  شناسه خودرو  مبلغ پایه  قيمت برنده  جایگاه  BJ371591  1,580,000,000  2,875,000,000  584</t>
  </si>
  <si>
    <t>پژو  جي ال ايكس انژكتوري كلاس 34 نقره اي متاليك</t>
  </si>
  <si>
    <t>ردیف: 522  پژو  جي ال ايكس انژكتوري كلاس 34 نقره اي متاليك  شناسه خودرو  مبلغ پایه  قيمت برنده  جایگاه  HK141130  1,750,000,000  2,625,500,001  632</t>
  </si>
  <si>
    <t>ردیف: 529  تندر 90 E1 - 1 Airbag مشكي پرشين متاليك  شناسه خودرو  مبلغ پایه  قيمت برنده  جایگاه  EA232587  2,030,000,000  3,230,000,000  639</t>
  </si>
  <si>
    <t>ردیف: 521  دنا كلاس 1 خاكستري متاليك  شناسه خودرو  مبلغ پایه  قيمت برنده  جایگاه  FE036932  2,500,000,000  3,821,111,111  631</t>
  </si>
  <si>
    <t>ردیف: 527  پژو 206 1600 سي سي كلاس 15 سفيد دو پوششه  شناسه خودرو  مبلغ پایه  قيمت برنده  جایگاه  GJ893309  2,200,000,000  3,388,000,009  637</t>
  </si>
  <si>
    <t>ردیف: 531  سمند - ال ايكس کلاس 35 سفيد دو پوششه  شناسه خودرو  مبلغ پایه  قيمت برنده  جایگاه  DF632510  1,700,000,000  2,140,596,399  641</t>
  </si>
  <si>
    <t>ردیف: 525  پژو جي ال ايكس دوگانه سوز كلاس 22 خاكستري متاليك  شناسه خودرو  مبلغ پایه  قيمت برنده  جایگاه  ER929373  1,550,000,000  2,431,119,000  635</t>
  </si>
  <si>
    <t>ردیف: 524  سمند ال ايكسEF7 كلاس 11 سفيد دو پوششه  شناسه خودرو  مبلغ پایه  قيمت برنده  جایگاه  FF504076  2,000,000,000  2,586,120,000  634</t>
  </si>
  <si>
    <t>ردیف: 526  پژو جي ال ايكس دوگانه سوز كلاس 12 نقره اي متاليك  شناسه خودرو  مبلغ پایه  قيمت برنده  جایگاه  DR931374  1,500,000,000  2,499,890,000  636</t>
  </si>
  <si>
    <t>ردیف: 474  وانت 1600 انژكتوري معمولي سفيد  شناسه خودرو  مبلغ پایه  قيمت برنده  جایگاه  82901531  400,000,000  912,000,000  578</t>
  </si>
  <si>
    <t>پژو  جي ال ايكس انژكتوري كلاس 10 نقره اي متاليك</t>
  </si>
  <si>
    <t>ردیف: 530  پژو  جي ال ايكس انژكتوري كلاس 10 نقره اي متاليك  شناسه خودرو  مبلغ پایه  قيمت برنده  جایگاه  BE033523  1,050,000,000  1,810,000,019  640</t>
  </si>
  <si>
    <t>پژو اس ال ايكس انژكتوري SLX با موتور  TU5 كلاس 5 سفيد دو پوششه</t>
  </si>
  <si>
    <t>ردیف: 478  پژو اس ال ايكس انژكتوري SLX با موتور  TU5 كلاس 5 سفيد دو پوششه  شناسه خودرو  مبلغ پایه  قيمت برنده  جایگاه  DK866159  1,300,000,000  2,766,000,000  582</t>
  </si>
  <si>
    <t>ردیف: 523  سمند - ال ايكس كلاس 18 خاكستري متاليك  شناسه خودرو  مبلغ پایه  قيمت برنده  جایگاه  BF863334  1,100,000,000  1,917,000,000  633</t>
  </si>
  <si>
    <t>پژو  جي ال ايكس انژكتوري كلاس 2 مشكي متاليك</t>
  </si>
  <si>
    <t>ردیف: 451  پژو  جي ال ايكس انژكتوري كلاس 2 مشكي متاليك  شناسه خودرو  مبلغ پایه  قيمت برنده  جایگاه  9R287855  500,000,000  1,552,000,000  555</t>
  </si>
  <si>
    <t>ردیف: 442  دنا پلاس اتوماتيك با موتور EF7_TC كلاس2 خاكستري متال  شناسه خودرو  مبلغ پایه  قيمت برنده  جایگاه  LE241640  4,250,000,000  5,000,000,008  539</t>
  </si>
  <si>
    <t>ردیف: 477  پژو پارس كلاس 13 خاكستري متاليك  شناسه خودرو  مبلغ پایه  قيمت برنده  جایگاه  DR647873  1,600,000,000  2,999,999,999  581</t>
  </si>
  <si>
    <t>ردیف: 438  دنا پلاس اتوماتيك با موتور EF7_TC كلاس2 مشكي متاليك  شناسه خودرو  مبلغ پایه  قيمت برنده  جایگاه  LE241054  4,250,000,000  4,776,688,445  535</t>
  </si>
  <si>
    <t>ردیف: 444  دنا پلاس اتوماتيك با موتور EF7_TC كلاس2 مشكي متاليك  شناسه خودرو  مبلغ پایه  قيمت برنده  جایگاه  LE241333  4,300,000,000  5,236,999,999  541</t>
  </si>
  <si>
    <t>ردیف: 418  پژو پارس معمولي دوگانه سوز كلاس 14 سفيد دو پوششه  شناسه خودرو  مبلغ پایه  قيمت برنده  جایگاه  FR571312  2,900,000,000  3,310,429,869  515</t>
  </si>
  <si>
    <t>ردیف: 452  پژو جي ال ايكس دوگانه سوز كلاس 28 زرد دو پوششه ساليد  شناسه خودرو  مبلغ پایه  قيمت برنده  جایگاه  GR663141  900,000,000  1,589,758,000  556</t>
  </si>
  <si>
    <t>ردیف: 432  دنا پلاس اتوماتيك با موتور EF7_TC كلاس2 مشكي متاليك  شناسه خودرو  مبلغ پایه  قيمت برنده  جایگاه  LE242077  4,350,000,000  5,462,566,666  529</t>
  </si>
  <si>
    <t>ردیف: 476  وانت پيكان OHV كلاس‏ 20 سفيدشيري  شناسه خودرو  مبلغ پایه  قيمت برنده  جایگاه  31003309  450,000,000  1,189,000,000  580</t>
  </si>
  <si>
    <t>ردیف: 430  دنا+ (پلاس) كلاس9 سفيد دوپوششه كانزاي  شناسه خودرو  مبلغ پایه  قيمت برنده  جایگاه  KE189399  3,550,000,000  4,700,000,000  527</t>
  </si>
  <si>
    <t>ردیف: 433  دنا پلاس اتوماتيك با موتور EF7_TC كلاس2 سفيد دوپوششه كانزاي  شناسه خودرو  مبلغ پایه  قيمت برنده  جایگاه  LE241722  4,250,000,000  4,767,214,000  530</t>
  </si>
  <si>
    <t>ردیف: 462  سورن EF7 بنزيني کلاس 21 سفيد دو پوششه  شناسه خودرو  مبلغ پایه  قيمت برنده  جایگاه  LF652124  2,700,000,000  3,818,888,889  566</t>
  </si>
  <si>
    <t>ردیف: 435  دنا پلاس اتوماتيك با موتور EF7_TC كلاس2 مشكي متاليك  شناسه خودرو  مبلغ پایه  قيمت برنده  جایگاه  LE241025  4,250,000,000  5,050,000,999  532</t>
  </si>
  <si>
    <t>ردیف: 491  پژو 206 معمولي كلاس 31 سفيد دو پوششه  شناسه خودرو  مبلغ پایه  قيمت برنده  جایگاه  LJ174107  2,750,000,000  3,888,000,000  595</t>
  </si>
  <si>
    <t>ردیف: 440  دنا پلاس اتوماتيك با موتور EF7_TC كلاس2 سفيد دو پوششه  شناسه خودرو  مبلغ پایه  قيمت برنده  جایگاه  LE240044  4,200,000,000  5,209,999,999  537</t>
  </si>
  <si>
    <t>ردیف: 492  تندر 90 E0 A/C نقره اي پرشين متاليك  شناسه خودرو  مبلغ پایه  قيمت برنده  جایگاه  7A100101  1,100,000,000  2,418,888,888  602</t>
  </si>
  <si>
    <t>ردیف: 429  دنا کلاس 23 سفيد دو پوششه  شناسه خودرو  مبلغ پایه  قيمت برنده  جایگاه  LE226417  3,400,000,000  4,472,099,999  526</t>
  </si>
  <si>
    <t>ردیف: 410  پژو پارس TU5 كلاس20 سفيد دو پوششه  شناسه خودرو  مبلغ پایه  قيمت برنده  جایگاه  MH669366  3,400,000,000  4,184,200,000  507</t>
  </si>
  <si>
    <t>ردیف: 412  پژو پارس TU5 كلاس20 سفيد دوپوششه كانزاي  شناسه خودرو  مبلغ پایه  قيمت برنده  جایگاه  MK112450  3,350,000,000  3,610,009,999  509</t>
  </si>
  <si>
    <t>ردیف: 475  وانت پيكان OHV كلاس 4 سفيد صدفي  شناسه خودرو  مبلغ پایه  قيمت برنده  جایگاه  CG290384  500,000,000  1,555,600,000  579</t>
  </si>
  <si>
    <t>ردیف: 453  پژو جي ال ايكس دوگانه سوز کلاس 35 خاكستري متال  شناسه خودرو  مبلغ پایه  قيمت برنده  جایگاه  LK565737  2,200,000,000  3,409,000,000  557</t>
  </si>
  <si>
    <t>ردیف: 473  وانت پيكان OHV دوگانه سوز كلاس 11 سفيد شيري  شناسه خودرو  مبلغ پایه  قيمت برنده  جایگاه  EG404174  600,000,000  1,655,555,555  577</t>
  </si>
  <si>
    <t>ردیف: 439  دنا پلاس اتوماتيك با موتور EF7_TC كلاس2 سفيد دوپوششه كانزاي  شناسه خودرو  مبلغ پایه  قيمت برنده  جایگاه  LE241690  4,300,000,000  5,449,999,999  536</t>
  </si>
  <si>
    <t>ردیف: 408  پژو پارس TU5 كلاس20 سفيد دو پوششه  شناسه خودرو  مبلغ پایه  قيمت برنده  جایگاه  MH684254  3,500,000,000    505</t>
  </si>
  <si>
    <t>ردیف: 421  پژو پارس معمولي دوگانه سوز کلاس 21 آبي رويال  شناسه خودرو  مبلغ پایه  قيمت برنده  جایگاه  MH640015  3,550,000,000  4,275,619,800  518</t>
  </si>
  <si>
    <t>ردیف: 472  وانت پيكان OHV دوگانه سوز كلاس 10 سفيد شيري  شناسه خودرو  مبلغ پایه  قيمت برنده  جایگاه  DG387150  650,000,000  1,665,555,555  576</t>
  </si>
  <si>
    <t>ردیف: 445  دنا پلاس اتوماتيك با موتور EF7_TC كلاس2 سفيد دوپوششه كانزاي  شناسه خودرو  مبلغ پایه  قيمت برنده  جایگاه  LE241235  4,250,000,000  5,762,999,999  542</t>
  </si>
  <si>
    <t>ردیف: 446  دنا پلاس اتوماتيك با موتور EF7_TC كلاس2 مشكي متاليك  شناسه خودرو  مبلغ پایه  قيمت برنده  جایگاه  LE244083  4,350,000,000  5,517,777,777  543</t>
  </si>
  <si>
    <t>ردیف: 513  هايماS7 توربو اتوماتيك كلاس2 مشكي متاليك  شناسه خودرو  مبلغ پایه  قيمت برنده  جایگاه  NY061276  8,500,000,000  10,260,000,000  623</t>
  </si>
  <si>
    <t>ردیف: 436  دنا پلاس اتوماتيك با موتور EF7_TC كلاس2 مشكي متاليك  شناسه خودرو  مبلغ پایه  قيمت برنده  جایگاه  ME398498  4,700,000,000  6,050,004,444  533</t>
  </si>
  <si>
    <t>ردیف: 415  پژو پارس کلاس 42 خاكستري متاليك  شناسه خودرو  مبلغ پایه  قيمت برنده  جایگاه  MK074308  2,950,000,000  4,215,888,110  512</t>
  </si>
  <si>
    <t>ردیف: 447  دنا پلاس اتوماتيك با موتور EF7_TC كلاس2 مشكي متاليك  شناسه خودرو  مبلغ پایه  قيمت برنده  جایگاه  ME397985  4,680,000,000  5,925,555,555  544</t>
  </si>
  <si>
    <t>ردیف: 471  پژو 207i دستي كلاس 6 مشكي متاليك  شناسه خودرو  مبلغ پایه  قيمت برنده  جایگاه  MJ544019  3,620,000,000  5,429,853,251  575</t>
  </si>
  <si>
    <t>ردیف: 420  پژو پارس معمولي دوگانه سوز کلاس 21 سفيد دو پوششه  شناسه خودرو  مبلغ پایه  قيمت برنده  جایگاه  MK092158  3,450,000,000  4,378,000,000  517</t>
  </si>
  <si>
    <t>ردیف: 449  دنا پلاس اتوماتيك با موتور EF7_TC كلاس2 مشكي متاليك  شناسه خودرو  مبلغ پایه  قيمت برنده  جایگاه  NE565770  5,300,000,000  6,523,000,000  546</t>
  </si>
  <si>
    <t>ردیف: 443  دنا پلاس اتوماتيك با موتور EF7_TC كلاس2 سفيد دو پوششه  شناسه خودرو  مبلغ پایه  قيمت برنده  جایگاه  ME390330  4,750,000,000  5,897,654,329  540</t>
  </si>
  <si>
    <t>ردیف: 417  پژو پارس کلاس 42 خاكستري متاليك  شناسه خودرو  مبلغ پایه  قيمت برنده  جایگاه  MK068152  3,000,000,000  4,010,000,000  514</t>
  </si>
  <si>
    <t>ردیف: 422  پژو پارس معمولي دوگانه سوز کلاس 21 سفيد دو پوششه  شناسه خودرو  مبلغ پایه  قيمت برنده  جایگاه  MK092109  3,600,000,000  4,668,900,000  519</t>
  </si>
  <si>
    <t>ردیف: 437  دنا پلاس اتوماتيك با موتور EF7_TC كلاس2 سفيد دو پوششه  شناسه خودرو  مبلغ پایه  قيمت برنده  جایگاه  LE242105  4,300,000,000  6,012,345,678  534</t>
  </si>
  <si>
    <t>ردیف: 470  پژو 207i دستي کلاس 10 سفيد دو پوششه  شناسه خودرو  مبلغ پایه  قيمت برنده  جایگاه  MJ535027  3,850,000,000  5,308,888,889  574</t>
  </si>
  <si>
    <t>ردیف: 409  پژو پارس TU5 كلاس20 سفيد دو پوششه  شناسه خودرو  مبلغ پایه  قيمت برنده  جایگاه  MH672191  3,650,000,000  4,749,999,999  506</t>
  </si>
  <si>
    <t>ردیف: 228  رانا کلاس 15 سفيد دو پوششه  شناسه خودرو  مبلغ پایه  قيمت برنده  جایگاه  NT367137  3,500,000,000  4,999,999,999  270</t>
  </si>
  <si>
    <t>ردیف: 488  رانا پلاس با موتور TU5P و گيربکس 6 سرعته دستي کلاس 3 سفيد دو پوششه  شناسه خودرو  مبلغ پایه  قيمت برنده  جایگاه  NT344748  3,600,000,000  4,729,999,999  592</t>
  </si>
  <si>
    <t>ردیف: 370  پژو پارس TU5 كلاس20 سفيد دو پوششه  شناسه خودرو  مبلغ پایه  قيمت برنده  جایگاه  NH867707  4,040,000,000  4,449,999,999  412</t>
  </si>
  <si>
    <t>ردیف: 487  رانا پلاس با موتور TU5P و گيربکس 6 سرعته دستي کلاس 3 سفيد دو پوششه  شناسه خودرو  مبلغ پایه  قيمت برنده  جایگاه  NT344870  3,300,000,000  4,366,999,999  591</t>
  </si>
  <si>
    <t>ردیف: 461  سورن EF7 بنزيني کلاس 21 سفيد دو پوششه  شناسه خودرو  مبلغ پایه  قيمت برنده  جایگاه  LF650634  2,750,000,000  3,700,999,999  565</t>
  </si>
  <si>
    <t>ردیف: 464  سورن EF7 بنزيني کلاس 23 سفيد دوپوششه كانزاي  شناسه خودرو  مبلغ پایه  قيمت برنده  جایگاه  NF153239  3,400,000,000  4,125,000,000  568</t>
  </si>
  <si>
    <t>ردیف: 463  سورن EF7 بنزيني کلاس 23 مشكي متاليك  شناسه خودرو  مبلغ پایه  قيمت برنده  جایگاه  NF152427  3,450,000,000  4,446,777,000  567</t>
  </si>
  <si>
    <t>ردیف: 403  هايما S5 توربو اتوماتيک کلاس 1 سفيد دو پوششه  شناسه خودرو  مبلغ پایه  قيمت برنده  جایگاه  MY040948  8,700,000,000  9,919,999,999  447</t>
  </si>
  <si>
    <t>ردیف: 376  پژو پارس TU5 كلاس20 خاكستري متاليك  شناسه خودرو  مبلغ پایه  قيمت برنده  جایگاه  NK182810  4,220,000,000  4,777,557,000  420</t>
  </si>
  <si>
    <t>ردیف: 357  تارا دستي کلاس 1 سفيد دو پوششه  شناسه خودرو  مبلغ پایه  قيمت برنده  جایگاه  MD916581  4,850,000,000  5,723,000,000  399</t>
  </si>
  <si>
    <t>ردیف: 511  هايماS7 توربو اتوماتيك كلاس2 مشكي متاليك  شناسه خودرو  مبلغ پایه  قيمت برنده  جایگاه  NY063002  9,000,000,000  12,720,888,889  621</t>
  </si>
  <si>
    <t>ردیف: 383  پژو پارس TU5 كلاس20 سفيد دو پوششه  شناسه خودرو  مبلغ پایه  قيمت برنده  جایگاه  MH687706  3,750,000,000  4,125,720,000  427</t>
  </si>
  <si>
    <t>ردیف: 424  پژو پارس سال با موتور XU7 P کلاس 1 سفيد دو پوششه  شناسه خودرو  مبلغ پایه  قيمت برنده  جایگاه  NH458544  3,100,000,000  4,172,000,000  521</t>
  </si>
  <si>
    <t>ردیف: 450  دنا پلاس اتوماتيك با موتور EF7_TC كلاس2 خاكستري متاليك  شناسه خودرو  مبلغ پایه  قيمت برنده  جایگاه  NE578211  5,150,000,000  6,500,140,000  547</t>
  </si>
  <si>
    <t>ردیف: 396  پژو پارس سال با موتور XU7 P کلاس 1 سفيد دو پوششه  شناسه خودرو  مبلغ پایه  قيمت برنده  جایگاه  NH457347  3,500,000,000  3,851,414,145  440</t>
  </si>
  <si>
    <t>ردیف: 441  دنا پلاس اتوماتيك با موتور EF7_TC كلاس2 مشكي متاليك  شناسه خودرو  مبلغ پایه  قيمت برنده  جایگاه  NE563623  5,000,000,000  6,217,777,777  538</t>
  </si>
  <si>
    <t>ردیف: 448  دنا پلاس اتوماتيك با موتور EF7_TC كلاس2 مشكي متاليك  شناسه خودرو  مبلغ پایه  قيمت برنده  جایگاه  NE486788  5,150,000,000  6,500,000,000  545</t>
  </si>
  <si>
    <t>ردیف: 398  هايماS7 توربو اتوماتيك كلاس2 سفيد دوپوششه كانزاي  شناسه خودرو  مبلغ پایه  قيمت برنده  جایگاه  NY061006  10,450,000,000  12,300,111,000  442</t>
  </si>
  <si>
    <t>ردیف: 414  پژو پارس سال با موتور XU7 P کلاس 3 سفيد دو پوششه  شناسه خودرو  مبلغ پایه  قيمت برنده  جایگاه  NH445300  3,450,000,000  4,115,000,009  511</t>
  </si>
  <si>
    <t>ردیف: 256  سورن EF7 بنزيني کلاس 22 سفيد دو پوششه  شناسه خودرو  مبلغ پایه  قيمت برنده  جایگاه  NF169399  3,470,000,000  4,278,999,999  298</t>
  </si>
  <si>
    <t>ردیف: 404  هايما S5 توربو اتوماتيک کلاس 1 سفيد دوپوششه كانزاي  شناسه خودرو  مبلغ پایه  قيمت برنده  جایگاه  NY071328  9,300,000,000  11,171,154,321  448</t>
  </si>
  <si>
    <t>ردیف: 399  هايماS7 توربو اتوماتيك كلاس2 خاكستري متاليك  شناسه خودرو  مبلغ پایه  قيمت برنده  جایگاه  NY061029  10,600,000,000  12,586,593,231  443</t>
  </si>
  <si>
    <t>ردیف: 400  هايماS7 توربو اتوماتيك كلاس2 مشكي متاليك  شناسه خودرو  مبلغ پایه  قيمت برنده  جایگاه  NY061183  10,600,000,000  13,100,000,000  444</t>
  </si>
  <si>
    <t>ردیف: 466  سورن EF7 بنزيني کلاس 16 سفيد دو پوششه  شناسه خودرو  مبلغ پایه  قيمت برنده  جایگاه  KF610001  2,600,000,000  4,076,999,999  570</t>
  </si>
  <si>
    <t>ردیف: 489  رانا پلاس با موتور TU5P و گيربکس 6 سرعته دستي کلاس 3 مشكي متاليك  شناسه خودرو  مبلغ پایه  قيمت برنده  جایگاه  NT345764  3,500,000,000  4,145,698,000  593</t>
  </si>
  <si>
    <t>ردیف: 401  هايماS7 توربو اتوماتيك كلاس2 مشكي متاليك  شناسه خودرو  مبلغ پایه  قيمت برنده  جایگاه  NY062458  10,500,000,000  11,111,111,111  445</t>
  </si>
  <si>
    <t>ردیف: 384  پژو پارس TU5 كلاس20 سفيد دو پوششه  شناسه خودرو  مبلغ پایه  قيمت برنده  جایگاه  MH687702  3,850,000,000  4,180,000,000  428</t>
  </si>
  <si>
    <t>سمند LX  دوگانه سوز كلاس 17 سفيد دو پوششه</t>
  </si>
  <si>
    <t>ردیف: 485  سمند LX  دوگانه سوز كلاس 17 سفيد دو پوششه  شناسه خودرو  مبلغ پایه  قيمت برنده  جایگاه  KF625008  2,700,000,000  3,954,325,401  589</t>
  </si>
  <si>
    <t>ردیف: 324  پژو 207i اتوماتيک با موتور TU5P  کلاس 2 سفيد دو پوششه  شناسه خودرو  مبلغ پایه  قيمت برنده  جایگاه  NJ240161  5,500,000,000  6,320,000,000  366</t>
  </si>
  <si>
    <t>ردیف: 317  پژو 207i اتوماتيک با موتور TU5P  کلاس 2 مشكي متاليك  شناسه خودرو  مبلغ پایه  قيمت برنده  جایگاه  MJ500075  5,200,000,000  6,100,000,000  359</t>
  </si>
  <si>
    <t>ردیف: 354  تارا اتوماتيک کلاس 1  قهوه اي كادرو   شناسه خودرو  مبلغ پایه  قيمت برنده  جایگاه  MD920062  5,650,000,000  6,418,500,009  396</t>
  </si>
  <si>
    <t>ردیف: 313  پژو 207i اتوماتيک با موتور TU5P  کلاس 2 سفيد دو پوششه  شناسه خودرو  مبلغ پایه  قيمت برنده  جایگاه  MJ500079  5,200,000,000  6,050,222,000  355</t>
  </si>
  <si>
    <t>ردیف: 486  سمند LX  دوگانه سوز كلاس 17 سفيد دو پوششه  شناسه خودرو  مبلغ پایه  قيمت برنده  جایگاه  KF625010  2,680,000,000  3,954,421,010  590</t>
  </si>
  <si>
    <t>ردیف: 251  سورن EF7 بنزيني کلاس 19 سفيد دو پوششه  شناسه خودرو  مبلغ پایه  قيمت برنده  جایگاه  NF161847  3,350,000,000  4,018,989,890  293</t>
  </si>
  <si>
    <t>ردیف: 300  پژو 207i اتوماتيک با موتور TU5P  کلاس 2 مشكي متاليك  شناسه خودرو  مبلغ پایه  قيمت برنده  جایگاه  MJ500096  5,200,000,000  6,300,000,000  342</t>
  </si>
  <si>
    <t>ردیف: 390  پژو پارس سال با موتور XU7 P کلاس 3 سفيد دو پوششه  شناسه خودرو  مبلغ پایه  قيمت برنده  جایگاه  NH446699  3,800,000,000  4,070,000,000  434</t>
  </si>
  <si>
    <t>ردیف: 261  سورن EF7 بنزيني کلاس 23 خاكستري متال  شناسه خودرو  مبلغ پایه  قيمت برنده  جایگاه  MF080826  3,350,000,000  3,955,000,000  303</t>
  </si>
  <si>
    <t>ردیف: 270  پژو پارس TU5 كلاس20 سفيد دو پوششه  شناسه خودرو  مبلغ پایه  قيمت برنده  جایگاه  NH866400  3,850,000,000  4,510,000,222  312</t>
  </si>
  <si>
    <t>ردیف: 382  پژو پارس TU5 كلاس20 سفيد دو پوششه  شناسه خودرو  مبلغ پایه  قيمت برنده  جایگاه  NH217558  4,200,000,000  4,550,000,000  426</t>
  </si>
  <si>
    <t>ردیف: 387  پژو پارس TU5 كلاس20 سفيد دو پوششه  شناسه خودرو  مبلغ پایه  قيمت برنده  جایگاه  NH416315  3,950,000,000  4,055,555,555  431</t>
  </si>
  <si>
    <t>ردیف: 394  پژو پارس سال با موتور XU7 P کلاس 3 سفيد دوپوششه كانزاي  شناسه خودرو  مبلغ پایه  قيمت برنده  جایگاه  NK849016  3,500,000,000  3,950,000,000  438</t>
  </si>
  <si>
    <t>ردیف: 482  سمند LX  دوگانه سوز كلاس 17 سفيد دو پوششه  شناسه خودرو  مبلغ پایه  قيمت برنده  جایگاه  KF625006  2,700,000,000  3,818,888,899  586</t>
  </si>
  <si>
    <t>ردیف: 332  پژو 207i اتوماتيک با موتور TU5P  کلاس 2 مشكي متاليك  شناسه خودرو  مبلغ پایه  قيمت برنده  جایگاه  NJ240556  5,400,000,000  6,019,500,000  374</t>
  </si>
  <si>
    <t>ردیف: 378  پژو پارس TU5 كلاس20 سفيد دو پوششه  شناسه خودرو  مبلغ پایه  قيمت برنده  جایگاه  NH876018  4,140,000,000  4,876,599,999  422</t>
  </si>
  <si>
    <t>ردیف: 314  پژو 207i اتوماتيک با موتور TU5P  کلاس 2 مشكي متاليك  شناسه خودرو  مبلغ پایه  قيمت برنده  جایگاه  MJ500074  5,200,000,000  6,010,999,999  356</t>
  </si>
  <si>
    <t>ردیف: 311  پژو 207i اتوماتيک با موتور TU5P  کلاس 2 سفيد دو پوششه  شناسه خودرو  مبلغ پایه  قيمت برنده  جایگاه  MJ500086  5,200,000,000  6,050,222,000  353</t>
  </si>
  <si>
    <t>ردیف: 512  هايماS7 توربو اتوماتيك كلاس2 مشكي متاليك  شناسه خودرو  مبلغ پایه  قيمت برنده  جایگاه  NY060865  8,800,000,000  12,520,888,889  622</t>
  </si>
  <si>
    <t>ردیف: 295  پژو 207i اتوماتيک با موتور TU5P  کلاس 2 سفيد دو پوششه  شناسه خودرو  مبلغ پایه  قيمت برنده  جایگاه  MJ500109  5,200,000,000  6,010,000,000  337</t>
  </si>
  <si>
    <t>ردیف: 490  رانا کلاس 14 قرمز رژ  شناسه خودرو  مبلغ پایه  قيمت برنده  جایگاه  LT251482  2,800,000,000  4,172,999,999  594</t>
  </si>
  <si>
    <t>ردیف: 388  پژو پارس سال با موتور XU7 P کلاس 1 سفيد دو پوششه  شناسه خودرو  مبلغ پایه  قيمت برنده  جایگاه  NH442916  3,600,000,000  4,020,000,000  432</t>
  </si>
  <si>
    <t>ردیف: 468  سورن EF7 بنزيني کلاس 16 سفيد دو پوششه  شناسه خودرو  مبلغ پایه  قيمت برنده  جایگاه  KF610004  2,600,000,000  4,119,679,900  572</t>
  </si>
  <si>
    <t>ردیف: 249  دنا كلاس17 سفيد دو پوششه  شناسه خودرو  مبلغ پایه  قيمت برنده  جایگاه  ME323032  4,200,000,000  5,152,999,999  291</t>
  </si>
  <si>
    <t>ردیف: 120  وانت آريسان دوگانه سوز كلاس 4 سفيد دو پوششه  شناسه خودرو  مبلغ پایه  قيمت برنده  جایگاه  LC103648  2,100,000,000  2,359,000,000  162</t>
  </si>
  <si>
    <t>ردیف: 318  پژو 207i اتوماتيک با موتور TU5P  کلاس 2 سفيد دو پوششه  شناسه خودرو  مبلغ پایه  قيمت برنده  جایگاه  MJ500100  5,220,000,000  6,135,000,000  360</t>
  </si>
  <si>
    <t>ردیف: 296  پژو 207i اتوماتيک با موتور TU5P  کلاس 2 سفيد دو پوششه  شناسه خودرو  مبلغ پایه  قيمت برنده  جایگاه  MJ500076  5,200,000,000  6,150,000,000  338</t>
  </si>
  <si>
    <t>ردیف: 434  دنا پلاس اتوماتيك با موتور EF7_TC كلاس2 سفيد دو پوششه  شناسه خودرو  مبلغ پایه  قيمت برنده  جایگاه  NE561624  5,150,000,000  6,759,999,999  531</t>
  </si>
  <si>
    <t>ردیف: 520  دنا پلاس اتوماتيك با موتور EF7_TC كلاس2 آبي كبود متاليك  شناسه خودرو  مبلغ پایه  قيمت برنده  جایگاه  NE545330  3,800,000,000  4,875,141,555  630</t>
  </si>
  <si>
    <t>ردیف: 348  پژو 207i دستي کلاس 12 سفيد دو پوششه  شناسه خودرو  مبلغ پایه  قيمت برنده  جایگاه  NJ507956  4,850,000,000  6,011,000,000  390</t>
  </si>
  <si>
    <t>ردیف: 343  پژو 207i اتوماتيک با موتور TU5P  کلاس 2 مشكي متاليك  شناسه خودرو  مبلغ پایه  قيمت برنده  جایگاه  NJ241610  5,300,000,000  5,866,666,666  385</t>
  </si>
  <si>
    <t>ردیف: 341  پژو 207i اتوماتيک با موتور TU5P  کلاس 2 مشكي متاليك  شناسه خودرو  مبلغ پایه  قيمت برنده  جایگاه  NJ242389  5,350,000,000  5,590,999,999  383</t>
  </si>
  <si>
    <t>ردیف: 345  پژو 207i اتوماتيک با موتور TU5P  کلاس 2 سفيد دو پوششه  شناسه خودرو  مبلغ پایه  قيمت برنده  جایگاه  NJ243529  5,330,000,000  6,200,111,000  387</t>
  </si>
  <si>
    <t>ردیف: 355  تارا اتوماتيک کلاس 1  سفيد دوپوششه كانزاي  شناسه خودرو  مبلغ پایه  قيمت برنده  جایگاه  MD920110  5,800,000,000  6,511,111,111  397</t>
  </si>
  <si>
    <t>ردیف: 460  H30 CROSS AT كلاس 4 سفيد دو پوششه  شناسه خودرو  مبلغ پایه  قيمت برنده  جایگاه  LX100013  4,200,000,000  6,626,000,000  564</t>
  </si>
  <si>
    <t>ردیف: 372  پژو پارس TU5 كلاس20 سفيد دو پوششه  شناسه خودرو  مبلغ پایه  قيمت برنده  جایگاه  MH688847  4,000,000,000  4,477,557,000  414</t>
  </si>
  <si>
    <t>پژو  جي ال ايكس انژكتوري كلاس 37 خاكستري متال</t>
  </si>
  <si>
    <t>ردیف: 455  پژو  جي ال ايكس انژكتوري كلاس 37 خاكستري متال  شناسه خودرو  مبلغ پایه  قيمت برنده  جایگاه  LK536454  2,300,000,000  3,667,900,000  559</t>
  </si>
  <si>
    <t>ردیف: 465  سورن EF7 بنزيني کلاس 16 سفيد دو پوششه  شناسه خودرو  مبلغ پایه  قيمت برنده  جایگاه  KF610003  2,500,000,000  4,146,777,777  569</t>
  </si>
  <si>
    <t>ردیف: 284  پژو 207i اتوماتيک با موتور TU5P  کلاس 2 سفيد دو پوششه  شناسه خودرو  مبلغ پایه  قيمت برنده  جایگاه  NJ241497  5,450,000,000  6,370,991,111  326</t>
  </si>
  <si>
    <t>ردیف: 340  پژو 207i اتوماتيک با موتور TU5P  کلاس 2 مشكي متاليك  شناسه خودرو  مبلغ پایه  قيمت برنده  جایگاه  NJ243481  5,450,000,000  6,450,000,000  382</t>
  </si>
  <si>
    <t>ردیف: 154  وانت آريسان دوگانه سوز كلاس 4 سفيد دو پوششه  شناسه خودرو  مبلغ پایه  قيمت برنده  جایگاه  LC103964  2,100,000,000  2,280,000,000  196</t>
  </si>
  <si>
    <t>ردیف: 505  تندر 90 E2 + 2 A/B سفيد شيري پرشين  شناسه خودرو  مبلغ پایه  قيمت برنده  جایگاه  LA402372  4,150,000,000  6,153,285,590  615</t>
  </si>
  <si>
    <t>ردیف: 244  دنا پلاس اتوماتيك با موتور EF7_TC كلاس2 خاكستري متاليك  شناسه خودرو  مبلغ پایه  قيمت برنده  جایگاه  NE542328  5,650,000,000  6,230,000,000  286</t>
  </si>
  <si>
    <t>ردیف: 278  پژو 207i اتوماتيک با موتور TU5P  کلاس 2 مشكي متاليك  شناسه خودرو  مبلغ پایه  قيمت برنده  جایگاه  MJ500111  5,220,000,000  6,360,000,000  320</t>
  </si>
  <si>
    <t>ردیف: 290  پژو 207i اتوماتيک با موتور TU5P  کلاس 2 مشكي متاليك  شناسه خودرو  مبلغ پایه  قيمت برنده  جایگاه  MJ500129  5,220,000,000  5,777,777,777  332</t>
  </si>
  <si>
    <t>ردیف: 459  H30 CROSS AT كلاس 4 سفيد دو پوششه  شناسه خودرو  مبلغ پایه  قيمت برنده  جایگاه  LX100066  4,200,000,000  6,165,400,000  563</t>
  </si>
  <si>
    <t>ردیف: 257  سورن EF7 بنزيني کلاس 23 سفيد دو پوششه  شناسه خودرو  مبلغ پایه  قيمت برنده  جایگاه  NF158007  3,680,000,000  4,030,000,000  299</t>
  </si>
  <si>
    <t>ردیف: 273  پژو 207i اتوماتيک با موتور TU5P  کلاس 2 سفيد دو پوششه  شناسه خودرو  مبلغ پایه  قيمت برنده  جایگاه  NJ240067  5,450,000,000  6,267,500,000  315</t>
  </si>
  <si>
    <t>ردیف: 498  تندر 90 E2 + 2 A/B سفيد شيري پرشين  شناسه خودرو  مبلغ پایه  قيمت برنده  جایگاه  LA402370  4,150,000,000  6,148,758,930  608</t>
  </si>
  <si>
    <t>ردیف: 66  وانت آريسان دوگانه سوز كلاس 4 سفيد دو پوششه  شناسه خودرو  مبلغ پایه  قيمت برنده  جایگاه  LC103807  2,100,000,000  2,436,770,000  108</t>
  </si>
  <si>
    <t>ردیف: 303  پژو 207i اتوماتيک با موتور TU5P  کلاس 2 مشكي متاليك  شناسه خودرو  مبلغ پایه  قيمت برنده  جایگاه  MJ500106  5,200,000,000  6,377,777,777  345</t>
  </si>
  <si>
    <t>ردیف: 346  پژو 207i اتوماتيک با موتور TU5P  کلاس 2 سفيد دو پوششه  شناسه خودرو  مبلغ پایه  قيمت برنده  جایگاه  NJ240110  5,450,000,000  6,100,000,000  388</t>
  </si>
  <si>
    <t>ردیف: 286  پژو 207i اتوماتيک با موتور TU5P  کلاس 2 مشكي متاليك  شناسه خودرو  مبلغ پایه  قيمت برنده  جایگاه  NJ242111  5,250,000,000  6,066,555,000  328</t>
  </si>
  <si>
    <t>ردیف: 309  پژو 207i اتوماتيک با موتور TU5P  کلاس 2 مشكي متاليك  شناسه خودرو  مبلغ پایه  قيمت برنده  جایگاه  NJ240357  5,350,000,000  6,006,006,060  351</t>
  </si>
  <si>
    <t>ردیف: 495  تندر 90 E2 + 2 A/B سفيد شيري پرشين  شناسه خودرو  مبلغ پایه  قيمت برنده  جایگاه  LA402383  4,150,000,000  6,362,000,000  605</t>
  </si>
  <si>
    <t>ردیف: 61  وانت آريسان دوگانه سوز كلاس 4 سفيد دو پوششه  شناسه خودرو  مبلغ پایه  قيمت برنده  جایگاه  LC103989  2,100,000,000  2,234,000,001  103</t>
  </si>
  <si>
    <t>ردیف: 275  پژو 207i اتوماتيک با موتور TU5P  کلاس 2 مشكي متاليك  شناسه خودرو  مبلغ پایه  قيمت برنده  جایگاه  NJ241578  5,350,000,000  6,277,770,000  317</t>
  </si>
  <si>
    <t>ردیف: 293  پژو 207i اتوماتيک با موتور TU5P  کلاس 2 سفيد دو پوششه  شناسه خودرو  مبلغ پایه  قيمت برنده  جایگاه  MJ500069  5,220,000,000  6,050,222,000  335</t>
  </si>
  <si>
    <t>ردیف: 319  پژو 207i اتوماتيک با موتور TU5P  کلاس 2 مشكي متاليك  شناسه خودرو  مبلغ پایه  قيمت برنده  جایگاه  NJ243179  5,250,000,000  5,976,655,555  361</t>
  </si>
  <si>
    <t>ردیف: 467  سورن EF7 بنزيني کلاس 16 سفيد دو پوششه  شناسه خودرو  مبلغ پایه  قيمت برنده  جایگاه  KF610005  2,600,000,000  4,490,000,000  571</t>
  </si>
  <si>
    <t>ردیف: 500  تندر 90 E2 + 2 A/B سفيد شيري پرشين  شناسه خودرو  مبلغ پایه  قيمت برنده  جایگاه  LA402396  4,150,000,000  6,148,758,930  610</t>
  </si>
  <si>
    <t>ردیف: 137  وانت آريسان دوگانه سوز كلاس 4 سفيد دو پوششه  شناسه خودرو  مبلغ پایه  قيمت برنده  جایگاه  LC104022  2,100,000,000  2,388,238,888  179</t>
  </si>
  <si>
    <t>ردیف: 350  پژو 207i دستي کلاس 10 مشكي متاليك  شناسه خودرو  مبلغ پایه  قيمت برنده  جایگاه  NJ509263  4,800,000,000  5,400,000,000  392</t>
  </si>
  <si>
    <t>ردیف: 358  تارا دستي کلاس 1 نقره اي متاليك  شناسه خودرو  مبلغ پایه  قيمت برنده  جایگاه  ND932622  5,000,000,000  5,629,999,999  400</t>
  </si>
  <si>
    <t>ردیف: 496  تندر 90 E2 + 2 A/B سفيد شيري پرشين  شناسه خودرو  مبلغ پایه  قيمت برنده  جایگاه  LA402402  4,150,000,000  6,400,000,000  606</t>
  </si>
  <si>
    <t>ردیف: 23  وانت آريسان دوگانه سوز كلاس 4 سفيد دو پوششه  شناسه خودرو  مبلغ پایه  قيمت برنده  جایگاه  LC103666  2,100,000,000  2,388,888,888  65</t>
  </si>
  <si>
    <t>ردیف: 253  سورن EF7 بنزيني کلاس 23 سفيد دو پوششه  شناسه خودرو  مبلغ پایه  قيمت برنده  جایگاه  NF152668  3,580,000,000  4,116,686,600  295</t>
  </si>
  <si>
    <t>ردیف: 276  پژو 207i اتوماتيک با موتور TU5P  کلاس 2 مشكي متاليك  شناسه خودرو  مبلغ پایه  قيمت برنده  جایگاه  NJ241211  5,450,000,000  6,485,236,742  318</t>
  </si>
  <si>
    <t>ردیف: 281  پژو 207i اتوماتيک با موتور TU5P  کلاس 2 مشكي متاليك  شناسه خودرو  مبلغ پایه  قيمت برنده  جایگاه  NJ242224  5,300,000,000  6,385,000,000  323</t>
  </si>
  <si>
    <t>ردیف: 326  پژو 207i اتوماتيک با موتور TU5P  کلاس 2 مشكي متاليك  شناسه خودرو  مبلغ پایه  قيمت برنده  جایگاه  NJ242361  5,280,000,000  5,703,590,000  368</t>
  </si>
  <si>
    <t>ردیف: 502  تندر 90 E2 + 2 A/B سفيد شيري پرشين  شناسه خودرو  مبلغ پایه  قيمت برنده  جایگاه  LA402420  4,150,000,000  6,153,285,590  612</t>
  </si>
  <si>
    <t>ردیف: 504  تندر 90 E2 + 2 A/B سفيد شيري پرشين  شناسه خودرو  مبلغ پایه  قيمت برنده  جایگاه  LA402393  4,150,000,000  6,500,000,000  614</t>
  </si>
  <si>
    <t>ردیف: 507  تندر 90 E2 + 2 A/B سفيد شيري پرشين  شناسه خودرو  مبلغ پایه  قيمت برنده  جایگاه  LA402386  4,150,000,000  5,999,999,999  617</t>
  </si>
  <si>
    <t>ردیف: 277  پژو 207i اتوماتيک با موتور TU5P  کلاس 2 سفيد دو پوششه  شناسه خودرو  مبلغ پایه  قيمت برنده  جایگاه  NJ240114  5,450,000,000  6,296,800,000  319</t>
  </si>
  <si>
    <t>ردیف: 310  پژو 207i اتوماتيک با موتور TU5P  کلاس 2 سفيد دو پوششه  شناسه خودرو  مبلغ پایه  قيمت برنده  جایگاه  MJ500085  5,200,000,000  6,051,000,000  352</t>
  </si>
  <si>
    <t>ردیف: 315  پژو 207i اتوماتيک با موتور TU5P  کلاس 2 مشكي متاليك  شناسه خودرو  مبلغ پایه  قيمت برنده  جایگاه  MJ500073  5,200,000,000  7,000,033,000  357</t>
  </si>
  <si>
    <t>ردیف: 347  پژو 207i اتوماتيک با موتور TU5P  کلاس 2 مشكي متاليك  شناسه خودرو  مبلغ پایه  قيمت برنده  جایگاه  NJ241692  5,450,000,000  6,219,999,999  389</t>
  </si>
  <si>
    <t>ردیف: 493   تندر90+ (پلاس) اتوماتيك تندر90+ (پلاس) اتوماتيك سفيد شيري پرشين  شناسه خودرو  مبلغ پایه  قيمت برنده  جایگاه  LA623753  6,900,000,000  8,926,000,000  603</t>
  </si>
  <si>
    <t>ردیف: 497  تندر 90 E2 + 2 A/B سفيد شيري پرشين  شناسه خودرو  مبلغ پایه  قيمت برنده  جایگاه  LA402384  4,150,000,000  5,872,200,000  607</t>
  </si>
  <si>
    <t>ردیف: 499  تندر 90 E2 + 2 A/B سفيد شيري پرشين  شناسه خودرو  مبلغ پایه  قيمت برنده  جایگاه  LA402416  4,150,000,000  6,148,758,930  609</t>
  </si>
  <si>
    <t>ردیف: 501  تندر 90 E2 + 2 A/B سفيد شيري پرشين  شناسه خودرو  مبلغ پایه  قيمت برنده  جایگاه  LA402390  4,150,000,000  5,688,669,999  611</t>
  </si>
  <si>
    <t>ردیف: 294  پژو 207i اتوماتيک با موتور TU5P  کلاس 2 سفيد دو پوششه  شناسه خودرو  مبلغ پایه  قيمت برنده  جایگاه  MJ500092  5,200,000,000  6,422,000,000  336</t>
  </si>
  <si>
    <t>ردیف: 329  پژو 207i اتوماتيک با موتور TU5P  کلاس 2 مشكي متاليك  شناسه خودرو  مبلغ پایه  قيمت برنده  جایگاه  NJ242419  5,350,000,000  5,960,000,000  371</t>
  </si>
  <si>
    <t>ردیف: 503  تندر 90 E2 + 2 A/B سفيد شيري پرشين  شناسه خودرو  مبلغ پایه  قيمت برنده  جایگاه  LA402414  4,150,000,000  6,280,000,000  613</t>
  </si>
  <si>
    <t>ردیف: 30  وانت آريسان دوگانه سوز كلاس 4 سفيد دو پوششه  شناسه خودرو  مبلغ پایه  قيمت برنده  جایگاه  LC103954  2,100,000,000  2,467,999,000  72</t>
  </si>
  <si>
    <t>ردیف: 56  وانت آريسان دوگانه سوز كلاس 4 سفيد دو پوششه  شناسه خودرو  مبلغ پایه  قيمت برنده  جایگاه  LC103560  2,100,000,000  2,552,000,000  98</t>
  </si>
  <si>
    <t>ردیف: 508  تندر 90 E2 + 2 A/B سفيد شيري پرشين  شناسه خودرو  مبلغ پایه  قيمت برنده  جایگاه  LA402408  4,120,000,000  6,029,999,999  618</t>
  </si>
  <si>
    <t>ردیف: 247  دنا كلاس17 سفيد دو پوششه  شناسه خودرو  مبلغ پایه  قيمت برنده  جایگاه  NE440621  4,500,000,000  5,150,000,000  289</t>
  </si>
  <si>
    <t>ردیف: 288  پژو 207i اتوماتيک با موتور TU5P  کلاس 2 مشكي متاليك  شناسه خودرو  مبلغ پایه  قيمت برنده  جایگاه  NJ240746  5,300,000,000  5,720,000,000  330</t>
  </si>
  <si>
    <t>ردیف: 328  پژو 207i اتوماتيک با موتور TU5P  کلاس 2 مشكي متاليك  شناسه خودرو  مبلغ پایه  قيمت برنده  جایگاه  NJ240343  5,450,000,000  6,260,009,990  370</t>
  </si>
  <si>
    <t>ردیف: 336  پژو 207i اتوماتيک با موتور TU5P  کلاس 2 مشكي متاليك  شناسه خودرو  مبلغ پایه  قيمت برنده  جایگاه  MJ500090  5,150,000,000  5,877,779,999  378</t>
  </si>
  <si>
    <t>ردیف: 369  پژو پارس TU5 كلاس20 سفيد دو پوششه  شناسه خودرو  مبلغ پایه  قيمت برنده  جایگاه  MH752481  3,850,000,000  4,300,000,000  411</t>
  </si>
  <si>
    <t>ردیف: 402  هايما S5 توربو اتوماتيک کلاس 1 نقره اي متاليك  شناسه خودرو  مبلغ پایه  قيمت برنده  جایگاه  NY071872  9,250,000,000  11,100,564,321  446</t>
  </si>
  <si>
    <t>پژو  جي ال ايكس انژكتوري كلاس 37 نقره اي متاليك</t>
  </si>
  <si>
    <t>ردیف: 458  پژو  جي ال ايكس انژكتوري كلاس 37 نقره اي متاليك  شناسه خودرو  مبلغ پایه  قيمت برنده  جایگاه  KK253062  2,100,000,000  3,459,000,000  562</t>
  </si>
  <si>
    <t>ردیف: 180  وانت آريسان دوگانه سوز كلاس 4 سفيد دو پوششه  شناسه خودرو  مبلغ پایه  قيمت برنده  جایگاه  LC101644  2,100,000,000  2,412,000,000  222</t>
  </si>
  <si>
    <t>ردیف: 291  پژو 207i اتوماتيک با موتور TU5P  کلاس 2 مشكي متاليك  شناسه خودرو  مبلغ پایه  قيمت برنده  جایگاه  NJ241655  5,250,000,000  5,866,666,666  333</t>
  </si>
  <si>
    <t>ردیف: 323  پژو 207i اتوماتيک با موتور TU5P  کلاس 2 سفيد دو پوششه  شناسه خودرو  مبلغ پایه  قيمت برنده  جایگاه  NJ240074  5,450,000,000  6,245,500,000  365</t>
  </si>
  <si>
    <t>ردیف: 337  پژو 207i اتوماتيک با موتور TU5P  کلاس 2 مشكي متاليك  شناسه خودرو  مبلغ پایه  قيمت برنده  جایگاه  NJ241874  5,450,000,000  6,142,222,222  379</t>
  </si>
  <si>
    <t>ردیف: 494   تندر90+ (پلاس) اتوماتيك تندر90+ (پلاس) اتوماتيك سفيد شيري پرشين  شناسه خودرو  مبلغ پایه  قيمت برنده  جایگاه  LA623794  6,900,000,000  8,444,444,444  604</t>
  </si>
  <si>
    <t>ردیف: 232  رانا کلاس 15 مشكي متاليك  شناسه خودرو  مبلغ پایه  قيمت برنده  جایگاه  NT363589  3,450,000,000  4,323,333,333  274</t>
  </si>
  <si>
    <t>ردیف: 258  سورن EF7 بنزيني کلاس 23 سفيد دو پوششه  شناسه خودرو  مبلغ پایه  قيمت برنده  جایگاه  NF157216  3,680,000,000  4,120,000,000  300</t>
  </si>
  <si>
    <t>ردیف: 119  وانت آريسان دوگانه سوز كلاس 4 سفيد دو پوششه  شناسه خودرو  مبلغ پایه  قيمت برنده  جایگاه  LC103670  2,100,000,000  2,320,000,000  161</t>
  </si>
  <si>
    <t>ردیف: 148  وانت آريسان دوگانه سوز كلاس 4 سفيد دو پوششه  شناسه خودرو  مبلغ پایه  قيمت برنده  جایگاه  LC104112  2,100,000,000  2,370,000,000  190</t>
  </si>
  <si>
    <t>ردیف: 177  وانت آريسان دوگانه سوز كلاس 4 سفيد دو پوششه  شناسه خودرو  مبلغ پایه  قيمت برنده  جایگاه  LC103925  2,100,000,000  2,459,999,999  219</t>
  </si>
  <si>
    <t>ردیف: 351  پژو 207i دستي کلاس 10 مشكي متاليك  شناسه خودرو  مبلغ پایه  قيمت برنده  جایگاه  NJ490665  4,800,000,000  5,909,999,999  393</t>
  </si>
  <si>
    <t>ردیف: 235  دنا پلاس توربو شارژ کلاس8 سفيد دوپوششه كانزاي  شناسه خودرو  مبلغ پایه  قيمت برنده  جایگاه  NE492260  5,210,000,000  5,888,888,888  277</t>
  </si>
  <si>
    <t>ردیف: 243  دنا پلاس توربو شارژ کلاس8 سفيد دو پوششه  شناسه خودرو  مبلغ پایه  قيمت برنده  جایگاه  NE492706  5,110,000,000  6,011,000,000  285</t>
  </si>
  <si>
    <t>ردیف: 255  سورن EF7 بنزيني کلاس 22 سفيد دو پوششه  شناسه خودرو  مبلغ پایه  قيمت برنده  جایگاه  NF237057  3,570,000,000  4,030,000,000  297</t>
  </si>
  <si>
    <t>ردیف: 302  پژو 207i اتوماتيک با موتور TU5P  کلاس 2 مشكي متاليك  شناسه خودرو  مبلغ پایه  قيمت برنده  جایگاه  MJ500088  5,200,000,000  6,610,000,000  344</t>
  </si>
  <si>
    <t>ردیف: 4  وانت آريسان دوگانه سوز كلاس 4 سفيد دو پوششه  شناسه خودرو  مبلغ پایه  قيمت برنده  جایگاه  LC103592  2,100,000,000  2,635,999,999  46</t>
  </si>
  <si>
    <t>ردیف: 10  وانت آريسان دوگانه سوز كلاس 4 سفيد دو پوششه  شناسه خودرو  مبلغ پایه  قيمت برنده  جایگاه  LC103975  2,100,000,000  2,308,759,898  52</t>
  </si>
  <si>
    <t>ردیف: 308  پژو 207i اتوماتيک با موتور TU5P  کلاس 2 سفيد دو پوششه  شناسه خودرو  مبلغ پایه  قيمت برنده  جایگاه  MJ500103  5,200,000,000  6,051,550,000  350</t>
  </si>
  <si>
    <t>ردیف: 26  وانت آريسان دوگانه سوز كلاس 4 سفيد دو پوششه  شناسه خودرو  مبلغ پایه  قيمت برنده  جایگاه  LC103802  2,100,000,000  2,418,000,000  68</t>
  </si>
  <si>
    <t>ردیف: 157  وانت آريسان دوگانه سوز كلاس 4 سفيد دو پوششه  شناسه خودرو  مبلغ پایه  قيمت برنده  جایگاه  LC103741  2,100,000,000  2,355,555,555  199</t>
  </si>
  <si>
    <t>ردیف: 292  پژو 207i اتوماتيک با موتور TU5P  کلاس 2 مشكي متاليك  شناسه خودرو  مبلغ پایه  قيمت برنده  جایگاه  NJ240751  5,250,000,000  5,939,999,999  334</t>
  </si>
  <si>
    <t>ردیف: 305  پژو 207i اتوماتيک با موتور TU5P  کلاس 2 سفيد دو پوششه  شناسه خودرو  مبلغ پایه  قيمت برنده  جایگاه  MJ500094  5,200,000,000  5,950,222,000  347</t>
  </si>
  <si>
    <t>ردیف: 84  وانت آريسان دوگانه سوز كلاس 4 سفيد دو پوششه  شناسه خودرو  مبلغ پایه  قيمت برنده  جایگاه  LC103617  2,100,000,000  2,437,999,000  126</t>
  </si>
  <si>
    <t>ردیف: 419  پژو پارس معمولي دوگانه سوز کلاس 21 خاكستري متاليك  شناسه خودرو  مبلغ پایه  قيمت برنده  جایگاه  LK001589  3,400,000,000  4,609,990,000  516</t>
  </si>
  <si>
    <t>ردیف: 11  وانت آريسان دوگانه سوز كلاس 4 سفيد دو پوششه  شناسه خودرو  مبلغ پایه  قيمت برنده  جایگاه  LC103636  2,100,000,000  2,615,999,999  53</t>
  </si>
  <si>
    <t>ردیف: 18  وانت آريسان دوگانه سوز كلاس 4 سفيد دو پوششه  شناسه خودرو  مبلغ پایه  قيمت برنده  جایگاه  LC103864  2,100,000,000  2,395,000,000  60</t>
  </si>
  <si>
    <t>ردیف: 179  وانت آريسان دوگانه سوز كلاس 4 سفيد دو پوششه  شناسه خودرو  مبلغ پایه  قيمت برنده  جایگاه  LC103946  2,100,000,000  2,577,000,000  221</t>
  </si>
  <si>
    <t>ردیف: 67  وانت آريسان دوگانه سوز كلاس 4 سفيد دو پوششه  شناسه خودرو  مبلغ پایه  قيمت برنده  جایگاه  LC103886  2,100,000,000  2,569,999,999  109</t>
  </si>
  <si>
    <t>ردیف: 132  وانت آريسان دوگانه سوز كلاس 4 سفيد دو پوششه  شناسه خودرو  مبلغ پایه  قيمت برنده  جایگاه  LC103683  2,100,000,000  2,410,000,000  174</t>
  </si>
  <si>
    <t>ردیف: 143  وانت آريسان دوگانه سوز كلاس 4 سفيد دو پوششه  شناسه خودرو  مبلغ پایه  قيمت برنده  جایگاه  LC103959  2,100,000,000  2,340,000,000  185</t>
  </si>
  <si>
    <t>ردیف: 176  وانت آريسان دوگانه سوز كلاس 4 سفيد دو پوششه  شناسه خودرو  مبلغ پایه  قيمت برنده  جایگاه  LC103817  2,100,000,000  2,559,999,999  218</t>
  </si>
  <si>
    <t>ردیف: 190  وانت آريسان دوگانه سوز كلاس 4 سفيد دو پوششه  شناسه خودرو  مبلغ پایه  قيمت برنده  جایگاه  LC103953  2,100,000,000  2,452,000,000  232</t>
  </si>
  <si>
    <t>ردیف: 192  وانت آريسان دوگانه سوز كلاس 4 سفيد دو پوششه  شناسه خودرو  مبلغ پایه  قيمت برنده  جایگاه  LC104031  2,100,000,000  2,230,000,000  234</t>
  </si>
  <si>
    <t>ردیف: 231  رانا کلاس 15 سفيد دو پوششه  شناسه خودرو  مبلغ پایه  قيمت برنده  جایگاه  NT374682  3,450,000,000  3,612,345,678  273</t>
  </si>
  <si>
    <t>ردیف: 279  پژو 207i اتوماتيک با موتور TU5P  کلاس 2 مشكي متاليك  شناسه خودرو  مبلغ پایه  قيمت برنده  جایگاه  NJ241727  5,450,000,000  6,537,829,143  321</t>
  </si>
  <si>
    <t>ردیف: 287  پژو 207i اتوماتيک با موتور TU5P  کلاس 2 مشكي متاليك  شناسه خودرو  مبلغ پایه  قيمت برنده  جایگاه  NJ241798  5,270,000,000  5,919,000,000  329</t>
  </si>
  <si>
    <t>ردیف: 321  پژو 207i اتوماتيک با موتور TU5P  کلاس 2 سفيد دو پوششه  شناسه خودرو  مبلغ پایه  قيمت برنده  جایگاه  MJ500087  5,200,000,000  6,050,222,000  363</t>
  </si>
  <si>
    <t>ردیف: 339  پژو 207i اتوماتيک با موتور TU5P  کلاس 2 سفيد دو پوششه  شناسه خودرو  مبلغ پایه  قيمت برنده  جایگاه  NJ240491  5,350,000,000  6,200,111,000  381</t>
  </si>
  <si>
    <t>ردیف: 423  پژو پارس معمولي دوگانه سوز کلاس 21 خاكستري متاليك  شناسه خودرو  مبلغ پایه  قيمت برنده  جایگاه  MK092191  3,500,000,000  4,511,111,111  520</t>
  </si>
  <si>
    <t>ردیف: 17  وانت آريسان دوگانه سوز كلاس 4 سفيد دو پوششه  شناسه خودرو  مبلغ پایه  قيمت برنده  جایگاه  LC103783  2,100,000,000  2,400,000,000  59</t>
  </si>
  <si>
    <t>ردیف: 135  وانت آريسان دوگانه سوز كلاس 4 سفيد دو پوششه  شناسه خودرو  مبلغ پایه  قيمت برنده  جایگاه  LC103664  2,100,000,000  2,439,999,999  177</t>
  </si>
  <si>
    <t>ردیف: 199  وانت آريسان دوگانه سوز كلاس 4 سفيد دو پوششه  شناسه خودرو  مبلغ پایه  قيمت برنده  جایگاه  LC103804  2,100,000,000  2,468,999,999  241</t>
  </si>
  <si>
    <t>ردیف: 212  وانت آريسان دوگانه سوز كلاس 4 سفيد دو پوششه  شناسه خودرو  مبلغ پایه  قيمت برنده  جایگاه  LC103944  2,100,000,000  2,576,099,999  254</t>
  </si>
  <si>
    <t>ردیف: 238  سورن EF7 بنزيني کلاس 19 سفيد دو پوششه  شناسه خودرو  مبلغ پایه  قيمت برنده  جایگاه  MF087214  3,370,000,000  4,385,999,999  280</t>
  </si>
  <si>
    <t>ردیف: 72  وانت آريسان دوگانه سوز كلاس 4 سفيد دو پوششه  شناسه خودرو  مبلغ پایه  قيمت برنده  جایگاه  LC103921  2,100,000,000  2,386,666,666  114</t>
  </si>
  <si>
    <t>ردیف: 82  وانت آريسان دوگانه سوز كلاس 4 سفيد دو پوششه  شناسه خودرو  مبلغ پایه  قيمت برنده  جایگاه  LC103660  2,100,000,000  2,487,999,000  124</t>
  </si>
  <si>
    <t>ردیف: 158  وانت آريسان دوگانه سوز كلاس 4 سفيد دو پوششه  شناسه خودرو  مبلغ پایه  قيمت برنده  جایگاه  LC103988  2,100,000,000  2,459,000,000  200</t>
  </si>
  <si>
    <t>ردیف: 187  وانت آريسان دوگانه سوز كلاس 4 سفيد دو پوششه  شناسه خودرو  مبلغ پایه  قيمت برنده  جایگاه  LC104053  2,100,000,000  2,512,000,000  229</t>
  </si>
  <si>
    <t>ردیف: 289  پژو 207i اتوماتيک با موتور TU5P  کلاس 2 مشكي متاليك  شناسه خودرو  مبلغ پایه  قيمت برنده  جایگاه  NJ241897  5,350,000,000  6,255,558,546  331</t>
  </si>
  <si>
    <t>ردیف: 322  پژو 207i اتوماتيک با موتور TU5P  کلاس 2 مشكي متاليك  شناسه خودرو  مبلغ پایه  قيمت برنده  جایگاه  NJ242228  5,300,000,000  5,960,000,000  364</t>
  </si>
  <si>
    <t>ردیف: 377  پژو پارس TU5 كلاس20 مشكي متاليك  شناسه خودرو  مبلغ پایه  قيمت برنده  جایگاه  NH418542  4,280,000,000  5,030,009,990  421</t>
  </si>
  <si>
    <t>ردیف: 36  وانت آريسان دوگانه سوز كلاس 4 سفيد دو پوششه  شناسه خودرو  مبلغ پایه  قيمت برنده  جایگاه  LC103830  2,100,000,000  2,400,000,999  78</t>
  </si>
  <si>
    <t>ردیف: 44  وانت آريسان دوگانه سوز كلاس 4 سفيد دو پوششه  شناسه خودرو  مبلغ پایه  قيمت برنده  جایگاه  LC103747  2,100,000,000  2,403,000,000  86</t>
  </si>
  <si>
    <t>ردیف: 102  وانت آريسان دوگانه سوز كلاس 4 سفيد دو پوششه  شناسه خودرو  مبلغ پایه  قيمت برنده  جایگاه  LC103548  2,100,000,000  2,688,888,888  144</t>
  </si>
  <si>
    <t>ردیف: 124  وانت آريسان دوگانه سوز كلاس 4 سفيد دو پوششه  شناسه خودرو  مبلغ پایه  قيمت برنده  جایگاه  LC104070  2,100,000,000  2,469,999,999  166</t>
  </si>
  <si>
    <t>ردیف: 149  وانت آريسان دوگانه سوز كلاس 4 سفيد دو پوششه  شناسه خودرو  مبلغ پایه  قيمت برنده  جایگاه  LC103845  2,100,000,000  2,618,000,000  191</t>
  </si>
  <si>
    <t>ردیف: 150  وانت آريسان دوگانه سوز كلاس 4 سفيد دو پوششه  شناسه خودرو  مبلغ پایه  قيمت برنده  جایگاه  LC103778  2,100,000,000  2,523,200,000  192</t>
  </si>
  <si>
    <t>ردیف: 151  وانت آريسان دوگانه سوز كلاس 4 سفيد دو پوششه  شناسه خودرو  مبلغ پایه  قيمت برنده  جایگاه  LC103986  2,100,000,000  2,510,000,000  193</t>
  </si>
  <si>
    <t>ردیف: 155  وانت آريسان دوگانه سوز كلاس 4 سفيد دو پوششه  شناسه خودرو  مبلغ پایه  قيمت برنده  جایگاه  LC103958  2,100,000,000  2,321,000,000  197</t>
  </si>
  <si>
    <t>ردیف: 161  وانت آريسان دوگانه سوز كلاس 4 سفيد دو پوششه  شناسه خودرو  مبلغ پایه  قيمت برنده  جایگاه  LC103997  2,100,000,000  2,355,354,438  203</t>
  </si>
  <si>
    <t>ردیف: 183  وانت آريسان دوگانه سوز كلاس 4 سفيد دو پوششه  شناسه خودرو  مبلغ پایه  قيمت برنده  جایگاه  LC103808  2,100,000,000  2,552,000,000  225</t>
  </si>
  <si>
    <t>ردیف: 206  وانت آريسان دوگانه سوز كلاس 4 سفيد دو پوششه  شناسه خودرو  مبلغ پایه  قيمت برنده  جایگاه  LC103888  2,100,000,000  2,288,888,888  248</t>
  </si>
  <si>
    <t>ردیف: 280  پژو 207i اتوماتيک با موتور TU5P  کلاس 2 سفيد دو پوششه  شناسه خودرو  مبلغ پایه  قيمت برنده  جایگاه  NJ243173  5,400,000,000  6,109,999,999  322</t>
  </si>
  <si>
    <t>ردیف: 352  پژو 207i دستي کلاس 10 سفيد دو پوششه  شناسه خودرو  مبلغ پایه  قيمت برنده  جایگاه  NJ263638  4,700,000,000  5,389,999,999  394</t>
  </si>
  <si>
    <t>ردیف: 12  وانت آريسان دوگانه سوز كلاس 4 سفيد دو پوششه  شناسه خودرو  مبلغ پایه  قيمت برنده  جایگاه  LC104126  2,100,000,000  2,290,000,000  54</t>
  </si>
  <si>
    <t>ردیف: 13  وانت آريسان دوگانه سوز كلاس 4 سفيد دو پوششه  شناسه خودرو  مبلغ پایه  قيمت برنده  جایگاه  LC103970  2,050,000,000  2,377,999,000  55</t>
  </si>
  <si>
    <t>ردیف: 107  وانت آريسان دوگانه سوز كلاس 4 سفيد دو پوششه  شناسه خودرو  مبلغ پایه  قيمت برنده  جایگاه  LC103820  2,100,000,000  2,463,999,000  149</t>
  </si>
  <si>
    <t>ردیف: 110  وانت آريسان دوگانه سوز كلاس 4 سفيد دو پوششه  شناسه خودرو  مبلغ پایه  قيمت برنده  جایگاه  LC103621  2,100,000,000  2,359,898,800  152</t>
  </si>
  <si>
    <t>ردیف: 156  وانت آريسان دوگانه سوز كلاس 4 سفيد دو پوششه  شناسه خودرو  مبلغ پایه  قيمت برنده  جایگاه  LC103841  2,100,000,000  2,411,999,990  198</t>
  </si>
  <si>
    <t>ردیف: 182  وانت آريسان دوگانه سوز كلاس 4 سفيد دو پوششه  شناسه خودرو  مبلغ پایه  قيمت برنده  جایگاه  LC103920  2,100,000,000  2,512,000,000  224</t>
  </si>
  <si>
    <t>ردیف: 184  وانت آريسان دوگانه سوز كلاس 4 سفيد دو پوششه  شناسه خودرو  مبلغ پایه  قيمت برنده  جایگاه  LC103939  2,100,000,000  2,412,000,000  226</t>
  </si>
  <si>
    <t>ردیف: 196  وانت آريسان دوگانه سوز كلاس 4 سفيد دو پوششه  شناسه خودرو  مبلغ پایه  قيمت برنده  جایگاه  LC103866  2,100,000,000  2,271,255,000  238</t>
  </si>
  <si>
    <t>ردیف: 208  وانت آريسان دوگانه سوز كلاس 4 سفيد دو پوششه  شناسه خودرو  مبلغ پایه  قيمت برنده  جایگاه  LC103813  2,100,000,000  2,602,500,000  250</t>
  </si>
  <si>
    <t>ردیف: 233  دنا پلاس اتوماتيك با موتور EF7_TC كلاس2 خاكستري متاليك  شناسه خودرو  مبلغ پایه  قيمت برنده  جایگاه  NE540846  5,650,000,000  6,212,345,678  275</t>
  </si>
  <si>
    <t>ردیف: 327  پژو 207i اتوماتيک با موتور TU5P  کلاس 2 مشكي متاليك  شناسه خودرو  مبلغ پایه  قيمت برنده  جایگاه  NJ240238  5,400,000,000  6,120,000,000  369</t>
  </si>
  <si>
    <t>ردیف: 16  وانت آريسان دوگانه سوز كلاس 4 سفيد دو پوششه  شناسه خودرو  مبلغ پایه  قيمت برنده  جایگاه  LC103672  2,100,000,000  2,320,056,000  58</t>
  </si>
  <si>
    <t>ردیف: 21  وانت آريسان دوگانه سوز كلاس 4 سفيد دو پوششه  شناسه خودرو  مبلغ پایه  قيمت برنده  جایگاه  LC103575  2,100,000,000  2,538,000,000  63</t>
  </si>
  <si>
    <t>ردیف: 64  وانت آريسان دوگانه سوز كلاس 4 سفيد دو پوششه  شناسه خودرو  مبلغ پایه  قيمت برنده  جایگاه  LC103924  2,100,000,000  2,515,000,000  106</t>
  </si>
  <si>
    <t>ردیف: 79  وانت آريسان دوگانه سوز كلاس 4 سفيد دو پوششه  شناسه خودرو  مبلغ پایه  قيمت برنده  جایگاه  LC103616  2,000,000,000  2,310,000,110  121</t>
  </si>
  <si>
    <t>ردیف: 104  وانت آريسان دوگانه سوز كلاس 4 سفيد دو پوششه  شناسه خودرو  مبلغ پایه  قيمت برنده  جایگاه  LC104182  2,100,000,000  2,349,999,999  146</t>
  </si>
  <si>
    <t>ردیف: 169  وانت آريسان دوگانه سوز كلاس 4 سفيد دو پوششه  شناسه خودرو  مبلغ پایه  قيمت برنده  جایگاه  LC103896  2,100,000,000  2,442,000,000  211</t>
  </si>
  <si>
    <t>ردیف: 214  وانت آريسان دوگانه سوز كلاس 4 سفيد دو پوششه  شناسه خودرو  مبلغ پایه  قيمت برنده  جایگاه  LC103992  2,100,000,000  2,529,999,999  256</t>
  </si>
  <si>
    <t>ردیف: 230  پژو 206 معمولي كلاس 31 سفيد دو پوششه  شناسه خودرو  مبلغ پایه  قيمت برنده  جایگاه  NJ301246  3,370,000,000  4,171,210,001  272</t>
  </si>
  <si>
    <t>ردیف: 306  پژو 207i اتوماتيک با موتور TU5P  کلاس 2 مشكي متاليك  شناسه خودرو  مبلغ پایه  قيمت برنده  جایگاه  MJ500113  5,200,000,000  6,179,999,369  348</t>
  </si>
  <si>
    <t>ردیف: 338  پژو 207i اتوماتيک با موتور TU5P  کلاس 2 مشكي متاليك  شناسه خودرو  مبلغ پایه  قيمت برنده  جایگاه  NJ241816  5,250,000,000  5,919,999,999  380</t>
  </si>
  <si>
    <t>ردیف: 506  تندر 90 E2 + 2 A/B سفيد شيري پرشين  شناسه خودرو  مبلغ پایه  قيمت برنده  جایگاه  LA402424  4,150,000,000  6,148,758,930  616</t>
  </si>
  <si>
    <t>ردیف: 5  وانت آريسان دوگانه سوز كلاس 4 سفيد دو پوششه  شناسه خودرو  مبلغ پایه  قيمت برنده  جایگاه  LC103690  2,100,000,000  2,500,000,000  47</t>
  </si>
  <si>
    <t>ردیف: 34  وانت آريسان دوگانه سوز كلاس 4 سفيد دو پوششه  شناسه خودرو  مبلغ پایه  قيمت برنده  جایگاه  LC103885  2,100,000,000  2,278,999,999  76</t>
  </si>
  <si>
    <t>ردیف: 98  وانت آريسان دوگانه سوز كلاس 4 سفيد دو پوششه  شناسه خودرو  مبلغ پایه  قيمت برنده  جایگاه  LC103782  2,100,000,000  2,456,789,000  140</t>
  </si>
  <si>
    <t>ردیف: 115  وانت آريسان دوگانه سوز كلاس 4 سفيد دو پوششه  شناسه خودرو  مبلغ پایه  قيمت برنده  جایگاه  LC103969  2,100,000,000  2,331,101,130  157</t>
  </si>
  <si>
    <t>ردیف: 117  وانت آريسان دوگانه سوز كلاس 4 سفيد دو پوششه  شناسه خودرو  مبلغ پایه  قيمت برنده  جایگاه  LC103835  2,100,000,000  2,298,900,000  159</t>
  </si>
  <si>
    <t>ردیف: 126  وانت آريسان دوگانه سوز كلاس 4 سفيد دو پوششه  شناسه خودرو  مبلغ پایه  قيمت برنده  جایگاه  LC104011  2,100,000,000  2,419,999,999  168</t>
  </si>
  <si>
    <t>ردیف: 140  وانت آريسان دوگانه سوز كلاس 4 سفيد دو پوششه  شناسه خودرو  مبلغ پایه  قيمت برنده  جایگاه  LC104063  2,100,000,000  2,469,999,999  182</t>
  </si>
  <si>
    <t>ردیف: 159  وانت آريسان دوگانه سوز كلاس 4 سفيد دو پوششه  شناسه خودرو  مبلغ پایه  قيمت برنده  جایگاه  LC103929  2,100,000,000  2,470,000,000  201</t>
  </si>
  <si>
    <t>ردیف: 188  وانت آريسان دوگانه سوز كلاس 4 سفيد دو پوششه  شناسه خودرو  مبلغ پایه  قيمت برنده  جایگاه  LC104044  2,100,000,000  2,552,000,000  230</t>
  </si>
  <si>
    <t>ردیف: 220  وانت آريسان دوگانه سوز كلاس 4 سفيد دو پوششه  شناسه خودرو  مبلغ پایه  قيمت برنده  جایگاه  LC103814  2,100,000,000  2,450,000,000  262</t>
  </si>
  <si>
    <t>ردیف: 226  پژو 206 معمولي كلاس 31 سفيد دو پوششه  شناسه خودرو  مبلغ پایه  قيمت برنده  جایگاه  NJ301300  3,570,000,000  4,313,333,333  268</t>
  </si>
  <si>
    <t>ردیف: 250  سورن EF7 بنزيني کلاس 19 سفيد دو پوششه  شناسه خودرو  مبلغ پایه  قيمت برنده  جایگاه  MF084356  3,370,000,000  3,900,000,000  292</t>
  </si>
  <si>
    <t>ردیف: 260  سورن EF7 بنزيني کلاس 23 سفيد دوپوششه كانزاي  شناسه خودرو  مبلغ پایه  قيمت برنده  جایگاه  MF919143  3,400,000,000  3,989,888,800  302</t>
  </si>
  <si>
    <t>ردیف: 349  پژو 207i دستي کلاس 10 سفيد دو پوششه  شناسه خودرو  مبلغ پایه  قيمت برنده  جایگاه  NJ923836  4,750,000,000  5,409,999,999  391</t>
  </si>
  <si>
    <t>ردیف: 397  هايماS7 توربو اتوماتيك كلاس2 مشكي متاليك  شناسه خودرو  مبلغ پایه  قيمت برنده  جایگاه  NY063800  10,400,000,000  12,000,000,000  441</t>
  </si>
  <si>
    <t>ردیف: 509  تندر 90 E2 + 2 A/B سفيد شيري پرشين  شناسه خودرو  مبلغ پایه  قيمت برنده  جایگاه  LA402398  4,000,000,000  5,555,555,555  619</t>
  </si>
  <si>
    <t>ردیف: 49  وانت آريسان دوگانه سوز كلاس 4 سفيد دو پوششه  شناسه خودرو  مبلغ پایه  قيمت برنده  جایگاه  LC103860  2,100,000,000  2,424,222,200  91</t>
  </si>
  <si>
    <t>ردیف: 51  وانت آريسان دوگانه سوز كلاس 4 سفيد دو پوششه  شناسه خودرو  مبلغ پایه  قيمت برنده  جایگاه  LC103878  2,100,000,000  2,467,999,000  93</t>
  </si>
  <si>
    <t>ردیف: 54  وانت آريسان دوگانه سوز كلاس 4 سفيد دو پوششه  شناسه خودرو  مبلغ پایه  قيمت برنده  جایگاه  LC103644  2,100,000,000  2,467,999,000  96</t>
  </si>
  <si>
    <t>ردیف: 63  وانت آريسان دوگانه سوز كلاس 4 سفيد دو پوششه  شناسه خودرو  مبلغ پایه  قيمت برنده  جایگاه  LC103960  2,100,000,000  2,473,000,000  105</t>
  </si>
  <si>
    <t>ردیف: 76  وانت آريسان دوگانه سوز كلاس 4 سفيد دو پوششه  شناسه خودرو  مبلغ پایه  قيمت برنده  جایگاه  LC103573  2,100,000,000  2,477,963,369  118</t>
  </si>
  <si>
    <t>ردیف: 162  وانت آريسان دوگانه سوز كلاس 4 سفيد دو پوششه  شناسه خودرو  مبلغ پایه  قيمت برنده  جایگاه  LC103936  2,100,000,000  2,333,000,000  204</t>
  </si>
  <si>
    <t>ردیف: 213  وانت آريسان دوگانه سوز كلاس 4 سفيد دو پوششه  شناسه خودرو  مبلغ پایه  قيمت برنده  جایگاه  LC103688  2,100,000,000  2,552,000,000  255</t>
  </si>
  <si>
    <t>ردیف: 239  سورن EF7 بنزيني کلاس 19 سفيد دو پوششه  شناسه خودرو  مبلغ پایه  قيمت برنده  جایگاه  NF151009  3,570,000,000  5,330,000,000  281</t>
  </si>
  <si>
    <t>ردیف: 267  رانا کلاس 15 سفيد دو پوششه  شناسه خودرو  مبلغ پایه  قيمت برنده  جایگاه  NT368880  3,350,000,000  3,999,900,000  309</t>
  </si>
  <si>
    <t>ردیف: 268  رانا کلاس 15 سفيد دو پوششه  شناسه خودرو  مبلغ پایه  قيمت برنده  جایگاه  NT369162  3,400,000,000  4,113,000,000  310</t>
  </si>
  <si>
    <t>ردیف: 361  پژو پارس TU5 کلاس 27 مشكي متاليك  شناسه خودرو  مبلغ پایه  قيمت برنده  جایگاه  NH209359  4,950,000,000  5,309,999,999  403</t>
  </si>
  <si>
    <t>ردیف: 57  وانت آريسان دوگانه سوز كلاس 4 سفيد دو پوششه  شناسه خودرو  مبلغ پایه  قيمت برنده  جایگاه  LC103917  2,100,000,000  2,532,000,000  99</t>
  </si>
  <si>
    <t>ردیف: 70  وانت آريسان دوگانه سوز كلاس 4 سفيد دو پوششه  شناسه خودرو  مبلغ پایه  قيمت برنده  جایگاه  LC103905  2,100,000,000  2,261,000,111  112</t>
  </si>
  <si>
    <t>ردیف: 71  وانت آريسان دوگانه سوز كلاس 4 سفيد دو پوششه  شناسه خودرو  مبلغ پایه  قيمت برنده  جایگاه  LC103740  2,100,000,000  2,459,999,999  113</t>
  </si>
  <si>
    <t>ردیف: 81  وانت آريسان دوگانه سوز كلاس 4 سفيد دو پوششه  شناسه خودرو  مبلغ پایه  قيمت برنده  جایگاه  LC103659  2,100,000,000  2,293,870,000  123</t>
  </si>
  <si>
    <t>ردیف: 90  وانت آريسان دوگانه سوز كلاس 4 سفيد دو پوششه  شناسه خودرو  مبلغ پایه  قيمت برنده  جایگاه  LC103571  2,100,000,000  2,269,990,100  132</t>
  </si>
  <si>
    <t>ردیف: 92  وانت آريسان دوگانه سوز كلاس 4 سفيد دو پوششه  شناسه خودرو  مبلغ پایه  قيمت برنده  جایگاه  LC103676  2,100,000,000  2,306,500,000  134</t>
  </si>
  <si>
    <t>ردیف: 111  وانت آريسان دوگانه سوز كلاس 4 سفيد دو پوششه  شناسه خودرو  مبلغ پایه  قيمت برنده  جایگاه  LC103668  2,100,000,000  2,312,896,989  153</t>
  </si>
  <si>
    <t>ردیف: 123  وانت آريسان دوگانه سوز كلاس 4 سفيد دو پوششه  شناسه خودرو  مبلغ پایه  قيمت برنده  جایگاه  LC103665  2,100,000,000  2,400,758,740  165</t>
  </si>
  <si>
    <t>ردیف: 144  وانت آريسان دوگانه سوز كلاس 4 سفيد دو پوششه  شناسه خودرو  مبلغ پایه  قيمت برنده  جایگاه  LC104085  2,100,000,000  2,320,000,000  186</t>
  </si>
  <si>
    <t>ردیف: 146  وانت آريسان دوگانه سوز كلاس 4 سفيد دو پوششه  شناسه خودرو  مبلغ پایه  قيمت برنده  جایگاه  LC103711  2,100,000,000  2,583,999,999  188</t>
  </si>
  <si>
    <t>ردیف: 147  وانت آريسان دوگانه سوز كلاس 4 سفيد دو پوششه  شناسه خودرو  مبلغ پایه  قيمت برنده  جایگاه  LC104020  2,100,000,000  2,431,111,111  189</t>
  </si>
  <si>
    <t>ردیف: 181  وانت آريسان دوگانه سوز كلاس 4 سفيد دو پوششه  شناسه خودرو  مبلغ پایه  قيمت برنده  جایگاه  LC103818  2,100,000,000  2,452,000,000  223</t>
  </si>
  <si>
    <t>ردیف: 201  وانت آريسان دوگانه سوز كلاس 4 سفيد دو پوششه  شناسه خودرو  مبلغ پایه  قيمت برنده  جایگاه  LC104024  2,100,000,000  2,310,000,000  243</t>
  </si>
  <si>
    <t>ردیف: 211  وانت آريسان دوگانه سوز كلاس 4 سفيد دو پوششه  شناسه خودرو  مبلغ پایه  قيمت برنده  جایگاه  LC103762  2,100,000,000  2,431,578,999  253</t>
  </si>
  <si>
    <t>ردیف: 215  وانت آريسان دوگانه سوز كلاس 4 سفيد دو پوششه  شناسه خودرو  مبلغ پایه  قيمت برنده  جایگاه  LC103982  2,100,000,000  2,479,999,999  257</t>
  </si>
  <si>
    <t>ردیف: 219  وانت آريسان دوگانه سوز كلاس 4 سفيد دو پوششه  شناسه خودرو  مبلغ پایه  قيمت برنده  جایگاه  LC103977  2,100,000,000  2,388,888,888  261</t>
  </si>
  <si>
    <t>ردیف: 222  وانت آريسان دوگانه سوز كلاس 4 سفيد دو پوششه  شناسه خودرو  مبلغ پایه  قيمت برنده  جایگاه  LC103899  2,100,000,000  2,310,000,999  264</t>
  </si>
  <si>
    <t>ردیف: 234  دنا پلاس اتوماتيك با موتور EF7_TC كلاس2 سفيد دوپوششه كانزاي  شناسه خودرو  مبلغ پایه  قيمت برنده  جایگاه  NE544962  5,650,000,000  6,511,286,650  276</t>
  </si>
  <si>
    <t>تارا اتوماتيک کلاس 1  سبز دريايي متاليك</t>
  </si>
  <si>
    <t>ردیف: 353  تارا اتوماتيک کلاس 1  سبز دريايي متاليك  شناسه خودرو  مبلغ پایه  قيمت برنده  جایگاه  MD920406  5,750,000,000  6,666,666,000  395</t>
  </si>
  <si>
    <t>ردیف: 375  پژو پارس TU5 كلاس20 مشكي متاليك  شناسه خودرو  مبلغ پایه  قيمت برنده  جایگاه  NK693618  4,260,000,000  4,743,500,000  419</t>
  </si>
  <si>
    <t>ردیف: 15  وانت آريسان دوگانه سوز كلاس 4 سفيد دو پوششه  شناسه خودرو  مبلغ پایه  قيمت برنده  جایگاه  LC103748  2,100,000,000  2,352,000,000  57</t>
  </si>
  <si>
    <t>ردیف: 20  وانت آريسان دوگانه سوز كلاس 4 سفيد دو پوششه  شناسه خودرو  مبلغ پایه  قيمت برنده  جایگاه  LC104074  2,100,000,000  2,420,000,000  62</t>
  </si>
  <si>
    <t>ردیف: 41  وانت آريسان دوگانه سوز كلاس 4 سفيد دو پوششه  شناسه خودرو  مبلغ پایه  قيمت برنده  جایگاه  LC103931  2,100,000,000  2,425,000,000  83</t>
  </si>
  <si>
    <t>ردیف: 86  وانت آريسان دوگانه سوز كلاس 4 سفيد دو پوششه  شناسه خودرو  مبلغ پایه  قيمت برنده  جایگاه  LC103772  2,100,000,000  2,300,000,000  128</t>
  </si>
  <si>
    <t>ردیف: 97  وانت آريسان دوگانه سوز كلاس 4 سفيد دو پوششه  شناسه خودرو  مبلغ پایه  قيمت برنده  جایگاه  LC103572  2,100,000,000  2,583,259,009  139</t>
  </si>
  <si>
    <t>ردیف: 100  وانت آريسان دوگانه سوز كلاس 4 سفيد دو پوششه  شناسه خودرو  مبلغ پایه  قيمت برنده  جایگاه  LC103801  2,100,000,000  2,671,990,000  142</t>
  </si>
  <si>
    <t>ردیف: 101  وانت آريسان دوگانه سوز كلاس 4 سفيد دو پوششه  شناسه خودرو  مبلغ پایه  قيمت برنده  جایگاه  LC103645  2,100,000,000  2,437,999,000  143</t>
  </si>
  <si>
    <t>ردیف: 105  وانت آريسان دوگانه سوز كلاس 4 سفيد دو پوششه  شناسه خودرو  مبلغ پایه  قيمت برنده  جایگاه  LC104083  2,100,000,000  2,446,999,000  147</t>
  </si>
  <si>
    <t>ردیف: 129  وانت آريسان دوگانه سوز كلاس 4 سفيد دو پوششه  شناسه خودرو  مبلغ پایه  قيمت برنده  جایگاه  LC103723  2,100,000,000  2,360,000,000  171</t>
  </si>
  <si>
    <t>ردیف: 142  وانت آريسان دوگانه سوز كلاس 4 سفيد دو پوششه  شناسه خودرو  مبلغ پایه  قيمت برنده  جایگاه  LC103906  2,100,000,000  2,389,999,999  184</t>
  </si>
  <si>
    <t>ردیف: 172  وانت آريسان دوگانه سوز كلاس 4 سفيد دو پوششه  شناسه خودرو  مبلغ پایه  قيمت برنده  جایگاه  LC103608  2,100,000,000  2,551,000,000  214</t>
  </si>
  <si>
    <t>ردیف: 173  وانت آريسان دوگانه سوز كلاس 4 سفيد دو پوششه  شناسه خودرو  مبلغ پایه  قيمت برنده  جایگاه  LC103763  2,100,000,000  2,285,500,000  215</t>
  </si>
  <si>
    <t>ردیف: 193  وانت آريسان دوگانه سوز كلاس 4 سفيد دو پوششه  شناسه خودرو  مبلغ پایه  قيمت برنده  جایگاه  LC103594  2,100,000,000  2,386,099,999  235</t>
  </si>
  <si>
    <t>ردیف: 223  وانت آريسان دوگانه سوز كلاس 4 سفيد دو پوششه  شناسه خودرو  مبلغ پایه  قيمت برنده  جایگاه  LC104196  2,100,000,000  2,401,000,000  265</t>
  </si>
  <si>
    <t>ردیف: 299  پژو 207i اتوماتيک با موتور TU5P  کلاس 2 سفيد دو پوششه  شناسه خودرو  مبلغ پایه  قيمت برنده  جایگاه  NJ240986  5,450,000,000  6,466,000,000  341</t>
  </si>
  <si>
    <t>ردیف: 362  پژو پارس TU5 کلاس 27 مشكي متاليك  شناسه خودرو  مبلغ پایه  قيمت برنده  جایگاه  NH208663  5,050,000,000  5,669,000,000  404</t>
  </si>
  <si>
    <t>ردیف: 371  پژو پارس TU5 كلاس20 آبي رويال  شناسه خودرو  مبلغ پایه  قيمت برنده  جایگاه  NH208333  4,240,000,000  4,958,530,000  413</t>
  </si>
  <si>
    <t>ردیف: 373  پژو پارس TU5 کلاس 27 مشكي متاليك  شناسه خودرو  مبلغ پایه  قيمت برنده  جایگاه  NH213890  4,980,000,000  5,710,000,000  415</t>
  </si>
  <si>
    <t>ردیف: 2  وانت آريسان دوگانه سوز كلاس 4 سفيد دو پوششه  شناسه خودرو  مبلغ پایه  قيمت برنده  جایگاه  LC103587  2,100,000,000  2,337,999,000  44</t>
  </si>
  <si>
    <t>ردیف: 28  وانت آريسان دوگانه سوز كلاس 4 سفيد دو پوششه  شناسه خودرو  مبلغ پایه  قيمت برنده  جایگاه  LC103955  2,100,000,000  2,487,999,000  70</t>
  </si>
  <si>
    <t>ردیف: 40  وانت آريسان دوگانه سوز كلاس 4 سفيد دو پوششه  شناسه خودرو  مبلغ پایه  قيمت برنده  جایگاه  LC103657  2,100,000,000  2,530,000,000  82</t>
  </si>
  <si>
    <t>ردیف: 46  وانت آريسان دوگانه سوز كلاس 4 سفيد دو پوششه  شناسه خودرو  مبلغ پایه  قيمت برنده  جایگاه  LC103806  2,100,000,000  2,502,200,000  88</t>
  </si>
  <si>
    <t>ردیف: 80  وانت آريسان دوگانه سوز كلاس 4 سفيد دو پوششه  شناسه خودرو  مبلغ پایه  قيمت برنده  جایگاه  LC103709  2,100,000,000  2,377,999,000  122</t>
  </si>
  <si>
    <t>ردیف: 87  وانت آريسان دوگانه سوز كلاس 4 سفيد دو پوششه  شناسه خودرو  مبلغ پایه  قيمت برنده  جایگاه  LC103610  2,100,000,000  2,239,999,999  129</t>
  </si>
  <si>
    <t>ردیف: 91  وانت آريسان دوگانه سوز كلاس 4 سفيد دو پوششه  شناسه خودرو  مبلغ پایه  قيمت برنده  جایگاه  LC103602  2,100,000,000  2,335,000,000  133</t>
  </si>
  <si>
    <t>ردیف: 93  وانت آريسان دوگانه سوز كلاس 4 سفيد دو پوششه  شناسه خودرو  مبلغ پایه  قيمت برنده  جایگاه  LC103663  2,070,000,000  2,299,900,000  135</t>
  </si>
  <si>
    <t>ردیف: 125  وانت آريسان دوگانه سوز كلاس 4 سفيد دو پوششه  شناسه خودرو  مبلغ پایه  قيمت برنده  جایگاه  LC103852  2,100,000,000  2,363,250,000  167</t>
  </si>
  <si>
    <t>ردیف: 138  وانت آريسان دوگانه سوز كلاس 4 سفيد دو پوششه  شناسه خودرو  مبلغ پایه  قيمت برنده  جایگاه  LC103630  2,100,000,000  2,999,999,999  180</t>
  </si>
  <si>
    <t>ردیف: 152  وانت آريسان دوگانه سوز كلاس 4 سفيد دو پوششه  شناسه خودرو  مبلغ پایه  قيمت برنده  جایگاه  LC103721  2,100,000,000  2,487,999,000  194</t>
  </si>
  <si>
    <t>ردیف: 153  وانت آريسان دوگانه سوز كلاس 4 سفيد دو پوششه  شناسه خودرو  مبلغ پایه  قيمت برنده  جایگاه  LC100711  2,100,000,000  2,467,999,000  195</t>
  </si>
  <si>
    <t>ردیف: 178  وانت آريسان دوگانه سوز كلاس 4 سفيد دو پوششه  شناسه خودرو  مبلغ پایه  قيمت برنده  جایگاه  LC103927  2,100,000,000  2,450,000,000  220</t>
  </si>
  <si>
    <t>ردیف: 185  وانت آريسان دوگانه سوز كلاس 4 سفيد دو پوششه  شناسه خودرو  مبلغ پایه  قيمت برنده  جایگاه  LC103722  2,100,000,000  2,499,999,999  227</t>
  </si>
  <si>
    <t>ردیف: 218  وانت آريسان دوگانه سوز كلاس 4 سفيد دو پوششه  شناسه خودرو  مبلغ پایه  قيمت برنده  جایگاه  LC103973  2,100,000,000  2,321,530,394  260</t>
  </si>
  <si>
    <t>ردیف: 221  وانت آريسان دوگانه سوز كلاس 4 سفيد دو پوششه  شناسه خودرو  مبلغ پایه  قيمت برنده  جایگاه  LC104129  2,100,000,000  2,450,000,111  263</t>
  </si>
  <si>
    <t>ردیف: 224  وانت آريسان دوگانه سوز كلاس 4 سفيد دو پوششه  شناسه خودرو  مبلغ پایه  قيمت برنده  جایگاه  LC103639  2,100,000,000  2,379,999,999  266</t>
  </si>
  <si>
    <t>ردیف: 225  وانت آريسان دوگانه سوز كلاس 4 سفيد دو پوششه  شناسه خودرو  مبلغ پایه  قيمت برنده  جایگاه  LC103795  2,100,000,000  2,380,000,000  267</t>
  </si>
  <si>
    <t>ردیف: 240  سورن EF7 بنزيني کلاس 19 سفيد دو پوششه  شناسه خودرو  مبلغ پایه  قيمت برنده  جایگاه  MF919307  3,320,000,000  4,139,895,000  282</t>
  </si>
  <si>
    <t>ردیف: 298  پژو 207i اتوماتيک با موتور TU5P  کلاس 2 سفيد دو پوششه  شناسه خودرو  مبلغ پایه  قيمت برنده  جایگاه  MJ500108  5,200,000,000  6,353,999,999  340</t>
  </si>
  <si>
    <t>ردیف: 366  پژو پارس TU5 كلاس20 سفيد دو پوششه  شناسه خودرو  مبلغ پایه  قيمت برنده  جایگاه  NH872281  4,040,000,000    408</t>
  </si>
  <si>
    <t>ردیف: 405  هايما S5 توربو اتوماتيک کلاس 1 مشكي متاليك  شناسه خودرو  مبلغ پایه  قيمت برنده  جایگاه  NY071822  9,100,000,000  10,780,000,000  449</t>
  </si>
  <si>
    <t>ردیف: 47  وانت آريسان دوگانه سوز كلاس 4 سفيد دو پوششه  شناسه خودرو  مبلغ پایه  قيمت برنده  جایگاه  LC104162  2,100,000,000  3,000,000,000  89</t>
  </si>
  <si>
    <t>ردیف: 59  وانت آريسان دوگانه سوز كلاس 4 سفيد دو پوششه  شناسه خودرو  مبلغ پایه  قيمت برنده  جایگاه  LC103789  2,100,000,000  2,553,000,000  101</t>
  </si>
  <si>
    <t>ردیف: 74  وانت آريسان دوگانه سوز كلاس 4 سفيد دو پوششه  شناسه خودرو  مبلغ پایه  قيمت برنده  جایگاه  LC103557  2,100,000,000  2,413,333,333  116</t>
  </si>
  <si>
    <t>ردیف: 75  وانت آريسان دوگانه سوز كلاس 4 سفيد دو پوششه  شناسه خودرو  مبلغ پایه  قيمت برنده  جایگاه  LC103902  2,100,000,000  2,388,888,888  117</t>
  </si>
  <si>
    <t>ردیف: 88  وانت آريسان دوگانه سوز كلاس 4 سفيد دو پوششه  شناسه خودرو  مبلغ پایه  قيمت برنده  جایگاه  LC103614  2,100,000,000  2,399,999,999  130</t>
  </si>
  <si>
    <t>ردیف: 113  وانت آريسان دوگانه سوز كلاس 4 سفيد دو پوششه  شناسه خودرو  مبلغ پایه  قيمت برنده  جایگاه  LC103699  2,100,000,000  2,386,000,000  155</t>
  </si>
  <si>
    <t>ردیف: 163  وانت آريسان دوگانه سوز كلاس 4 سفيد دو پوششه  شناسه خودرو  مبلغ پایه  قيمت برنده  جایگاه  LC103593  2,100,000,000  2,260,321,000  205</t>
  </si>
  <si>
    <t>ردیف: 189  وانت آريسان دوگانه سوز كلاس 4 سفيد دو پوششه  شناسه خودرو  مبلغ پایه  قيمت برنده  جایگاه  LC103554  2,100,000,000  2,412,000,000  231</t>
  </si>
  <si>
    <t>ردیف: 195  وانت آريسان دوگانه سوز كلاس 4 سفيد دو پوششه  شناسه خودرو  مبلغ پایه  قيمت برنده  جایگاه  LC104116  2,100,000,000  2,388,888,888  237</t>
  </si>
  <si>
    <t>ردیف: 237  دنا پلاس اتوماتيك با موتور EF7_TC كلاس2 سفيد دوپوششه كانزاي  شناسه خودرو  مبلغ پایه  قيمت برنده  جایگاه  NE576335  5,750,000,000  6,665,000,000  279</t>
  </si>
  <si>
    <t>ردیف: 266  پژو 206 معمولي كلاس 31 سفيد دو پوششه  شناسه خودرو  مبلغ پایه  قيمت برنده  جایگاه  NJ292785  3,520,000,000  4,225,000,000  308</t>
  </si>
  <si>
    <t>ردیف: 283  پژو 207i اتوماتيک با موتور TU5P  کلاس 2 مشكي متاليك  شناسه خودرو  مبلغ پایه  قيمت برنده  جایگاه  NJ240213  5,250,000,000  6,097,500,000  325</t>
  </si>
  <si>
    <t>ردیف: 297  پژو 207i اتوماتيک با موتور TU5P  کلاس 2 مشكي متاليك  شناسه خودرو  مبلغ پایه  قيمت برنده  جایگاه  NJ241172  5,400,000,000  6,269,380,000  339</t>
  </si>
  <si>
    <t>ردیف: 304  پژو 207i اتوماتيک با موتور TU5P  کلاس 2 مشكي متاليك  شناسه خودرو  مبلغ پایه  قيمت برنده  جایگاه  NJ241638  5,400,000,000  5,750,000,000  346</t>
  </si>
  <si>
    <t>ردیف: 325  پژو 207i اتوماتيک با موتور TU5P  کلاس 2 مشكي متاليك  شناسه خودرو  مبلغ پایه  قيمت برنده  جایگاه  NJ240259  5,300,000,000  5,512,000,000  367</t>
  </si>
  <si>
    <t>ردیف: 333  پژو 207i اتوماتيک با موتور TU5P  کلاس 2 مشكي متاليك  شناسه خودرو  مبلغ پایه  قيمت برنده  جایگاه  NJ240723  5,450,000,000  5,572,000,000  375</t>
  </si>
  <si>
    <t>ردیف: 1  وانت آريسان دوگانه سوز كلاس 4 سفيد دو پوششه  شناسه خودرو  مبلغ پایه  قيمت برنده  جایگاه  LC103580  2,100,000,000  3,353,000,000  43</t>
  </si>
  <si>
    <t>ردیف: 6  وانت آريسان دوگانه سوز كلاس 4 سفيد دو پوششه  شناسه خودرو  مبلغ پایه  قيمت برنده  جایگاه  LC103545  2,100,000,000  2,625,999,899  48</t>
  </si>
  <si>
    <t>ردیف: 7  وانت آريسان دوگانه سوز كلاس 4 سفيد دو پوششه  شناسه خودرو  مبلغ پایه  قيمت برنده  جایگاه  LC104004  2,100,000,000  2,387,999,000  49</t>
  </si>
  <si>
    <t>ردیف: 22  وانت آريسان دوگانه سوز كلاس 4 سفيد دو پوششه  شناسه خودرو  مبلغ پایه  قيمت برنده  جایگاه  LC103775  2,100,000,000  2,359,999,999  64</t>
  </si>
  <si>
    <t>ردیف: 24  وانت آريسان دوگانه سوز كلاس 4 سفيد دو پوششه  شناسه خودرو  مبلغ پایه  قيمت برنده  جایگاه  LC103752  2,100,000,000  2,400,000,000  66</t>
  </si>
  <si>
    <t>ردیف: 25  وانت آريسان دوگانه سوز كلاس 4 سفيد دو پوششه  شناسه خودرو  مبلغ پایه  قيمت برنده  جایگاه  LC104059  2,100,000,000  2,412,345,678  67</t>
  </si>
  <si>
    <t>ردیف: 27  وانت آريسان دوگانه سوز كلاس 4 سفيد دو پوششه  شناسه خودرو  مبلغ پایه  قيمت برنده  جایگاه  LC104057  2,100,000,000  2,550,000,000  69</t>
  </si>
  <si>
    <t>ردیف: 31  وانت آريسان دوگانه سوز كلاس 4 سفيد دو پوششه  شناسه خودرو  مبلغ پایه  قيمت برنده  جایگاه  LC103540  2,100,000,000  2,467,999,000  73</t>
  </si>
  <si>
    <t>ردیف: 33  وانت آريسان دوگانه سوز كلاس 4 سفيد دو پوششه  شناسه خودرو  مبلغ پایه  قيمت برنده  جایگاه  LC104111  2,100,000,000  2,477,999,000  75</t>
  </si>
  <si>
    <t>ردیف: 35  وانت آريسان دوگانه سوز كلاس 4 سفيد دو پوششه  شناسه خودرو  مبلغ پایه  قيمت برنده  جایگاه  LC104088  2,100,000,000  2,511,212,127  77</t>
  </si>
  <si>
    <t>ردیف: 38  وانت آريسان دوگانه سوز كلاس 4 سفيد دو پوششه  شناسه خودرو  مبلغ پایه  قيمت برنده  جایگاه  LC104144  2,100,000,000  2,451,999,999  80</t>
  </si>
  <si>
    <t>ردیف: 39  وانت آريسان دوگانه سوز كلاس 4 سفيد دو پوششه  شناسه خودرو  مبلغ پایه  قيمت برنده  جایگاه  LC104147  2,100,000,000  2,540,000,000  81</t>
  </si>
  <si>
    <t>ردیف: 53  وانت آريسان دوگانه سوز كلاس 4 سفيد دو پوششه  شناسه خودرو  مبلغ پایه  قيمت برنده  جایگاه  LC103583  2,100,000,000  2,469,999,999  95</t>
  </si>
  <si>
    <t>ردیف: 60  وانت آريسان دوگانه سوز كلاس 4 سفيد دو پوششه  شناسه خودرو  مبلغ پایه  قيمت برنده  جایگاه  LC103728  2,100,000,000  2,679,999,999  102</t>
  </si>
  <si>
    <t>ردیف: 62  وانت آريسان دوگانه سوز كلاس 4 سفيد دو پوششه  شناسه خودرو  مبلغ پایه  قيمت برنده  جایگاه  LC103951  2,100,000,000  2,483,000,000  104</t>
  </si>
  <si>
    <t>ردیف: 68  وانت آريسان دوگانه سوز كلاس 4 سفيد دو پوششه  شناسه خودرو  مبلغ پایه  قيمت برنده  جایگاه  LC103552  2,100,000,000  2,419,999,999  110</t>
  </si>
  <si>
    <t>ردیف: 69  وانت آريسان دوگانه سوز كلاس 4 سفيد دو پوششه  شناسه خودرو  مبلغ پایه  قيمت برنده  جایگاه  LC103689  2,100,000,000  2,439,999,999  111</t>
  </si>
  <si>
    <t>ردیف: 89  وانت آريسان دوگانه سوز كلاس 4 سفيد دو پوششه  شناسه خودرو  مبلغ پایه  قيمت برنده  جایگاه  LC103574  2,100,000,000  2,515,000,000  131</t>
  </si>
  <si>
    <t>ردیف: 96  وانت آريسان دوگانه سوز كلاس 4 سفيد دو پوششه  شناسه خودرو  مبلغ پایه  قيمت برنده  جایگاه  LC103402  2,100,000,000  2,288,444,888  138</t>
  </si>
  <si>
    <t>ردیف: 99  وانت آريسان دوگانه سوز كلاس 4 سفيد دو پوششه  شناسه خودرو  مبلغ پایه  قيمت برنده  جایگاه  LC103753  2,100,000,000  2,558,800,000  141</t>
  </si>
  <si>
    <t>ردیف: 108  وانت آريسان دوگانه سوز كلاس 4 سفيد دو پوششه  شناسه خودرو  مبلغ پایه  قيمت برنده  جایگاه  LC103559  2,100,000,000  2,437,999,000  150</t>
  </si>
  <si>
    <t>ردیف: 116  وانت آريسان دوگانه سوز كلاس 4 سفيد دو پوششه  شناسه خودرو  مبلغ پایه  قيمت برنده  جایگاه  LC103712  2,100,000,000  2,523,000,000  158</t>
  </si>
  <si>
    <t>ردیف: 127  وانت آريسان دوگانه سوز كلاس 4 سفيد دو پوششه  شناسه خودرو  مبلغ پایه  قيمت برنده  جایگاه  LC104132  2,100,000,000  2,340,000,000  169</t>
  </si>
  <si>
    <t>ردیف: 130  وانت آريسان دوگانه سوز كلاس 4 سفيد دو پوششه  شناسه خودرو  مبلغ پایه  قيمت برنده  جایگاه  LC103562  2,100,000,000  2,223,470,000  172</t>
  </si>
  <si>
    <t>ردیف: 131  وانت آريسان دوگانه سوز كلاس 4 سفيد دو پوششه  شناسه خودرو  مبلغ پایه  قيمت برنده  جایگاه  LC103558  2,100,000,000  2,310,000,000  173</t>
  </si>
  <si>
    <t>ردیف: 133  وانت آريسان دوگانه سوز كلاس 4 سفيد دو پوششه  شناسه خودرو  مبلغ پایه  قيمت برنده  جایگاه  LC103790  2,100,000,000  2,572,513,900  175</t>
  </si>
  <si>
    <t>ردیف: 141  وانت آريسان دوگانه سوز كلاس 4 سفيد دو پوششه  شناسه خودرو  مبلغ پایه  قيمت برنده  جایگاه  LC103913  2,100,000,000  2,400,000,000  183</t>
  </si>
  <si>
    <t>ردیف: 186  وانت آريسان دوگانه سوز كلاس 4 سفيد دو پوششه  شناسه خودرو  مبلغ پایه  قيمت برنده  جایگاه  LC103755  2,100,000,000  2,542,000,000  228</t>
  </si>
  <si>
    <t>ردیف: 203  وانت آريسان دوگانه سوز كلاس 4 سفيد دو پوششه  شناسه خودرو  مبلغ پایه  قيمت برنده  جایگاه  LC103228  2,100,000,000  2,333,333,333  245</t>
  </si>
  <si>
    <t>ردیف: 205  وانت آريسان دوگانه سوز كلاس 4 سفيد دو پوششه  شناسه خودرو  مبلغ پایه  قيمت برنده  جایگاه  LC104078  2,100,000,000  2,547,999,000  247</t>
  </si>
  <si>
    <t>ردیف: 209  وانت آريسان دوگانه سوز كلاس 4 سفيد دو پوششه  شناسه خودرو  مبلغ پایه  قيمت برنده  جایگاه  LC103826  2,100,000,000  2,230,000,000  251</t>
  </si>
  <si>
    <t>ردیف: 385  پژو پارس TU5 كلاس20 سفيد دو پوششه  شناسه خودرو  مبلغ پایه  قيمت برنده  جایگاه  NK695358  4,200,000,000  4,941,500,000  429</t>
  </si>
  <si>
    <t>ردیف: 389  پژو پارس سال با موتور XU7 P کلاس 3 خاكستري متاليك  شناسه خودرو  مبلغ پایه  قيمت برنده  جایگاه  NK859589  3,750,000,000  4,232,168,527  433</t>
  </si>
  <si>
    <t>ردیف: 3  وانت آريسان دوگانه سوز كلاس 4 سفيد دو پوششه  شناسه خودرو  مبلغ پایه  قيمت برنده  جایگاه  LC103674  2,100,000,000  2,418,888,888  45</t>
  </si>
  <si>
    <t>ردیف: 65  وانت آريسان دوگانه سوز كلاس 4 سفيد دو پوششه  شناسه خودرو  مبلغ پایه  قيمت برنده  جایگاه  LC103974  2,100,000,000  2,515,000,000  107</t>
  </si>
  <si>
    <t>ردیف: 95  وانت آريسان دوگانه سوز كلاس 4 سفيد دو پوششه  شناسه خودرو  مبلغ پایه  قيمت برنده  جایگاه  LC103589  2,100,000,000  2,419,990,000  137</t>
  </si>
  <si>
    <t>ردیف: 106  وانت آريسان دوگانه سوز كلاس 4 سفيد دو پوششه  شناسه خودرو  مبلغ پایه  قيمت برنده  جایگاه  LC104101  2,100,000,000  2,487,999,000  148</t>
  </si>
  <si>
    <t>ردیف: 112  وانت آريسان دوگانه سوز كلاس 4 سفيد دو پوششه  شناسه خودرو  مبلغ پایه  قيمت برنده  جایگاه  LC103675  2,100,000,000  2,268,000,000  154</t>
  </si>
  <si>
    <t>ردیف: 128  وانت آريسان دوگانه سوز كلاس 4 سفيد دو پوششه  شناسه خودرو  مبلغ پایه  قيمت برنده  جایگاه  LC104045  2,100,000,000  2,305,555,555  170</t>
  </si>
  <si>
    <t>ردیف: 134  وانت آريسان دوگانه سوز كلاس 4 سفيد دو پوششه  شناسه خودرو  مبلغ پایه  قيمت برنده  جایگاه  LC103849  2,100,000,000  2,289,999,999  176</t>
  </si>
  <si>
    <t>ردیف: 145  وانت آريسان دوگانه سوز كلاس 4 سفيد دو پوششه  شناسه خودرو  مبلغ پایه  قيمت برنده  جایگاه  LC104066  2,100,000,000  2,511,212,127  187</t>
  </si>
  <si>
    <t>ردیف: 174  وانت آريسان دوگانه سوز كلاس 4 سفيد دو پوششه  شناسه خودرو  مبلغ پایه  قيمت برنده  جایگاه  LC103904  2,100,000,000  2,386,099,999  216</t>
  </si>
  <si>
    <t>ردیف: 200  وانت آريسان دوگانه سوز كلاس 4 سفيد دو پوششه  شناسه خودرو  مبلغ پایه  قيمت برنده  جایگاه  LC103847  2,100,000,000  2,410,000,000  242</t>
  </si>
  <si>
    <t>ردیف: 207  وانت آريسان دوگانه سوز كلاس 4 سفيد دو پوششه  شناسه خودرو  مبلغ پایه  قيمت برنده  جایگاه  LC104012  2,100,000,000  2,300,000,000  249</t>
  </si>
  <si>
    <t>ردیف: 227  پژو 206 معمولي كلاس 31 سفيد دو پوششه  شناسه خودرو  مبلغ پایه  قيمت برنده  جایگاه  NJ298189  3,420,000,000  4,280,000,000  269</t>
  </si>
  <si>
    <t>ردیف: 246  دنا كلاس17 سفيد دو پوششه  شناسه خودرو  مبلغ پایه  قيمت برنده  جایگاه  NE440623  4,500,000,000  5,366,666,666  288</t>
  </si>
  <si>
    <t>ردیف: 272  پژو 207i اتوماتيک با موتور TU5P  کلاس 2 مشكي متاليك  شناسه خودرو  مبلغ پایه  قيمت برنده  جایگاه  NJ246070  5,300,000,000  6,288,888,888  314</t>
  </si>
  <si>
    <t>ردیف: 312  پژو 207i اتوماتيک با موتور TU5P  کلاس 2 مشكي متاليك  شناسه خودرو  مبلغ پایه  قيمت برنده  جایگاه  NJ240933  5,450,000,000  6,510,000,000  354</t>
  </si>
  <si>
    <t>ردیف: 334  پژو 207i اتوماتيک با موتور TU5P  کلاس 2 مشكي متاليك  شناسه خودرو  مبلغ پایه  قيمت برنده  جایگاه  NJ240292  5,350,000,000  6,260,000,000  376</t>
  </si>
  <si>
    <t>ردیف: 9  وانت آريسان دوگانه سوز كلاس 4 سفيد دو پوششه  شناسه خودرو  مبلغ پایه  قيمت برنده  جایگاه  LC103705  2,100,000,000  2,605,999,999  51</t>
  </si>
  <si>
    <t>ردیف: 19  وانت آريسان دوگانه سوز كلاس 4 سفيد دو پوششه  شناسه خودرو  مبلغ پایه  قيمت برنده  جایگاه  LC103588  2,100,000,000  2,500,000,000  61</t>
  </si>
  <si>
    <t>ردیف: 29  وانت آريسان دوگانه سوز كلاس 4 سفيد دو پوششه  شناسه خودرو  مبلغ پایه  قيمت برنده  جایگاه  LC104017  2,100,000,000  2,467,999,000  71</t>
  </si>
  <si>
    <t>ردیف: 32  وانت آريسان دوگانه سوز كلاس 4 سفيد دو پوششه  شناسه خودرو  مبلغ پایه  قيمت برنده  جایگاه  LC103686  2,100,000,000  2,555,222,100  74</t>
  </si>
  <si>
    <t>ردیف: 37  وانت آريسان دوگانه سوز كلاس 4 سفيد دو پوششه  شناسه خودرو  مبلغ پایه  قيمت برنده  جایگاه  LC103620  2,100,000,000  2,458,000,000  79</t>
  </si>
  <si>
    <t>ردیف: 45  وانت آريسان دوگانه سوز كلاس 4 سفيد دو پوششه  شناسه خودرو  مبلغ پایه  قيمت برنده  جایگاه  LC103898  2,100,000,000  2,501,009,999  87</t>
  </si>
  <si>
    <t>ردیف: 50  وانت آريسان دوگانه سوز كلاس 4 سفيد دو پوششه  شناسه خودرو  مبلغ پایه  قيمت برنده  جایگاه  LC103716  2,100,000,000  2,423,000,000  92</t>
  </si>
  <si>
    <t>ردیف: 52  وانت آريسان دوگانه سوز كلاس 4 سفيد دو پوششه  شناسه خودرو  مبلغ پایه  قيمت برنده  جایگاه  LC103561  2,100,000,000  2,469,999,999  94</t>
  </si>
  <si>
    <t>ردیف: 103  وانت آريسان دوگانه سوز كلاس 4 سفيد دو پوششه  شناسه خودرو  مبلغ پایه  قيمت برنده  جایگاه  LC103634  2,100,000,000  2,328,800,000  145</t>
  </si>
  <si>
    <t>ردیف: 121  وانت آريسان دوگانه سوز كلاس 4 سفيد دو پوششه  شناسه خودرو  مبلغ پایه  قيمت برنده  جایگاه  LC103581  1,950,000,000  2,300,000,000  163</t>
  </si>
  <si>
    <t>ردیف: 139  وانت آريسان دوگانه سوز كلاس 4 سفيد دو پوششه  شناسه خودرو  مبلغ پایه  قيمت برنده  جایگاه  LC103770  2,100,000,000  2,380,001,000  181</t>
  </si>
  <si>
    <t>ردیف: 160  وانت آريسان دوگانه سوز كلاس 4 سفيد دو پوششه  شناسه خودرو  مبلغ پایه  قيمت برنده  جایگاه  LC104032  1,950,000,000  2,355,000,000  202</t>
  </si>
  <si>
    <t>ردیف: 164  وانت آريسان دوگانه سوز كلاس 4 سفيد دو پوششه  شناسه خودرو  مبلغ پایه  قيمت برنده  جایگاه  LC103596  2,100,000,000  2,130,000,000  206</t>
  </si>
  <si>
    <t>ردیف: 197  وانت آريسان دوگانه سوز كلاس 4 سفيد دو پوششه  شناسه خودرو  مبلغ پایه  قيمت برنده  جایگاه  LC103766  2,100,000,000  2,255,000,000  239</t>
  </si>
  <si>
    <t>ردیف: 198  وانت آريسان دوگانه سوز كلاس 4 سفيد دو پوششه  شناسه خودرو  مبلغ پایه  قيمت برنده  جایگاه  LC103719  2,100,000,000  2,265,480,000  240</t>
  </si>
  <si>
    <t>ردیف: 202  وانت آريسان دوگانه سوز كلاس 4 سفيد دو پوششه  شناسه خودرو  مبلغ پایه  قيمت برنده  جایگاه  LC103541  2,100,000,000  2,311,101,130  244</t>
  </si>
  <si>
    <t>ردیف: 204  وانت آريسان دوگانه سوز كلاس 4 سفيد دو پوششه  شناسه خودرو  مبلغ پایه  قيمت برنده  جایگاه  LC103563  2,100,000,000  2,271,100,000  246</t>
  </si>
  <si>
    <t>ردیف: 216  وانت آريسان دوگانه سوز كلاس 4 سفيد دو پوششه  شناسه خودرو  مبلغ پایه  قيمت برنده  جایگاه  LC103565  2,100,000,000  2,469,999,999  258</t>
  </si>
  <si>
    <t>ردیف: 217  وانت آريسان دوگانه سوز كلاس 4 سفيد دو پوششه  شناسه خودرو  مبلغ پایه  قيمت برنده  جایگاه  LC103995  2,100,000,000  2,358,900,000  259</t>
  </si>
  <si>
    <t>ردیف: 229  پژو 206 معمولي كلاس 31 سفيد دو پوششه  شناسه خودرو  مبلغ پایه  قيمت برنده  جایگاه  NJ298902  3,520,000,000  4,450,000,000  271</t>
  </si>
  <si>
    <t>ردیف: 262  پژو پارس سال با موتور XU7 P کلاس 1 سفيد دو پوششه  شناسه خودرو  مبلغ پایه  قيمت برنده  جایگاه  NH455895  3,500,000,000  4,109,876,543  304</t>
  </si>
  <si>
    <t>ردیف: 282  پژو 207i اتوماتيک با موتور TU5P  کلاس 2 مشكي متاليك  شناسه خودرو  مبلغ پایه  قيمت برنده  جایگاه  NJ240251  5,400,000,000  6,235,555,555  324</t>
  </si>
  <si>
    <t>ردیف: 301  پژو 207i اتوماتيک با موتور TU5P  کلاس 2 مشكي متاليك  شناسه خودرو  مبلغ پایه  قيمت برنده  جایگاه  NJ242894  5,450,000,000  6,780,000,000  343</t>
  </si>
  <si>
    <t>ردیف: 320  پژو 207i اتوماتيک با موتور TU5P  کلاس 2 سفيد دو پوششه  شناسه خودرو  مبلغ پایه  قيمت برنده  جایگاه  NJ242880  5,450,000,000  6,410,000,000  362</t>
  </si>
  <si>
    <t>ردیف: 335  پژو 207i اتوماتيک با موتور TU5P  کلاس 2 سفيد دو پوششه  شناسه خودرو  مبلغ پایه  قيمت برنده  جایگاه  NJ246302  5,300,000,000  6,100,111,000  377</t>
  </si>
  <si>
    <t>ردیف: 356  تارا اتوماتيک کلاس 1  مشكي متاليك (آبنوس)  شناسه خودرو  مبلغ پایه  قيمت برنده  جایگاه  MD920094  5,750,000,000  6,436,900,000  398</t>
  </si>
  <si>
    <t>ردیف: 365  پژو پارس TU5 کلاس 27 مشكي متاليك  شناسه خودرو  مبلغ پایه  قيمت برنده  جایگاه  NH871783  4,980,000,000  5,510,000,000  407</t>
  </si>
  <si>
    <t>ردیف: 379  پژو پارس TU5 كلاس20 سفيد دو پوششه  شناسه خودرو  مبلغ پایه  قيمت برنده  جایگاه  MH687651  3,850,000,000  4,395,550,000  423</t>
  </si>
  <si>
    <t>ردیف: 14  وانت آريسان دوگانه سوز كلاس 4 سفيد دو پوششه  شناسه خودرو  مبلغ پایه  قيمت برنده  جایگاه  LC103897  2,100,000,000  2,456,000,000  56</t>
  </si>
  <si>
    <t>ردیف: 78  وانت آريسان دوگانه سوز كلاس 4 سفيد دو پوششه  شناسه خودرو  مبلغ پایه  قيمت برنده  جایگاه  LC104009  1,900,000,000  2,300,000,009  120</t>
  </si>
  <si>
    <t>ردیف: 114  وانت آريسان دوگانه سوز كلاس 4 سفيد دو پوششه  شناسه خودرو  مبلغ پایه  قيمت برنده  جایگاه  LC103738  2,100,000,000  2,338,000,000  156</t>
  </si>
  <si>
    <t>ردیف: 118  وانت آريسان دوگانه سوز كلاس 4 سفيد دو پوششه  شناسه خودرو  مبلغ پایه  قيمت برنده  جایگاه  LC104228  2,100,000,000  2,300,000,100  160</t>
  </si>
  <si>
    <t>ردیف: 210  وانت آريسان دوگانه سوز كلاس 4 سفيد دو پوششه  شناسه خودرو  مبلغ پایه  قيمت برنده  جایگاه  LC103869  2,100,000,000  2,610,000,000  252</t>
  </si>
  <si>
    <t>ردیف: 285  پژو 207i اتوماتيک با موتور TU5P  کلاس 2 مشكي متاليك  شناسه خودرو  مبلغ پایه  قيمت برنده  جایگاه  NJ240562  5,200,000,000  6,021,777,777  327</t>
  </si>
  <si>
    <t>ردیف: 344  پژو 207i اتوماتيک با موتور TU5P  کلاس 2 مشكي متاليك  شناسه خودرو  مبلغ پایه  قيمت برنده  جایگاه  NJ240486  5,400,000,000  6,066,550,000  386</t>
  </si>
  <si>
    <t>ردیف: 381  پژو پارس سال با موتور XU7 P کلاس 1 سفيد دو پوششه  شناسه خودرو  مبلغ پایه  قيمت برنده  جایگاه  NH920971  3,600,000,000  4,308,900,000  425</t>
  </si>
  <si>
    <t>ردیف: 392  پژو پارس TU5 كلاس20 سفيد دو پوششه  شناسه خودرو  مبلغ پایه  قيمت برنده  جایگاه  NH214022  4,250,000,000  4,759,999,999  436</t>
  </si>
  <si>
    <t>ردیف: 395  پژو پارس سال با موتور XU7 P کلاس 1 سفيد دو پوششه  شناسه خودرو  مبلغ پایه  قيمت برنده  جایگاه  NH402934  3,520,000,000  3,915,141,414  439</t>
  </si>
  <si>
    <t>ردیف: 484  سمند LX  دوگانه سوز كلاس 17 سفيد دو پوششه  شناسه خودرو  مبلغ پایه  قيمت برنده  جایگاه  KF625007  2,700,000,000  3,965,051,000  588</t>
  </si>
  <si>
    <t>ردیف: 8  وانت آريسان دوگانه سوز كلاس 4 سفيد دو پوششه  شناسه خودرو  مبلغ پایه  قيمت برنده  جایگاه  LC103600  2,100,000,000  2,507,777,777  50</t>
  </si>
  <si>
    <t>ردیف: 43  وانت آريسان دوگانه سوز كلاس 4 سفيد دو پوششه  شناسه خودرو  مبلغ پایه  قيمت برنده  جایگاه  LC104028  2,100,000,000  2,403,000,000  85</t>
  </si>
  <si>
    <t>ردیف: 48  وانت آريسان دوگانه سوز كلاس 4 سفيد دو پوششه  شناسه خودرو  مبلغ پایه  قيمت برنده  جایگاه  LC103542  2,100,000,000  2,423,000,000  90</t>
  </si>
  <si>
    <t>ردیف: 55  وانت آريسان دوگانه سوز كلاس 4 سفيد دو پوششه  شناسه خودرو  مبلغ پایه  قيمت برنده  جایگاه  LC103646  2,100,000,000  2,433,000,000  97</t>
  </si>
  <si>
    <t>ردیف: 58  وانت آريسان دوگانه سوز كلاس 4 سفيد دو پوششه  شناسه خودرو  مبلغ پایه  قيمت برنده  جایگاه  LC103760  2,100,000,000  2,467,999,000  100</t>
  </si>
  <si>
    <t>ردیف: 94  وانت آريسان دوگانه سوز كلاس 4 سفيد دو پوششه  شناسه خودرو  مبلغ پایه  قيمت برنده  جایگاه  LC103326  2,100,000,000  2,321,000,223  136</t>
  </si>
  <si>
    <t>ردیف: 109  وانت آريسان دوگانه سوز كلاس 4 سفيد دو پوششه  شناسه خودرو  مبلغ پایه  قيمت برنده  جایگاه  LC103640  2,100,000,000  2,280,000,000  151</t>
  </si>
  <si>
    <t>ردیف: 252  سورن EF7 بنزيني کلاس 19 سفيد دوپوششه كانزاي  شناسه خودرو  مبلغ پایه  قيمت برنده  جایگاه  MF918184  3,320,000,000  4,111,000,000  294</t>
  </si>
  <si>
    <t>ردیف: 316  پژو 207i اتوماتيک با موتور TU5P  کلاس 2 مشكي متاليك  شناسه خودرو  مبلغ پایه  قيمت برنده  جایگاه  NJ240608  5,350,000,000  6,185,050,000  358</t>
  </si>
  <si>
    <t>ردیف: 360  پژو پارس TU5 کلاس 27 سفيد دو پوششه  شناسه خودرو  مبلغ پایه  قيمت برنده  جایگاه  NH216543  4,800,000,000  5,629,999,999  402</t>
  </si>
  <si>
    <t>ردیف: 367  پژو پارس TU5 كلاس20 سفيد دو پوششه  شناسه خودرو  مبلغ پایه  قيمت برنده  جایگاه  NH481606  4,200,000,000  4,967,999,000  409</t>
  </si>
  <si>
    <t>ردیف: 42  وانت آريسان دوگانه سوز كلاس 4 سفيد دو پوششه  شناسه خودرو  مبلغ پایه  قيمت برنده  جایگاه  LC103586  2,100,000,000  2,420,000,000  84</t>
  </si>
  <si>
    <t>ردیف: 73  وانت آريسان دوگانه سوز كلاس 4 سفيد دو پوششه  شناسه خودرو  مبلغ پایه  قيمت برنده  جایگاه  LC103884  2,100,000,000  2,400,055,555  115</t>
  </si>
  <si>
    <t>ردیف: 77  وانت آريسان دوگانه سوز كلاس 4 سفيد دو پوششه  شناسه خودرو  مبلغ پایه  قيمت برنده  جایگاه  LC103655  2,100,000,000  2,534,876,325  119</t>
  </si>
  <si>
    <t>ردیف: 166  وانت آريسان دوگانه سوز كلاس 4 سفيد دو پوششه  شناسه خودرو  مبلغ پایه  قيمت برنده  جایگاه  LC103696  2,100,000,000  2,521,000,000  208</t>
  </si>
  <si>
    <t>ردیف: 171  وانت آريسان دوگانه سوز كلاس 4 سفيد دو پوششه  شناسه خودرو  مبلغ پایه  قيمت برنده  جایگاه  LC104023  2,100,000,000  2,505,000,000  213</t>
  </si>
  <si>
    <t>ردیف: 191  وانت آريسان دوگانه سوز كلاس 4 سفيد دو پوششه  شناسه خودرو  مبلغ پایه  قيمت برنده  جایگاه  LC103551  2,100,000,000  2,399,999,999  233</t>
  </si>
  <si>
    <t>ردیف: 259  سورن EF7 بنزيني کلاس 23 سفيد دو پوششه  شناسه خودرو  مبلغ پایه  قيمت برنده  جایگاه  NF157427  3,680,000,000  4,141,111,111  301</t>
  </si>
  <si>
    <t>ردیف: 274  پژو 207i اتوماتيک با موتور TU5P  کلاس 2 مشكي متاليك  شناسه خودرو  مبلغ پایه  قيمت برنده  جایگاه  NJ241791  5,400,000,000  6,000,000,000  316</t>
  </si>
  <si>
    <t>ردیف: 330  پژو 207i اتوماتيک با موتور TU5P  کلاس 2 مشكي متاليك  شناسه خودرو  مبلغ پایه  قيمت برنده  جایگاه  NJ243571  5,300,000,000  6,057,777,777  372</t>
  </si>
  <si>
    <t>ردیف: 342  پژو 207i اتوماتيک با موتور TU5P  کلاس 2 سفيد دو پوششه  شناسه خودرو  مبلغ پایه  قيمت برنده  جایگاه  NJ240893  5,250,000,000  6,200,111,000  384</t>
  </si>
  <si>
    <t>ردیف: 364  پژو پارس TU5 کلاس 27 مشكي متاليك  شناسه خودرو  مبلغ پایه  قيمت برنده  جایگاه  NH879679  5,050,000,000  5,532,190,988  406</t>
  </si>
  <si>
    <t>ردیف: 136  وانت آريسان دوگانه سوز كلاس 4 سفيد دو پوششه  شناسه خودرو  مبلغ پایه  قيمت برنده  جایگاه  LC104076  2,100,000,000  2,487,999,999  178</t>
  </si>
  <si>
    <t>ردیف: 167  وانت آريسان دوگانه سوز كلاس 4 سفيد دو پوششه  شناسه خودرو  مبلغ پایه  قيمت برنده  جایگاه  LC103609  2,100,000,000  2,488,000,000  209</t>
  </si>
  <si>
    <t>ردیف: 170  وانت آريسان دوگانه سوز كلاس 4 سفيد دو پوششه  شناسه خودرو  مبلغ پایه  قيمت برنده  جایگاه  LC103909  2,100,000,000  2,300,999,999  212</t>
  </si>
  <si>
    <t>ردیف: 242  سورن EF7 بنزيني کلاس 19 سفيد دو پوششه  شناسه خودرو  مبلغ پایه  قيمت برنده  جایگاه  NF160789  3,570,000,000  4,629,750,000  284</t>
  </si>
  <si>
    <t>ردیف: 254  پژو 207i دستي كلاس 6 مشكي متاليك  شناسه خودرو  مبلغ پایه  قيمت برنده  جایگاه  NJ485106  4,400,000,000  5,431,000,000  296</t>
  </si>
  <si>
    <t>ردیف: 264  پژو پارس سال با موتور XU7 P کلاس 3 سفيد دو پوششه  شناسه خودرو  مبلغ پایه  قيمت برنده  جایگاه  NH402315  3,650,000,000  4,538,600,000  306</t>
  </si>
  <si>
    <t>ردیف: 307  پژو 207i اتوماتيک با موتور TU5P  کلاس 2 سفيد دو پوششه  شناسه خودرو  مبلغ پایه  قيمت برنده  جایگاه  NJ241034  5,400,000,000  6,128,888,888  349</t>
  </si>
  <si>
    <t>ردیف: 363  پژو پارس TU5 کلاس 27 مشكي متاليك  شناسه خودرو  مبلغ پایه  قيمت برنده  جایگاه  NH879661  5,000,000,000  5,385,555,555  405</t>
  </si>
  <si>
    <t>ردیف: 368  پژو پارس TU5 کلاس 27 سفيد دو پوششه  شناسه خودرو  مبلغ پایه  قيمت برنده  جایگاه  NH214013  4,880,000,000  5,520,009,999  410</t>
  </si>
  <si>
    <t>ردیف: 374  پژو پارس TU5 كلاس20 سفيد دو پوششه  شناسه خودرو  مبلغ پایه  قيمت برنده  جایگاه  NH877076  4,240,000,000  5,286,800,000  418</t>
  </si>
  <si>
    <t>ردیف: 406  رانا کلاس 15 خاكستري متاليك  شناسه خودرو  مبلغ پایه  قيمت برنده  جایگاه  NT376469  3,500,000,000  4,059,999,999  450</t>
  </si>
  <si>
    <t>ردیف: 483  سمند LX  دوگانه سوز كلاس 17 سفيد دو پوششه  شناسه خودرو  مبلغ پایه  قيمت برنده  جایگاه  KF625011  2,700,000,000  3,955,010,001  587</t>
  </si>
  <si>
    <t>ردیف: 83  وانت آريسان دوگانه سوز كلاس 4 سفيد دو پوششه  شناسه خودرو  مبلغ پایه  قيمت برنده  جایگاه  LC103661  2,100,000,000  2,463,999,000  125</t>
  </si>
  <si>
    <t>ردیف: 175  وانت آريسان دوگانه سوز كلاس 4 سفيد دو پوششه  شناسه خودرو  مبلغ پایه  قيمت برنده  جایگاه  LC103757  2,100,000,000  2,301,743,200  217</t>
  </si>
  <si>
    <t>ردیف: 245  دنا كلاس17 سفيد دو پوششه  شناسه خودرو  مبلغ پایه  قيمت برنده  جایگاه  NE440622  4,450,000,000  5,250,000,000  287</t>
  </si>
  <si>
    <t>ردیف: 331  پژو 207i اتوماتيک با موتور TU5P  کلاس 2 سفيد دو پوششه  شناسه خودرو  مبلغ پایه  قيمت برنده  جایگاه  NJ240073  5,350,000,000  6,100,111,000  373</t>
  </si>
  <si>
    <t>ردیف: 236  دنا پلاس اتوماتيك با موتور EF7_TC كلاس2 مشكي متاليك  شناسه خودرو  مبلغ پایه  قيمت برنده  جایگاه  NE548102  5,500,000,000  6,919,999,999  278</t>
  </si>
  <si>
    <t>ردیف: 514  پژو 207i اتوماتيک با موتور TU5P  کلاس 2 سفيد دو پوششه  شناسه خودرو  مبلغ پایه  قيمت برنده  جایگاه  NJ246454  4,100,000,000  5,880,000,000  624</t>
  </si>
  <si>
    <t>ردیف: 122  وانت آريسان دوگانه سوز كلاس 4 سفيد دو پوششه  شناسه خودرو  مبلغ پایه  قيمت برنده  جایگاه  LC103652  2,100,000,000  2,411,999,999  164</t>
  </si>
  <si>
    <t>ردیف: 168  وانت آريسان دوگانه سوز كلاس 4 سفيد دو پوششه  شناسه خودرو  مبلغ پایه  قيمت برنده  جایگاه  LC103611  2,100,000,000  2,469,000,000  210</t>
  </si>
  <si>
    <t>ردیف: 248  دنا كلاس17 سفيد دو پوششه  شناسه خودرو  مبلغ پایه  قيمت برنده  جایگاه  NE440620  4,500,000,000  5,156,758,000  290</t>
  </si>
  <si>
    <t>ردیف: 269  رانا پلاس با موتور TU5P و گيربکس 6 سرعته دستي کلاس 3 مشكي متاليك  شناسه خودرو  مبلغ پایه  قيمت برنده  جایگاه  NT341017  3,720,000,000  4,455,550,000  311</t>
  </si>
  <si>
    <t>ردیف: 359  پژو پارس TU5 کلاس 27 مشكي متاليك  شناسه خودرو  مبلغ پایه  قيمت برنده  جایگاه  NH871850  4,980,000,000  5,710,000,000  401</t>
  </si>
  <si>
    <t>ردیف: 241  سورن EF7 بنزيني کلاس 19 سفيد دوپوششه كانزاي  شناسه خودرو  مبلغ پایه  قيمت برنده  جایگاه  NF152963  3,420,000,000  4,144,444,444  283</t>
  </si>
  <si>
    <t>ردیف: 393  پژو پارس سال با موتور XU7 P کلاس 1 سفيد دو پوششه  شناسه خودرو  مبلغ پایه  قيمت برنده  جایگاه  NH440328  3,400,000,000    437</t>
  </si>
  <si>
    <t>ردیف: 263  پژو پارس سال با موتور XU7 P کلاس 3 سفيد دو پوششه  شناسه خودرو  مبلغ پایه  قيمت برنده  جایگاه  NH444939  3,500,000,000  3,856,666,666  305</t>
  </si>
  <si>
    <t>ردیف: 271  پژو پارس TU5 كلاس20 مشكي متاليك  شناسه خودرو  مبلغ پایه  قيمت برنده  جایگاه  NK697436  4,100,000,000  4,719,999,999  313</t>
  </si>
  <si>
    <t>ردیف: 427  وانت آريسان دوگانه سوز كلاس 4 سفيد دو پوششه  شناسه خودرو  مبلغ پایه  قيمت برنده  جایگاه  LC103910  1,950,000,000  2,495,222,000  524</t>
  </si>
  <si>
    <t>ردیف: 416  پژو پارس کلاس 42 خاكستري متاليك  شناسه خودرو  مبلغ پایه  قيمت برنده  جایگاه  NK901043  2,900,000,000  3,835,001,000  513</t>
  </si>
  <si>
    <t>ردیف: 386  پژو پارس سال با موتور XU7 P کلاس 1 سفيد دو پوششه  شناسه خودرو  مبلغ پایه  قيمت برنده  جایگاه  NK800811  3,600,000,000  4,209,660,000  430</t>
  </si>
  <si>
    <t>ردیف: 380  پژو پارس TU5 كلاس20 سفيد دو پوششه  شناسه خودرو  مبلغ پایه  قيمت برنده  جایگاه  NH868448  4,120,000,000    424</t>
  </si>
  <si>
    <t>ردیف: 428  وانت آريسان دوگانه سوز كلاس 4 سفيد دو پوششه  شناسه خودرو  مبلغ پایه  قيمت برنده  جایگاه  LC103768  1,950,000,000  2,376,777,777  525</t>
  </si>
  <si>
    <t>ردیف: 454  پژو  جي ال ايكس انژكتوري كلاس 37 نقره اي متاليك  شناسه خودرو  مبلغ پایه  قيمت برنده  جایگاه  KK253168  2,000,000,000  3,459,000,000  558</t>
  </si>
  <si>
    <t>ردیف: 456  پژو  جي ال ايكس انژكتوري كلاس 37 خاكستري متال  شناسه خودرو  مبلغ پایه  قيمت برنده  جایگاه  LK530026  2,400,000,000  3,749,000,000  560</t>
  </si>
  <si>
    <t>ردیف: 165  وانت آريسان دوگانه سوز كلاس 4 سفيد دو پوششه  شناسه خودرو  مبلغ پایه  قيمت برنده  جایگاه  LC103761  2,050,000,000  2,299,111,111  207</t>
  </si>
  <si>
    <t>ردیف: 194  وانت آريسان دوگانه سوز كلاس 4 سفيد دو پوششه  شناسه خودرو  مبلغ پایه  قيمت برنده  جایگاه  LC103785  2,100,000,000  2,407,777,777  236</t>
  </si>
  <si>
    <t>ردیف: 391  پژو پارس سال با موتور XU7 P کلاس 1 سفيد دو پوششه  شناسه خودرو  مبلغ پایه  قيمت برنده  جایگاه  MH860895  3,550,000,000  3,750,000,000  435</t>
  </si>
  <si>
    <t>ردیف: 426  وانت آريسان دوگانه سوز كلاس 4 سفيد دو پوششه  شناسه خودرو  مبلغ پایه  قيمت برنده  جایگاه  LC103704  1,950,000,000  2,550,999,999  523</t>
  </si>
  <si>
    <t>ردیف: 85  وانت آريسان دوگانه سوز كلاس 4 سفيد دو پوششه  شناسه خودرو  مبلغ پایه  قيمت برنده  جایگاه  LC103900  2,100,000,000  2,427,999,000  127</t>
  </si>
  <si>
    <t>ردیف: 265  پژو پارس سال با موتور XU7 P کلاس 1 سفيد دو پوششه  شناسه خودرو  مبلغ پایه  قيمت برنده  جایگاه  NH458454  3,400,000,000  3,865,959,564  307</t>
  </si>
  <si>
    <t>ردیف: 515  پژو 206 معمولي كلاس 31 سفيد دو پوششه  شناسه خودرو  مبلغ پایه  قيمت برنده  جایگاه  NJ303001  1,700,000,000  2,850,000,000  625</t>
  </si>
  <si>
    <t>ردیف: 516  پژو 206 معمولي كلاس 31 سفيد دو پوششه  شناسه خودرو  مبلغ پایه  قيمت برنده  جایگاه  NJ302926  1,750,000,000  2,490,000,000  626</t>
  </si>
  <si>
    <t>ردیف: 457  پژو  جي ال ايكس انژكتوري كلاس 37 نقره اي متاليك  شناسه خودرو  مبلغ پایه  قيمت برنده  جایگاه  LK532110  2,350,000,000  3,626,777,777  561</t>
  </si>
  <si>
    <t>ردیف: 425  وانت آريسان دوگانه سوز كلاس 4 سفيد دو پوششه  شناسه خودرو  مبلغ پایه  قيمت برنده  جایگاه  LC103780  1,950,000,000  2,456,000,000  522</t>
  </si>
  <si>
    <t>ردیف: 517  پژو 206 معمولي كلاس 31 سفيد دو پوششه  شناسه خودرو  مبلغ پایه  قيمت برنده  جایگاه  NJ303378  1,800,000,000  2,774,563,000  627</t>
  </si>
  <si>
    <t>ردیف: 481  سمند - ال ايكس کلاس 57 سفيد دو پوششه  شناسه خودرو  مبلغ پایه  قيمت برنده  جایگاه  MF844579  2,700,000,000  3,905,000,000  585</t>
  </si>
  <si>
    <t>ردیف: 518  پژو پارس TU5 كلاس20 مشكي متاليك  شناسه خودرو  مبلغ پایه  قيمت برنده  جایگاه  NK697625  3,250,000,000  4,319,999,999  628</t>
  </si>
  <si>
    <t>ردیف: 519  پژو پارس TU5 كلاس20 سفيد دو پوششه  شناسه خودرو  مبلغ پایه  قيمت برنده  جایگاه  NH480307  3,300,000,000  4,310,500,000  629</t>
  </si>
  <si>
    <t>ردیف: 523  سورن EF7 بنزيني کلاس 19 سفيد دو پوششه  شناسه خودرو  مبلغ پایه  قيمت برنده  جایگاه  NF231344  2,700,000,000    616</t>
  </si>
  <si>
    <t>ردیف: 527  پژو 206 معمولي كلاس 30 سفيد دو پوششه  شناسه خودرو  مبلغ پایه  قيمت برنده  جایگاه  JJ568898  2,800,000,000    620</t>
  </si>
  <si>
    <t>ردیف: 533  پژو پارس TU5 كلاس20 سفيد دو پوششه  شناسه خودرو  مبلغ پایه  قيمت برنده  جایگاه  NH879148  4,300,000,000    626</t>
  </si>
  <si>
    <t>ردیف: 535  پژو پارس TU5 كلاس 15 سفيد دو پوششه  شناسه خودرو  مبلغ پایه  قيمت برنده  جایگاه  JH564998  2,800,000,000    628</t>
  </si>
  <si>
    <t>ردیف: 545  پژو 207i دستي کلاس 10 نقره اي متاليك  شناسه خودرو  مبلغ پایه  قيمت برنده  جایگاه  MJ420134  4,000,000,000    638</t>
  </si>
  <si>
    <t>ردیف: 547  پژو 207i دستي کلاس 10 مشكي متاليك (آبنوس)  شناسه خودرو  مبلغ پایه  قيمت برنده  جایگاه  NJ354249  4,600,000,000    640</t>
  </si>
  <si>
    <t>ردیف: 549  پژو 207i دستي کلاس 10 مشكي متاليك  شناسه خودرو  مبلغ پایه  قيمت برنده  جایگاه  NJ276518  4,700,000,000    642</t>
  </si>
  <si>
    <t>ردیف: 565  سمند معمولي نقره اي متاليك  شناسه خودرو  مبلغ پایه  قيمت برنده  جایگاه  82229876  350,000,000    662</t>
  </si>
  <si>
    <t>ردیف: 566  دنا+ (پلاس) كلاس 1 سفيد دو پوششه  شناسه خودرو  مبلغ پایه  قيمت برنده  جایگاه  FE060002  400,000,000    663</t>
  </si>
  <si>
    <t>ردیف: 567  دنا+ (پلاس) كلاس 1 سفيد دو پوششه  شناسه خودرو  مبلغ پایه  قيمت برنده  جایگاه  FE060001  550,000,000    664</t>
  </si>
  <si>
    <t>ردیف: 568  دنا پلاس اتوماتيك با موتور EF7 كلاس 1 سفيد دو پوششه  شناسه خودرو  مبلغ پایه  قيمت برنده  جایگاه  JE010005  800,000,000    665</t>
  </si>
  <si>
    <t>ردیف: 569  دنا پلاس اتوماتيك با موتور EF7 كلاس 1 سفيد دو پوششه  شناسه خودرو  مبلغ پایه  قيمت برنده  جایگاه  JE010006  820,000,000    666</t>
  </si>
  <si>
    <t>ردیف: 570  دنا پلاس اتوماتيك با موتور EF7_TC كلاس 1 سفيد دو پوششه  شناسه خودرو  مبلغ پایه  قيمت برنده  جایگاه  JE015004  750,000,000    667</t>
  </si>
  <si>
    <t>ردیف: 571  دنا پلاس اتوماتيك با موتور EF7_TC كلاس 1 سفيد دو پوششه  شناسه خودرو  مبلغ پایه  قيمت برنده  جایگاه  JE015006  700,000,000    668</t>
  </si>
  <si>
    <t>ردیف: 572  دنا كلاس 2 سفيد دو پوششه  شناسه خودرو  مبلغ پایه  قيمت برنده  جایگاه  HE461600  680,000,000    669</t>
  </si>
  <si>
    <t>ردیف: 573  دنا كلاس 2 سفيد دو پوششه  شناسه خودرو  مبلغ پایه  قيمت برنده  جایگاه  HE461543  730,000,000    670</t>
  </si>
  <si>
    <t>پژو 207i اتوماتيك  كلاس 2 سفيد دو پوششه</t>
  </si>
  <si>
    <t>ردیف: 574  پژو 207i اتوماتيك  كلاس 2 سفيد دو پوششه  شناسه خودرو  مبلغ پایه  قيمت برنده  جایگاه  HJ476263  600,000,000    671</t>
  </si>
  <si>
    <t>ردیف: 575  پژو 207i اتوماتيك  كلاس 2 سفيد دو پوششه  شناسه خودرو  مبلغ پایه  قيمت برنده  جایگاه  HJ476264  600,000,000    672</t>
  </si>
  <si>
    <t>ردیف: 564  دنا كلاس 1 خاكستري متاليك  شناسه خودرو  مبلغ پایه  قيمت برنده  جایگاه  FE036932  3,000,000,000    661</t>
  </si>
  <si>
    <t>ردیف: 543  پژو جي ال ايكس دوگانه سوز كلاس 22 خاكستري متاليك  شناسه خودرو  مبلغ پایه  قيمت برنده  جایگاه  ER929373  1,800,000,000    636</t>
  </si>
  <si>
    <t>ردیف: 539  پژو پارس كلاس 13 خاكستري متاليك  شناسه خودرو  مبلغ پایه  قيمت برنده  جایگاه  DR647873  1,800,000,000    632</t>
  </si>
  <si>
    <t>ردیف: 517  هايماS7 توربو اتوماتيك كلاس 1 سفيد دو پوششه  شناسه خودرو  مبلغ پایه  قيمت برنده  جایگاه  JY713800  8,400,000,000    610</t>
  </si>
  <si>
    <t>ردیف: 553  دنا پلاس اتوماتيك با موتور EF7_TC كلاس2 مشكي متاليك  شناسه خودرو  مبلغ پایه  قيمت برنده  جایگاه  LE242046  5,350,000,000    650</t>
  </si>
  <si>
    <t>ردیف: 556  دنا پلاس اتوماتيك با موتور EF7_TC كلاس2 مشكي متاليك  شناسه خودرو  مبلغ پایه  قيمت برنده  جایگاه  LE240305  5,300,000,000    653</t>
  </si>
  <si>
    <t>ردیف: 526  پژو 206 معمولي كلاس 31 سفيد دو پوششه  شناسه خودرو  مبلغ پایه  قيمت برنده  جایگاه  LJ174107  3,350,000,000    619</t>
  </si>
  <si>
    <t>ردیف: 521  سورن EF7 بنزيني کلاس 19 سفيد دوپوششه كانزاي  شناسه خودرو  مبلغ پایه  قيمت برنده  جایگاه  MF919934  3,700,000,000    614</t>
  </si>
  <si>
    <t>ردیف: 554  دنا پلاس اتوماتيك با موتور EF7_TC كلاس2 مشكي متاليك  شناسه خودرو  مبلغ پایه  قيمت برنده  جایگاه  LE241367  5,300,000,000    651</t>
  </si>
  <si>
    <t>ردیف: 530  تارا دستي کلاس 1 خاكستري متاليك  شناسه خودرو  مبلغ پایه  قيمت برنده  جایگاه  MD910969  4,850,000,000    623</t>
  </si>
  <si>
    <t>ردیف: 562  دنا كلاس17 مشكي متاليك  شناسه خودرو  مبلغ پایه  قيمت برنده  جایگاه  ME320803  4,200,000,000    659</t>
  </si>
  <si>
    <t>ردیف: 532  پژو پارس TU5 كلاس20 سفيد دو پوششه  شناسه خودرو  مبلغ پایه  قيمت برنده  جایگاه  MH684254  4,200,000,000    625</t>
  </si>
  <si>
    <t>ردیف: 561  دنا كلاس17 خاكستري متاليك  شناسه خودرو  مبلغ پایه  قيمت برنده  جایگاه  ME325361  4,250,000,000    658</t>
  </si>
  <si>
    <t>ردیف: 560  دنا پلاس اتوماتيك با موتور EF7_TC كلاس2 سفيد دو پوششه  شناسه خودرو  مبلغ پایه  قيمت برنده  جایگاه  ME397750  5,700,000,000    657</t>
  </si>
  <si>
    <t>ردیف: 563  دنا كلاس17 سفيد دو پوششه  شناسه خودرو  مبلغ پایه  قيمت برنده  جایگاه  ME320911  4,100,000,000    660</t>
  </si>
  <si>
    <t>ردیف: 537  پژو پارس کلاس 42 خاكستري متاليك  شناسه خودرو  مبلغ پایه  قيمت برنده  جایگاه  MK079437  3,300,000,000    630</t>
  </si>
  <si>
    <t>ردیف: 486  رانا کلاس 15 سفيد دو پوششه  شناسه خودرو  مبلغ پایه  قيمت برنده  جایگاه  MT288839  3,150,000,000    576</t>
  </si>
  <si>
    <t>ردیف: 555  دنا پلاس اتوماتيك با موتور EF7_TC كلاس2 خاكستري متال  شناسه خودرو  مبلغ پایه  قيمت برنده  جایگاه  LE242778  5,350,000,000    652</t>
  </si>
  <si>
    <t>ردیف: 557  دنا پلاس اتوماتيك با موتور EF7_TC كلاس2 سفيد دوپوششه كانزاي  شناسه خودرو  مبلغ پایه  قيمت برنده  جایگاه  LE241235  5,270,000,000    654</t>
  </si>
  <si>
    <t>ردیف: 552  دنا پلاس اتوماتيك با موتور EF7_TC كلاس2 مشكي متاليك  شناسه خودرو  مبلغ پایه  قيمت برنده  جایگاه  NE484912  5,900,000,000    645</t>
  </si>
  <si>
    <t>ردیف: 534  پژو پارس TU5 كلاس20 مشكي متاليك  شناسه خودرو  مبلغ پایه  قيمت برنده  جایگاه  NH867176  4,400,000,000    627</t>
  </si>
  <si>
    <t>ردیف: 471  سورن EF7 بنزيني کلاس 19 سفيد دو پوششه  شناسه خودرو  مبلغ پایه  قيمت برنده  جایگاه  MF087684  3,650,000,000    558</t>
  </si>
  <si>
    <t>ردیف: 513  هايما S5 توربو اتوماتيک کلاس 1 مشكي متاليك  شناسه خودرو  مبلغ پایه  قيمت برنده  جایگاه  NY072795  9,550,000,000    606</t>
  </si>
  <si>
    <t>ردیف: 528  تارا دستي کلاس 1 سفيد دوپوششه كانزاي  شناسه خودرو  مبلغ پایه  قيمت برنده  جایگاه  ND930142  4,650,000,000    621</t>
  </si>
  <si>
    <t>ردیف: 145  سورن EF7 بنزيني کلاس 19 سفيد دو پوششه  شناسه خودرو  مبلغ پایه  قيمت برنده  جایگاه  MF083448  3,550,000,000    190</t>
  </si>
  <si>
    <t>ردیف: 538  پژو پارس کلاس 42 سفيد دوپوششه كانزاي  شناسه خودرو  مبلغ پایه  قيمت برنده  جایگاه  NK907009  3,600,000,000    631</t>
  </si>
  <si>
    <t>ردیف: 144  سورن EF7 بنزيني کلاس 19 سفيد دو پوششه  شناسه خودرو  مبلغ پایه  قيمت برنده  جایگاه  MF087282  3,570,000,000    188</t>
  </si>
  <si>
    <t>ردیف: 216  تارا دستي کلاس 1 مشكي متاليك (آبنوس)  شناسه خودرو  مبلغ پایه  قيمت برنده  جایگاه  ND934962  5,050,000,000    281</t>
  </si>
  <si>
    <t>ردیف: 184  سورن EF7 بنزيني کلاس 23 آبي كبود متاليك  شناسه خودرو  مبلغ پایه  قيمت برنده  جایگاه  NF159495  4,120,000,000    248</t>
  </si>
  <si>
    <t>ردیف: 143  سورن EF7 بنزيني کلاس 19 سفيد دوپوششه كانزاي  شناسه خودرو  مبلغ پایه  قيمت برنده  جایگاه  MF086127  3,550,000,000    187</t>
  </si>
  <si>
    <t>ردیف: 541  پژو پارس معمولي دوگانه سوز کلاس 21 سفيد دو پوششه  شناسه خودرو  مبلغ پایه  قيمت برنده  جایگاه  MK092109  4,100,000,000    634</t>
  </si>
  <si>
    <t>ردیف: 440  پژو پارس TU5 كلاس20 سفيد دو پوششه  شناسه خودرو  مبلغ پایه  قيمت برنده  جایگاه  NH869274  4,300,000,000    521</t>
  </si>
  <si>
    <t>ردیف: 540  پژو پارس سال با موتور XU7 P کلاس 3 سفيد دوپوششه كانزاي  شناسه خودرو  مبلغ پایه  قيمت برنده  جایگاه  NK462233  3,300,000,000    633</t>
  </si>
  <si>
    <t>ردیف: 467  سورن EF7 بنزيني کلاس 19 مشكي متاليك  شناسه خودرو  مبلغ پایه  قيمت برنده  جایگاه  MF914262  3,650,000,000    554</t>
  </si>
  <si>
    <t>ردیف: 559  دنا پلاس اتوماتيك با موتور EF7_TC كلاس2 سفيد دو پوششه  شناسه خودرو  مبلغ پایه  قيمت برنده  جایگاه  LE242105  5,250,000,000    656</t>
  </si>
  <si>
    <t>ردیف: 478  تارا اتوماتيک کلاس 1  مشكي متاليك  شناسه خودرو  مبلغ پایه  قيمت برنده  جایگاه  MD920018  5,700,000,000    565</t>
  </si>
  <si>
    <t>ردیف: 110  دنا پلاس اتوماتيك با موتور EF7_TC كلاس2 خاكستري متاليك  شناسه خودرو  مبلغ پایه  قيمت برنده  جایگاه  NE560457  6,270,000,000    152</t>
  </si>
  <si>
    <t>ردیف: 4  دنا پلاس توربو شارژ کلاس8 مشكي متاليك  شناسه خودرو  مبلغ پایه  قيمت برنده  جایگاه  NE491189  5,850,000,000    46</t>
  </si>
  <si>
    <t>ردیف: 5  دنا پلاس توربو شارژ کلاس 6 سفيد دوپوششه كانزاي  شناسه خودرو  مبلغ پایه  قيمت برنده  جایگاه  ME365802  5,650,000,000    47</t>
  </si>
  <si>
    <t>ردیف: 365  هايما S5 توربو اتوماتيک کلاس 1 مشكي متاليك  شناسه خودرو  مبلغ پایه  قيمت برنده  جایگاه  NY071406  10,000,000,000    432</t>
  </si>
  <si>
    <t>ردیف: 19  دنا پلاس توربو شارژ کلاس 6 سفيد دوپوششه كانزاي  شناسه خودرو  مبلغ پایه  قيمت برنده  جایگاه  ME365800  5,600,000,000    61</t>
  </si>
  <si>
    <t>ردیف: 124  رانا کلاس 15 سفيد دو پوششه  شناسه خودرو  مبلغ پایه  قيمت برنده  جایگاه  NT367137  3,720,000,000    166</t>
  </si>
  <si>
    <t>ردیف: 468  سورن EF7 بنزيني کلاس 19 سفيد دوپوششه كانزاي  شناسه خودرو  مبلغ پایه  قيمت برنده  جایگاه  MF084069  3,600,000,000    555</t>
  </si>
  <si>
    <t>ردیف: 466  سورن EF7 بنزيني کلاس 23 سفيد دو پوششه  شناسه خودرو  مبلغ پایه  قيمت برنده  جایگاه  NF150417  4,000,000,000    553</t>
  </si>
  <si>
    <t>ردیف: 174  سورن EF7 بنزيني کلاس 23 مشكي متاليك  شناسه خودرو  مبلغ پایه  قيمت برنده  جایگاه  NF160321  4,050,000,000    236</t>
  </si>
  <si>
    <t>ردیف: 155  سورن EF7 بنزيني کلاس 19 مشكي متاليك  شناسه خودرو  مبلغ پایه  قيمت برنده  جایگاه  NF152241  3,800,000,000    204</t>
  </si>
  <si>
    <t>ردیف: 464  پژو پارس TU5 كلاس20 سفيد دو پوششه  شناسه خودرو  مبلغ پایه  قيمت برنده  جایگاه  MH651594  4,150,000,000    545</t>
  </si>
  <si>
    <t>ردیف: 181  سورن EF7 بنزيني کلاس 23 سفيد دو پوششه  شناسه خودرو  مبلغ پایه  قيمت برنده  جایگاه  NF165104  4,050,000,000    245</t>
  </si>
  <si>
    <t>ردیف: 159  سورن EF7 بنزيني کلاس 22 سفيد دو پوششه  شناسه خودرو  مبلغ پایه  قيمت برنده  جایگاه  NF236299  4,200,000,000    214</t>
  </si>
  <si>
    <t>ردیف: 203  تارا اتوماتيک کلاس 1  سفيد دوپوششه كانزاي  شناسه خودرو  مبلغ پایه  قيمت برنده  جایگاه  ND941241  6,450,000,000    268</t>
  </si>
  <si>
    <t>ردیف: 156  سورن EF7 بنزيني کلاس 19 سفيد دوپوششه كانزاي  شناسه خودرو  مبلغ پایه  قيمت برنده  جایگاه  MF084823  3,630,000,000    207</t>
  </si>
  <si>
    <t>ردیف: 482  تارا اتوماتيک کلاس 1  خاكستري متاليك  شناسه خودرو  مبلغ پایه  قيمت برنده  جایگاه  MD920005  5,620,000,000    569</t>
  </si>
  <si>
    <t>ردیف: 153  سورن EF7 بنزيني کلاس 19 خاكستري متال  شناسه خودرو  مبلغ پایه  قيمت برنده  جایگاه  NF155729  3,850,000,000    202</t>
  </si>
  <si>
    <t>ردیف: 524  سورن EF7 بنزيني کلاس 21 سفيد دو پوششه  شناسه خودرو  مبلغ پایه  قيمت برنده  جایگاه  LF650634  3,000,000,000    617</t>
  </si>
  <si>
    <t>هايما S5 توربو اتوماتيك  کلاس 1 مشكي متاليك (آبنوس)</t>
  </si>
  <si>
    <t>ردیف: 500  هايما S5 توربو اتوماتيك  کلاس 1 مشكي متاليك (آبنوس)  شناسه خودرو  مبلغ پایه  قيمت برنده  جایگاه  MY030310  9,150,000,000    590</t>
  </si>
  <si>
    <t>ردیف: 137  سورن EF7 بنزيني کلاس 19 سفيد دو پوششه  شناسه خودرو  مبلغ پایه  قيمت برنده  جایگاه  NF150764  3,850,000,000    180</t>
  </si>
  <si>
    <t>ردیف: 172  سورن EF7 بنزيني کلاس 23 سفيد دو پوششه  شناسه خودرو  مبلغ پایه  قيمت برنده  جایگاه  NF164873  4,050,000,000    234</t>
  </si>
  <si>
    <t>ردیف: 131  سورن EF7 بنزيني کلاس 19 سفيد دو پوششه  شناسه خودرو  مبلغ پایه  قيمت برنده  جایگاه  MF086329  3,500,000,000    173</t>
  </si>
  <si>
    <t>ردیف: 475  تارا اتوماتيک کلاس 1  سفيد دو پوششه  شناسه خودرو  مبلغ پایه  قيمت برنده  جایگاه  MD920001  5,800,000,000    562</t>
  </si>
  <si>
    <t>ردیف: 529  تارا اتوماتيک کلاس 1  خاكستري متاليك  شناسه خودرو  مبلغ پایه  قيمت برنده  جایگاه  ND940344  6,250,000,000    622</t>
  </si>
  <si>
    <t>ردیف: 136  سورن EF7 بنزيني کلاس 19 مشكي متاليك  شناسه خودرو  مبلغ پایه  قيمت برنده  جایگاه  NF168811  3,850,000,000    179</t>
  </si>
  <si>
    <t>ردیف: 446  پژو پارس TU5 كلاس20 سفيد دو پوششه  شناسه خودرو  مبلغ پایه  قيمت برنده  جایگاه  LK022650  3,900,000,000    527</t>
  </si>
  <si>
    <t>ردیف: 515  هايماS7 توربو اتوماتيك كلاس2 مشكي متاليك  شناسه خودرو  مبلغ پایه  قيمت برنده  جایگاه  NY065480  10,800,000,000    608</t>
  </si>
  <si>
    <t>ردیف: 522  سورن EF7 بنزيني کلاس 19 سفيد دو پوششه  شناسه خودرو  مبلغ پایه  قيمت برنده  جایگاه  MF919343  3,750,000,000    615</t>
  </si>
  <si>
    <t>ردیف: 371  هايما S5 توربو اتوماتيک کلاس 1 مشكي متاليك  شناسه خودرو  مبلغ پایه  قيمت برنده  جایگاه  NY071408  10,000,000,000    438</t>
  </si>
  <si>
    <t>ردیف: 158  سورن EF7 بنزيني کلاس 22 سفيد دو پوششه  شناسه خودرو  مبلغ پایه  قيمت برنده  جایگاه  NF236197  4,250,000,000    213</t>
  </si>
  <si>
    <t>ردیف: 351  هايماS7 توربو اتوماتيك كلاس2 سفيد دو پوششه  شناسه خودرو  مبلغ پایه  قيمت برنده  جایگاه  NY060084  11,200,000,000    418</t>
  </si>
  <si>
    <t>ردیف: 189  تارا اتوماتيک کلاس 1  سفيد دو پوششه  شناسه خودرو  مبلغ پایه  قيمت برنده  جایگاه  MD920002  5,600,000,000    254</t>
  </si>
  <si>
    <t>ردیف: 516  هايماS7 توربو اتوماتيك كلاس2 مشكي متاليك  شناسه خودرو  مبلغ پایه  قيمت برنده  جایگاه  NY063002  10,800,000,000    609</t>
  </si>
  <si>
    <t>ردیف: 436  پژو پارس سال با موتور XU7 P کلاس 3 سفيد دو پوششه  شناسه خودرو  مبلغ پایه  قيمت برنده  جایگاه  NH403475  3,700,000,000    517</t>
  </si>
  <si>
    <t>ردیف: 506  پژو 206 1600 سي سي كلاس18 سفيد دو پوششه  شناسه خودرو  مبلغ پایه  قيمت برنده  جایگاه  KJ351501  3,400,000,000    596</t>
  </si>
  <si>
    <t>پژو 2008 اتوماتيك با موتورEP6  كلاس 1 قرمز ونيزي</t>
  </si>
  <si>
    <t>ردیف: 576  پژو 2008 اتوماتيك با موتورEP6  كلاس 1 قرمز ونيزي  شناسه خودرو  مبلغ پایه  قيمت برنده  جایگاه  JD013000  1,800,000,000    673</t>
  </si>
  <si>
    <t>تارا اتوماتيک کلاس 1  قهوه اي روشن متاليك</t>
  </si>
  <si>
    <t>ردیف: 476  تارا اتوماتيک کلاس 1  قهوه اي روشن متاليك  شناسه خودرو  مبلغ پایه  قيمت برنده  جایگاه  MD920021  6,000,000,000    563</t>
  </si>
  <si>
    <t>ردیف: 135  سورن EF7 بنزيني کلاس 19 سفيد دو پوششه  شناسه خودرو  مبلغ پایه  قيمت برنده  جایگاه  NF230091  3,800,000,000    178</t>
  </si>
  <si>
    <t>ردیف: 151  سورن EF7 بنزيني کلاس 19 سفيد دو پوششه  شناسه خودرو  مبلغ پایه  قيمت برنده  جایگاه  NF164902  3,850,000,000    199</t>
  </si>
  <si>
    <t>ردیف: 451  پژو پارس TU5 كلاس20 سفيد دو پوششه  شناسه خودرو  مبلغ پایه  قيمت برنده  جایگاه  NH866204  4,400,000,000    532</t>
  </si>
  <si>
    <t>ردیف: 514  هايما S5 توربو اتوماتيک کلاس 1 مشكي متاليك  شناسه خودرو  مبلغ پایه  قيمت برنده  جایگاه  NY073117  9,600,000,000    607</t>
  </si>
  <si>
    <t>ردیف: 138  سورن EF7 بنزيني کلاس 19 سفيد دو پوششه  شناسه خودرو  مبلغ پایه  قيمت برنده  جایگاه  NF159989  3,870,000,000    182</t>
  </si>
  <si>
    <t>ردیف: 211  تارا اتوماتيک کلاس 1  خاكستري متاليك  شناسه خودرو  مبلغ پایه  قيمت برنده  جایگاه  MD920055  6,050,000,000    276</t>
  </si>
  <si>
    <t>ردیف: 525  پژو 206 معمولي كلاس 31 سفيد دو پوششه  شناسه خودرو  مبلغ پایه  قيمت برنده  جایگاه  LJ176629  3,400,000,000    618</t>
  </si>
  <si>
    <t>ردیف: 166  سورن EF7 بنزيني کلاس 23 خاكستري متال  شناسه خودرو  مبلغ پایه  قيمت برنده  جایگاه  MF081376  3,800,000,000    224</t>
  </si>
  <si>
    <t>ردیف: 161  سورن EF7 بنزيني کلاس 22 سفيد دوپوششه كانزاي  شناسه خودرو  مبلغ پایه  قيمت برنده  جایگاه  NF232607  4,250,000,000    216</t>
  </si>
  <si>
    <t>ردیف: 470  سورن EF7 بنزيني کلاس 19 سفيد دو پوششه  شناسه خودرو  مبلغ پایه  قيمت برنده  جایگاه  MF080045  3,850,000,000    557</t>
  </si>
  <si>
    <t>ردیف: 485  تارا دستي کلاس 1 سفيد دو پوششه  شناسه خودرو  مبلغ پایه  قيمت برنده  جایگاه  MD910017  4,600,000,000    572</t>
  </si>
  <si>
    <t>ردیف: 361  هايما S5 توربو اتوماتيک کلاس 1 سفيد دوپوششه كانزاي  شناسه خودرو  مبلغ پایه  قيمت برنده  جایگاه  MY040003  9,330,000,000    428</t>
  </si>
  <si>
    <t>ردیف: 141  سورن EF7 بنزيني کلاس 19 سفيد دو پوششه  شناسه خودرو  مبلغ پایه  قيمت برنده  جایگاه  NF157269  3,800,000,000    185</t>
  </si>
  <si>
    <t>ردیف: 469  سورن EF7 بنزيني کلاس 19 سفيد دو پوششه  شناسه خودرو  مبلغ پایه  قيمت برنده  جایگاه  MF085722  3,750,000,000    556</t>
  </si>
  <si>
    <t>ردیف: 463  پژو پارس TU5 كلاس20 سفيد دو پوششه  شناسه خودرو  مبلغ پایه  قيمت برنده  جایگاه  NH480479  4,470,000,000    544</t>
  </si>
  <si>
    <t>ردیف: 149  سورن EF7 بنزيني کلاس 19 آبي كبود متاليك  شناسه خودرو  مبلغ پایه  قيمت برنده  جایگاه  NF153980  3,850,000,000    196</t>
  </si>
  <si>
    <t>ردیف: 187  سورن EF7 بنزيني کلاس 23 مشكي متاليك  شناسه خودرو  مبلغ پایه  قيمت برنده  جایگاه  NF152433  4,100,000,000    252</t>
  </si>
  <si>
    <t>تارا اتوماتيک کلاس 1  سرمه اي متال</t>
  </si>
  <si>
    <t>ردیف: 214  تارا اتوماتيک کلاس 1  سرمه اي متال  شناسه خودرو  مبلغ پایه  قيمت برنده  جایگاه  MD920066  6,050,000,000    279</t>
  </si>
  <si>
    <t>ردیف: 473  سورن EF7 بنزيني کلاس 19 خاكستري متال  شناسه خودرو  مبلغ پایه  قيمت برنده  جایگاه  MF083486  3,850,000,000    560</t>
  </si>
  <si>
    <t>ردیف: 372  هايما S5 توربو اتوماتيک کلاس 1 سفيد دوپوششه كانزاي  شناسه خودرو  مبلغ پایه  قيمت برنده  جایگاه  MY040001  9,350,000,000    439</t>
  </si>
  <si>
    <t>ردیف: 157  سورن EF7 بنزيني کلاس 19 آبي كبود متاليك  شناسه خودرو  مبلغ پایه  قيمت برنده  جایگاه  NF152435  3,900,000,000    212</t>
  </si>
  <si>
    <t>ردیف: 472  سورن EF7 بنزيني کلاس 23 آبي كبود متاليك  شناسه خودرو  مبلغ پایه  قيمت برنده  جایگاه  NF152566  4,050,000,000    559</t>
  </si>
  <si>
    <t>پژو 207i اتوماتيک با موتور TU5P  کلاس 1 سفيد دو پوششه</t>
  </si>
  <si>
    <t>ردیف: 255  پژو 207i اتوماتيک با موتور TU5P  کلاس 1 سفيد دو پوششه  شناسه خودرو  مبلغ پایه  قيمت برنده  جایگاه  MJ500008  6,200,000,000    320</t>
  </si>
  <si>
    <t>ردیف: 437  پژو پارس TU5 كلاس20 سفيد دو پوششه  شناسه خودرو  مبلغ پایه  قيمت برنده  جایگاه  NH417429  4,300,000,000    518</t>
  </si>
  <si>
    <t>ردیف: 200  تارا اتوماتيک کلاس 1  نقره اي متاليك  شناسه خودرو  مبلغ پایه  قيمت برنده  جایگاه  MD921267  6,200,000,000    265</t>
  </si>
  <si>
    <t>ردیف: 202  تارا اتوماتيک کلاس 1  سفيد دوپوششه كانزاي  شناسه خودرو  مبلغ پایه  قيمت برنده  جایگاه  ND940576  6,200,000,000    267</t>
  </si>
  <si>
    <t>ردیف: 353  هايماS7 توربو اتوماتيك كلاس2 خاكستري متاليك  شناسه خودرو  مبلغ پایه  قيمت برنده  جایگاه  NY061075  11,400,000,000    420</t>
  </si>
  <si>
    <t>ردیف: 511  هايما S5 توربو اتوماتيک کلاس 1 سفيد دو پوششه  شناسه خودرو  مبلغ پایه  قيمت برنده  جایگاه  NY072738  9,350,000,000    604</t>
  </si>
  <si>
    <t>ردیف: 512  هايما S5 توربو اتوماتيک کلاس 1 سفيد دو پوششه  شناسه خودرو  مبلغ پایه  قيمت برنده  جایگاه  NY072021  9,500,000,000    605</t>
  </si>
  <si>
    <t>ردیف: 183  سورن EF7 بنزيني کلاس 23 مشكي متاليك  شناسه خودرو  مبلغ پایه  قيمت برنده  جایگاه  MF081590  3,800,000,000    247</t>
  </si>
  <si>
    <t>ردیف: 30  دنا پلاس توربو شارژ کلاس 6 سفيد دوپوششه كانزاي  شناسه خودرو  مبلغ پایه  قيمت برنده  جایگاه  ME365801  5,700,000,000    72</t>
  </si>
  <si>
    <t>ردیف: 278  پژو 207i اتوماتيک با موتور TU5P  کلاس 1 سفيد دو پوششه  شناسه خودرو  مبلغ پایه  قيمت برنده  جایگاه  MJ500003  6,200,000,000    343</t>
  </si>
  <si>
    <t>ردیف: 460  پژو پارس TU5 كلاس20 سفيد دو پوششه  شناسه خودرو  مبلغ پایه  قيمت برنده  جایگاه  MH687978  4,250,000,000    541</t>
  </si>
  <si>
    <t>ردیف: 10  دنا پلاس توربو شارژ کلاس 6 سفيد دوپوششه كانزاي  شناسه خودرو  مبلغ پایه  قيمت برنده  جایگاه  ME365818  5,700,000,000    52</t>
  </si>
  <si>
    <t>ردیف: 21  دنا پلاس توربو شارژ کلاس 6 سفيد دو پوششه  شناسه خودرو  مبلغ پایه  قيمت برنده  جایگاه  ME365779  5,700,000,000    63</t>
  </si>
  <si>
    <t>ردیف: 242  پژو 207i اتوماتيک با موتور TU5P  کلاس 1 سفيد دو پوششه  شناسه خودرو  مبلغ پایه  قيمت برنده  جایگاه  MJ500025  6,200,000,000    307</t>
  </si>
  <si>
    <t>ردیف: 462  پژو پارس TU5 كلاس20 سفيد دو پوششه  شناسه خودرو  مبلغ پایه  قيمت برنده  جایگاه  NH210842  440,000,000    543</t>
  </si>
  <si>
    <t>ردیف: 445  پژو پارس TU5 كلاس20 سفيد دو پوششه  شناسه خودرو  مبلغ پایه  قيمت برنده  جایگاه  MH676259  4,300,000,000    526</t>
  </si>
  <si>
    <t>ردیف: 39  دنا پلاس توربو شارژ کلاس 6 سفيد دو پوششه  شناسه خودرو  مبلغ پایه  قيمت برنده  جایگاه  ME365789  5,700,000,000    81</t>
  </si>
  <si>
    <t>ردیف: 64  دنا پلاس توربو شارژ کلاس 6 سفيد دو پوششه  شناسه خودرو  مبلغ پایه  قيمت برنده  جایگاه  NE490432  5,900,000,000    106</t>
  </si>
  <si>
    <t>ردیف: 520  سورن EF7 بنزيني کلاس 16 سفيد دو پوششه  شناسه خودرو  مبلغ پایه  قيمت برنده  جایگاه  KF610006  3,450,000,000    613</t>
  </si>
  <si>
    <t>ردیف: 95  دنا پلاس توربو شارژ کلاس 6 سفيد دوپوششه كانزاي  شناسه خودرو  مبلغ پایه  قيمت برنده  جایگاه  NE490007  5,900,000,000    137</t>
  </si>
  <si>
    <t>ردیف: 551  پژو 207i اتوماتيک با موتور TU5P  کلاس 2 مشكي متاليك  شناسه خودرو  مبلغ پایه  قيمت برنده  جایگاه  NJ242212  5,300,000,000    644</t>
  </si>
  <si>
    <t>ردیف: 261  پژو 207i اتوماتيک با موتور TU5P  کلاس 1 سفيد دو پوششه  شناسه خودرو  مبلغ پایه  قيمت برنده  جایگاه  MJ500010  6,170,000,000    326</t>
  </si>
  <si>
    <t>ردیف: 152  سورن EF7 بنزيني کلاس 24 سفيد دوپوششه كانزاي  شناسه خودرو  مبلغ پایه  قيمت برنده  جایگاه  NF244659  3,850,000,000    200</t>
  </si>
  <si>
    <t>ردیف: 46  دنا پلاس توربو شارژ کلاس 6 سفيد دو پوششه  شناسه خودرو  مبلغ پایه  قيمت برنده  جایگاه  NE490217  5,850,000,000    88</t>
  </si>
  <si>
    <t>ردیف: 257  پژو 207i اتوماتيک با موتور TU5P  کلاس 1 سفيد دو پوششه  شناسه خودرو  مبلغ پایه  قيمت برنده  جایگاه  MJ500027  6,200,000,000    322</t>
  </si>
  <si>
    <t>ردیف: 207  تارا اتوماتيک کلاس 1  خاكستري متاليك  شناسه خودرو  مبلغ پایه  قيمت برنده  جایگاه  ND942299  6,420,000,000    272</t>
  </si>
  <si>
    <t>ردیف: 279  پژو 207i اتوماتيک با موتور TU5P  کلاس 1 سفيد دو پوششه  شناسه خودرو  مبلغ پایه  قيمت برنده  جایگاه  MJ500018  6,200,000,000    344</t>
  </si>
  <si>
    <t>ردیف: 367  هايما S5 توربو اتوماتيک کلاس 1 مشكي متاليك  شناسه خودرو  مبلغ پایه  قيمت برنده  جایگاه  NY074012  9,800,000,000    434</t>
  </si>
  <si>
    <t>ردیف: 273  پژو 207i اتوماتيک با موتور TU5P  کلاس 1 سفيد دو پوششه  شناسه خودرو  مبلغ پایه  قيمت برنده  جایگاه  MJ500006  6,200,000,000    338</t>
  </si>
  <si>
    <t>ردیف: 465  سورن EF7 بنزيني کلاس 23 سفيد دوپوششه كانزاي  شناسه خودرو  مبلغ پایه  قيمت برنده  جایگاه  NF151720  4,150,000,000    552</t>
  </si>
  <si>
    <t>ردیف: 247  پژو 207i اتوماتيک با موتور TU5P  کلاس 1 سفيد دو پوششه  شناسه خودرو  مبلغ پایه  قيمت برنده  جایگاه  MJ500013  6,200,000,000    312</t>
  </si>
  <si>
    <t>ردیف: 531  پژو پارس TU5 كلاس20 سفيد دو پوششه  شناسه خودرو  مبلغ پایه  قيمت برنده  جایگاه  NH482038  4,250,000,000    624</t>
  </si>
  <si>
    <t>ردیف: 384  پژو 207i اتوماتيک با موتور TU5P  کلاس 2 سفيد دو پوششه  شناسه خودرو  مبلغ پایه  قيمت برنده  جایگاه  NJ240161  5,700,000,000    451</t>
  </si>
  <si>
    <t>ردیف: 40  دنا پلاس توربو شارژ کلاس 6 سفيد دو پوششه  شناسه خودرو  مبلغ پایه  قيمت برنده  جایگاه  ME365790  5,700,000,000    82</t>
  </si>
  <si>
    <t>ردیف: 154  سورن EF7 بنزيني کلاس 24 سفيد دو پوششه  شناسه خودرو  مبلغ پایه  قيمت برنده  جایگاه  NF240234  3,850,000,000    203</t>
  </si>
  <si>
    <t>ردیف: 248  پژو 207i اتوماتيک با موتور TU5P  کلاس 1 سفيد دو پوششه  شناسه خودرو  مبلغ پایه  قيمت برنده  جایگاه  MJ500028  6,200,000,000    313</t>
  </si>
  <si>
    <t>ردیف: 111  دنا پلاس اتوماتيك با موتور EF7_TC كلاس2 مشكي متاليك  شناسه خودرو  مبلغ پایه  قيمت برنده  جایگاه  ME399999  6,120,000,000    153</t>
  </si>
  <si>
    <t>ردیف: 285  پژو 207i اتوماتيک با موتور TU5P  کلاس 1 سفيد دو پوششه  شناسه خودرو  مبلغ پایه  قيمت برنده  جایگاه  MJ500048  6,200,000,000    350</t>
  </si>
  <si>
    <t>ردیف: 213  تارا اتوماتيک کلاس 4 سفيد دو پوششه  شناسه خودرو  مبلغ پایه  قيمت برنده  جایگاه  MD920306  6,200,000,000    278</t>
  </si>
  <si>
    <t>ردیف: 147  سورن EF7 بنزيني کلاس 19 سفيد دو پوششه  شناسه خودرو  مبلغ پایه  قيمت برنده  جایگاه  NF160791  3,800,000,000    193</t>
  </si>
  <si>
    <t>ردیف: 97  دنا پلاس توربو شارژ کلاس 6 سفيد دوپوششه كانزاي  شناسه خودرو  مبلغ پایه  قيمت برنده  جایگاه  NE490009  5,950,000,000    139</t>
  </si>
  <si>
    <t>ردیف: 282  پژو 207i اتوماتيک با موتور TU5P  کلاس 1 سفيد دو پوششه  شناسه خودرو  مبلغ پایه  قيمت برنده  جایگاه  MJ500047  6,200,000,000    347</t>
  </si>
  <si>
    <t>ردیف: 275  پژو 207i اتوماتيک با موتور TU5P  کلاس 1 سفيد دو پوششه  شناسه خودرو  مبلغ پایه  قيمت برنده  جایگاه  MJ500050  6,200,000,000    340</t>
  </si>
  <si>
    <t>ردیف: 286  پژو 207i اتوماتيک با موتور TU5P  کلاس 1 سفيد دو پوششه  شناسه خودرو  مبلغ پایه  قيمت برنده  جایگاه  MJ500007  6,200,000,000    351</t>
  </si>
  <si>
    <t>ردیف: 268  پژو 207i اتوماتيک با موتور TU5P  کلاس 1 سفيد دو پوششه  شناسه خودرو  مبلغ پایه  قيمت برنده  جایگاه  MJ500019  6,200,000,000    333</t>
  </si>
  <si>
    <t>ردیف: 31  دنا پلاس توربو شارژ کلاس 6 سفيد دو پوششه  شناسه خودرو  مبلغ پایه  قيمت برنده  جایگاه  ME365784  5,650,000,000    73</t>
  </si>
  <si>
    <t>ردیف: 62  دنا پلاس توربو شارژ کلاس 6 سفيد دوپوششه كانزاي  شناسه خودرو  مبلغ پایه  قيمت برنده  جایگاه  NE490014  5,900,000,000    104</t>
  </si>
  <si>
    <t>ردیف: 188  تارا اتوماتيک کلاس 1  مشكي متاليك  شناسه خودرو  مبلغ پایه  قيمت برنده  جایگاه  MD920003  5,650,000,000    253</t>
  </si>
  <si>
    <t>ردیف: 244  پژو 207i اتوماتيک با موتور TU5P  کلاس 1 سفيد دو پوششه  شناسه خودرو  مبلغ پایه  قيمت برنده  جایگاه  MJ500015  6,200,000,000    309</t>
  </si>
  <si>
    <t>ردیف: 108  دنا پلاس توربو شارژ کلاس 6 سفيد دوپوششه كانزاي  شناسه خودرو  مبلغ پایه  قيمت برنده  جایگاه  NE491381  5,950,000,000    150</t>
  </si>
  <si>
    <t>ردیف: 403  پژو 207i اتوماتيک با موتور TU5P  کلاس 2 سفيد دو پوششه  شناسه خودرو  مبلغ پایه  قيمت برنده  جایگاه  NJ240939  5,700,000,000    470</t>
  </si>
  <si>
    <t>ردیف: 430  پژو پارس سال با موتور XU7 P کلاس 1 مشكي متاليك  شناسه خودرو  مبلغ پایه  قيمت برنده  جایگاه  NK801146  2,500,000,000    507</t>
  </si>
  <si>
    <t>ردیف: 431  پژو پارس سال با موتور XU7 P کلاس 1 مشكي متاليك  شناسه خودرو  مبلغ پایه  قيمت برنده  جایگاه  NK802765  2,500,000,000    508</t>
  </si>
  <si>
    <t>ردیف: 432  پژو پارس سال با موتور XU7 P کلاس 1 مشكي متاليك  شناسه خودرو  مبلغ پایه  قيمت برنده  جایگاه  NK801177  2,500,000,000    509</t>
  </si>
  <si>
    <t>ردیف: 434  پژو پارس سال با موتور XU7 P کلاس 3 سفيد دو پوششه  شناسه خودرو  مبلغ پایه  قيمت برنده  جایگاه  NH442784  2,900,000,000    513</t>
  </si>
  <si>
    <t>ردیف: 435  پژو پارس سال با موتور XU7 P کلاس 3 سفيد دو پوششه  شناسه خودرو  مبلغ پایه  قيمت برنده  جایگاه  NK806984  3,400,000,000    515</t>
  </si>
  <si>
    <t>ردیف: 474  سورن +(پلاس) دوگانه سوز كلاس 5 سفيد دو پوششه  شناسه خودرو  مبلغ پایه  قيمت برنده  جایگاه  NF212866  3,500,000,000    561</t>
  </si>
  <si>
    <t>ردیف: 501  هايماS7 توربو اتوماتيك كلاس2 سفيد دو پوششه  شناسه خودرو  مبلغ پایه  قيمت برنده  جایگاه  MY051057  10,900,000,000    591</t>
  </si>
  <si>
    <t>ردیف: 503  پژو 207i اتوماتيک با موتور TU5P  کلاس 2 سفيد دو پوششه  شناسه خودرو  مبلغ پایه  قيمت برنده  جایگاه  NJ240143  5,000,000,000    593</t>
  </si>
  <si>
    <t>ردیف: 507  رانا کلاس 15 سفيد دو پوششه  شناسه خودرو  مبلغ پایه  قيمت برنده  جایگاه  NT378812  2,500,000,000    597</t>
  </si>
  <si>
    <t>ردیف: 336  پژو 207i دستي کلاس 10 مشكي متاليك (آبنوس)  شناسه خودرو  مبلغ پایه  قيمت برنده  جایگاه  NJ354338  5,300,000,000    401</t>
  </si>
  <si>
    <t>ردیف: 498  دنا پلاس اتوماتيك با موتور EF7_TC كلاس2 سفيد دوپوششه كانزاي  شناسه خودرو  مبلغ پایه  قيمت برنده  جایگاه  NE713162  6,200,000,000    588</t>
  </si>
  <si>
    <t>ردیف: 13  دنا پلاس توربو شارژ کلاس 6 سفيد دوپوششه كانزاي  شناسه خودرو  مبلغ پایه  قيمت برنده  جایگاه  ME365798  5,700,000,000    55</t>
  </si>
  <si>
    <t>ردیف: 71  دنا پلاس توربو شارژ کلاس 6 مشكي متاليك  شناسه خودرو  مبلغ پایه  قيمت برنده  جایگاه  NE490647  5,900,000,000    113</t>
  </si>
  <si>
    <t>ردیف: 393  پژو 207i اتوماتيک با موتور TU5P  کلاس 2 مشكي متاليك  شناسه خودرو  مبلغ پایه  قيمت برنده  جایگاه  MJ500074  5,450,000,000    460</t>
  </si>
  <si>
    <t>ردیف: 9  دنا پلاس توربو شارژ کلاس 6 سفيد دوپوششه كانزاي  شناسه خودرو  مبلغ پایه  قيمت برنده  جایگاه  ME365791  5,650,000,000    51</t>
  </si>
  <si>
    <t>ردیف: 53  دنا پلاس توربو شارژ کلاس 6 مشكي متاليك  شناسه خودرو  مبلغ پایه  قيمت برنده  جایگاه  NE490522  5,950,000,000    95</t>
  </si>
  <si>
    <t>ردیف: 364  هايما S5 توربو اتوماتيک کلاس 1 خاكستري متاليك  شناسه خودرو  مبلغ پایه  قيمت برنده  جایگاه  NY073771  10,000,000,000    431</t>
  </si>
  <si>
    <t>ردیف: 11  دنا پلاس توربو شارژ کلاس 6 سفيد دو پوششه  شناسه خودرو  مبلغ پایه  قيمت برنده  جایگاه  ME365783  5,650,000,000    53</t>
  </si>
  <si>
    <t>ردیف: 89  دنا پلاس توربو شارژ کلاس 6 مشكي متاليك  شناسه خودرو  مبلغ پایه  قيمت برنده  جایگاه  NE490970  5,900,000,000    131</t>
  </si>
  <si>
    <t>ردیف: 208  تارا اتوماتيک کلاس 4 سفيد دو پوششه  شناسه خودرو  مبلغ پایه  قيمت برنده  جایگاه  MD920307  6,100,000,000    273</t>
  </si>
  <si>
    <t>ردیف: 251  پژو 207i اتوماتيک با موتور TU5P  کلاس 1 سفيد دو پوششه  شناسه خودرو  مبلغ پایه  قيمت برنده  جایگاه  MJ500005  6,150,000,000    316</t>
  </si>
  <si>
    <t>ردیف: 266  پژو 207i اتوماتيک با موتور TU5P  کلاس 1 سفيد دو پوششه  شناسه خودرو  مبلغ پایه  قيمت برنده  جایگاه  MJ500034  6,150,000,000    331</t>
  </si>
  <si>
    <t>ردیف: 133  سورن EF7 بنزيني کلاس 19 سفيد دو پوششه  شناسه خودرو  مبلغ پایه  قيمت برنده  جایگاه  NF242170  3,850,000,000    176</t>
  </si>
  <si>
    <t>ردیف: 38  دنا پلاس توربو شارژ کلاس 6 سفيد دو پوششه  شناسه خودرو  مبلغ پایه  قيمت برنده  جایگاه  ME365780  5,700,000,000    80</t>
  </si>
  <si>
    <t>ردیف: 72  دنا پلاس توربو شارژ کلاس 6 خاكستري متاليك  شناسه خودرو  مبلغ پایه  قيمت برنده  جایگاه  NE490738  5,900,000,000    114</t>
  </si>
  <si>
    <t>ردیف: 287  پژو 207i اتوماتيک با موتور TU5P  کلاس 1 سفيد دو پوششه  شناسه خودرو  مبلغ پایه  قيمت برنده  جایگاه  MJ500045  6,200,000,000    352</t>
  </si>
  <si>
    <t>ردیف: 93  دنا پلاس توربو شارژ کلاس 6 مشكي متاليك  شناسه خودرو  مبلغ پایه  قيمت برنده  جایگاه  NE490805  5,950,000,000    135</t>
  </si>
  <si>
    <t>ردیف: 41  دنا پلاس توربو شارژ کلاس 6 سفيد دو پوششه  شناسه خودرو  مبلغ پایه  قيمت برنده  جایگاه  ME365788  5,700,000,000    83</t>
  </si>
  <si>
    <t>ردیف: 37  دنا پلاس توربو شارژ کلاس 6 سفيد دو پوششه  شناسه خودرو  مبلغ پایه  قيمت برنده  جایگاه  ME365786  5,650,000,000    79</t>
  </si>
  <si>
    <t>ردیف: 65  دنا پلاس توربو شارژ کلاس 6 خاكستري متاليك  شناسه خودرو  مبلغ پایه  قيمت برنده  جایگاه  NE490663  5,900,000,000    107</t>
  </si>
  <si>
    <t>ردیف: 74  دنا پلاس توربو شارژ کلاس 6 مشكي متاليك  شناسه خودرو  مبلغ پایه  قيمت برنده  جایگاه  NE490626  5,900,000,000    116</t>
  </si>
  <si>
    <t>ردیف: 276  پژو 207i اتوماتيک با موتور TU5P  کلاس 1 سفيد دو پوششه  شناسه خودرو  مبلغ پایه  قيمت برنده  جایگاه  MJ500026  6,200,000,000    341</t>
  </si>
  <si>
    <t>ردیف: 113  دنا پلاس اتوماتيك با موتور EF7_TC كلاس2 سفيد دوپوششه كانزاي  شناسه خودرو  مبلغ پایه  قيمت برنده  جایگاه  NE718150  6,300,000,000    155</t>
  </si>
  <si>
    <t>ردیف: 252  پژو 207i اتوماتيک با موتور TU5P  کلاس 1 سفيد دو پوششه  شناسه خودرو  مبلغ پایه  قيمت برنده  جایگاه  MJ500017  6,200,000,000    317</t>
  </si>
  <si>
    <t>ردیف: 271  پژو 207i اتوماتيک با موتور TU5P  کلاس 1 سفيد دو پوششه  شناسه خودرو  مبلغ پایه  قيمت برنده  جایگاه  MJ500049  6,200,000,000    336</t>
  </si>
  <si>
    <t>ردیف: 281  پژو 207i اتوماتيک با موتور TU5P  کلاس 1 سفيد دو پوششه  شناسه خودرو  مبلغ پایه  قيمت برنده  جایگاه  MJ500024  6,200,000,000    346</t>
  </si>
  <si>
    <t>پژو 207i اتوماتيک با موتور TU5P  کلاس 3 سفيد دو پوششه</t>
  </si>
  <si>
    <t>ردیف: 298  پژو 207i اتوماتيک با موتور TU5P  کلاس 3 سفيد دو پوششه  شناسه خودرو  مبلغ پایه  قيمت برنده  جایگاه  NJ240513  5,900,000,000    363</t>
  </si>
  <si>
    <t>ردیف: 341  پژو 207i دستي کلاس 12 سفيد دو پوششه  شناسه خودرو  مبلغ پایه  قيمت برنده  جایگاه  NJ507149  5,300,000,000    406</t>
  </si>
  <si>
    <t>ردیف: 8  دنا پلاس توربو شارژ کلاس 6 سفيد دوپوششه كانزاي  شناسه خودرو  مبلغ پایه  قيمت برنده  جایگاه  ME365819  5,670,000,000    50</t>
  </si>
  <si>
    <t>ردیف: 50  دنا پلاس توربو شارژ کلاس 6 مشكي متاليك  شناسه خودرو  مبلغ پایه  قيمت برنده  جایگاه  NE490931  5,900,000,000    92</t>
  </si>
  <si>
    <t>ردیف: 34  دنا پلاس توربو شارژ کلاس 6 سفيد دوپوششه كانزاي  شناسه خودرو  مبلغ پایه  قيمت برنده  جایگاه  ME365820  5,650,000,000    76</t>
  </si>
  <si>
    <t>ردیف: 180  سورن EF7 بنزيني کلاس 23 سفيد دو پوششه  شناسه خودرو  مبلغ پایه  قيمت برنده  جایگاه  NF157867  4,070,000,000    243</t>
  </si>
  <si>
    <t>ردیف: 269  پژو 207i اتوماتيک با موتور TU5P  کلاس 1 سفيد دو پوششه  شناسه خودرو  مبلغ پایه  قيمت برنده  جایگاه  MJ500016  6,200,000,000    334</t>
  </si>
  <si>
    <t>ردیف: 495  دنا پلاس توربو شارژ کلاس 6 خاكستري متاليك  شناسه خودرو  مبلغ پایه  قيمت برنده  جایگاه  NE490746  5,550,000,000    585</t>
  </si>
  <si>
    <t>ردیف: 260  پژو 207i اتوماتيک با موتور TU5P  کلاس 1 سفيد دو پوششه  شناسه خودرو  مبلغ پایه  قيمت برنده  جایگاه  MJ500011  6,200,000,000    325</t>
  </si>
  <si>
    <t>ردیف: 288  پژو 207i اتوماتيک با موتور TU5P  کلاس 1 سفيد دو پوششه  شناسه خودرو  مبلغ پایه  قيمت برنده  جایگاه  MJ500037  6,200,000,000    353</t>
  </si>
  <si>
    <t>ردیف: 150  سورن EF7 بنزيني کلاس 19 سفيد دو پوششه  شناسه خودرو  مبلغ پایه  قيمت برنده  جایگاه  NF153011  3,850,000,000    197</t>
  </si>
  <si>
    <t>ردیف: 20  دنا پلاس توربو شارژ کلاس 6 سفيد دوپوششه كانزاي  شناسه خودرو  مبلغ پایه  قيمت برنده  جایگاه  ME365817  5,700,000,000    62</t>
  </si>
  <si>
    <t>ردیف: 399  پژو 207i اتوماتيک با موتور TU5P  کلاس 2 سفيد دو پوششه  شناسه خودرو  مبلغ پایه  قيمت برنده  جایگاه  MJ500100  5,450,000,000    466</t>
  </si>
  <si>
    <t>ردیف: 16  دنا پلاس توربو شارژ کلاس 6 سفيد دوپوششه كانزاي  شناسه خودرو  مبلغ پایه  قيمت برنده  جایگاه  ME365824  5,650,000,000    58</t>
  </si>
  <si>
    <t>ردیف: 283  پژو 207i اتوماتيک با موتور TU5P  کلاس 1 سفيد دو پوششه  شناسه خودرو  مبلغ پایه  قيمت برنده  جایگاه  MJ500004  6,200,000,000    348</t>
  </si>
  <si>
    <t>ردیف: 289  پژو 207i اتوماتيک با موتور TU5P  کلاس 1 سفيد دو پوششه  شناسه خودرو  مبلغ پایه  قيمت برنده  جایگاه  MJ500029  6,200,000,000    354</t>
  </si>
  <si>
    <t>ردیف: 558  دنا پلاس اتوماتيك با موتور EF7_TC كلاس2 سفيد دو پوششه  شناسه خودرو  مبلغ پایه  قيمت برنده  جایگاه  NE561624  6,100,000,000    655</t>
  </si>
  <si>
    <t>ردیف: 162  سورن EF7 بنزيني کلاس 22 خاكستري متال  شناسه خودرو  مبلغ پایه  قيمت برنده  جایگاه  NF238108  4,300,000,000    217</t>
  </si>
  <si>
    <t>ردیف: 14  دنا پلاس توربو شارژ کلاس 6 سفيد دوپوششه كانزاي  شناسه خودرو  مبلغ پایه  قيمت برنده  جایگاه  ME365795  5,700,000,000    56</t>
  </si>
  <si>
    <t>ردیف: 32  دنا پلاس توربو شارژ کلاس 6 سفيد دوپوششه كانزاي  شناسه خودرو  مبلغ پایه  قيمت برنده  جایگاه  ME365803  5,650,000,000    74</t>
  </si>
  <si>
    <t>ردیف: 264  پژو 207i اتوماتيک با موتور TU5P  کلاس 1 سفيد دو پوششه  شناسه خودرو  مبلغ پایه  قيمت برنده  جایگاه  MJ500053  6,200,000,000    329</t>
  </si>
  <si>
    <t>ردیف: 15  دنا پلاس توربو شارژ کلاس 6 سفيد دوپوششه كانزاي  شناسه خودرو  مبلغ پایه  قيمت برنده  جایگاه  ME365823  5,650,000,000    57</t>
  </si>
  <si>
    <t>ردیف: 26  دنا پلاس توربو شارژ کلاس 6 سفيد دوپوششه كانزاي  شناسه خودرو  مبلغ پایه  قيمت برنده  جایگاه  ME365821  5,700,000,000    68</t>
  </si>
  <si>
    <t>ردیف: 259  پژو 207i اتوماتيک با موتور TU5P  کلاس 1 سفيد دو پوششه  شناسه خودرو  مبلغ پایه  قيمت برنده  جایگاه  MJ500061  6,200,000,000    324</t>
  </si>
  <si>
    <t>ردیف: 310  پژو 207i دستي کلاس 10 مشكي متاليك  شناسه خودرو  مبلغ پایه  قيمت برنده  جایگاه  MJ222779  5,950,000,000    375</t>
  </si>
  <si>
    <t>ردیف: 6  دنا پلاس توربو شارژ کلاس 6 سفيد دو پوششه  شناسه خودرو  مبلغ پایه  قيمت برنده  جایگاه  ME365777  5,650,000,000    48</t>
  </si>
  <si>
    <t>ردیف: 36  دنا پلاس توربو شارژ کلاس 6 سفيد دوپوششه كانزاي  شناسه خودرو  مبلغ پایه  قيمت برنده  جایگاه  ME365793  5,700,000,000    78</t>
  </si>
  <si>
    <t>ردیف: 253  پژو 207i اتوماتيک با موتور TU5P  کلاس 1 سفيد دو پوششه  شناسه خودرو  مبلغ پایه  قيمت برنده  جایگاه  MJ500035  6,200,000,000    318</t>
  </si>
  <si>
    <t>ردیف: 265  پژو 207i اتوماتيک با موتور TU5P  کلاس 1 سفيد دو پوششه  شناسه خودرو  مبلغ پایه  قيمت برنده  جایگاه  MJ500038  6,200,000,000    330</t>
  </si>
  <si>
    <t>ردیف: 267  پژو 207i اتوماتيک با موتور TU5P  کلاس 1 سفيد دو پوششه  شناسه خودرو  مبلغ پایه  قيمت برنده  جایگاه  MJ500044  6,200,000,000    332</t>
  </si>
  <si>
    <t>ردیف: 33  دنا پلاس توربو شارژ کلاس 6 سفيد دوپوششه كانزاي  شناسه خودرو  مبلغ پایه  قيمت برنده  جایگاه  ME365805  5,700,000,000    75</t>
  </si>
  <si>
    <t>ردیف: 59  دنا پلاس توربو شارژ کلاس 6 سفيد دو پوششه  شناسه خودرو  مبلغ پایه  قيمت برنده  جایگاه  NE490328  5,900,000,000    101</t>
  </si>
  <si>
    <t>ردیف: 120  رانا کلاس 15 سفيد دو پوششه  شناسه خودرو  مبلغ پایه  قيمت برنده  جایگاه  NT377810  3,600,000,000    162</t>
  </si>
  <si>
    <t>ردیف: 270  پژو 207i اتوماتيک با موتور TU5P  کلاس 1 سفيد دو پوششه  شناسه خودرو  مبلغ پایه  قيمت برنده  جایگاه  MJ500031  6,150,000,000    335</t>
  </si>
  <si>
    <t>ردیف: 387  پژو 207i اتوماتيک با موتور TU5P  کلاس 2 سفيد دو پوششه  شناسه خودرو  مبلغ پایه  قيمت برنده  جایگاه  MJ500116  5,450,000,000    454</t>
  </si>
  <si>
    <t>پژو 207i اتوماتيك  كلاس 3 سفيد دو پوششه</t>
  </si>
  <si>
    <t>ردیف: 550  پژو 207i اتوماتيك  كلاس 3 سفيد دو پوششه  شناسه خودرو  مبلغ پایه  قيمت برنده  جایگاه  MJ519729  5,400,000,000    643</t>
  </si>
  <si>
    <t>ردیف: 86  دنا پلاس توربو شارژ کلاس 6 خاكستري متاليك  شناسه خودرو  مبلغ پایه  قيمت برنده  جایگاه  NE490809  5,900,000,000    128</t>
  </si>
  <si>
    <t>ردیف: 343  پژو 207i دستي کلاس 10 سفيد دو پوششه  شناسه خودرو  مبلغ پایه  قيمت برنده  جایگاه  MJ230527  5,100,000,000    408</t>
  </si>
  <si>
    <t>ردیف: 493  دنا پلاس اتوماتيك با موتور EF7_TC كلاس2 مشكي متاليك  شناسه خودرو  مبلغ پایه  قيمت برنده  جایگاه  ME410885  6,050,000,000    583</t>
  </si>
  <si>
    <t>پژو 207i اتوماتيك  كلاس 4 مشكي متاليك</t>
  </si>
  <si>
    <t>ردیف: 546  پژو 207i اتوماتيك  كلاس 4 مشكي متاليك  شناسه خودرو  مبلغ پایه  قيمت برنده  جایگاه  MJ514963  5,400,000,000    639</t>
  </si>
  <si>
    <t>ردیف: 127  رانا کلاس 15 سفيد دو پوششه  شناسه خودرو  مبلغ پایه  قيمت برنده  جایگاه  NT376579  3,550,000,000    169</t>
  </si>
  <si>
    <t>ردیف: 284  پژو 207i اتوماتيک با موتور TU5P  کلاس 1 سفيد دو پوششه  شناسه خودرو  مبلغ پایه  قيمت برنده  جایگاه  MJ500036  6,200,000,000    349</t>
  </si>
  <si>
    <t>ردیف: 182  سورن EF7 بنزيني کلاس 23 سفيد دو پوششه  شناسه خودرو  مبلغ پایه  قيمت برنده  جایگاه  MF082069  3,800,000,000    246</t>
  </si>
  <si>
    <t>ردیف: 305  پژو 207i اتوماتيک با موتور TU5P  کلاس 3 سفيد دو پوششه  شناسه خودرو  مبلغ پایه  قيمت برنده  جایگاه  NJ241046  5,950,000,000    370</t>
  </si>
  <si>
    <t>ردیف: 321  پژو 207i دستي کلاس 10 سفيد دو پوششه  شناسه خودرو  مبلغ پایه  قيمت برنده  جایگاه  NJ932739  5,250,000,000    386</t>
  </si>
  <si>
    <t>ردیف: 18  دنا پلاس توربو شارژ کلاس 6 سفيد دو پوششه  شناسه خودرو  مبلغ پایه  قيمت برنده  جایگاه  ME365781  5,650,000,000    60</t>
  </si>
  <si>
    <t>ردیف: 290  پژو 207i اتوماتيک با موتور TU5P  کلاس 1 سفيد دو پوششه  شناسه خودرو  مبلغ پایه  قيمت برنده  جایگاه  MJ500055  6,200,000,000    355</t>
  </si>
  <si>
    <t>ردیف: 17  دنا پلاس توربو شارژ کلاس 6 سفيد دوپوششه كانزاي  شناسه خودرو  مبلغ پایه  قيمت برنده  جایگاه  ME365797  5,700,000,000    59</t>
  </si>
  <si>
    <t>ردیف: 22  دنا پلاس توربو شارژ کلاس 6 سفيد دو پوششه  شناسه خودرو  مبلغ پایه  قيمت برنده  جایگاه  ME365778  5,650,000,000    64</t>
  </si>
  <si>
    <t>ردیف: 23  دنا پلاس توربو شارژ کلاس 6 سفيد دو پوششه  شناسه خودرو  مبلغ پایه  قيمت برنده  جایگاه  ME365775  5,650,000,000    65</t>
  </si>
  <si>
    <t>ردیف: 29  دنا پلاس توربو شارژ کلاس 6 سفيد دو پوششه  شناسه خودرو  مبلغ پایه  قيمت برنده  جایگاه  ME365782  5,700,000,000    71</t>
  </si>
  <si>
    <t>ردیف: 68  دنا پلاس توربو شارژ کلاس 6 سفيد دو پوششه  شناسه خودرو  مبلغ پایه  قيمت برنده  جایگاه  NE490166  5,900,000,000    110</t>
  </si>
  <si>
    <t>ردیف: 411  پژو 207i اتوماتيک با موتور TU5P  کلاس 2 سفيد دو پوششه  شناسه خودرو  مبلغ پایه  قيمت برنده  جایگاه  MJ500119  5,450,000,000    478</t>
  </si>
  <si>
    <t>ردیف: 414  پژو 207i دستي کلاس 10 مشكي متاليك  شناسه خودرو  مبلغ پایه  قيمت برنده  جایگاه  MJ538270  5,100,000,000    481</t>
  </si>
  <si>
    <t>ردیف: 324  پژو 207i دستي کلاس 10 مشكي متاليك  شناسه خودرو  مبلغ پایه  قيمت برنده  جایگاه  MJ531239  5,300,000,000    389</t>
  </si>
  <si>
    <t>ردیف: 28  دنا پلاس توربو شارژ کلاس 6 سفيد دوپوششه كانزاي  شناسه خودرو  مبلغ پایه  قيمت برنده  جایگاه  ME365796  5,700,000,000    70</t>
  </si>
  <si>
    <t>ردیف: 342  پژو 207i دستي کلاس 10 سفيد دو پوششه  شناسه خودرو  مبلغ پایه  قيمت برنده  جایگاه  MJ230865  5,100,000,000    407</t>
  </si>
  <si>
    <t>ردیف: 249  پژو 207i اتوماتيک با موتور TU5P  کلاس 1 سفيد دو پوششه  شناسه خودرو  مبلغ پایه  قيمت برنده  جایگاه  MJ500046  6,200,000,000    314</t>
  </si>
  <si>
    <t>ردیف: 263  پژو 207i اتوماتيک با موتور TU5P  کلاس 1 سفيد دو پوششه  شناسه خودرو  مبلغ پایه  قيمت برنده  جایگاه  MJ500054  6,200,000,000    328</t>
  </si>
  <si>
    <t>ردیف: 280  پژو 207i اتوماتيک با موتور TU5P  کلاس 1 سفيد دو پوششه  شناسه خودرو  مبلغ پایه  قيمت برنده  جایگاه  MJ500056  6,200,000,000    345</t>
  </si>
  <si>
    <t>ردیف: 231  تارا دستي کلاس 1 سفيد دو پوششه  شناسه خودرو  مبلغ پایه  قيمت برنده  جایگاه  MD916648  4,850,000,000    296</t>
  </si>
  <si>
    <t>ردیف: 236  تارا دستي کلاس 1 سرمه اي متال  شناسه خودرو  مبلغ پایه  قيمت برنده  جایگاه  MD912407  4,850,000,000    301</t>
  </si>
  <si>
    <t>ردیف: 250  پژو 207i اتوماتيک با موتور TU5P  کلاس 1 سفيد دو پوششه  شناسه خودرو  مبلغ پایه  قيمت برنده  جایگاه  MJ500023  6,150,000,000    315</t>
  </si>
  <si>
    <t>ردیف: 300  پژو 207i اتوماتيک با موتور TU5P  کلاس 3 سفيد دو پوششه  شناسه خودرو  مبلغ پایه  قيمت برنده  جایگاه  NJ240536  5,950,000,000    365</t>
  </si>
  <si>
    <t>ردیف: 544  H30 CROSS AT كلاس 4 سفيد دو پوششه  شناسه خودرو  مبلغ پایه  قيمت برنده  جایگاه  LX100066  4,850,000,000    637</t>
  </si>
  <si>
    <t>ردیف: 197  تارا اتوماتيک کلاس 1  نقره اي متاليك  شناسه خودرو  مبلغ پایه  قيمت برنده  جایگاه  MD920862  6,200,000,000    262</t>
  </si>
  <si>
    <t>پژو 207i اتوماتيك  كلاس 3 مشكي متاليك</t>
  </si>
  <si>
    <t>ردیف: 548  پژو 207i اتوماتيك  كلاس 3 مشكي متاليك  شناسه خودرو  مبلغ پایه  قيمت برنده  جایگاه  MJ519702  5,400,000,000    641</t>
  </si>
  <si>
    <t>ردیف: 25  دنا پلاس توربو شارژ کلاس 6 سفيد دوپوششه كانزاي  شناسه خودرو  مبلغ پایه  قيمت برنده  جایگاه  ME365799  5,650,000,000    67</t>
  </si>
  <si>
    <t>ردیف: 316  پژو 207i دستي کلاس 10 مشكي متاليك  شناسه خودرو  مبلغ پایه  قيمت برنده  جایگاه  MJ420316  5,050,000,000    381</t>
  </si>
  <si>
    <t>ردیف: 319  پژو 207i دستي کلاس 10 مشكي متاليك  شناسه خودرو  مبلغ پایه  قيمت برنده  جایگاه  MJ228599  5,100,000,000    384</t>
  </si>
  <si>
    <t>ردیف: 327  پژو 207i دستي کلاس 10 سفيد دو پوششه  شناسه خودرو  مبلغ پایه  قيمت برنده  جایگاه  MJ229216  5,100,000,000    392</t>
  </si>
  <si>
    <t>ردیف: 339  پژو 207i دستي کلاس 10 مشكي متاليك  شناسه خودرو  مبلغ پایه  قيمت برنده  جایگاه  MJ223764  5,100,000,000    404</t>
  </si>
  <si>
    <t>ردیف: 407  پژو 207i اتوماتيک با موتور TU5P  کلاس 2 سفيد دو پوششه  شناسه خودرو  مبلغ پایه  قيمت برنده  جایگاه  MJ500120  5,450,000,000    474</t>
  </si>
  <si>
    <t>ردیف: 477  تارا اتوماتيک کلاس 1  سفيد دو پوششه  شناسه خودرو  مبلغ پایه  قيمت برنده  جایگاه  MD920010  5,950,000,000    564</t>
  </si>
  <si>
    <t>ردیف: 12  دنا پلاس توربو شارژ کلاس 6 سفيد دوپوششه كانزاي  شناسه خودرو  مبلغ پایه  قيمت برنده  جایگاه  ME365792  5,700,000,000    54</t>
  </si>
  <si>
    <t>ردیف: 398  پژو 207i اتوماتيک با موتور TU5P  کلاس 2 مشكي متاليك  شناسه خودرو  مبلغ پایه  قيمت برنده  جایگاه  MJ500106  5,450,000,000    465</t>
  </si>
  <si>
    <t>ردیف: 401  پژو 207i اتوماتيک با موتور TU5P  کلاس 2 مشكي متاليك  شناسه خودرو  مبلغ پایه  قيمت برنده  جایگاه  MJ500133  5,450,000,000    468</t>
  </si>
  <si>
    <t>ردیف: 374  پژو 207i اتوماتيک با موتور TU5P  کلاس 2 سفيد دو پوششه  شناسه خودرو  مبلغ پایه  قيمت برنده  جایگاه  MJ500118  5,450,000,000    441</t>
  </si>
  <si>
    <t>ردیف: 42  دنا پلاس توربو شارژ کلاس 6 سفيد دوپوششه كانزاي  شناسه خودرو  مبلغ پایه  قيمت برنده  جایگاه  ME365806  5,700,000,000    84</t>
  </si>
  <si>
    <t>ردیف: 58  دنا پلاس توربو شارژ کلاس 6 سفيد دو پوششه  شناسه خودرو  مبلغ پایه  قيمت برنده  جایگاه  NE490060  5,900,000,000    100</t>
  </si>
  <si>
    <t>ردیف: 344  پژو 207i دستي کلاس 10 نقره اي متاليك  شناسه خودرو  مبلغ پایه  قيمت برنده  جایگاه  MJ530348  5,100,000,000    409</t>
  </si>
  <si>
    <t>ردیف: 352  هايماS7 توربو اتوماتيك كلاس2 مشكي متاليك  شناسه خودرو  مبلغ پایه  قيمت برنده  جایگاه  NY064055  11,000,000,000    419</t>
  </si>
  <si>
    <t>ردیف: 377  پژو 207i اتوماتيک با موتور TU5P  کلاس 2 سفيد دو پوششه  شناسه خودرو  مبلغ پایه  قيمت برنده  جایگاه  MJ500117  5,450,000,000    444</t>
  </si>
  <si>
    <t>ردیف: 508  تندر 90 E2 + 2 A/B سفيد شيري پرشين  شناسه خودرو  مبلغ پایه  قيمت برنده  جایگاه  LA402383  5,800,000,000    601</t>
  </si>
  <si>
    <t>ردیف: 233  تارا دستي کلاس 1 سرمه اي متال  شناسه خودرو  مبلغ پایه  قيمت برنده  جایگاه  MD912389  4,850,000,000    298</t>
  </si>
  <si>
    <t>ردیف: 519  سورن EF7 بنزيني کلاس 16 سفيد دو پوششه  شناسه خودرو  مبلغ پایه  قيمت برنده  جایگاه  KF610005  3,450,000,000    612</t>
  </si>
  <si>
    <t>ردیف: 245  پژو 207i اتوماتيک با موتور TU5P  کلاس 1 سفيد دو پوششه  شناسه خودرو  مبلغ پایه  قيمت برنده  جایگاه  MJ500059  6,200,000,000    310</t>
  </si>
  <si>
    <t>ردیف: 258  پژو 207i اتوماتيک با موتور TU5P  کلاس 1 سفيد دو پوششه  شناسه خودرو  مبلغ پایه  قيمت برنده  جایگاه  MJ500022  6,200,000,000    323</t>
  </si>
  <si>
    <t>ردیف: 375  پژو 207i اتوماتيک با موتور TU5P  کلاس 2 مشكي متاليك  شناسه خودرو  مبلغ پایه  قيمت برنده  جایگاه  MJ500128  5,450,000,000    442</t>
  </si>
  <si>
    <t>ردیف: 35  دنا پلاس توربو شارژ کلاس 6 سفيد دو پوششه  شناسه خودرو  مبلغ پایه  قيمت برنده  جایگاه  ME365776  5,700,000,000    77</t>
  </si>
  <si>
    <t>ردیف: 78  دنا پلاس توربو شارژ کلاس 6 خاكستري متاليك  شناسه خودرو  مبلغ پایه  قيمت برنده  جایگاه  NE490641  5,900,000,000    120</t>
  </si>
  <si>
    <t>ردیف: 221  تارا دستي کلاس 1 سفيد دو پوششه  شناسه خودرو  مبلغ پایه  قيمت برنده  جایگاه  MD916677  4,850,000,000    286</t>
  </si>
  <si>
    <t>ردیف: 317  پژو 207i دستي کلاس 10 سفيد دو پوششه  شناسه خودرو  مبلغ پایه  قيمت برنده  جایگاه  MJ229092  5,300,000,000    382</t>
  </si>
  <si>
    <t>ردیف: 363  هايما S5 توربو اتوماتيک کلاس 1 سفيد دو پوششه  شناسه خودرو  مبلغ پایه  قيمت برنده  جایگاه  MY040950  9,300,000,000    430</t>
  </si>
  <si>
    <t>ردیف: 386  پژو 207i اتوماتيک با موتور TU5P  کلاس 2 مشكي متاليك  شناسه خودرو  مبلغ پایه  قيمت برنده  جایگاه  NJ241211  5,700,000,000    453</t>
  </si>
  <si>
    <t>ردیف: 483  تارا اتوماتيک کلاس 1  قهوه اي روشن متاليك  شناسه خودرو  مبلغ پایه  قيمت برنده  جایگاه  MD920061  6,100,000,000    570</t>
  </si>
  <si>
    <t>ردیف: 509  تندر 90 E2 + 2 A/B سفيد شيري پرشين  شناسه خودرو  مبلغ پایه  قيمت برنده  جایگاه  LA402393  5,800,000,000    602</t>
  </si>
  <si>
    <t>ردیف: 199  تارا اتوماتيک کلاس 1  سفيد دو پوششه  شناسه خودرو  مبلغ پایه  قيمت برنده  جایگاه  MD921414  6,200,000,000    264</t>
  </si>
  <si>
    <t>ردیف: 240  تارا دستي کلاس 1 سرمه اي متال  شناسه خودرو  مبلغ پایه  قيمت برنده  جایگاه  MD912411  4,850,000,000    305</t>
  </si>
  <si>
    <t>ردیف: 318  پژو 207i دستي کلاس 10 مشكي متاليك  شناسه خودرو  مبلغ پایه  قيمت برنده  جایگاه  MJ228623  5,100,000,000    383</t>
  </si>
  <si>
    <t>ردیف: 376  پژو 207i اتوماتيک با موتور TU5P  کلاس 2 مشكي متاليك  شناسه خودرو  مبلغ پایه  قيمت برنده  جایگاه  MJ500130  5,450,000,000    443</t>
  </si>
  <si>
    <t>ردیف: 406  پژو 207i اتوماتيک با موتور TU5P  کلاس 2 سفيد دو پوششه  شناسه خودرو  مبلغ پایه  قيمت برنده  جایگاه  MJ500125  5,450,000,000    473</t>
  </si>
  <si>
    <t>ردیف: 510   تندر90+ (پلاس) اتوماتيك تندر90+ (پلاس) اتوماتيك سفيد شيري پرشين  شناسه خودرو  مبلغ پایه  قيمت برنده  جایگاه  LA623753  7,100,000,000    603</t>
  </si>
  <si>
    <t>ردیف: 241  پژو 207i اتوماتيک با موتور TU5P  کلاس 1 سفيد دو پوششه  شناسه خودرو  مبلغ پایه  قيمت برنده  جایگاه  MJ500057  6,200,000,000    306</t>
  </si>
  <si>
    <t>ردیف: 246  پژو 207i اتوماتيک با موتور TU5P  کلاس 1 سفيد دو پوششه  شناسه خودرو  مبلغ پایه  قيمت برنده  جایگاه  MJ500033  6,200,000,000    311</t>
  </si>
  <si>
    <t>ردیف: 295  پژو 207i اتوماتيک با موتور TU5P  کلاس 3 سفيد دو پوششه  شناسه خودرو  مبلغ پایه  قيمت برنده  جایگاه  NJ240594  5,950,000,000    360</t>
  </si>
  <si>
    <t>ردیف: 347  پژو 207i دستي کلاس 10 سفيد دو پوششه  شناسه خودرو  مبلغ پایه  قيمت برنده  جایگاه  NJ361647  5,250,000,000    412</t>
  </si>
  <si>
    <t>ردیف: 388  پژو 207i اتوماتيک با موتور TU5P  کلاس 2 سفيد دو پوششه  شناسه خودرو  مبلغ پایه  قيمت برنده  جایگاه  MJ500092  5,450,000,000    455</t>
  </si>
  <si>
    <t>ردیف: 410  پژو 207i اتوماتيک با موتور TU5P  کلاس 2 سفيد دو پوششه  شناسه خودرو  مبلغ پایه  قيمت برنده  جایگاه  MJ500121  5,450,000,000    477</t>
  </si>
  <si>
    <t>ردیف: 424  پژو 206 معمولي كلاس 31 قرمز رژ  شناسه خودرو  مبلغ پایه  قيمت برنده  جایگاه  MJ630553  3,550,000,000    491</t>
  </si>
  <si>
    <t>ردیف: 502  پژو 207i اتوماتيک با موتور TU5P  کلاس 2 سفيد دو پوششه  شناسه خودرو  مبلغ پایه  قيمت برنده  جایگاه  MJ500126  5,300,000,000    592</t>
  </si>
  <si>
    <t>ردیف: 45  دنا پلاس توربو شارژ کلاس 6 مشكي متاليك  شناسه خودرو  مبلغ پایه  قيمت برنده  جایگاه  NE490947  5,900,000,000    87</t>
  </si>
  <si>
    <t>ردیف: 102  دنا پلاس توربو شارژ کلاس 6 سفيد دوپوششه كانزاي  شناسه خودرو  مبلغ پایه  قيمت برنده  جایگاه  NE491378  5,950,000,000    144</t>
  </si>
  <si>
    <t>ردیف: 313  پژو 207i دستي کلاس 10 سفيد دو پوششه  شناسه خودرو  مبلغ پایه  قيمت برنده  جایگاه  MJ228859  5,100,000,000    378</t>
  </si>
  <si>
    <t>ردیف: 345  پژو 207i دستي کلاس 10 سفيد دو پوششه  شناسه خودرو  مبلغ پایه  قيمت برنده  جایگاه  MJ230222  5,100,000,000    410</t>
  </si>
  <si>
    <t>ردیف: 7  دنا پلاس توربو شارژ کلاس 6 سفيد دو پوششه  شناسه خودرو  مبلغ پایه  قيمت برنده  جایگاه  ME365787  5,700,000,000    49</t>
  </si>
  <si>
    <t>ردیف: 81  دنا پلاس توربو شارژ کلاس 6 مشكي متاليك  شناسه خودرو  مبلغ پایه  قيمت برنده  جایگاه  NE490538  5,950,000,000    123</t>
  </si>
  <si>
    <t>ردیف: 129  رانا پلاس با موتور TU5P و گيربکس 6 سرعته دستي کلاس 3 سفيد دو پوششه  شناسه خودرو  مبلغ پایه  قيمت برنده  جایگاه  MT300776  3,950,000,000    171</t>
  </si>
  <si>
    <t>ردیف: 314  پژو 207i دستي کلاس 10 مشكي متاليك  شناسه خودرو  مبلغ پایه  قيمت برنده  جایگاه  MJ228743  5,100,000,000    379</t>
  </si>
  <si>
    <t>ردیف: 408  پژو 207i اتوماتيک با موتور TU5P  کلاس 2 مشكي متاليك  شناسه خودرو  مبلغ پایه  قيمت برنده  جایگاه  MJ500132  5,450,000,000    475</t>
  </si>
  <si>
    <t>ردیف: 104  دنا پلاس توربو شارژ کلاس 6 سفيد دوپوششه كانزاي  شناسه خودرو  مبلغ پایه  قيمت برنده  جایگاه  NE491382  5,950,000,000    146</t>
  </si>
  <si>
    <t>ردیف: 176  سورن EF7 بنزيني کلاس 23 سفيد دو پوششه  شناسه خودرو  مبلغ پایه  قيمت برنده  جایگاه  NF158174  4,150,000,000    238</t>
  </si>
  <si>
    <t>ردیف: 239  تارا دستي کلاس 1 سرمه اي متال  شناسه خودرو  مبلغ پایه  قيمت برنده  جایگاه  MD912392  4,850,000,000    304</t>
  </si>
  <si>
    <t>ردیف: 274  پژو 207i اتوماتيک با موتور TU5P  کلاس 1 سفيد دو پوششه  شناسه خودرو  مبلغ پایه  قيمت برنده  جایگاه  MJ500039  6,150,000,000    339</t>
  </si>
  <si>
    <t>ردیف: 323  پژو 207i دستي کلاس 10 سفيد دو پوششه  شناسه خودرو  مبلغ پایه  قيمت برنده  جایگاه  NJ350817  5,300,000,000    388</t>
  </si>
  <si>
    <t>ردیف: 335  پژو 207i دستي کلاس 10 سفيد دو پوششه  شناسه خودرو  مبلغ پایه  قيمت برنده  جایگاه  NJ932479  5,220,000,000    400</t>
  </si>
  <si>
    <t>ردیف: 412  پژو 207i اتوماتيک با موتور TU5P  کلاس 2 مشكي متاليك  شناسه خودرو  مبلغ پایه  قيمت برنده  جایگاه  MJ500127  5,450,000,000    479</t>
  </si>
  <si>
    <t>ردیف: 421  پژو 207i دستي كلاس 6 مشكي متاليك  شناسه خودرو  مبلغ پایه  قيمت برنده  جایگاه  NJ937828  4,950,000,000    488</t>
  </si>
  <si>
    <t>ردیف: 119  دنا پلاس اتوماتيك با موتور EF7_TC كلاس2 مشكي متاليك  شناسه خودرو  مبلغ پایه  قيمت برنده  جایگاه  NE547423  6,330,000,000    161</t>
  </si>
  <si>
    <t>ردیف: 164  سورن EF7 بنزيني کلاس 19 سفيد دوپوششه كانزاي  شناسه خودرو  مبلغ پایه  قيمت برنده  جایگاه  MF918657  3,700,000,000    219</t>
  </si>
  <si>
    <t>ردیف: 328  پژو 207i دستي کلاس 10 خاكستري متاليك  شناسه خودرو  مبلغ پایه  قيمت برنده  جایگاه  MJ228778  5,100,000,000    393</t>
  </si>
  <si>
    <t>ردیف: 380  پژو 207i اتوماتيک با موتور TU5P  کلاس 2 مشكي متاليك  شناسه خودرو  مبلغ پایه  قيمت برنده  جایگاه  MJ500134  5,450,000,000    447</t>
  </si>
  <si>
    <t>ردیف: 382  پژو 207i اتوماتيک با موتور TU5P  کلاس 2 مشكي متاليك  شناسه خودرو  مبلغ پایه  قيمت برنده  جایگاه  MJ500138  5,450,000,000    449</t>
  </si>
  <si>
    <t>ردیف: 391  پژو 207i اتوماتيک با موتور TU5P  کلاس 2 مشكي متاليك  شناسه خودرو  مبلغ پایه  قيمت برنده  جایگاه  NJ249732  5,650,000,000    458</t>
  </si>
  <si>
    <t>ردیف: 409  پژو 207i اتوماتيک با موتور TU5P  کلاس 2 سفيد دو پوششه  شناسه خودرو  مبلغ پایه  قيمت برنده  جایگاه  MJ500115  5,450,000,000    476</t>
  </si>
  <si>
    <t>ردیف: 210  تارا اتوماتيک کلاس 1  سفيد دو پوششه  شناسه خودرو  مبلغ پایه  قيمت برنده  جایگاه  MD921341  6,200,000,000    275</t>
  </si>
  <si>
    <t>ردیف: 215  تارا اتوماتيک کلاس 1  سفيد دو پوششه  شناسه خودرو  مبلغ پایه  قيمت برنده  جایگاه  MD921332  6,200,000,000    280</t>
  </si>
  <si>
    <t>ردیف: 232  تارا دستي کلاس 1 سرمه اي متال  شناسه خودرو  مبلغ پایه  قيمت برنده  جایگاه  MD912375  4,850,000,000    297</t>
  </si>
  <si>
    <t>ردیف: 332  پژو 207i دستي کلاس 10 مشكي متاليك  شناسه خودرو  مبلغ پایه  قيمت برنده  جایگاه  NJ930364  5,300,000,000    397</t>
  </si>
  <si>
    <t>ردیف: 340  پژو 207i دستي کلاس 10 مشكي متاليك  شناسه خودرو  مبلغ پایه  قيمت برنده  جایگاه  MJ223043  5,100,000,000    405</t>
  </si>
  <si>
    <t>ردیف: 356  هايماS7 توربو اتوماتيك كلاس2 سفيد دو پوششه  شناسه خودرو  مبلغ پایه  قيمت برنده  جایگاه  NY065960  11,300,000,000    423</t>
  </si>
  <si>
    <t>ردیف: 177  سورن EF7 بنزيني کلاس 23 مشكي متاليك  شناسه خودرو  مبلغ پایه  قيمت برنده  جایگاه  NF167653  4,150,000,000    240</t>
  </si>
  <si>
    <t>ردیف: 194  تارا اتوماتيک کلاس 1  سفيد دو پوششه  شناسه خودرو  مبلغ پایه  قيمت برنده  جایگاه  MD921384  6,200,000,000    259</t>
  </si>
  <si>
    <t>ردیف: 229  تارا دستي کلاس 1 سفيد دو پوششه  شناسه خودرو  مبلغ پایه  قيمت برنده  جایگاه  MD916717  4,850,000,000    294</t>
  </si>
  <si>
    <t>ردیف: 234  تارا دستي کلاس 1 قهوه اي كادرو   شناسه خودرو  مبلغ پایه  قيمت برنده  جایگاه  MD912330  4,850,000,000    299</t>
  </si>
  <si>
    <t>ردیف: 235  تارا دستي کلاس 1 قهوه اي كادرو   شناسه خودرو  مبلغ پایه  قيمت برنده  جایگاه  MD912440  4,850,000,000    300</t>
  </si>
  <si>
    <t>ردیف: 315  پژو 207i دستي کلاس 10 سفيد دو پوششه  شناسه خودرو  مبلغ پایه  قيمت برنده  جایگاه  MJ228302  5,100,000,000    380</t>
  </si>
  <si>
    <t>ردیف: 378  پژو 207i اتوماتيک با موتور TU5P  کلاس 2 سفيد دو پوششه  شناسه خودرو  مبلغ پایه  قيمت برنده  جایگاه  MJ500114  5,450,000,000    445</t>
  </si>
  <si>
    <t>ردیف: 413  پژو 207i اتوماتيک با موتور TU5P  کلاس 2 سفيد دو پوششه  شناسه خودرو  مبلغ پایه  قيمت برنده  جایگاه  MJ500123  5,450,000,000    480</t>
  </si>
  <si>
    <t>ردیف: 504  پژو 207i دستي کلاس 10 سفيد دو پوششه  شناسه خودرو  مبلغ پایه  قيمت برنده  جایگاه  NJ934206  5,000,000,000    594</t>
  </si>
  <si>
    <t>ردیف: 49  دنا پلاس توربو شارژ کلاس 6 خاكستري متاليك  شناسه خودرو  مبلغ پایه  قيمت برنده  جایگاه  NE490428  5,900,000,000    91</t>
  </si>
  <si>
    <t>ردیف: 333  پژو 207i دستي کلاس 10 نقره اي متاليك  شناسه خودرو  مبلغ پایه  قيمت برنده  جایگاه  MJ530455  5,100,000,000    398</t>
  </si>
  <si>
    <t>ردیف: 362  هايما S5 توربو اتوماتيک کلاس 1 مشكي متاليك  شناسه خودرو  مبلغ پایه  قيمت برنده  جایگاه  MY040846  9,350,000,000    429</t>
  </si>
  <si>
    <t>ردیف: 366  هايما S5 توربو اتوماتيک کلاس 1 سفيد دو پوششه  شناسه خودرو  مبلغ پایه  قيمت برنده  جایگاه  MY040946  9,350,000,000    433</t>
  </si>
  <si>
    <t>ردیف: 381  پژو 207i اتوماتيک با موتور TU5P  کلاس 2 مشكي متاليك  شناسه خودرو  مبلغ پایه  قيمت برنده  جایگاه  MJ500135  5,450,000,000    448</t>
  </si>
  <si>
    <t>ردیف: 448  پژو پارس TU5 كلاس20 سفيد دو پوششه  شناسه خودرو  مبلغ پایه  قيمت برنده  جایگاه  MH675844  4,300,000,000    529</t>
  </si>
  <si>
    <t>ردیف: 3  دنا پلاس توربو شارژ کلاس8 سفيد دوپوششه كانزاي  شناسه خودرو  مبلغ پایه  قيمت برنده  جایگاه  NE492316  5,750,000,000    45</t>
  </si>
  <si>
    <t>ردیف: 195  تارا اتوماتيک کلاس 1  سفيد دو پوششه  شناسه خودرو  مبلغ پایه  قيمت برنده  جایگاه  MD921350  6,200,000,000    260</t>
  </si>
  <si>
    <t>ردیف: 198  تارا اتوماتيک کلاس 1  سفيد دو پوششه  شناسه خودرو  مبلغ پایه  قيمت برنده  جایگاه  MD921412  6,200,000,000    263</t>
  </si>
  <si>
    <t>ردیف: 230  تارا دستي کلاس 1 سرمه اي متال  شناسه خودرو  مبلغ پایه  قيمت برنده  جایگاه  MD912404  4,850,000,000    295</t>
  </si>
  <si>
    <t>ردیف: 331  پژو 207i دستي کلاس 10 سفيد دو پوششه  شناسه خودرو  مبلغ پایه  قيمت برنده  جایگاه  NJ928608  5,250,000,000    396</t>
  </si>
  <si>
    <t>ردیف: 337  پژو 207i دستي کلاس 10 سفيد دو پوششه  شناسه خودرو  مبلغ پایه  قيمت برنده  جایگاه  MJ228322  5,100,000,000    402</t>
  </si>
  <si>
    <t>ردیف: 2  دنا پلاس توربو شارژ کلاس8 سفيد دوپوششه كانزاي  شناسه خودرو  مبلغ پایه  قيمت برنده  جایگاه  NE492260  5,800,000,000    44</t>
  </si>
  <si>
    <t>ردیف: 311  پژو 207i دستي کلاس 10 سفيد دو پوششه  شناسه خودرو  مبلغ پایه  قيمت برنده  جایگاه  MJ229410  5,950,000,000    376</t>
  </si>
  <si>
    <t>ردیف: 355  هايماS7 توربو اتوماتيك كلاس2 سفيد دو پوششه  شناسه خودرو  مبلغ پایه  قيمت برنده  جایگاه  NY065746  11,000,000,000    422</t>
  </si>
  <si>
    <t>ردیف: 397  پژو 207i اتوماتيک با موتور TU5P  کلاس 2 مشكي متاليك  شناسه خودرو  مبلغ پایه  قيمت برنده  جایگاه  MJ500088  5,450,000,000    464</t>
  </si>
  <si>
    <t>ردیف: 441  پژو پارس TU5 كلاس20 سفيد دو پوششه  شناسه خودرو  مبلغ پایه  قيمت برنده  جایگاه  MH689169  4,000,000,000    522</t>
  </si>
  <si>
    <t>ردیف: 170  سورن EF7 بنزيني کلاس 23 مشكي متاليك  شناسه خودرو  مبلغ پایه  قيمت برنده  جایگاه  NF165101  4,050,000,000    232</t>
  </si>
  <si>
    <t>ردیف: 185  سورن EF7 بنزيني کلاس 23 آبي كبود متاليك  شناسه خودرو  مبلغ پایه  قيمت برنده  جایگاه  NF152434  4,150,000,000    250</t>
  </si>
  <si>
    <t>ردیف: 201  تارا اتوماتيک کلاس 1  سفيد دو پوششه  شناسه خودرو  مبلغ پایه  قيمت برنده  جایگاه  MD920908  6,200,000,000    266</t>
  </si>
  <si>
    <t>ردیف: 227  تارا دستي کلاس 1 سفيد دو پوششه  شناسه خودرو  مبلغ پایه  قيمت برنده  جایگاه  MD916665  4,850,000,000    292</t>
  </si>
  <si>
    <t>ردیف: 359  هايما S5 توربو اتوماتيک کلاس 1 سفيد دو پوششه  شناسه خودرو  مبلغ پایه  قيمت برنده  جایگاه  NY074937  10,000,000,000    426</t>
  </si>
  <si>
    <t>ردیف: 116  دنا پلاس اتوماتيك با موتور EF7_TC كلاس2 سفيد دوپوششه كانزاي  شناسه خودرو  مبلغ پایه  قيمت برنده  جایگاه  NE712986  6,350,000,000    158</t>
  </si>
  <si>
    <t>ردیف: 191  تارا اتوماتيک کلاس 1  سفيد دو پوششه  شناسه خودرو  مبلغ پایه  قيمت برنده  جایگاه  MD921400  6,200,000,000    256</t>
  </si>
  <si>
    <t>ردیف: 196  تارا اتوماتيک کلاس 1  سفيد دو پوششه  شناسه خودرو  مبلغ پایه  قيمت برنده  جایگاه  MD921329  6,200,000,000    261</t>
  </si>
  <si>
    <t>ردیف: 223  تارا دستي کلاس 1 مشكي متاليك (آبنوس)  شناسه خودرو  مبلغ پایه  قيمت برنده  جایگاه  MD916866  4,850,000,000    288</t>
  </si>
  <si>
    <t>ردیف: 262  پژو 207i اتوماتيک با موتور TU5P  کلاس 1 سفيد دو پوششه  شناسه خودرو  مبلغ پایه  قيمت برنده  جایگاه  MJ500014  6,200,000,000    327</t>
  </si>
  <si>
    <t>ردیف: 312  پژو 207i دستي کلاس 10 سفيد دو پوششه  شناسه خودرو  مبلغ پایه  قيمت برنده  جایگاه  NJ351937  5,300,000,000    377</t>
  </si>
  <si>
    <t>ردیف: 360  هايما S5 توربو اتوماتيک کلاس 1 مشكي متاليك  شناسه خودرو  مبلغ پایه  قيمت برنده  جایگاه  MY040977  9,350,000,000    427</t>
  </si>
  <si>
    <t>ردیف: 480  تارا اتوماتيک کلاس 1  خاكستري متاليك  شناسه خودرو  مبلغ پایه  قيمت برنده  جایگاه  MD920004  5,550,000,000    567</t>
  </si>
  <si>
    <t>ردیف: 193  تارا اتوماتيک کلاس 1  سفيد دو پوششه  شناسه خودرو  مبلغ پایه  قيمت برنده  جایگاه  MD921337  6,200,000,000    258</t>
  </si>
  <si>
    <t>ردیف: 225  تارا دستي کلاس 1 سرمه اي متال  شناسه خودرو  مبلغ پایه  قيمت برنده  جایگاه  MD912409  4,850,000,000    290</t>
  </si>
  <si>
    <t>ردیف: 254  پژو 207i اتوماتيک با موتور TU5P  کلاس 1 سفيد دو پوششه  شناسه خودرو  مبلغ پایه  قيمت برنده  جایگاه  MJ500009  6,200,000,000    319</t>
  </si>
  <si>
    <t>ردیف: 416  پژو 207i دستي کلاس 10 آبي كاسپين  شناسه خودرو  مبلغ پایه  قيمت برنده  جایگاه  MJ228730  5,100,000,000    483</t>
  </si>
  <si>
    <t>ردیف: 192  تارا اتوماتيک کلاس 1  سفيد دو پوششه  شناسه خودرو  مبلغ پایه  قيمت برنده  جایگاه  MD921354  6,200,000,000    257</t>
  </si>
  <si>
    <t>ردیف: 209  تارا اتوماتيک کلاس 1  سفيد دو پوششه  شناسه خودرو  مبلغ پایه  قيمت برنده  جایگاه  MD921388  6,200,000,000    274</t>
  </si>
  <si>
    <t>ردیف: 222  تارا دستي کلاس 1 مشكي متاليك (آبنوس)  شناسه خودرو  مبلغ پایه  قيمت برنده  جایگاه  MD916824  4,850,000,000    287</t>
  </si>
  <si>
    <t>ردیف: 228  تارا دستي کلاس 1 سفيد دو پوششه  شناسه خودرو  مبلغ پایه  قيمت برنده  جایگاه  MD916657  4,850,000,000    293</t>
  </si>
  <si>
    <t>ردیف: 163  سورن EF7 بنزيني کلاس 19 سفيد دو پوششه  شناسه خودرو  مبلغ پایه  قيمت برنده  جایگاه  MF084967  3,700,000,000    218</t>
  </si>
  <si>
    <t>ردیف: 179  سورن EF7 بنزيني کلاس 23 خاكستري متال  شناسه خودرو  مبلغ پایه  قيمت برنده  جایگاه  NF155852  4,150,000,000    242</t>
  </si>
  <si>
    <t>ردیف: 226  تارا دستي کلاس 1 خاكستري متاليك  شناسه خودرو  مبلغ پایه  قيمت برنده  جایگاه  ND934745  5,100,000,000    291</t>
  </si>
  <si>
    <t>ردیف: 348  پژو 207i دستي کلاس 10 سفيد دو پوششه  شناسه خودرو  مبلغ پایه  قيمت برنده  جایگاه  MJ229254  5,100,000,000    413</t>
  </si>
  <si>
    <t>ردیف: 379  پژو 207i اتوماتيک با موتور TU5P  کلاس 2 سفيد دو پوششه  شناسه خودرو  مبلغ پایه  قيمت برنده  جایگاه  MJ500122  5,450,000,000    446</t>
  </si>
  <si>
    <t>ردیف: 390  پژو 207i اتوماتيک با موتور TU5P  کلاس 2 مشكي متاليك  شناسه خودرو  مبلغ پایه  قيمت برنده  جایگاه  NJ241727  5,700,000,000    457</t>
  </si>
  <si>
    <t>ردیف: 542  پژو پارس معمولي دوگانه سوز کلاس 21 خاكستري متاليك  شناسه خودرو  مبلغ پایه  قيمت برنده  جایگاه  MK092191  4,050,000,000    635</t>
  </si>
  <si>
    <t>ردیف: 55  دنا پلاس توربو شارژ کلاس 6 مشكي متاليك  شناسه خودرو  مبلغ پایه  قيمت برنده  جایگاه  NE490646  5,950,000,000    97</t>
  </si>
  <si>
    <t>ردیف: 130  سورن EF7 بنزيني کلاس 19 مشكي متاليك  شناسه خودرو  مبلغ پایه  قيمت برنده  جایگاه  MF918387  3,600,000,000    172</t>
  </si>
  <si>
    <t>ردیف: 139  سورن EF7 بنزيني کلاس 19 سفيد دو پوششه  شناسه خودرو  مبلغ پایه  قيمت برنده  جایگاه  NF159833  3,900,000,000    183</t>
  </si>
  <si>
    <t>ردیف: 219  تارا دستي کلاس 1 سفيد دو پوششه  شناسه خودرو  مبلغ پایه  قيمت برنده  جایگاه  MD916726  4,850,000,000    284</t>
  </si>
  <si>
    <t>ردیف: 220  تارا دستي کلاس 1 سفيد دو پوششه  شناسه خودرو  مبلغ پایه  قيمت برنده  جایگاه  MD916664  4,850,000,000    285</t>
  </si>
  <si>
    <t>ردیف: 237  تارا دستي کلاس 1 سرمه اي متال  شناسه خودرو  مبلغ پایه  قيمت برنده  جایگاه  MD912401  4,850,000,000    302</t>
  </si>
  <si>
    <t>ردیف: 357  هايماS7 توربو اتوماتيك كلاس2 سفيد دو پوششه  شناسه خودرو  مبلغ پایه  قيمت برنده  جایگاه  NY066799  11,400,000,000    424</t>
  </si>
  <si>
    <t>ردیف: 454  پژو پارس TU5 كلاس20 سفيد دو پوششه  شناسه خودرو  مبلغ پایه  قيمت برنده  جایگاه  NH480182  4,550,000,000    535</t>
  </si>
  <si>
    <t>ردیف: 27  دنا پلاس توربو شارژ کلاس 6 سفيد دوپوششه كانزاي  شناسه خودرو  مبلغ پایه  قيمت برنده  جایگاه  ME365804  5,700,000,000    69</t>
  </si>
  <si>
    <t>ردیف: 190  تارا اتوماتيک کلاس 1  سفيد دو پوششه  شناسه خودرو  مبلغ پایه  قيمت برنده  جایگاه  MD921399  6,200,000,000    255</t>
  </si>
  <si>
    <t>ردیف: 302  پژو 207i اتوماتيک با موتور TU5P  کلاس 3 سفيد دو پوششه  شناسه خودرو  مبلغ پایه  قيمت برنده  جایگاه  NJ241279  5,900,000,000    367</t>
  </si>
  <si>
    <t>ردیف: 338  پژو 207i دستي کلاس 10 مشكي متاليك  شناسه خودرو  مبلغ پایه  قيمت برنده  جایگاه  MJ228810  5,100,000,000    403</t>
  </si>
  <si>
    <t>ردیف: 395  پژو 207i اتوماتيک با موتور TU5P  کلاس 2 مشكي متاليك  شناسه خودرو  مبلغ پایه  قيمت برنده  جایگاه  NJ241897  5,700,000,000    462</t>
  </si>
  <si>
    <t>ردیف: 400  پژو 207i اتوماتيک با موتور TU5P  کلاس 2 مشكي متاليك  شناسه خودرو  مبلغ پایه  قيمت برنده  جایگاه  NJ242228  5,700,000,000    467</t>
  </si>
  <si>
    <t>ردیف: 99  دنا پلاس توربو شارژ کلاس 6 سفيد دوپوششه كانزاي  شناسه خودرو  مبلغ پایه  قيمت برنده  جایگاه  NE491384  5,950,000,000    141</t>
  </si>
  <si>
    <t>ردیف: 117  دنا پلاس اتوماتيك با موتور EF7_TC كلاس2 سفيد دو پوششه  شناسه خودرو  مبلغ پایه  قيمت برنده  جایگاه  NE548967  6,330,000,000    159</t>
  </si>
  <si>
    <t>ردیف: 146  سورن EF7 بنزيني کلاس 19 سفيد دو پوششه  شناسه خودرو  مبلغ پایه  قيمت برنده  جایگاه  NF150301  3,850,000,000    192</t>
  </si>
  <si>
    <t>ردیف: 277  پژو 207i اتوماتيک با موتور TU5P  کلاس 1 سفيد دو پوششه  شناسه خودرو  مبلغ پایه  قيمت برنده  جایگاه  MJ500041  6,200,000,000    342</t>
  </si>
  <si>
    <t>ردیف: 293  پژو 207i اتوماتيک با موتور TU5P  کلاس 3 سفيد دو پوششه  شناسه خودرو  مبلغ پایه  قيمت برنده  جایگاه  NJ240901  5,950,000,000    358</t>
  </si>
  <si>
    <t>ردیف: 304  پژو 207i اتوماتيک با موتور TU5P  کلاس 3 سفيد دو پوششه  شناسه خودرو  مبلغ پایه  قيمت برنده  جایگاه  NJ240622  5,900,000,000    369</t>
  </si>
  <si>
    <t>ردیف: 322  پژو 207i دستي کلاس 10 سفيد دو پوششه  شناسه خودرو  مبلغ پایه  قيمت برنده  جایگاه  NJ353385  5,250,000,000    387</t>
  </si>
  <si>
    <t>ردیف: 334  پژو 207i دستي کلاس 10 آبي كاسپين  شناسه خودرو  مبلغ پایه  قيمت برنده  جایگاه  NJ355977  5,200,000,000    399</t>
  </si>
  <si>
    <t>ردیف: 358  هايماS7 توربو اتوماتيك كلاس2 سفيد دو پوششه  شناسه خودرو  مبلغ پایه  قيمت برنده  جایگاه  NY064405  11,300,000,000    425</t>
  </si>
  <si>
    <t>ردیف: 497  دنا پلاس اتوماتيك با موتور EF7_TC كلاس2 سفيد دو پوششه  شناسه خودرو  مبلغ پایه  قيمت برنده  جایگاه  ME411466  6,000,000,000    587</t>
  </si>
  <si>
    <t>ردیف: 76  دنا پلاس توربو شارژ کلاس 6 مشكي متاليك  شناسه خودرو  مبلغ پایه  قيمت برنده  جایگاه  NE490804  5,900,000,000    118</t>
  </si>
  <si>
    <t>ردیف: 105  دنا پلاس توربو شارژ کلاس 6 سفيد دوپوششه كانزاي  شناسه خودرو  مبلغ پایه  قيمت برنده  جایگاه  NE491380  5,950,000,000    147</t>
  </si>
  <si>
    <t>ردیف: 165  سورن EF7 بنزيني کلاس 19 سفيد دوپوششه كانزاي  شناسه خودرو  مبلغ پایه  قيمت برنده  جایگاه  MF918856  3,700,000,000    220</t>
  </si>
  <si>
    <t>ردیف: 272  پژو 207i اتوماتيک با موتور TU5P  کلاس 1 سفيد دو پوششه  شناسه خودرو  مبلغ پایه  قيمت برنده  جایگاه  MJ500032  6,200,000,000    337</t>
  </si>
  <si>
    <t>ردیف: 419  پژو 207i دستي كلاس 6 سفيد دو پوششه  شناسه خودرو  مبلغ پایه  قيمت برنده  جایگاه  NJ368030  4,950,000,000    486</t>
  </si>
  <si>
    <t>ردیف: 429  پژو پارس سال با موتور XU7 P کلاس 3 سفيد دو پوششه  شناسه خودرو  مبلغ پایه  قيمت برنده  جایگاه  NH920165  3,700,000,000    506</t>
  </si>
  <si>
    <t>ردیف: 109  دنا پلاس اتوماتيك با موتور EF7_TC كلاس2 مشكي متاليك  شناسه خودرو  مبلغ پایه  قيمت برنده  جایگاه  NE549905  6,300,000,000    151</t>
  </si>
  <si>
    <t>ردیف: 118  دنا پلاس اتوماتيك با موتور EF7_TC كلاس2 تيتانيوم  شناسه خودرو  مبلغ پایه  قيمت برنده  جایگاه  NE711341  6,330,000,000    160</t>
  </si>
  <si>
    <t>ردیف: 168  سورن EF7 بنزيني کلاس 23 آبي كبود متاليك  شناسه خودرو  مبلغ پایه  قيمت برنده  جایگاه  NF152777  4,150,000,000    230</t>
  </si>
  <si>
    <t>ردیف: 294  پژو 207i اتوماتيک با موتور TU5P  کلاس 3 سفيد دو پوششه  شناسه خودرو  مبلغ پایه  قيمت برنده  جایگاه  NJ240566  5,950,000,000    359</t>
  </si>
  <si>
    <t>ردیف: 326  پژو 207i دستي کلاس 10 مشكي متاليك  شناسه خودرو  مبلغ پایه  قيمت برنده  جایگاه  NJ930530  5,250,000,000    391</t>
  </si>
  <si>
    <t>ردیف: 349  پژو 207i دستي کلاس 10 سفيد دو پوششه  شناسه خودرو  مبلغ پایه  قيمت برنده  جایگاه  MJ229462  5,100,000,000    414</t>
  </si>
  <si>
    <t>ردیف: 368  هايما S5 توربو اتوماتيک کلاس 1 سفيد دو پوششه  شناسه خودرو  مبلغ پایه  قيمت برنده  جایگاه  NY074597  10,000,000,000    435</t>
  </si>
  <si>
    <t>ردیف: 426  پژو 206 معمولي كلاس 31 سفيد دو پوششه  شناسه خودرو  مبلغ پایه  قيمت برنده  جایگاه  NJ301246  3,700,000,000    493</t>
  </si>
  <si>
    <t>ردیف: 66  دنا پلاس توربو شارژ کلاس 6 مشكي متاليك  شناسه خودرو  مبلغ پایه  قيمت برنده  جایگاه  NE490650  5,900,000,000    108</t>
  </si>
  <si>
    <t>ردیف: 75  دنا پلاس توربو شارژ کلاس 6 مشكي متاليك  شناسه خودرو  مبلغ پایه  قيمت برنده  جایگاه  NE490656  5,850,000,000    117</t>
  </si>
  <si>
    <t>ردیف: 123  رانا کلاس 15 سفيد دو پوششه  شناسه خودرو  مبلغ پایه  قيمت برنده  جایگاه  NT441847  3,700,000,000    165</t>
  </si>
  <si>
    <t>ردیف: 329  پژو 207i دستي کلاس 10 سفيد دو پوششه  شناسه خودرو  مبلغ پایه  قيمت برنده  جایگاه  NJ932774  5,250,000,000    394</t>
  </si>
  <si>
    <t>ردیف: 417  پژو 207i دستي کلاس 10 سفيد دو پوششه  شناسه خودرو  مبلغ پایه  قيمت برنده  جایگاه  NJ921713  5,300,000,000    484</t>
  </si>
  <si>
    <t>ردیف: 125  رانا کلاس 15 سفيد دو پوششه  شناسه خودرو  مبلغ پایه  قيمت برنده  جایگاه  NT368880  3,680,000,000    167</t>
  </si>
  <si>
    <t>ردیف: 256  پژو 207i اتوماتيک با موتور TU5P  کلاس 1 سفيد دو پوششه  شناسه خودرو  مبلغ پایه  قيمت برنده  جایگاه  MJ500021  6,200,000,000    321</t>
  </si>
  <si>
    <t>ردیف: 418  پژو 207i دستي كلاس 6 سفيد دو پوششه  شناسه خودرو  مبلغ پایه  قيمت برنده  جایگاه  NJ937974  4,950,000,000    485</t>
  </si>
  <si>
    <t>ردیف: 490  وانت آريسان دوگانه سوز كلاس 4 سفيد دو پوششه  شناسه خودرو  مبلغ پایه  قيمت برنده  جایگاه  LC103573  2,250,000,000    580</t>
  </si>
  <si>
    <t>ردیف: 122  رانا کلاس 15 سفيد دو پوششه  شناسه خودرو  مبلغ پایه  قيمت برنده  جایگاه  NT377093  3,650,000,000    164</t>
  </si>
  <si>
    <t>ردیف: 206  تارا اتوماتيک کلاس 1  سبز دريايي متاليك  شناسه خودرو  مبلغ پایه  قيمت برنده  جایگاه  MD920406  6,200,000,000    271</t>
  </si>
  <si>
    <t>ردیف: 224  تارا دستي کلاس 1 خاكستري متاليك  شناسه خودرو  مبلغ پایه  قيمت برنده  جایگاه  ND935990  5,150,000,000    289</t>
  </si>
  <si>
    <t>ردیف: 383  پژو 207i اتوماتيک با موتور TU5P  کلاس 2 سفيد دو پوششه  شناسه خودرو  مبلغ پایه  قيمت برنده  جایگاه  MJ500124  5,450,000,000    450</t>
  </si>
  <si>
    <t>ردیف: 24  دنا پلاس توربو شارژ کلاس 6 سفيد دوپوششه كانزاي  شناسه خودرو  مبلغ پایه  قيمت برنده  جایگاه  ME365822  5,650,000,000    66</t>
  </si>
  <si>
    <t>ردیف: 91  دنا پلاس توربو شارژ کلاس 6 مشكي متاليك  شناسه خودرو  مبلغ پایه  قيمت برنده  جایگاه  NE490773  5,900,000,000    133</t>
  </si>
  <si>
    <t>ردیف: 299  پژو 207i اتوماتيک با موتور TU5P  کلاس 3 سفيد دو پوششه  شناسه خودرو  مبلغ پایه  قيمت برنده  جایگاه  NJ241297  5,850,000,000    364</t>
  </si>
  <si>
    <t>ردیف: 320  پژو 207i دستي کلاس 10 سفيد دو پوششه  شناسه خودرو  مبلغ پایه  قيمت برنده  جایگاه  NJ356715  5,250,000,000    385</t>
  </si>
  <si>
    <t>ردیف: 112  دنا پلاس اتوماتيك با موتور EF7_TC كلاس2 مشكي متاليك  شناسه خودرو  مبلغ پایه  قيمت برنده  جایگاه  NE712296  6,330,000,000    154</t>
  </si>
  <si>
    <t>ردیف: 132  سورن EF7 بنزيني کلاس 19 سفيد دو پوششه  شناسه خودرو  مبلغ پایه  قيمت برنده  جایگاه  NF165313  3,850,000,000    174</t>
  </si>
  <si>
    <t>ردیف: 186  سورن EF7 بنزيني کلاس 23 مشكي متاليك  شناسه خودرو  مبلغ پایه  قيمت برنده  جایگاه  NF160261  4,150,000,000    251</t>
  </si>
  <si>
    <t>ردیف: 325  پژو 207i دستي کلاس 10 مشكي متاليك (آبنوس)  شناسه خودرو  مبلغ پایه  قيمت برنده  جایگاه  NJ354175  5,250,000,000    390</t>
  </si>
  <si>
    <t>ردیف: 354  هايماS7 توربو اتوماتيك كلاس2 سفيد دو پوششه  شناسه خودرو  مبلغ پایه  قيمت برنده  جایگاه  NY066163  11,100,000,000    421</t>
  </si>
  <si>
    <t>ردیف: 369  هايما S5 توربو اتوماتيک کلاس 1 سفيد دو پوششه  شناسه خودرو  مبلغ پایه  قيمت برنده  جایگاه  MY040742  9,350,000,000    436</t>
  </si>
  <si>
    <t>ردیف: 373  هايما S5 توربو اتوماتيک کلاس 1 مشكي متاليك  شناسه خودرو  مبلغ پایه  قيمت برنده  جایگاه  NY073964  9,850,000,000    440</t>
  </si>
  <si>
    <t>ردیف: 392  پژو 207i اتوماتيک با موتور TU5P  کلاس 2 سفيد دو پوششه  شناسه خودرو  مبلغ پایه  قيمت برنده  جایگاه  MJ500108  5,450,000,000    459</t>
  </si>
  <si>
    <t>ردیف: 404  پژو 207i اتوماتيک با موتور TU5P  کلاس 2 سفيد دو پوششه  شناسه خودرو  مبلغ پایه  قيمت برنده  جایگاه  NJ248278  5,650,000,000    471</t>
  </si>
  <si>
    <t>ردیف: 450  پژو پارس TU5 كلاس20 سفيد دو پوششه  شناسه خودرو  مبلغ پایه  قيمت برنده  جایگاه  NH872281  4,350,000,000    531</t>
  </si>
  <si>
    <t>ردیف: 489  وانت آريسان دوگانه سوز كلاس 4 سفيد دو پوششه  شناسه خودرو  مبلغ پایه  قيمت برنده  جایگاه  LC103630  2,100,000,000    579</t>
  </si>
  <si>
    <t>ردیف: 115  دنا پلاس اتوماتيك با موتور EF7_TC كلاس2 سفيد دوپوششه كانزاي  شناسه خودرو  مبلغ پایه  قيمت برنده  جایگاه  NE576335  6,330,000,000    157</t>
  </si>
  <si>
    <t>ردیف: 126  رانا کلاس 15 سفيد دو پوششه  شناسه خودرو  مبلغ پایه  قيمت برنده  جایگاه  NT376184  3,650,000,000    168</t>
  </si>
  <si>
    <t>ردیف: 134  سورن EF7 بنزيني کلاس 19 سفيد دو پوششه  شناسه خودرو  مبلغ پایه  قيمت برنده  جایگاه  NF165225  3,900,000,000    177</t>
  </si>
  <si>
    <t>ردیف: 142  سورن EF7 بنزيني کلاس 19 سفيد دو پوششه  شناسه خودرو  مبلغ پایه  قيمت برنده  جایگاه  NF159364  3,830,000,000    186</t>
  </si>
  <si>
    <t>ردیف: 385  پژو 207i اتوماتيک با موتور TU5P  کلاس 2 مشكي متاليك  شناسه خودرو  مبلغ پایه  قيمت برنده  جایگاه  NJ249122  5,680,000,000    452</t>
  </si>
  <si>
    <t>ردیف: 394  پژو 207i اتوماتيک با موتور TU5P  کلاس 2 مشكي متاليك  شناسه خودرو  مبلغ پایه  قيمت برنده  جایگاه  NJ240213  5,600,000,000    461</t>
  </si>
  <si>
    <t>ردیف: 420  پژو 207i دستي كلاس 6 سفيد دو پوششه  شناسه خودرو  مبلغ پایه  قيمت برنده  جایگاه  NJ367072  4,900,000,000    487</t>
  </si>
  <si>
    <t>ردیف: 428  پژو 207i اتوماتيک با موتور TU5P  کلاس 1 سفيد دو پوششه  شناسه خودرو  مبلغ پایه  قيمت برنده  جایگاه  NJ701584  6,300,000,000    495</t>
  </si>
  <si>
    <t>ردیف: 488  وانت آريسان دوگانه سوز كلاس 4 سفيد دو پوششه  شناسه خودرو  مبلغ پایه  قيمت برنده  جایگاه  LC104162  2,250,000,000    578</t>
  </si>
  <si>
    <t>ردیف: 63  دنا پلاس توربو شارژ کلاس 6 خاكستري متاليك  شناسه خودرو  مبلغ پایه  قيمت برنده  جایگاه  NE490729  5,900,000,000    105</t>
  </si>
  <si>
    <t>ردیف: 88  دنا پلاس توربو شارژ کلاس 6 مشكي متاليك  شناسه خودرو  مبلغ پایه  قيمت برنده  جایگاه  NE490828  5,900,000,000    130</t>
  </si>
  <si>
    <t>ردیف: 173  سورن EF7 بنزيني کلاس 23 آبي كبود متاليك  شناسه خودرو  مبلغ پایه  قيمت برنده  جایگاه  NF152813  4,100,000,000    235</t>
  </si>
  <si>
    <t>ردیف: 291  پژو 207i اتوماتيک با موتور TU5P  کلاس 3 سفيد دو پوششه  شناسه خودرو  مبلغ پایه  قيمت برنده  جایگاه  NJ240811  5,950,000,000    356</t>
  </si>
  <si>
    <t>ردیف: 330  پژو 207i دستي کلاس 10 خاكستري متاليك  شناسه خودرو  مبلغ پایه  قيمت برنده  جایگاه  NJ356853  5,250,000,000    395</t>
  </si>
  <si>
    <t>ردیف: 350  پژو 207i دستي کلاس 10 سفيد دو پوششه  شناسه خودرو  مبلغ پایه  قيمت برنده  جایگاه  MJ225712  5,100,000,000    415</t>
  </si>
  <si>
    <t>ردیف: 438  پژو پارس TU5 كلاس20 سفيد دوپوششه كانزاي  شناسه خودرو  مبلغ پایه  قيمت برنده  جایگاه  NK184237  4,250,000,000    519</t>
  </si>
  <si>
    <t>ردیف: 456  پژو پارس TU5 كلاس20 سفيد دو پوششه  شناسه خودرو  مبلغ پایه  قيمت برنده  جایگاه  NK695358  4,570,000,000    537</t>
  </si>
  <si>
    <t>ردیف: 491  وانت آريسان دوگانه سوز كلاس 4 سفيد دو پوششه  شناسه خودرو  مبلغ پایه  قيمت برنده  جایگاه  LC103580  2,250,000,000    581</t>
  </si>
  <si>
    <t>ردیف: 48  دنا پلاس توربو شارژ کلاس 6 مشكي متاليك  شناسه خودرو  مبلغ پایه  قيمت برنده  جایگاه  NE490514  5,900,000,000    90</t>
  </si>
  <si>
    <t>ردیف: 60  دنا پلاس توربو شارژ کلاس 6 سفيد دوپوششه كانزاي  شناسه خودرو  مبلغ پایه  قيمت برنده  جایگاه  NE490011  5,900,000,000    102</t>
  </si>
  <si>
    <t>ردیف: 140  سورن EF7 بنزيني کلاس 19 خاكستري متال  شناسه خودرو  مبلغ پایه  قيمت برنده  جایگاه  NF245587  3,950,000,000    184</t>
  </si>
  <si>
    <t>ردیف: 169  سورن EF7 بنزيني کلاس 23 خاكستري متال  شناسه خودرو  مبلغ پایه  قيمت برنده  جایگاه  NF152225  4,150,000,000    231</t>
  </si>
  <si>
    <t>ردیف: 217  تارا دستي کلاس 1 مشكي متاليك (آبنوس)  شناسه خودرو  مبلغ پایه  قيمت برنده  جایگاه  ND936239  5,100,000,000    282</t>
  </si>
  <si>
    <t>ردیف: 423  پژو 207i دستي كلاس 6 سفيد دو پوششه  شناسه خودرو  مبلغ پایه  قيمت برنده  جایگاه  NJ937131  4,900,000,000    490</t>
  </si>
  <si>
    <t>ردیف: 427  پژو 206 معمولي كلاس 31 سفيد دو پوششه  شناسه خودرو  مبلغ پایه  قيمت برنده  جایگاه  NJ298189  3,700,000,000    494</t>
  </si>
  <si>
    <t>ردیف: 171  سورن EF7 بنزيني کلاس 23 سفيد دو پوششه  شناسه خودرو  مبلغ پایه  قيمت برنده  جایگاه  NF150276  4,150,000,000    233</t>
  </si>
  <si>
    <t>ردیف: 175  سورن EF7 بنزيني کلاس 23 سفيد دو پوششه  شناسه خودرو  مبلغ پایه  قيمت برنده  جایگاه  NF154294  4,150,000,000    237</t>
  </si>
  <si>
    <t>ردیف: 178  سورن EF7 بنزيني کلاس 23 سفيد دو پوششه  شناسه خودرو  مبلغ پایه  قيمت برنده  جایگاه  NF166867  4,100,000,000    241</t>
  </si>
  <si>
    <t>ردیف: 204  تارا اتوماتيک کلاس 1  سفيد دو پوششه  شناسه خودرو  مبلغ پایه  قيمت برنده  جایگاه  ND942507  6,300,000,000    269</t>
  </si>
  <si>
    <t>ردیف: 301  پژو 207i اتوماتيک با موتور TU5P  کلاس 3 سفيد دو پوششه  شناسه خودرو  مبلغ پایه  قيمت برنده  جایگاه  NJ240663  5,950,000,000    366</t>
  </si>
  <si>
    <t>ردیف: 308  پژو 207i اتوماتيک با موتور TU5P  کلاس 3 سفيد دو پوششه  شناسه خودرو  مبلغ پایه  قيمت برنده  جایگاه  NJ240520  5,900,000,000    373</t>
  </si>
  <si>
    <t>ردیف: 309  پژو 207i اتوماتيک با موتور TU5P  کلاس 3 سفيد دو پوششه  شناسه خودرو  مبلغ پایه  قيمت برنده  جایگاه  NJ240626  5,950,000,000    374</t>
  </si>
  <si>
    <t>ردیف: 396  پژو 207i اتوماتيک با موتور TU5P  کلاس 2 مشكي متاليك  شناسه خودرو  مبلغ پایه  قيمت برنده  جایگاه  NJ240251  5,700,000,000    463</t>
  </si>
  <si>
    <t>ردیف: 433  پژو پارس سال با موتور XU7 P کلاس 2 سفيد دو پوششه  شناسه خودرو  مبلغ پایه  قيمت برنده  جایگاه  NH924974  3,930,000,000    512</t>
  </si>
  <si>
    <t>ردیف: 492  پژو پارس TU5 كلاس20 سفيد دو پوششه  شناسه خودرو  مبلغ پایه  قيمت برنده  جایگاه  NH218283  4,450,000,000    582</t>
  </si>
  <si>
    <t>ردیف: 85  دنا پلاس توربو شارژ کلاس 6 نقره اي متاليك  شناسه خودرو  مبلغ پایه  قيمت برنده  جایگاه  NE493595  5,900,000,000    127</t>
  </si>
  <si>
    <t>ردیف: 107  دنا پلاس توربو شارژ کلاس 6 سفيد دو پوششه  شناسه خودرو  مبلغ پایه  قيمت برنده  جایگاه  NE491371  5,950,000,000    149</t>
  </si>
  <si>
    <t>ردیف: 243  پژو 207i اتوماتيک با موتور TU5P  کلاس 1 سفيد دو پوششه  شناسه خودرو  مبلغ پایه  قيمت برنده  جایگاه  MJ500058  6,200,000,000    308</t>
  </si>
  <si>
    <t>ردیف: 292  پژو 207i اتوماتيک با موتور TU5P  کلاس 3 سفيد دو پوششه  شناسه خودرو  مبلغ پایه  قيمت برنده  جایگاه  NJ240696  5,950,000,000    357</t>
  </si>
  <si>
    <t>ردیف: 303  پژو 207i اتوماتيک با موتور TU5P  کلاس 3 سفيد دو پوششه  شناسه خودرو  مبلغ پایه  قيمت برنده  جایگاه  NJ240684  5,900,000,000    368</t>
  </si>
  <si>
    <t>ردیف: 306  پژو 207i اتوماتيک با موتور TU5P  کلاس 3 سفيد دو پوششه  شناسه خودرو  مبلغ پایه  قيمت برنده  جایگاه  NJ240575  5,950,000,000    371</t>
  </si>
  <si>
    <t>ردیف: 370  هايما S5 توربو اتوماتيک کلاس 1 ذغالي متاليك  شناسه خودرو  مبلغ پایه  قيمت برنده  جایگاه  MY040903  9,350,000,000    437</t>
  </si>
  <si>
    <t>ردیف: 415  پژو 207i دستي کلاس 10 مشكي متاليك (آبنوس)  شناسه خودرو  مبلغ پایه  قيمت برنده  جایگاه  NJ352668  5,250,000,000    482</t>
  </si>
  <si>
    <t>ردیف: 457  پژو پارس TU5 كلاس20 سفيد دو پوششه  شناسه خودرو  مبلغ پایه  قيمت برنده  جایگاه  NH485754  4,600,000,000    538</t>
  </si>
  <si>
    <t>ردیف: 61  دنا پلاس توربو شارژ کلاس 6 خاكستري متاليك  شناسه خودرو  مبلغ پایه  قيمت برنده  جایگاه  NE493573  5,900,000,000    103</t>
  </si>
  <si>
    <t>ردیف: 77  دنا پلاس توربو شارژ کلاس 6 مشكي متاليك  شناسه خودرو  مبلغ پایه  قيمت برنده  جایگاه  NE490183  5,900,000,000    119</t>
  </si>
  <si>
    <t>ردیف: 80  دنا پلاس توربو شارژ کلاس 6 سفيد دو پوششه  شناسه خودرو  مبلغ پایه  قيمت برنده  جایگاه  NE490332  5,900,000,000    122</t>
  </si>
  <si>
    <t>ردیف: 103  دنا پلاس توربو شارژ کلاس 6 سفيد دوپوششه كانزاي  شناسه خودرو  مبلغ پایه  قيمت برنده  جایگاه  NE491383  5,950,000,000    145</t>
  </si>
  <si>
    <t>ردیف: 121  رانا کلاس 15 سفيد دو پوششه  شناسه خودرو  مبلغ پایه  قيمت برنده  جایگاه  NT377861  3,650,000,000    163</t>
  </si>
  <si>
    <t>ردیف: 148  سورن EF7 بنزيني کلاس 19 سفيد دو پوششه  شناسه خودرو  مبلغ پایه  قيمت برنده  جایگاه  NF157643  3,850,000,000    194</t>
  </si>
  <si>
    <t>ردیف: 160  سورن EF7 بنزيني کلاس 22 سفيد دو پوششه  شناسه خودرو  مبلغ پایه  قيمت برنده  جایگاه  NF236798  4,270,000,000    215</t>
  </si>
  <si>
    <t>ردیف: 212  تارا اتوماتيک کلاس 1  سفيد دوپوششه كانزاي  شناسه خودرو  مبلغ پایه  قيمت برنده  جایگاه  MD920100  6,200,000,000    277</t>
  </si>
  <si>
    <t>ردیف: 297  پژو 207i اتوماتيک با موتور TU5P  کلاس 3 سفيد دو پوششه  شناسه خودرو  مبلغ پایه  قيمت برنده  جایگاه  NJ241081  5,950,000,000    362</t>
  </si>
  <si>
    <t>ردیف: 346  پژو 207i دستي کلاس 10 مشكي متاليك  شناسه خودرو  مبلغ پایه  قيمت برنده  جایگاه  MJ227233  5,100,000,000    411</t>
  </si>
  <si>
    <t>ردیف: 422  پژو 207i دستي کلاس 11 سفيد دو پوششه  شناسه خودرو  مبلغ پایه  قيمت برنده  جایگاه  NJ935521  4,950,000,000    489</t>
  </si>
  <si>
    <t>ردیف: 496  دنا پلاس اتوماتيك با موتور EF7_TC كلاس2 مشكي متاليك  شناسه خودرو  مبلغ پایه  قيمت برنده  جایگاه  ME411012  6,000,000,000    586</t>
  </si>
  <si>
    <t>ردیف: 67  دنا پلاس توربو شارژ کلاس 6 مشكي متاليك  شناسه خودرو  مبلغ پایه  قيمت برنده  جایگاه  NE490555  5,850,000,000    109</t>
  </si>
  <si>
    <t>ردیف: 70  دنا پلاس توربو شارژ کلاس 6 سفيد دو پوششه  شناسه خودرو  مبلغ پایه  قيمت برنده  جایگاه  NE490149  5,900,000,000    112</t>
  </si>
  <si>
    <t>ردیف: 73  دنا پلاس توربو شارژ کلاس 6 سفيد دو پوششه  شناسه خودرو  مبلغ پایه  قيمت برنده  جایگاه  NE490077  5,900,000,000    115</t>
  </si>
  <si>
    <t>ردیف: 402  پژو 207i اتوماتيک با موتور TU5P  کلاس 2 مشكي متاليك  شناسه خودرو  مبلغ پایه  قيمت برنده  جایگاه  MJ500131  5,450,000,000    469</t>
  </si>
  <si>
    <t>ردیف: 405  پژو 207i اتوماتيک با موتور TU5P  کلاس 2 مشكي متاليك  شناسه خودرو  مبلغ پایه  قيمت برنده  جایگاه  MJ500136  5,450,000,000    472</t>
  </si>
  <si>
    <t>ردیف: 461  پژو پارس TU5 كلاس20 سفيد دو پوششه  شناسه خودرو  مبلغ پایه  قيمت برنده  جایگاه  NH487526  4,500,000,000    542</t>
  </si>
  <si>
    <t>ردیف: 487  وانت آريسان دوگانه سوز كلاس 4 سفيد دو پوششه  شناسه خودرو  مبلغ پایه  قيمت برنده  جایگاه  LC103655  2,250,000,000    577</t>
  </si>
  <si>
    <t>ردیف: 494  دنا پلاس توربو شارژ کلاس 6 مشكي متاليك  شناسه خودرو  مبلغ پایه  قيمت برنده  جایگاه  NE490181  5,600,000,000    584</t>
  </si>
  <si>
    <t>ردیف: 1  دنا+ (پلاس) کلاس 17 مشكي متاليك  شناسه خودرو  مبلغ پایه  قيمت برنده  جایگاه  NE529873  5,450,000,000    43</t>
  </si>
  <si>
    <t>ردیف: 47  دنا پلاس توربو شارژ کلاس 6 سفيد دو پوششه  شناسه خودرو  مبلغ پایه  قيمت برنده  جایگاه  NE490864  5,900,000,000    89</t>
  </si>
  <si>
    <t>ردیف: 54  دنا پلاس توربو شارژ کلاس 6 خاكستري متاليك  شناسه خودرو  مبلغ پایه  قيمت برنده  جایگاه  NE493452  5,850,000,000    96</t>
  </si>
  <si>
    <t>ردیف: 56  دنا پلاس توربو شارژ کلاس 6 سفيد دو پوششه  شناسه خودرو  مبلغ پایه  قيمت برنده  جایگاه  NE490851  5,900,000,000    98</t>
  </si>
  <si>
    <t>ردیف: 83  دنا پلاس توربو شارژ کلاس 6 سفيد دو پوششه  شناسه خودرو  مبلغ پایه  قيمت برنده  جایگاه  NE490430  5,900,000,000    125</t>
  </si>
  <si>
    <t>ردیف: 96  دنا پلاس توربو شارژ کلاس 6 مشكي متاليك  شناسه خودرو  مبلغ پایه  قيمت برنده  جایگاه  NE490824  5,900,000,000    138</t>
  </si>
  <si>
    <t>ردیف: 106  دنا پلاس توربو شارژ کلاس 6 سفيد دوپوششه كانزاي  شناسه خودرو  مبلغ پایه  قيمت برنده  جایگاه  NE491379  5,950,000,000    148</t>
  </si>
  <si>
    <t>ردیف: 167  سورن EF7 بنزيني کلاس 23 خاكستري متال  شناسه خودرو  مبلغ پایه  قيمت برنده  جایگاه  NF152248  4,150,000,000    229</t>
  </si>
  <si>
    <t>ردیف: 455  پژو پارس TU5 كلاس20 سفيد دو پوششه  شناسه خودرو  مبلغ پایه  قيمت برنده  جایگاه  NH483952  4,600,000,000    536</t>
  </si>
  <si>
    <t>ردیف: 459  پژو پارس TU5 كلاس20 سفيد دو پوششه  شناسه خودرو  مبلغ پایه  قيمت برنده  جایگاه  NH877076  4,600,000,000    540</t>
  </si>
  <si>
    <t>ردیف: 518  سورن EF7 بنزيني کلاس 23 سفيد دو پوششه  شناسه خودرو  مبلغ پایه  قيمت برنده  جایگاه  NF155903  4,100,000,000    611</t>
  </si>
  <si>
    <t>ردیف: 98  دنا پلاس توربو شارژ کلاس 6 خاكستري متاليك  شناسه خودرو  مبلغ پایه  قيمت برنده  جایگاه  NE490590  5,900,000,000    140</t>
  </si>
  <si>
    <t>ردیف: 100  دنا پلاس توربو شارژ کلاس 6 سفيد دو پوششه  شناسه خودرو  مبلغ پایه  قيمت برنده  جایگاه  NE491370  5,950,000,000    142</t>
  </si>
  <si>
    <t>ردیف: 238  تارا دستي کلاس 1 نقره اي متاليك  شناسه خودرو  مبلغ پایه  قيمت برنده  جایگاه  ND934792  5,100,000,000    303</t>
  </si>
  <si>
    <t>ردیف: 296  پژو 207i اتوماتيک با موتور TU5P  کلاس 3 سفيد دو پوششه  شناسه خودرو  مبلغ پایه  قيمت برنده  جایگاه  NJ240653  5,950,000,000    361</t>
  </si>
  <si>
    <t>ردیف: 92  دنا پلاس توربو شارژ کلاس 6 مشكي متاليك  شناسه خودرو  مبلغ پایه  قيمت برنده  جایگاه  NE490124  5,950,000,000    134</t>
  </si>
  <si>
    <t>ردیف: 101  دنا پلاس توربو شارژ کلاس 6 سفيد دوپوششه كانزاي  شناسه خودرو  مبلغ پایه  قيمت برنده  جایگاه  NE491385  5,950,000,000    143</t>
  </si>
  <si>
    <t>ردیف: 114  دنا پلاس اتوماتيك با موتور EF7_TC كلاس2 مشكي متاليك  شناسه خودرو  مبلغ پایه  قيمت برنده  جایگاه  NE548102  6,250,000,000    156</t>
  </si>
  <si>
    <t>ردیف: 128  رانا پلاس با موتور TU5P و گيربکس 6 سرعته دستي کلاس 3 خاكستري متاليك  شناسه خودرو  مبلغ پایه  قيمت برنده  جایگاه  NT346868  4,100,000,000    170</t>
  </si>
  <si>
    <t>ردیف: 479  تارا اتوماتيک کلاس 1  سفيد دو پوششه  شناسه خودرو  مبلغ پایه  قيمت برنده  جایگاه  ND943417  6,050,000,000    566</t>
  </si>
  <si>
    <t>ردیف: 84  دنا پلاس توربو شارژ کلاس 6 مشكي متاليك  شناسه خودرو  مبلغ پایه  قيمت برنده  جایگاه  NE490176  5,950,000,000    126</t>
  </si>
  <si>
    <t>ردیف: 90  دنا پلاس توربو شارژ کلاس 6 مشكي متاليك  شناسه خودرو  مبلغ پایه  قيمت برنده  جایگاه  NE490549  5,900,000,000    132</t>
  </si>
  <si>
    <t>ردیف: 205  تارا اتوماتيک کلاس 1  مشكي متاليك (آبنوس)  شناسه خودرو  مبلغ پایه  قيمت برنده  جایگاه  ND943372  6,300,000,000    270</t>
  </si>
  <si>
    <t>ردیف: 218  تارا دستي کلاس 1 خاكستري متاليك  شناسه خودرو  مبلغ پایه  قيمت برنده  جایگاه  ND933857  5,150,000,000    283</t>
  </si>
  <si>
    <t>ردیف: 307  پژو 207i اتوماتيک با موتور TU5P  کلاس 3 سفيد دو پوششه  شناسه خودرو  مبلغ پایه  قيمت برنده  جایگاه  NJ240801  5,950,000,000    372</t>
  </si>
  <si>
    <t>ردیف: 43  دنا پلاس توربو شارژ کلاس 6 خاكستري متاليك  شناسه خودرو  مبلغ پایه  قيمت برنده  جایگاه  NE490582  5,900,000,000    85</t>
  </si>
  <si>
    <t>ردیف: 44  دنا پلاس توربو شارژ کلاس 6 خاكستري متاليك  شناسه خودرو  مبلغ پایه  قيمت برنده  جایگاه  NE490594  5,900,000,000    86</t>
  </si>
  <si>
    <t>ردیف: 52  دنا پلاس توربو شارژ کلاس 6 سفيد دو پوششه  شناسه خودرو  مبلغ پایه  قيمت برنده  جایگاه  NE490350  5,950,000,000    94</t>
  </si>
  <si>
    <t>ردیف: 57  دنا پلاس توربو شارژ کلاس 6 مشكي متاليك  شناسه خودرو  مبلغ پایه  قيمت برنده  جایگاه  NE491013  5,900,000,000    99</t>
  </si>
  <si>
    <t>ردیف: 82  دنا پلاس توربو شارژ کلاس 6 مشكي متاليك  شناسه خودرو  مبلغ پایه  قيمت برنده  جایگاه  NE490177  5,900,000,000    124</t>
  </si>
  <si>
    <t>ردیف: 87  دنا پلاس توربو شارژ کلاس 6 مشكي متاليك  شناسه خودرو  مبلغ پایه  قيمت برنده  جایگاه  NE490981  5,900,000,000    129</t>
  </si>
  <si>
    <t>ردیف: 389  پژو 207i اتوماتيک با موتور TU5P  کلاس 2 مشكي متاليك  شناسه خودرو  مبلغ پایه  قيمت برنده  جایگاه  NJ245046  5,700,000,000    456</t>
  </si>
  <si>
    <t>ردیف: 425  پژو 206 معمولي كلاس 31 سفيد دو پوششه  شناسه خودرو  مبلغ پایه  قيمت برنده  جایگاه  NJ313892  3,700,000,000    492</t>
  </si>
  <si>
    <t>ردیف: 442  پژو پارس TU5 كلاس20 سفيد دو پوششه  شناسه خودرو  مبلغ پایه  قيمت برنده  جایگاه  NH480604  4,400,000,000    523</t>
  </si>
  <si>
    <t>ردیف: 453  پژو پارس TU5 كلاس20 سفيد دو پوششه  شناسه خودرو  مبلغ پایه  قيمت برنده  جایگاه  NH481017  4,500,000,000    534</t>
  </si>
  <si>
    <t>ردیف: 51  دنا پلاس توربو شارژ کلاس 6 مشكي متاليك  شناسه خودرو  مبلغ پایه  قيمت برنده  جایگاه  NE490765  5,850,000,000    93</t>
  </si>
  <si>
    <t>ردیف: 69  دنا پلاس توربو شارژ کلاس 6 سفيد دو پوششه  شناسه خودرو  مبلغ پایه  قيمت برنده  جایگاه  NE490304  5,850,000,000    111</t>
  </si>
  <si>
    <t>ردیف: 94  دنا پلاس توربو شارژ کلاس 6 مشكي متاليك  شناسه خودرو  مبلغ پایه  قيمت برنده  جایگاه  NE490609  5,900,000,000    136</t>
  </si>
  <si>
    <t>ردیف: 458  پژو پارس TU5 كلاس20 سفيد دو پوششه  شناسه خودرو  مبلغ پایه  قيمت برنده  جایگاه  NH484526  4,500,000,000    539</t>
  </si>
  <si>
    <t>ردیف: 79  دنا پلاس توربو شارژ کلاس 6 خاكستري متاليك  شناسه خودرو  مبلغ پایه  قيمت برنده  جایگاه  NE490581  5,950,000,000    121</t>
  </si>
  <si>
    <t>ردیف: 452  پژو پارس TU5 كلاس20 سفيد دو پوششه  شناسه خودرو  مبلغ پایه  قيمت برنده  جایگاه  NH868448  4,450,000,000    533</t>
  </si>
  <si>
    <t>ردیف: 484  تارا اتوماتيک کلاس 1  نقره اي متاليك  شناسه خودرو  مبلغ پایه  قيمت برنده  جایگاه  ND943662  6,000,000,000    571</t>
  </si>
  <si>
    <t>ردیف: 447  پژو پارس TU5 كلاس20 سفيد دو پوششه  شناسه خودرو  مبلغ پایه  قيمت برنده  جایگاه  MK143895  4,250,000,000    528</t>
  </si>
  <si>
    <t>ردیف: 499  دنا پلاس توربو شارژ کلاس 6 سفيد دوپوششه كانزاي  شناسه خودرو  مبلغ پایه  قيمت برنده  جایگاه  NE494316  5,200,000,000    589</t>
  </si>
  <si>
    <t>ردیف: 505  پژو 206 معمولي كلاس 31 سفيد دو پوششه  شناسه خودرو  مبلغ پایه  قيمت برنده  جایگاه  NJ303001  2,800,000,000    595</t>
  </si>
  <si>
    <t>ردیف: 443  پژو پارس TU5 كلاس20 سفيد دو پوششه  شناسه خودرو  مبلغ پایه  قيمت برنده  جایگاه  NH217434  4,470,000,000    524</t>
  </si>
  <si>
    <t>ردیف: 444  پژو پارس TU5 كلاس20 سفيد دو پوششه  شناسه خودرو  مبلغ پایه  قيمت برنده  جایگاه  NK194131  4,500,000,000    525</t>
  </si>
  <si>
    <t>ردیف: 536  پژو پارس سال با موتور XU7 P کلاس 3 سفيد دو پوششه  شناسه خودرو  مبلغ پایه  قيمت برنده  جایگاه  NK849194  3,800,000,000    629</t>
  </si>
  <si>
    <t>ردیف: 439  پژو پارس TU5 كلاس20 سفيد دو پوششه  شناسه خودرو  مبلغ پایه  قيمت برنده  جایگاه  NK692082  4,200,000,000    520</t>
  </si>
  <si>
    <t>ردیف: 481  تارا اتوماتيک کلاس 1  خاكستري متاليك  شناسه خودرو  مبلغ پایه  قيمت برنده  جایگاه  MD920015  5,580,000,000    568</t>
  </si>
  <si>
    <t>ردیف: 449  پژو پارس TU5 كلاس20 سفيد دو پوششه  شناسه خودرو  مبلغ پایه  قيمت برنده  جایگاه  NH480307  4,300,000,000    530</t>
  </si>
  <si>
    <t>ردیف: 407  پژو پارس TU5 كلاس20 سفيد دو پوششه  شناسه خودرو  مبلغ پایه  قيمت برنده  جایگاه  LH308375  2,000,000,000    504</t>
  </si>
  <si>
    <t>ردیف: 411  پژو پارس TU5 كلاس20 سفيد دو پوششه  شناسه خودرو  مبلغ پایه  قيمت برنده  جایگاه  NH878722  2,300,000,000    508</t>
  </si>
  <si>
    <t>ردیف: 413  پژو پارس سال با موتور XU7 P کلاس 3 سفيد دوپوششه كانزاي  شناسه خودرو  مبلغ پایه  قيمت برنده  جایگاه  NK848698  3,000,000,000    510</t>
  </si>
  <si>
    <t>ردیف: 431  دنا پلاس اتوماتيك با موتور EF7_TC كلاس2 مشكي متاليك  شناسه خودرو  مبلغ پایه  قيمت برنده  جایگاه  LE240744  3,600,000,000    528</t>
  </si>
  <si>
    <t>ردیف: 469  پژو 207i دستي کلاس 10 مشكي متاليك  شناسه خودرو  مبلغ پایه  قيمت برنده  جایگاه  MJ222394  3,750,000,000    573</t>
  </si>
  <si>
    <t>ردیف: 510  هايما S5 توربو اتوماتيک کلاس 1 مشكي متاليك  شناسه خودرو  مبلغ پایه  قيمت برنده  جایگاه  NY070729  8,150,000,000    620</t>
  </si>
  <si>
    <t>ردیف: 528  پژو 206 معمولي كلاس 30 سفيد دو پوششه  شناسه خودرو  مبلغ پایه  قيمت برنده  جایگاه  JJ568898  2,650,000,000    638</t>
  </si>
  <si>
    <t>ردیف: 479  پژو 206 اس دي 1600 سي سي كلاس 1 نقره اي متاليك  شناسه خودرو  مبلغ پایه  قيمت برنده  جایگاه  18901034  1,000,000,000    583</t>
  </si>
  <si>
    <t>ردیف: 480  پژو 206 اس دي اتوماتيك كلاس‏1  سفيد دوپوششه كانزاي  شناسه خودرو  مبلغ پایه  قيمت برنده  جایگاه  BJ371591  1,580,000,000    584</t>
  </si>
  <si>
    <t>ردیف: 522  پژو  جي ال ايكس انژكتوري كلاس 34 نقره اي متاليك  شناسه خودرو  مبلغ پایه  قيمت برنده  جایگاه  HK141130  1,750,000,000    632</t>
  </si>
  <si>
    <t>ردیف: 529  تندر 90 E1 - 1 Airbag مشكي پرشين متاليك  شناسه خودرو  مبلغ پایه  قيمت برنده  جایگاه  EA232587  2,030,000,000    639</t>
  </si>
  <si>
    <t>ردیف: 521  دنا كلاس 1 خاكستري متاليك  شناسه خودرو  مبلغ پایه  قيمت برنده  جایگاه  FE036932  2,500,000,000    631</t>
  </si>
  <si>
    <t>ردیف: 527  پژو 206 1600 سي سي كلاس 15 سفيد دو پوششه  شناسه خودرو  مبلغ پایه  قيمت برنده  جایگاه  GJ893309  2,200,000,000    637</t>
  </si>
  <si>
    <t>ردیف: 531  سمند - ال ايكس کلاس 35 سفيد دو پوششه  شناسه خودرو  مبلغ پایه  قيمت برنده  جایگاه  DF632510  1,700,000,000    641</t>
  </si>
  <si>
    <t>ردیف: 525  پژو جي ال ايكس دوگانه سوز كلاس 22 خاكستري متاليك  شناسه خودرو  مبلغ پایه  قيمت برنده  جایگاه  ER929373  1,550,000,000    635</t>
  </si>
  <si>
    <t>ردیف: 524  سمند ال ايكسEF7 كلاس 11 سفيد دو پوششه  شناسه خودرو  مبلغ پایه  قيمت برنده  جایگاه  FF504076  2,000,000,000    634</t>
  </si>
  <si>
    <t>ردیف: 526  پژو جي ال ايكس دوگانه سوز كلاس 12 نقره اي متاليك  شناسه خودرو  مبلغ پایه  قيمت برنده  جایگاه  DR931374  1,500,000,000    636</t>
  </si>
  <si>
    <t>ردیف: 474  وانت 1600 انژكتوري معمولي سفيد  شناسه خودرو  مبلغ پایه  قيمت برنده  جایگاه  82901531  400,000,000    578</t>
  </si>
  <si>
    <t>ردیف: 530  پژو  جي ال ايكس انژكتوري كلاس 10 نقره اي متاليك  شناسه خودرو  مبلغ پایه  قيمت برنده  جایگاه  BE033523  1,050,000,000    640</t>
  </si>
  <si>
    <t>ردیف: 478  پژو اس ال ايكس انژكتوري SLX با موتور  TU5 كلاس 5 سفيد دو پوششه  شناسه خودرو  مبلغ پایه  قيمت برنده  جایگاه  DK866159  1,300,000,000    582</t>
  </si>
  <si>
    <t>ردیف: 523  سمند - ال ايكس كلاس 18 خاكستري متاليك  شناسه خودرو  مبلغ پایه  قيمت برنده  جایگاه  BF863334  1,100,000,000    633</t>
  </si>
  <si>
    <t>ردیف: 451  پژو  جي ال ايكس انژكتوري كلاس 2 مشكي متاليك  شناسه خودرو  مبلغ پایه  قيمت برنده  جایگاه  9R287855  500,000,000    555</t>
  </si>
  <si>
    <t>ردیف: 442  دنا پلاس اتوماتيك با موتور EF7_TC كلاس2 خاكستري متال  شناسه خودرو  مبلغ پایه  قيمت برنده  جایگاه  LE241640  4,250,000,000    539</t>
  </si>
  <si>
    <t>ردیف: 477  پژو پارس كلاس 13 خاكستري متاليك  شناسه خودرو  مبلغ پایه  قيمت برنده  جایگاه  DR647873  1,600,000,000    581</t>
  </si>
  <si>
    <t>ردیف: 438  دنا پلاس اتوماتيك با موتور EF7_TC كلاس2 مشكي متاليك  شناسه خودرو  مبلغ پایه  قيمت برنده  جایگاه  LE241054  4,250,000,000    535</t>
  </si>
  <si>
    <t>ردیف: 444  دنا پلاس اتوماتيك با موتور EF7_TC كلاس2 مشكي متاليك  شناسه خودرو  مبلغ پایه  قيمت برنده  جایگاه  LE241333  4,300,000,000    541</t>
  </si>
  <si>
    <t>ردیف: 418  پژو پارس معمولي دوگانه سوز كلاس 14 سفيد دو پوششه  شناسه خودرو  مبلغ پایه  قيمت برنده  جایگاه  FR571312  2,900,000,000    515</t>
  </si>
  <si>
    <t>ردیف: 452  پژو جي ال ايكس دوگانه سوز كلاس 28 زرد دو پوششه ساليد  شناسه خودرو  مبلغ پایه  قيمت برنده  جایگاه  GR663141  900,000,000    556</t>
  </si>
  <si>
    <t>ردیف: 432  دنا پلاس اتوماتيك با موتور EF7_TC كلاس2 مشكي متاليك  شناسه خودرو  مبلغ پایه  قيمت برنده  جایگاه  LE242077  4,350,000,000    529</t>
  </si>
  <si>
    <t>ردیف: 476  وانت پيكان OHV كلاس‏ 20 سفيدشيري  شناسه خودرو  مبلغ پایه  قيمت برنده  جایگاه  31003309  450,000,000    580</t>
  </si>
  <si>
    <t>ردیف: 430  دنا+ (پلاس) كلاس9 سفيد دوپوششه كانزاي  شناسه خودرو  مبلغ پایه  قيمت برنده  جایگاه  KE189399  3,550,000,000    527</t>
  </si>
  <si>
    <t>ردیف: 433  دنا پلاس اتوماتيك با موتور EF7_TC كلاس2 سفيد دوپوششه كانزاي  شناسه خودرو  مبلغ پایه  قيمت برنده  جایگاه  LE241722  4,250,000,000    530</t>
  </si>
  <si>
    <t>ردیف: 462  سورن EF7 بنزيني کلاس 21 سفيد دو پوششه  شناسه خودرو  مبلغ پایه  قيمت برنده  جایگاه  LF652124  2,700,000,000    566</t>
  </si>
  <si>
    <t>ردیف: 435  دنا پلاس اتوماتيك با موتور EF7_TC كلاس2 مشكي متاليك  شناسه خودرو  مبلغ پایه  قيمت برنده  جایگاه  LE241025  4,250,000,000    532</t>
  </si>
  <si>
    <t>ردیف: 491  پژو 206 معمولي كلاس 31 سفيد دو پوششه  شناسه خودرو  مبلغ پایه  قيمت برنده  جایگاه  LJ174107  2,750,000,000    595</t>
  </si>
  <si>
    <t>ردیف: 440  دنا پلاس اتوماتيك با موتور EF7_TC كلاس2 سفيد دو پوششه  شناسه خودرو  مبلغ پایه  قيمت برنده  جایگاه  LE240044  4,200,000,000    537</t>
  </si>
  <si>
    <t>ردیف: 492  تندر 90 E0 A/C نقره اي پرشين متاليك  شناسه خودرو  مبلغ پایه  قيمت برنده  جایگاه  7A100101  1,100,000,000    602</t>
  </si>
  <si>
    <t>ردیف: 429  دنا کلاس 23 سفيد دو پوششه  شناسه خودرو  مبلغ پایه  قيمت برنده  جایگاه  LE226417  3,400,000,000    526</t>
  </si>
  <si>
    <t>ردیف: 410  پژو پارس TU5 كلاس20 سفيد دو پوششه  شناسه خودرو  مبلغ پایه  قيمت برنده  جایگاه  MH669366  3,400,000,000    507</t>
  </si>
  <si>
    <t>ردیف: 412  پژو پارس TU5 كلاس20 سفيد دوپوششه كانزاي  شناسه خودرو  مبلغ پایه  قيمت برنده  جایگاه  MK112450  3,350,000,000    509</t>
  </si>
  <si>
    <t>ردیف: 475  وانت پيكان OHV كلاس 4 سفيد صدفي  شناسه خودرو  مبلغ پایه  قيمت برنده  جایگاه  CG290384  500,000,000    579</t>
  </si>
  <si>
    <t>ردیف: 453  پژو جي ال ايكس دوگانه سوز کلاس 35 خاكستري متال  شناسه خودرو  مبلغ پایه  قيمت برنده  جایگاه  LK565737  2,200,000,000    557</t>
  </si>
  <si>
    <t>ردیف: 473  وانت پيكان OHV دوگانه سوز كلاس 11 سفيد شيري  شناسه خودرو  مبلغ پایه  قيمت برنده  جایگاه  EG404174  600,000,000    577</t>
  </si>
  <si>
    <t>ردیف: 439  دنا پلاس اتوماتيك با موتور EF7_TC كلاس2 سفيد دوپوششه كانزاي  شناسه خودرو  مبلغ پایه  قيمت برنده  جایگاه  LE241690  4,300,000,000    536</t>
  </si>
  <si>
    <t>ردیف: 421  پژو پارس معمولي دوگانه سوز کلاس 21 آبي رويال  شناسه خودرو  مبلغ پایه  قيمت برنده  جایگاه  MH640015  3,550,000,000    518</t>
  </si>
  <si>
    <t>ردیف: 472  وانت پيكان OHV دوگانه سوز كلاس 10 سفيد شيري  شناسه خودرو  مبلغ پایه  قيمت برنده  جایگاه  DG387150  650,000,000    576</t>
  </si>
  <si>
    <t>ردیف: 445  دنا پلاس اتوماتيك با موتور EF7_TC كلاس2 سفيد دوپوششه كانزاي  شناسه خودرو  مبلغ پایه  قيمت برنده  جایگاه  LE241235  4,250,000,000    542</t>
  </si>
  <si>
    <t>ردیف: 446  دنا پلاس اتوماتيك با موتور EF7_TC كلاس2 مشكي متاليك  شناسه خودرو  مبلغ پایه  قيمت برنده  جایگاه  LE244083  4,350,000,000    543</t>
  </si>
  <si>
    <t>ردیف: 513  هايماS7 توربو اتوماتيك كلاس2 مشكي متاليك  شناسه خودرو  مبلغ پایه  قيمت برنده  جایگاه  NY061276  8,500,000,000    623</t>
  </si>
  <si>
    <t xml:space="preserve">کد کلاس </t>
  </si>
  <si>
    <t>شماره بدنه</t>
  </si>
  <si>
    <t>شماره جایگاه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</si>
</sst>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212529"/>
      <name val="Tahoma"/>
      <family val="2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FEAA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AEAEA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11111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54">
    <xf numFmtId="0" fontId="0" fillId="0" borderId="0" xfId="0"/>
    <xf numFmtId="10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22" fontId="0" fillId="0" borderId="0" xfId="0" applyNumberFormat="1" applyAlignment="1">
      <alignment horizontal="left"/>
    </xf>
    <xf numFmtId="0" fontId="4" fillId="2" borderId="2" xfId="0" applyFont="1" applyFill="1" applyBorder="1"/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3" xfId="0" applyFont="1" applyFill="1" applyBorder="1"/>
    <xf numFmtId="0" fontId="4" fillId="3" borderId="4" xfId="0" applyFont="1" applyFill="1" applyBorder="1"/>
    <xf numFmtId="0" fontId="4" fillId="3" borderId="5" xfId="0" applyFont="1" applyFill="1" applyBorder="1"/>
    <xf numFmtId="0" fontId="0" fillId="4" borderId="4" xfId="0" applyFill="1" applyBorder="1"/>
    <xf numFmtId="3" fontId="0" fillId="0" borderId="3" xfId="0" applyNumberFormat="1" applyBorder="1"/>
    <xf numFmtId="0" fontId="0" fillId="0" borderId="4" xfId="0" applyBorder="1"/>
    <xf numFmtId="3" fontId="0" fillId="4" borderId="3" xfId="0" applyNumberFormat="1" applyFill="1" applyBorder="1"/>
    <xf numFmtId="0" fontId="0" fillId="0" borderId="3" xfId="0" applyBorder="1"/>
    <xf numFmtId="0" fontId="4" fillId="3" borderId="0" xfId="0" applyFont="1" applyFill="1"/>
    <xf numFmtId="0" fontId="5" fillId="6" borderId="0" xfId="0" applyFont="1" applyFill="1" applyAlignment="1">
      <alignment horizontal="right" vertical="center" wrapText="1" indent="1"/>
    </xf>
    <xf numFmtId="0" fontId="6" fillId="6" borderId="0" xfId="3" applyFill="1" applyAlignment="1">
      <alignment horizontal="right" vertical="center" wrapText="1" indent="1"/>
    </xf>
    <xf numFmtId="0" fontId="5" fillId="7" borderId="0" xfId="0" applyFont="1" applyFill="1" applyAlignment="1">
      <alignment horizontal="right" vertical="center" wrapText="1" indent="1"/>
    </xf>
    <xf numFmtId="3" fontId="5" fillId="8" borderId="0" xfId="0" applyNumberFormat="1" applyFont="1" applyFill="1" applyAlignment="1">
      <alignment horizontal="right" vertical="center" wrapText="1" indent="1"/>
    </xf>
    <xf numFmtId="0" fontId="5" fillId="5" borderId="6" xfId="0" applyFont="1" applyFill="1" applyBorder="1" applyAlignment="1">
      <alignment horizontal="right" vertical="center" wrapText="1" indent="1"/>
    </xf>
    <xf numFmtId="0" fontId="6" fillId="5" borderId="6" xfId="3" applyFill="1" applyBorder="1" applyAlignment="1">
      <alignment horizontal="right" vertical="center" wrapText="1" indent="1"/>
    </xf>
    <xf numFmtId="0" fontId="5" fillId="9" borderId="6" xfId="0" applyFont="1" applyFill="1" applyBorder="1" applyAlignment="1">
      <alignment horizontal="right" vertical="center" wrapText="1" indent="1"/>
    </xf>
    <xf numFmtId="3" fontId="5" fillId="8" borderId="6" xfId="0" applyNumberFormat="1" applyFont="1" applyFill="1" applyBorder="1" applyAlignment="1">
      <alignment horizontal="right" vertical="center" wrapText="1" indent="1"/>
    </xf>
    <xf numFmtId="0" fontId="5" fillId="6" borderId="6" xfId="0" applyFont="1" applyFill="1" applyBorder="1" applyAlignment="1">
      <alignment horizontal="right" vertical="center" wrapText="1" indent="1"/>
    </xf>
    <xf numFmtId="0" fontId="6" fillId="6" borderId="6" xfId="3" applyFill="1" applyBorder="1" applyAlignment="1">
      <alignment horizontal="right" vertical="center" wrapText="1" indent="1"/>
    </xf>
    <xf numFmtId="0" fontId="5" fillId="7" borderId="6" xfId="0" applyFont="1" applyFill="1" applyBorder="1" applyAlignment="1">
      <alignment horizontal="right" vertical="center" wrapText="1" indent="1"/>
    </xf>
    <xf numFmtId="0" fontId="5" fillId="8" borderId="6" xfId="0" applyFont="1" applyFill="1" applyBorder="1" applyAlignment="1">
      <alignment horizontal="right" vertical="center" wrapText="1" indent="1"/>
    </xf>
    <xf numFmtId="0" fontId="6" fillId="10" borderId="7" xfId="3" applyFill="1" applyBorder="1" applyAlignment="1">
      <alignment horizontal="right" vertical="center" wrapText="1" indent="1"/>
    </xf>
    <xf numFmtId="0" fontId="5" fillId="10" borderId="7" xfId="0" applyFont="1" applyFill="1" applyBorder="1" applyAlignment="1">
      <alignment horizontal="right" vertical="center" wrapText="1" indent="1"/>
    </xf>
    <xf numFmtId="0" fontId="5" fillId="11" borderId="7" xfId="0" applyFont="1" applyFill="1" applyBorder="1" applyAlignment="1">
      <alignment horizontal="right" vertical="center" wrapText="1" indent="1"/>
    </xf>
    <xf numFmtId="3" fontId="5" fillId="8" borderId="7" xfId="0" applyNumberFormat="1" applyFont="1" applyFill="1" applyBorder="1" applyAlignment="1">
      <alignment horizontal="right" vertical="center" wrapText="1" indent="1"/>
    </xf>
    <xf numFmtId="0" fontId="5" fillId="10" borderId="0" xfId="0" applyFont="1" applyFill="1" applyAlignment="1">
      <alignment horizontal="right" vertical="center" wrapText="1" indent="1"/>
    </xf>
    <xf numFmtId="0" fontId="6" fillId="10" borderId="0" xfId="3" applyFill="1" applyAlignment="1">
      <alignment horizontal="right" vertical="center" wrapText="1" indent="1"/>
    </xf>
    <xf numFmtId="0" fontId="5" fillId="11" borderId="0" xfId="0" applyFont="1" applyFill="1" applyAlignment="1">
      <alignment horizontal="right" vertical="center" wrapText="1" indent="1"/>
    </xf>
    <xf numFmtId="0" fontId="6" fillId="5" borderId="7" xfId="3" applyFill="1" applyBorder="1" applyAlignment="1">
      <alignment horizontal="right" vertical="center" wrapText="1" indent="1"/>
    </xf>
    <xf numFmtId="0" fontId="5" fillId="5" borderId="7" xfId="0" applyFont="1" applyFill="1" applyBorder="1" applyAlignment="1">
      <alignment horizontal="right" vertical="center" wrapText="1" indent="1"/>
    </xf>
    <xf numFmtId="0" fontId="5" fillId="9" borderId="7" xfId="0" applyFont="1" applyFill="1" applyBorder="1" applyAlignment="1">
      <alignment horizontal="right" vertical="center" wrapText="1" indent="1"/>
    </xf>
    <xf numFmtId="164" fontId="0" fillId="0" borderId="0" xfId="2" applyNumberFormat="1" applyFont="1"/>
    <xf numFmtId="9" fontId="0" fillId="0" borderId="0" xfId="1" applyFont="1"/>
    <xf numFmtId="0" fontId="0" fillId="4" borderId="0" xfId="0" applyFill="1"/>
    <xf numFmtId="0" fontId="0" fillId="4" borderId="3" xfId="0" applyFill="1" applyBorder="1"/>
    <xf numFmtId="0" fontId="0" fillId="0" borderId="5" xfId="0" applyBorder="1"/>
    <xf numFmtId="0" fontId="6" fillId="6" borderId="7" xfId="3" applyFill="1" applyBorder="1" applyAlignment="1">
      <alignment horizontal="right" vertical="center" wrapText="1" indent="1"/>
    </xf>
    <xf numFmtId="0" fontId="5" fillId="5" borderId="0" xfId="0" applyFont="1" applyFill="1" applyAlignment="1">
      <alignment horizontal="right" vertical="center" wrapText="1" indent="1"/>
    </xf>
    <xf numFmtId="0" fontId="6" fillId="5" borderId="0" xfId="3" applyFill="1" applyBorder="1" applyAlignment="1">
      <alignment horizontal="right" vertical="center" wrapText="1" indent="1"/>
    </xf>
    <xf numFmtId="0" fontId="5" fillId="9" borderId="0" xfId="0" applyFont="1" applyFill="1" applyAlignment="1">
      <alignment horizontal="right" vertical="center" wrapText="1" indent="1"/>
    </xf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5">
    <dxf>
      <numFmt numFmtId="14" formatCode="0.00%"/>
    </dxf>
    <dxf>
      <numFmt numFmtId="14" formatCode="0.00%"/>
    </dxf>
    <dxf>
      <numFmt numFmtId="14" formatCode="0.00%"/>
    </dxf>
    <dxf>
      <font>
        <color rgb="FF9C0006"/>
      </font>
      <fill>
        <patternFill>
          <bgColor rgb="FFFFC7CE"/>
        </patternFill>
      </fill>
    </dxf>
    <dxf>
      <numFmt numFmtId="164" formatCode="_(* #,##0_);_(* \(#,##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uctionScraper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auctionScraper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ef Farzi" refreshedDate="44873.534665509258" createdVersion="8" refreshedVersion="8" minRefreshableVersion="3" recordCount="30" xr:uid="{5B9B44FF-8974-4469-A5C1-07D8065009D3}">
  <cacheSource type="worksheet">
    <worksheetSource ref="A1:S76" sheet="Sheet3" r:id="rId2"/>
  </cacheSource>
  <cacheFields count="6">
    <cacheField name="نوع" numFmtId="0">
      <sharedItems count="3">
        <s v="عادی"/>
        <s v="طرح جوانی جمعیت"/>
        <s v="طرح جایگزینی خودرو فرسوده"/>
      </sharedItems>
    </cacheField>
    <cacheField name="فروش" numFmtId="0">
      <sharedItems count="2">
        <s v="فوق العاده"/>
        <s v="پیش فروش"/>
      </sharedItems>
    </cacheField>
    <cacheField name="خودرو" numFmtId="0">
      <sharedItems count="10">
        <s v="سورن پلاس"/>
        <s v="پارس XU7P"/>
        <s v="پارس XU7P سفارشی"/>
        <s v="207 دستی فرمان برقی"/>
        <s v="207 اتومات مولتی کالر"/>
        <s v="تارا دستی"/>
        <s v="تارا اتومات"/>
        <s v="دناپلاس توربو MT6"/>
        <s v="دناپلاس توربو اتومات"/>
        <s v="رانا پلاس"/>
      </sharedItems>
    </cacheField>
    <cacheField name="متقاضیان" numFmtId="0">
      <sharedItems containsSemiMixedTypes="0" containsString="0" containsNumber="1" containsInteger="1" minValue="739" maxValue="2056531"/>
    </cacheField>
    <cacheField name="ظرفیت فروش" numFmtId="0">
      <sharedItems containsSemiMixedTypes="0" containsString="0" containsNumber="1" containsInteger="1" minValue="70" maxValue="5500"/>
    </cacheField>
    <cacheField name="درصد" numFmtId="10">
      <sharedItems containsSemiMixedTypes="0" containsString="0" containsNumber="1" minValue="1.0613450824233958E-3" maxValue="1.07973421926910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ef Farzi" refreshedDate="44877.473937615738" createdVersion="8" refreshedVersion="8" minRefreshableVersion="3" recordCount="20" xr:uid="{8AAE8AFA-E90E-4678-8062-35FA74B89F5B}">
  <cacheSource type="worksheet">
    <worksheetSource ref="A1:L76" sheet="Sheet3" r:id="rId2"/>
  </cacheSource>
  <cacheFields count="10">
    <cacheField name="Price" numFmtId="3">
      <sharedItems containsSemiMixedTypes="0" containsString="0" containsNumber="1" containsInteger="1" minValue="309000000" maxValue="420000000"/>
    </cacheField>
    <cacheField name="description" numFmtId="0">
      <sharedItems/>
    </cacheField>
    <cacheField name="car name" numFmtId="0">
      <sharedItems/>
    </cacheField>
    <cacheField name="date posted" numFmtId="0">
      <sharedItems/>
    </cacheField>
    <cacheField name="type" numFmtId="0">
      <sharedItems containsBlank="1" count="3">
        <s v="نمایشگاه"/>
        <s v="Personal"/>
        <m u="1"/>
      </sharedItems>
    </cacheField>
    <cacheField name="identifier" numFmtId="0">
      <sharedItems count="15">
        <s v="xu5xt7yw"/>
        <s v="vky5aan"/>
        <s v="nu6gqdka"/>
        <s v="x7kfuc4f"/>
        <s v="xun1wnon"/>
        <s v="zwnjxzf5"/>
        <s v="pm47xjmz"/>
        <s v="fkeed39b"/>
        <s v="jt59hoa"/>
        <s v="q6egcxvm"/>
        <s v="xk2wh5cb"/>
        <s v="g7vf5q7b"/>
        <s v="dcmshnbt"/>
        <s v="3qxrv6p8"/>
        <s v="mux26ect"/>
      </sharedItems>
    </cacheField>
    <cacheField name="date scraped" numFmtId="22">
      <sharedItems containsSemiMixedTypes="0" containsNonDate="0" containsDate="1" containsString="0" minDate="2022-11-08T13:22:34" maxDate="2022-11-12T10:32:25" count="4">
        <d v="2022-11-08T13:22:34"/>
        <d v="2022-11-08T13:22:35"/>
        <d v="2022-11-08T13:22:36"/>
        <d v="2022-11-12T10:32:25"/>
      </sharedItems>
      <fieldGroup base="6">
        <rangePr groupBy="days" startDate="2022-11-08T13:22:34" endDate="2022-11-12T10:32:25"/>
        <groupItems count="368">
          <s v="&lt;11/8/2022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2/2022"/>
        </groupItems>
      </fieldGroup>
    </cacheField>
    <cacheField name="Column1" numFmtId="0">
      <sharedItems/>
    </cacheField>
    <cacheField name="realDatePosted" numFmtId="0">
      <sharedItems count="27">
        <s v="1401/8/16"/>
        <s v="1401/8/15"/>
        <s v="1401/8/14"/>
        <s v="1401/8/11"/>
        <s v="1401/8/2"/>
        <s v="1401/7/29"/>
        <s v="1401/7/21"/>
        <s v="1401/7/20"/>
        <s v="1401/7/18"/>
        <s v="1401/8/21"/>
        <s v="1401/8/10"/>
        <s v="1401/08/11" u="1"/>
        <s v="141/8/11" u="1"/>
        <s v="141/8/16" u="1"/>
        <s v="141/8/21" u="1"/>
        <s v="141/7/21" u="1"/>
        <s v="141/8/15" u="1"/>
        <s v="1401/08/14" u="1"/>
        <s v="1401/08/15" u="1"/>
        <s v="141/8/14" u="1"/>
        <s v="1401/08/16" u="1"/>
        <s v="141/7/29" u="1"/>
        <s v="141/8/1" u="1"/>
        <s v="1401/08/21" u="1"/>
        <s v="141/8/2" u="1"/>
        <s v="141/7/18" u="1"/>
        <s v="141/7/2" u="1"/>
      </sharedItems>
    </cacheField>
    <cacheField name="realScrapedDate" numFmtId="0">
      <sharedItems count="2">
        <s v="1401/8/17"/>
        <s v="1401/8/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n v="530905"/>
    <n v="800"/>
    <n v="1.5068609261543967E-3"/>
  </r>
  <r>
    <x v="0"/>
    <x v="0"/>
    <x v="1"/>
    <n v="2056531"/>
    <n v="4400"/>
    <n v="2.1395252490723454E-3"/>
  </r>
  <r>
    <x v="0"/>
    <x v="0"/>
    <x v="2"/>
    <n v="1507521"/>
    <n v="1600"/>
    <n v="1.0613450824233958E-3"/>
  </r>
  <r>
    <x v="0"/>
    <x v="0"/>
    <x v="3"/>
    <n v="1215167"/>
    <n v="2400"/>
    <n v="1.9750371759601768E-3"/>
  </r>
  <r>
    <x v="0"/>
    <x v="0"/>
    <x v="4"/>
    <n v="443901"/>
    <n v="800"/>
    <n v="1.8022036445063201E-3"/>
  </r>
  <r>
    <x v="0"/>
    <x v="1"/>
    <x v="5"/>
    <n v="44106"/>
    <n v="1657"/>
    <n v="3.7568584773046754E-2"/>
  </r>
  <r>
    <x v="0"/>
    <x v="1"/>
    <x v="6"/>
    <n v="42103"/>
    <n v="1040"/>
    <n v="2.4701327696363681E-2"/>
  </r>
  <r>
    <x v="0"/>
    <x v="1"/>
    <x v="7"/>
    <n v="56610"/>
    <n v="680"/>
    <n v="1.2012012012012012E-2"/>
  </r>
  <r>
    <x v="0"/>
    <x v="1"/>
    <x v="8"/>
    <n v="85173"/>
    <n v="2400"/>
    <n v="2.8177943714557431E-2"/>
  </r>
  <r>
    <x v="0"/>
    <x v="1"/>
    <x v="9"/>
    <n v="70679"/>
    <n v="280"/>
    <n v="3.961572744379519E-3"/>
  </r>
  <r>
    <x v="1"/>
    <x v="0"/>
    <x v="0"/>
    <n v="13389"/>
    <n v="1000"/>
    <n v="7.4688176861602812E-2"/>
  </r>
  <r>
    <x v="1"/>
    <x v="0"/>
    <x v="1"/>
    <n v="90677"/>
    <n v="5500"/>
    <n v="6.0654851836739195E-2"/>
  </r>
  <r>
    <x v="1"/>
    <x v="0"/>
    <x v="2"/>
    <n v="131314"/>
    <n v="5500"/>
    <n v="4.1884338303608146E-2"/>
  </r>
  <r>
    <x v="1"/>
    <x v="0"/>
    <x v="3"/>
    <n v="50848"/>
    <n v="3000"/>
    <n v="5.8999370673379486E-2"/>
  </r>
  <r>
    <x v="1"/>
    <x v="0"/>
    <x v="4"/>
    <n v="16881"/>
    <n v="1000"/>
    <n v="5.9238196789289731E-2"/>
  </r>
  <r>
    <x v="1"/>
    <x v="1"/>
    <x v="5"/>
    <n v="1043"/>
    <n v="1043"/>
    <n v="1"/>
  </r>
  <r>
    <x v="1"/>
    <x v="1"/>
    <x v="6"/>
    <n v="1204"/>
    <n v="1300"/>
    <n v="1.0797342192691031"/>
  </r>
  <r>
    <x v="1"/>
    <x v="1"/>
    <x v="7"/>
    <n v="1949"/>
    <n v="850"/>
    <n v="0.43612108773730118"/>
  </r>
  <r>
    <x v="1"/>
    <x v="1"/>
    <x v="8"/>
    <n v="2890"/>
    <n v="3000"/>
    <n v="1.0380622837370241"/>
  </r>
  <r>
    <x v="1"/>
    <x v="1"/>
    <x v="9"/>
    <n v="2084"/>
    <n v="350"/>
    <n v="0.16794625719769674"/>
  </r>
  <r>
    <x v="2"/>
    <x v="0"/>
    <x v="0"/>
    <n v="6928"/>
    <n v="200"/>
    <n v="2.8868360277136258E-2"/>
  </r>
  <r>
    <x v="2"/>
    <x v="0"/>
    <x v="1"/>
    <n v="63263"/>
    <n v="1100"/>
    <n v="1.73877305850181E-2"/>
  </r>
  <r>
    <x v="2"/>
    <x v="0"/>
    <x v="2"/>
    <n v="41855"/>
    <n v="400"/>
    <n v="9.556803249313104E-3"/>
  </r>
  <r>
    <x v="2"/>
    <x v="0"/>
    <x v="3"/>
    <n v="28938"/>
    <n v="600"/>
    <n v="2.0733982998133942E-2"/>
  </r>
  <r>
    <x v="2"/>
    <x v="0"/>
    <x v="4"/>
    <n v="7512"/>
    <n v="200"/>
    <n v="2.6624068157614485E-2"/>
  </r>
  <r>
    <x v="2"/>
    <x v="1"/>
    <x v="5"/>
    <n v="743"/>
    <n v="300"/>
    <n v="0.40376850605652759"/>
  </r>
  <r>
    <x v="2"/>
    <x v="1"/>
    <x v="6"/>
    <n v="739"/>
    <n v="260"/>
    <n v="0.35182679296346414"/>
  </r>
  <r>
    <x v="2"/>
    <x v="1"/>
    <x v="7"/>
    <n v="1070"/>
    <n v="170"/>
    <n v="0.15887850467289719"/>
  </r>
  <r>
    <x v="2"/>
    <x v="1"/>
    <x v="8"/>
    <n v="1624"/>
    <n v="600"/>
    <n v="0.36945812807881773"/>
  </r>
  <r>
    <x v="2"/>
    <x v="1"/>
    <x v="9"/>
    <n v="1877"/>
    <n v="70"/>
    <n v="3.729355354288758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407000000"/>
    <s v="1401_x000a_._x000a_کارکرد صفر_x000a_._x000a_LX"/>
    <s v="پژو، پارس"/>
    <s v="دیروز"/>
    <x v="0"/>
    <x v="0"/>
    <x v="0"/>
    <s v="1401/08/16"/>
    <x v="0"/>
    <x v="0"/>
  </r>
  <r>
    <n v="411500000"/>
    <s v="1401_x000a_._x000a_کارکرد صفر_x000a_._x000a_LX"/>
    <s v="پژو، پارس"/>
    <s v="دیروز"/>
    <x v="0"/>
    <x v="1"/>
    <x v="0"/>
    <s v="1401/08/16"/>
    <x v="0"/>
    <x v="0"/>
  </r>
  <r>
    <n v="413500000"/>
    <s v="1401_x000a_._x000a_کارکرد صفر_x000a_._x000a_LX"/>
    <s v="پژو، پارس"/>
    <s v="دیروز"/>
    <x v="0"/>
    <x v="2"/>
    <x v="0"/>
    <s v="1401/08/16"/>
    <x v="0"/>
    <x v="0"/>
  </r>
  <r>
    <n v="402000000"/>
    <s v="1401_x000a_._x000a_کارکرد صفر_x000a_._x000a_LX"/>
    <s v="پژو، پارس"/>
    <s v="دیروز"/>
    <x v="0"/>
    <x v="3"/>
    <x v="0"/>
    <s v="1401/08/16"/>
    <x v="0"/>
    <x v="0"/>
  </r>
  <r>
    <n v="401000000"/>
    <s v="1401_x000a_._x000a_کارکرد صفر_x000a_._x000a_LX"/>
    <s v="پژو، پارس"/>
    <s v="2 روز پیش"/>
    <x v="0"/>
    <x v="4"/>
    <x v="1"/>
    <s v="1401/08/15"/>
    <x v="1"/>
    <x v="0"/>
  </r>
  <r>
    <n v="420000000"/>
    <s v="1401_x000a_._x000a_کارکرد صفر_x000a_._x000a_LX"/>
    <s v="پژو، پارس"/>
    <s v="2 روز پیش"/>
    <x v="1"/>
    <x v="5"/>
    <x v="1"/>
    <s v="1401/08/15"/>
    <x v="1"/>
    <x v="0"/>
  </r>
  <r>
    <n v="402500000"/>
    <s v="1401_x000a_._x000a_کارکرد صفر_x000a_._x000a_LX"/>
    <s v="پژو، پارس"/>
    <s v="3 روز پیش"/>
    <x v="0"/>
    <x v="6"/>
    <x v="1"/>
    <s v="1401/08/14"/>
    <x v="2"/>
    <x v="0"/>
  </r>
  <r>
    <n v="405000000"/>
    <s v="1401_x000a_._x000a_کارکرد صفر_x000a_._x000a_LX"/>
    <s v="پژو، پارس"/>
    <s v="6 روز پیش"/>
    <x v="1"/>
    <x v="7"/>
    <x v="1"/>
    <s v="1401/08/11"/>
    <x v="3"/>
    <x v="0"/>
  </r>
  <r>
    <n v="407000000"/>
    <s v="1401_x000a_._x000a_کارکرد صفر_x000a_._x000a_LX"/>
    <s v="پژو، پارس"/>
    <s v="1401/8/2"/>
    <x v="1"/>
    <x v="8"/>
    <x v="2"/>
    <s v="1401/08/17"/>
    <x v="4"/>
    <x v="0"/>
  </r>
  <r>
    <n v="403000000"/>
    <s v="1401_x000a_._x000a_کارکرد صفر_x000a_._x000a_LX"/>
    <s v="پژو، پارس"/>
    <s v="1401/7/29"/>
    <x v="1"/>
    <x v="9"/>
    <x v="2"/>
    <s v="1401/08/17"/>
    <x v="5"/>
    <x v="0"/>
  </r>
  <r>
    <n v="397000000"/>
    <s v="1401_x000a_._x000a_کارکرد صفر_x000a_._x000a_LX"/>
    <s v="پژو، پارس"/>
    <s v="1401/7/21"/>
    <x v="1"/>
    <x v="10"/>
    <x v="2"/>
    <s v="1401/08/17"/>
    <x v="6"/>
    <x v="0"/>
  </r>
  <r>
    <n v="392000000"/>
    <s v="1401_x000a_._x000a_کارکرد صفر_x000a_._x000a_LX"/>
    <s v="پژو، پارس"/>
    <s v="1401/7/20"/>
    <x v="1"/>
    <x v="11"/>
    <x v="2"/>
    <s v="1401/08/17"/>
    <x v="7"/>
    <x v="0"/>
  </r>
  <r>
    <n v="309000000"/>
    <s v="1401_x000a_._x000a_کارکرد صفر_x000a_._x000a_LX"/>
    <s v="پژو، پارس"/>
    <s v="1401/7/18"/>
    <x v="1"/>
    <x v="12"/>
    <x v="2"/>
    <s v="1401/08/17"/>
    <x v="8"/>
    <x v="0"/>
  </r>
  <r>
    <n v="420000000"/>
    <s v="1401_x000a_._x000a_کارکرد صفر_x000a_._x000a_LX"/>
    <s v="پژو، پارس"/>
    <s v="دقایقی پیش"/>
    <x v="1"/>
    <x v="13"/>
    <x v="3"/>
    <s v="1401/08/21"/>
    <x v="9"/>
    <x v="1"/>
  </r>
  <r>
    <n v="415000000"/>
    <s v="1401_x000a_._x000a_کارکرد صفر_x000a_._x000a_LX"/>
    <s v="پژو، پارس"/>
    <s v="دقایقی پیش"/>
    <x v="0"/>
    <x v="14"/>
    <x v="3"/>
    <s v="1401/08/21"/>
    <x v="9"/>
    <x v="1"/>
  </r>
  <r>
    <n v="420000000"/>
    <s v="1401_x000a_._x000a_کارکرد صفر_x000a_._x000a_LX"/>
    <s v="پژو، پارس"/>
    <s v="6 روز پیش"/>
    <x v="1"/>
    <x v="5"/>
    <x v="3"/>
    <s v="1401/08/21"/>
    <x v="1"/>
    <x v="1"/>
  </r>
  <r>
    <n v="405000000"/>
    <s v="1401_x000a_._x000a_کارکرد صفر_x000a_._x000a_LX"/>
    <s v="پژو، پارس"/>
    <s v="1401/8/10"/>
    <x v="1"/>
    <x v="7"/>
    <x v="3"/>
    <s v="1401/08/21"/>
    <x v="10"/>
    <x v="1"/>
  </r>
  <r>
    <n v="407000000"/>
    <s v="1401_x000a_._x000a_کارکرد صفر_x000a_._x000a_LX"/>
    <s v="پژو، پارس"/>
    <s v="1401/8/2"/>
    <x v="1"/>
    <x v="8"/>
    <x v="3"/>
    <s v="1401/08/21"/>
    <x v="4"/>
    <x v="1"/>
  </r>
  <r>
    <n v="403000000"/>
    <s v="1401_x000a_._x000a_کارکرد صفر_x000a_._x000a_LX"/>
    <s v="پژو، پارس"/>
    <s v="1401/7/29"/>
    <x v="1"/>
    <x v="9"/>
    <x v="3"/>
    <s v="1401/08/21"/>
    <x v="5"/>
    <x v="1"/>
  </r>
  <r>
    <n v="397000000"/>
    <s v="1401_x000a_._x000a_کارکرد صفر_x000a_._x000a_LX"/>
    <s v="پژو، پارس"/>
    <s v="1401/7/21"/>
    <x v="1"/>
    <x v="10"/>
    <x v="3"/>
    <s v="1401/08/21"/>
    <x v="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9E7C9D-CF06-4438-A089-D29A7AFA37EB}" name="PivotTable1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Y23" firstHeaderRow="1" firstDataRow="3" firstDataCol="1"/>
  <pivotFields count="10">
    <pivotField dataField="1" numFmtId="3" showAll="0"/>
    <pivotField showAll="0"/>
    <pivotField showAll="0"/>
    <pivotField showAll="0"/>
    <pivotField axis="axisRow" showAll="0">
      <items count="4">
        <item x="0"/>
        <item m="1" x="2"/>
        <item x="1"/>
        <item t="default"/>
      </items>
    </pivotField>
    <pivotField axis="axisRow" showAll="0">
      <items count="16">
        <item x="12"/>
        <item x="7"/>
        <item x="11"/>
        <item x="8"/>
        <item x="2"/>
        <item x="6"/>
        <item x="9"/>
        <item x="1"/>
        <item x="3"/>
        <item x="10"/>
        <item x="0"/>
        <item x="4"/>
        <item x="5"/>
        <item x="13"/>
        <item x="14"/>
        <item t="default"/>
      </items>
    </pivotField>
    <pivotField numFmtId="22" showAll="0"/>
    <pivotField showAll="0"/>
    <pivotField axis="axisCol" showAll="0">
      <items count="28">
        <item m="1" x="11"/>
        <item m="1" x="17"/>
        <item m="1" x="18"/>
        <item m="1" x="20"/>
        <item m="1" x="23"/>
        <item x="8"/>
        <item x="7"/>
        <item x="6"/>
        <item x="5"/>
        <item x="10"/>
        <item x="4"/>
        <item m="1" x="13"/>
        <item m="1" x="16"/>
        <item m="1" x="19"/>
        <item m="1" x="12"/>
        <item m="1" x="24"/>
        <item m="1" x="21"/>
        <item m="1" x="15"/>
        <item m="1" x="26"/>
        <item m="1" x="25"/>
        <item m="1" x="14"/>
        <item m="1" x="22"/>
        <item x="0"/>
        <item x="1"/>
        <item x="2"/>
        <item x="3"/>
        <item x="9"/>
        <item t="default"/>
      </items>
    </pivotField>
    <pivotField showAll="0"/>
  </pivotFields>
  <rowFields count="2">
    <field x="4"/>
    <field x="5"/>
  </rowFields>
  <rowItems count="18">
    <i>
      <x/>
    </i>
    <i r="1">
      <x v="4"/>
    </i>
    <i r="1">
      <x v="5"/>
    </i>
    <i r="1">
      <x v="7"/>
    </i>
    <i r="1">
      <x v="8"/>
    </i>
    <i r="1">
      <x v="10"/>
    </i>
    <i r="1">
      <x v="11"/>
    </i>
    <i r="1">
      <x v="14"/>
    </i>
    <i>
      <x v="2"/>
    </i>
    <i r="1">
      <x/>
    </i>
    <i r="1">
      <x v="1"/>
    </i>
    <i r="1">
      <x v="2"/>
    </i>
    <i r="1">
      <x v="3"/>
    </i>
    <i r="1">
      <x v="6"/>
    </i>
    <i r="1">
      <x v="9"/>
    </i>
    <i r="1">
      <x v="12"/>
    </i>
    <i r="1">
      <x v="13"/>
    </i>
    <i t="grand">
      <x/>
    </i>
  </rowItems>
  <colFields count="2">
    <field x="8"/>
    <field x="-2"/>
  </colFields>
  <colItems count="24"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>
      <x v="22"/>
      <x/>
    </i>
    <i r="1" i="1">
      <x v="1"/>
    </i>
    <i>
      <x v="23"/>
      <x/>
    </i>
    <i r="1" i="1">
      <x v="1"/>
    </i>
    <i>
      <x v="24"/>
      <x/>
    </i>
    <i r="1" i="1">
      <x v="1"/>
    </i>
    <i>
      <x v="25"/>
      <x/>
    </i>
    <i r="1" i="1">
      <x v="1"/>
    </i>
    <i>
      <x v="26"/>
      <x/>
    </i>
    <i r="1" i="1">
      <x v="1"/>
    </i>
    <i t="grand">
      <x/>
    </i>
    <i t="grand" i="1">
      <x/>
    </i>
  </colItems>
  <dataFields count="2">
    <dataField name="Average of Price" fld="0" subtotal="average" baseField="3" baseItem="0"/>
    <dataField name="Sum of Price" fld="0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51285E-79E6-4B8A-AD56-81D7E3D70EC4}" name="PivotTable3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6" firstHeaderRow="1" firstDataRow="1" firstDataCol="1"/>
  <pivotFields count="10">
    <pivotField dataField="1" numFmtId="3" showAll="0"/>
    <pivotField showAll="0"/>
    <pivotField showAll="0"/>
    <pivotField showAll="0"/>
    <pivotField showAll="0"/>
    <pivotField showAll="0"/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</pivotFields>
  <rowFields count="1">
    <field x="6"/>
  </rowFields>
  <rowItems count="3">
    <i>
      <x v="313"/>
    </i>
    <i>
      <x v="317"/>
    </i>
    <i t="grand">
      <x/>
    </i>
  </rowItems>
  <colItems count="1">
    <i/>
  </colItems>
  <dataFields count="1">
    <dataField name="Average of Price" fld="0" subtotal="average" baseField="6" baseItem="31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D9EA7A-EF32-4C8F-92AA-D8188D16402B}" name="PivotTable4" cacheId="2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C31" firstHeaderRow="1" firstDataRow="2" firstDataCol="1"/>
  <pivotFields count="10">
    <pivotField dataField="1" numFmtId="3" showAll="0" defaultSubtotal="0"/>
    <pivotField showAll="0" defaultSubtotal="0"/>
    <pivotField showAll="0" defaultSubtotal="0"/>
    <pivotField showAll="0" sortType="descending" defaultSubtotal="0"/>
    <pivotField showAll="0" defaultSubtotal="0"/>
    <pivotField axis="axisRow" showAll="0" defaultSubtotal="0">
      <items count="15">
        <item x="13"/>
        <item x="12"/>
        <item x="7"/>
        <item x="11"/>
        <item x="8"/>
        <item x="14"/>
        <item x="2"/>
        <item x="6"/>
        <item x="9"/>
        <item x="1"/>
        <item x="3"/>
        <item x="10"/>
        <item x="0"/>
        <item x="4"/>
        <item x="5"/>
      </items>
    </pivotField>
    <pivotField numFmtId="22" showAll="0" defaultSubtotal="0"/>
    <pivotField showAll="0" defaultSubtotal="0"/>
    <pivotField axis="axisRow" showAll="0" sortType="descending" defaultSubtotal="0">
      <items count="27">
        <item m="1" x="14"/>
        <item m="1" x="24"/>
        <item m="1" x="13"/>
        <item m="1" x="16"/>
        <item m="1" x="19"/>
        <item m="1" x="12"/>
        <item m="1" x="22"/>
        <item m="1" x="21"/>
        <item m="1" x="15"/>
        <item m="1" x="26"/>
        <item m="1" x="25"/>
        <item x="9"/>
        <item x="4"/>
        <item x="0"/>
        <item x="1"/>
        <item x="2"/>
        <item x="3"/>
        <item x="10"/>
        <item x="5"/>
        <item x="6"/>
        <item x="7"/>
        <item x="8"/>
        <item m="1" x="23"/>
        <item m="1" x="20"/>
        <item m="1" x="18"/>
        <item m="1" x="17"/>
        <item m="1" x="11"/>
      </items>
    </pivotField>
    <pivotField axis="axisCol" showAll="0" defaultSubtotal="0">
      <items count="2">
        <item x="0"/>
        <item x="1"/>
      </items>
    </pivotField>
  </pivotFields>
  <rowFields count="2">
    <field x="8"/>
    <field x="5"/>
  </rowFields>
  <rowItems count="27">
    <i>
      <x v="11"/>
    </i>
    <i r="1">
      <x/>
    </i>
    <i r="1">
      <x v="5"/>
    </i>
    <i>
      <x v="12"/>
    </i>
    <i r="1">
      <x v="4"/>
    </i>
    <i>
      <x v="13"/>
    </i>
    <i r="1">
      <x v="6"/>
    </i>
    <i r="1">
      <x v="9"/>
    </i>
    <i r="1">
      <x v="10"/>
    </i>
    <i r="1">
      <x v="12"/>
    </i>
    <i>
      <x v="14"/>
    </i>
    <i r="1">
      <x v="13"/>
    </i>
    <i r="1">
      <x v="14"/>
    </i>
    <i>
      <x v="15"/>
    </i>
    <i r="1">
      <x v="7"/>
    </i>
    <i>
      <x v="16"/>
    </i>
    <i r="1">
      <x v="2"/>
    </i>
    <i>
      <x v="17"/>
    </i>
    <i r="1">
      <x v="2"/>
    </i>
    <i>
      <x v="18"/>
    </i>
    <i r="1">
      <x v="8"/>
    </i>
    <i>
      <x v="19"/>
    </i>
    <i r="1">
      <x v="11"/>
    </i>
    <i>
      <x v="20"/>
    </i>
    <i r="1">
      <x v="3"/>
    </i>
    <i>
      <x v="21"/>
    </i>
    <i r="1">
      <x v="1"/>
    </i>
  </rowItems>
  <colFields count="1">
    <field x="9"/>
  </colFields>
  <colItems count="2">
    <i>
      <x/>
    </i>
    <i>
      <x v="1"/>
    </i>
  </colItems>
  <dataFields count="1">
    <dataField name="Sum of Price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3317DE-A2A3-4BFF-8304-D8592A88E35D}" name="PivotTable5" cacheId="2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M2:O30" firstHeaderRow="1" firstDataRow="2" firstDataCol="1"/>
  <pivotFields count="10">
    <pivotField dataField="1" numFmtId="3" showAll="0" defaultSubtotal="0"/>
    <pivotField showAll="0" defaultSubtotal="0"/>
    <pivotField showAll="0" defaultSubtotal="0"/>
    <pivotField showAll="0" sortType="descending" defaultSubtotal="0"/>
    <pivotField showAll="0" defaultSubtotal="0"/>
    <pivotField axis="axisRow" showAll="0" defaultSubtotal="0">
      <items count="15">
        <item x="13"/>
        <item x="12"/>
        <item x="7"/>
        <item x="11"/>
        <item x="8"/>
        <item x="14"/>
        <item x="2"/>
        <item x="6"/>
        <item x="9"/>
        <item x="1"/>
        <item x="3"/>
        <item x="10"/>
        <item x="0"/>
        <item x="4"/>
        <item x="5"/>
      </items>
    </pivotField>
    <pivotField numFmtId="22" showAll="0" defaultSubtotal="0"/>
    <pivotField showAll="0" defaultSubtotal="0"/>
    <pivotField axis="axisRow" showAll="0" sortType="descending" defaultSubtotal="0">
      <items count="27">
        <item m="1" x="14"/>
        <item m="1" x="24"/>
        <item m="1" x="13"/>
        <item m="1" x="16"/>
        <item m="1" x="19"/>
        <item m="1" x="12"/>
        <item m="1" x="22"/>
        <item m="1" x="21"/>
        <item m="1" x="15"/>
        <item m="1" x="26"/>
        <item m="1" x="25"/>
        <item x="9"/>
        <item x="4"/>
        <item x="0"/>
        <item x="1"/>
        <item x="2"/>
        <item x="3"/>
        <item x="10"/>
        <item x="5"/>
        <item x="6"/>
        <item x="7"/>
        <item x="8"/>
        <item m="1" x="23"/>
        <item m="1" x="20"/>
        <item m="1" x="18"/>
        <item m="1" x="17"/>
        <item m="1" x="11"/>
      </items>
    </pivotField>
    <pivotField axis="axisCol" showAll="0" defaultSubtotal="0">
      <items count="2">
        <item x="0"/>
        <item x="1"/>
      </items>
    </pivotField>
  </pivotFields>
  <rowFields count="2">
    <field x="8"/>
    <field x="5"/>
  </rowFields>
  <rowItems count="27">
    <i>
      <x v="11"/>
    </i>
    <i r="1">
      <x/>
    </i>
    <i r="1">
      <x v="5"/>
    </i>
    <i>
      <x v="12"/>
    </i>
    <i r="1">
      <x v="4"/>
    </i>
    <i>
      <x v="13"/>
    </i>
    <i r="1">
      <x v="6"/>
    </i>
    <i r="1">
      <x v="9"/>
    </i>
    <i r="1">
      <x v="10"/>
    </i>
    <i r="1">
      <x v="12"/>
    </i>
    <i>
      <x v="14"/>
    </i>
    <i r="1">
      <x v="13"/>
    </i>
    <i r="1">
      <x v="14"/>
    </i>
    <i>
      <x v="15"/>
    </i>
    <i r="1">
      <x v="7"/>
    </i>
    <i>
      <x v="16"/>
    </i>
    <i r="1">
      <x v="2"/>
    </i>
    <i>
      <x v="17"/>
    </i>
    <i r="1">
      <x v="2"/>
    </i>
    <i>
      <x v="18"/>
    </i>
    <i r="1">
      <x v="8"/>
    </i>
    <i>
      <x v="19"/>
    </i>
    <i r="1">
      <x v="11"/>
    </i>
    <i>
      <x v="20"/>
    </i>
    <i r="1">
      <x v="3"/>
    </i>
    <i>
      <x v="21"/>
    </i>
    <i r="1">
      <x v="1"/>
    </i>
  </rowItems>
  <colFields count="1">
    <field x="9"/>
  </colFields>
  <colItems count="2">
    <i>
      <x/>
    </i>
    <i>
      <x v="1"/>
    </i>
  </colItems>
  <dataFields count="1">
    <dataField name="Count of Price" fld="0" subtotal="count" baseField="8" baseItem="1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2E07D9-FEED-4A2D-920E-40E2230A9201}" name="PivotTable2" cacheId="2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D16" firstHeaderRow="1" firstDataRow="2" firstDataCol="1"/>
  <pivotFields count="6">
    <pivotField axis="axisCol" showAll="0" sortType="descending" defaultSubtotal="0">
      <items count="3">
        <item x="0"/>
        <item x="1"/>
        <item x="2"/>
      </items>
    </pivotField>
    <pivotField axis="axisRow" showAll="0" defaultSubtotal="0">
      <items count="2">
        <item x="1"/>
        <item x="0"/>
      </items>
    </pivotField>
    <pivotField axis="axisRow" showAll="0" defaultSubtotal="0">
      <items count="10">
        <item x="4"/>
        <item x="3"/>
        <item x="1"/>
        <item x="2"/>
        <item x="6"/>
        <item x="5"/>
        <item x="7"/>
        <item x="8"/>
        <item x="9"/>
        <item x="0"/>
      </items>
    </pivotField>
    <pivotField showAll="0" defaultSubtotal="0"/>
    <pivotField showAll="0" defaultSubtotal="0"/>
    <pivotField dataField="1" numFmtId="10" showAll="0" defaultSubtotal="0"/>
  </pivotFields>
  <rowFields count="2">
    <field x="1"/>
    <field x="2"/>
  </rowFields>
  <rowItems count="12">
    <i>
      <x/>
    </i>
    <i r="1">
      <x v="4"/>
    </i>
    <i r="1">
      <x v="5"/>
    </i>
    <i r="1">
      <x v="6"/>
    </i>
    <i r="1">
      <x v="7"/>
    </i>
    <i r="1">
      <x v="8"/>
    </i>
    <i>
      <x v="1"/>
    </i>
    <i r="1">
      <x/>
    </i>
    <i r="1">
      <x v="1"/>
    </i>
    <i r="1">
      <x v="2"/>
    </i>
    <i r="1">
      <x v="3"/>
    </i>
    <i r="1">
      <x v="9"/>
    </i>
  </rowItems>
  <colFields count="1">
    <field x="0"/>
  </colFields>
  <colItems count="3">
    <i>
      <x/>
    </i>
    <i>
      <x v="1"/>
    </i>
    <i>
      <x v="2"/>
    </i>
  </colItems>
  <dataFields count="1">
    <dataField name="Min of درصد" fld="5" subtotal="min" baseField="1" baseItem="0"/>
  </dataFields>
  <formats count="3">
    <format dxfId="2">
      <pivotArea collapsedLevelsAreSubtotals="1" fieldPosition="0">
        <references count="2">
          <reference field="1" count="1" selected="0">
            <x v="0"/>
          </reference>
          <reference field="2" count="5">
            <x v="4"/>
            <x v="5"/>
            <x v="6"/>
            <x v="7"/>
            <x v="8"/>
          </reference>
        </references>
      </pivotArea>
    </format>
    <format dxfId="1">
      <pivotArea collapsedLevelsAreSubtotals="1" fieldPosition="0">
        <references count="1">
          <reference field="1" count="1">
            <x v="1"/>
          </reference>
        </references>
      </pivotArea>
    </format>
    <format dxfId="0">
      <pivotArea collapsedLevelsAreSubtotals="1" fieldPosition="0">
        <references count="2">
          <reference field="1" count="1" selected="0">
            <x v="1"/>
          </reference>
          <reference field="2" count="5">
            <x v="0"/>
            <x v="1"/>
            <x v="2"/>
            <x v="3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522" Type="http://schemas.openxmlformats.org/officeDocument/2006/relationships/hyperlink" Target="https://auction.ikco.ir/auction/details/34?r=166" TargetMode="External"/><Relationship Id="rId21" Type="http://schemas.openxmlformats.org/officeDocument/2006/relationships/hyperlink" Target="javascript:void(0)" TargetMode="External"/><Relationship Id="rId170" Type="http://schemas.openxmlformats.org/officeDocument/2006/relationships/hyperlink" Target="https://auction.ikco.ir/auction/details/34?r=443" TargetMode="External"/><Relationship Id="rId268" Type="http://schemas.openxmlformats.org/officeDocument/2006/relationships/hyperlink" Target="https://auction.ikco.ir/auction/details/34?r=485" TargetMode="External"/><Relationship Id="rId475" Type="http://schemas.openxmlformats.org/officeDocument/2006/relationships/hyperlink" Target="https://auction.ikco.ir/auction/details/34?r=507" TargetMode="External"/><Relationship Id="rId682" Type="http://schemas.openxmlformats.org/officeDocument/2006/relationships/hyperlink" Target="javascript:void(0)" TargetMode="External"/><Relationship Id="rId128" Type="http://schemas.openxmlformats.org/officeDocument/2006/relationships/hyperlink" Target="https://auction.ikco.ir/auction/details/34?r=473" TargetMode="External"/><Relationship Id="rId335" Type="http://schemas.openxmlformats.org/officeDocument/2006/relationships/hyperlink" Target="javascript:void(0)" TargetMode="External"/><Relationship Id="rId542" Type="http://schemas.openxmlformats.org/officeDocument/2006/relationships/hyperlink" Target="javascript:void(0)" TargetMode="External"/><Relationship Id="rId987" Type="http://schemas.openxmlformats.org/officeDocument/2006/relationships/hyperlink" Target="https://auction.ikco.ir/auction/details/34?r=361" TargetMode="External"/><Relationship Id="rId1172" Type="http://schemas.openxmlformats.org/officeDocument/2006/relationships/hyperlink" Target="https://auction.ikco.ir/auction/details/34?r=59" TargetMode="External"/><Relationship Id="rId402" Type="http://schemas.openxmlformats.org/officeDocument/2006/relationships/hyperlink" Target="https://auction.ikco.ir/auction/details/34?r=278" TargetMode="External"/><Relationship Id="rId847" Type="http://schemas.openxmlformats.org/officeDocument/2006/relationships/hyperlink" Target="javascript:void(0)" TargetMode="External"/><Relationship Id="rId1032" Type="http://schemas.openxmlformats.org/officeDocument/2006/relationships/hyperlink" Target="javascript:void(0)" TargetMode="External"/><Relationship Id="rId1477" Type="http://schemas.openxmlformats.org/officeDocument/2006/relationships/hyperlink" Target="https://auction.ikco.ir/auction/details/34?r=484" TargetMode="External"/><Relationship Id="rId1684" Type="http://schemas.openxmlformats.org/officeDocument/2006/relationships/hyperlink" Target="javascript:void(0)" TargetMode="External"/><Relationship Id="rId707" Type="http://schemas.openxmlformats.org/officeDocument/2006/relationships/hyperlink" Target="https://auction.ikco.ir/auction/details/34?r=157" TargetMode="External"/><Relationship Id="rId914" Type="http://schemas.openxmlformats.org/officeDocument/2006/relationships/hyperlink" Target="https://auction.ikco.ir/auction/details/34?r=98" TargetMode="External"/><Relationship Id="rId1337" Type="http://schemas.openxmlformats.org/officeDocument/2006/relationships/hyperlink" Target="javascript:void(0)" TargetMode="External"/><Relationship Id="rId1544" Type="http://schemas.openxmlformats.org/officeDocument/2006/relationships/hyperlink" Target="javascript:void(0)" TargetMode="External"/><Relationship Id="rId43" Type="http://schemas.openxmlformats.org/officeDocument/2006/relationships/hyperlink" Target="https://auction.ikco.ir/auction/details/34?r=525" TargetMode="External"/><Relationship Id="rId1404" Type="http://schemas.openxmlformats.org/officeDocument/2006/relationships/hyperlink" Target="https://auction.ikco.ir/auction/details/34?r=198" TargetMode="External"/><Relationship Id="rId1611" Type="http://schemas.openxmlformats.org/officeDocument/2006/relationships/hyperlink" Target="https://auction.ikco.ir/auction/details/34?r=359" TargetMode="External"/><Relationship Id="rId192" Type="http://schemas.openxmlformats.org/officeDocument/2006/relationships/hyperlink" Target="javascript:void(0)" TargetMode="External"/><Relationship Id="rId497" Type="http://schemas.openxmlformats.org/officeDocument/2006/relationships/hyperlink" Target="javascript:void(0)" TargetMode="External"/><Relationship Id="rId357" Type="http://schemas.openxmlformats.org/officeDocument/2006/relationships/hyperlink" Target="https://auction.ikco.ir/auction/details/34?r=348" TargetMode="External"/><Relationship Id="rId1194" Type="http://schemas.openxmlformats.org/officeDocument/2006/relationships/hyperlink" Target="javascript:void(0)" TargetMode="External"/><Relationship Id="rId217" Type="http://schemas.openxmlformats.org/officeDocument/2006/relationships/hyperlink" Target="https://auction.ikco.ir/auction/details/34?r=511" TargetMode="External"/><Relationship Id="rId564" Type="http://schemas.openxmlformats.org/officeDocument/2006/relationships/hyperlink" Target="https://auction.ikco.ir/auction/details/34?r=494" TargetMode="External"/><Relationship Id="rId771" Type="http://schemas.openxmlformats.org/officeDocument/2006/relationships/hyperlink" Target="https://auction.ikco.ir/auction/details/34?r=135" TargetMode="External"/><Relationship Id="rId869" Type="http://schemas.openxmlformats.org/officeDocument/2006/relationships/hyperlink" Target="https://auction.ikco.ir/auction/details/34?r=233" TargetMode="External"/><Relationship Id="rId1499" Type="http://schemas.openxmlformats.org/officeDocument/2006/relationships/hyperlink" Target="javascript:void(0)" TargetMode="External"/><Relationship Id="rId424" Type="http://schemas.openxmlformats.org/officeDocument/2006/relationships/hyperlink" Target="https://auction.ikco.ir/auction/details/34?r=303" TargetMode="External"/><Relationship Id="rId631" Type="http://schemas.openxmlformats.org/officeDocument/2006/relationships/hyperlink" Target="javascript:void(0)" TargetMode="External"/><Relationship Id="rId729" Type="http://schemas.openxmlformats.org/officeDocument/2006/relationships/hyperlink" Target="https://auction.ikco.ir/auction/details/34?r=179" TargetMode="External"/><Relationship Id="rId1054" Type="http://schemas.openxmlformats.org/officeDocument/2006/relationships/hyperlink" Target="https://auction.ikco.ir/auction/details/34?r=41" TargetMode="External"/><Relationship Id="rId1261" Type="http://schemas.openxmlformats.org/officeDocument/2006/relationships/hyperlink" Target="https://auction.ikco.ir/auction/details/34?r=68" TargetMode="External"/><Relationship Id="rId1359" Type="http://schemas.openxmlformats.org/officeDocument/2006/relationships/hyperlink" Target="https://auction.ikco.ir/auction/details/34?r=334" TargetMode="External"/><Relationship Id="rId936" Type="http://schemas.openxmlformats.org/officeDocument/2006/relationships/hyperlink" Target="https://auction.ikco.ir/auction/details/34?r=220" TargetMode="External"/><Relationship Id="rId1121" Type="http://schemas.openxmlformats.org/officeDocument/2006/relationships/hyperlink" Target="https://auction.ikco.ir/auction/details/34?r=91" TargetMode="External"/><Relationship Id="rId1219" Type="http://schemas.openxmlformats.org/officeDocument/2006/relationships/hyperlink" Target="https://auction.ikco.ir/auction/details/34?r=6" TargetMode="External"/><Relationship Id="rId1566" Type="http://schemas.openxmlformats.org/officeDocument/2006/relationships/hyperlink" Target="https://auction.ikco.ir/auction/details/34?r=363" TargetMode="External"/><Relationship Id="rId65" Type="http://schemas.openxmlformats.org/officeDocument/2006/relationships/hyperlink" Target="https://auction.ikco.ir/auction/details/34?r=451" TargetMode="External"/><Relationship Id="rId1426" Type="http://schemas.openxmlformats.org/officeDocument/2006/relationships/hyperlink" Target="https://auction.ikco.ir/auction/details/34?r=282" TargetMode="External"/><Relationship Id="rId1633" Type="http://schemas.openxmlformats.org/officeDocument/2006/relationships/hyperlink" Target="javascript:void(0)" TargetMode="External"/><Relationship Id="rId281" Type="http://schemas.openxmlformats.org/officeDocument/2006/relationships/hyperlink" Target="https://auction.ikco.ir/auction/details/34?r=486" TargetMode="External"/><Relationship Id="rId141" Type="http://schemas.openxmlformats.org/officeDocument/2006/relationships/hyperlink" Target="javascript:void(0)" TargetMode="External"/><Relationship Id="rId379" Type="http://schemas.openxmlformats.org/officeDocument/2006/relationships/hyperlink" Target="https://auction.ikco.ir/auction/details/34?r=455" TargetMode="External"/><Relationship Id="rId586" Type="http://schemas.openxmlformats.org/officeDocument/2006/relationships/hyperlink" Target="https://auction.ikco.ir/auction/details/34?r=255" TargetMode="External"/><Relationship Id="rId793" Type="http://schemas.openxmlformats.org/officeDocument/2006/relationships/hyperlink" Target="javascript:void(0)" TargetMode="External"/><Relationship Id="rId7" Type="http://schemas.openxmlformats.org/officeDocument/2006/relationships/hyperlink" Target="https://auction.ikco.ir/auction/details/34?r=528" TargetMode="External"/><Relationship Id="rId239" Type="http://schemas.openxmlformats.org/officeDocument/2006/relationships/hyperlink" Target="https://auction.ikco.ir/auction/details/34?r=398" TargetMode="External"/><Relationship Id="rId446" Type="http://schemas.openxmlformats.org/officeDocument/2006/relationships/hyperlink" Target="javascript:void(0)" TargetMode="External"/><Relationship Id="rId653" Type="http://schemas.openxmlformats.org/officeDocument/2006/relationships/hyperlink" Target="javascript:void(0)" TargetMode="External"/><Relationship Id="rId1076" Type="http://schemas.openxmlformats.org/officeDocument/2006/relationships/hyperlink" Target="https://auction.ikco.ir/auction/details/34?r=142" TargetMode="External"/><Relationship Id="rId1283" Type="http://schemas.openxmlformats.org/officeDocument/2006/relationships/hyperlink" Target="https://auction.ikco.ir/auction/details/34?r=127" TargetMode="External"/><Relationship Id="rId1490" Type="http://schemas.openxmlformats.org/officeDocument/2006/relationships/hyperlink" Target="javascript:void(0)" TargetMode="External"/><Relationship Id="rId306" Type="http://schemas.openxmlformats.org/officeDocument/2006/relationships/hyperlink" Target="https://auction.ikco.ir/auction/details/34?r=270" TargetMode="External"/><Relationship Id="rId860" Type="http://schemas.openxmlformats.org/officeDocument/2006/relationships/hyperlink" Target="https://auction.ikco.ir/auction/details/34?r=184" TargetMode="External"/><Relationship Id="rId958" Type="http://schemas.openxmlformats.org/officeDocument/2006/relationships/hyperlink" Target="javascript:void(0)" TargetMode="External"/><Relationship Id="rId1143" Type="http://schemas.openxmlformats.org/officeDocument/2006/relationships/hyperlink" Target="javascript:void(0)" TargetMode="External"/><Relationship Id="rId1588" Type="http://schemas.openxmlformats.org/officeDocument/2006/relationships/hyperlink" Target="https://auction.ikco.ir/auction/details/34?r=245" TargetMode="External"/><Relationship Id="rId87" Type="http://schemas.openxmlformats.org/officeDocument/2006/relationships/hyperlink" Target="javascript:void(0)" TargetMode="External"/><Relationship Id="rId513" Type="http://schemas.openxmlformats.org/officeDocument/2006/relationships/hyperlink" Target="https://auction.ikco.ir/auction/details/34?r=329" TargetMode="External"/><Relationship Id="rId720" Type="http://schemas.openxmlformats.org/officeDocument/2006/relationships/hyperlink" Target="https://auction.ikco.ir/auction/details/34?r=419" TargetMode="External"/><Relationship Id="rId818" Type="http://schemas.openxmlformats.org/officeDocument/2006/relationships/hyperlink" Target="https://auction.ikco.ir/auction/details/34?r=150" TargetMode="External"/><Relationship Id="rId1350" Type="http://schemas.openxmlformats.org/officeDocument/2006/relationships/hyperlink" Target="https://auction.ikco.ir/auction/details/34?r=246" TargetMode="External"/><Relationship Id="rId1448" Type="http://schemas.openxmlformats.org/officeDocument/2006/relationships/hyperlink" Target="javascript:void(0)" TargetMode="External"/><Relationship Id="rId1655" Type="http://schemas.openxmlformats.org/officeDocument/2006/relationships/hyperlink" Target="https://auction.ikco.ir/auction/details/34?r=426" TargetMode="External"/><Relationship Id="rId1003" Type="http://schemas.openxmlformats.org/officeDocument/2006/relationships/hyperlink" Target="https://auction.ikco.ir/auction/details/34?r=92" TargetMode="External"/><Relationship Id="rId1210" Type="http://schemas.openxmlformats.org/officeDocument/2006/relationships/hyperlink" Target="https://auction.ikco.ir/auction/details/34?r=325" TargetMode="External"/><Relationship Id="rId1308" Type="http://schemas.openxmlformats.org/officeDocument/2006/relationships/hyperlink" Target="https://auction.ikco.ir/auction/details/34?r=385" TargetMode="External"/><Relationship Id="rId1515" Type="http://schemas.openxmlformats.org/officeDocument/2006/relationships/hyperlink" Target="https://auction.ikco.ir/auction/details/34?r=73" TargetMode="External"/><Relationship Id="rId14" Type="http://schemas.openxmlformats.org/officeDocument/2006/relationships/hyperlink" Target="https://auction.ikco.ir/auction/details/34?r=431" TargetMode="External"/><Relationship Id="rId163" Type="http://schemas.openxmlformats.org/officeDocument/2006/relationships/hyperlink" Target="https://auction.ikco.ir/auction/details/34?r=420" TargetMode="External"/><Relationship Id="rId370" Type="http://schemas.openxmlformats.org/officeDocument/2006/relationships/hyperlink" Target="https://auction.ikco.ir/auction/details/34?r=355" TargetMode="External"/><Relationship Id="rId230" Type="http://schemas.openxmlformats.org/officeDocument/2006/relationships/hyperlink" Target="https://auction.ikco.ir/auction/details/34?r=396" TargetMode="External"/><Relationship Id="rId468" Type="http://schemas.openxmlformats.org/officeDocument/2006/relationships/hyperlink" Target="https://auction.ikco.ir/auction/details/34?r=253" TargetMode="External"/><Relationship Id="rId675" Type="http://schemas.openxmlformats.org/officeDocument/2006/relationships/hyperlink" Target="javascript:void(0)" TargetMode="External"/><Relationship Id="rId882" Type="http://schemas.openxmlformats.org/officeDocument/2006/relationships/hyperlink" Target="https://auction.ikco.ir/auction/details/34?r=64" TargetMode="External"/><Relationship Id="rId1098" Type="http://schemas.openxmlformats.org/officeDocument/2006/relationships/hyperlink" Target="javascript:void(0)" TargetMode="External"/><Relationship Id="rId328" Type="http://schemas.openxmlformats.org/officeDocument/2006/relationships/hyperlink" Target="https://auction.ikco.ir/auction/details/34?r=295" TargetMode="External"/><Relationship Id="rId535" Type="http://schemas.openxmlformats.org/officeDocument/2006/relationships/hyperlink" Target="https://auction.ikco.ir/auction/details/34?r=288" TargetMode="External"/><Relationship Id="rId742" Type="http://schemas.openxmlformats.org/officeDocument/2006/relationships/hyperlink" Target="javascript:void(0)" TargetMode="External"/><Relationship Id="rId1165" Type="http://schemas.openxmlformats.org/officeDocument/2006/relationships/hyperlink" Target="https://auction.ikco.ir/auction/details/34?r=405" TargetMode="External"/><Relationship Id="rId1372" Type="http://schemas.openxmlformats.org/officeDocument/2006/relationships/hyperlink" Target="https://auction.ikco.ir/auction/details/34?r=32" TargetMode="External"/><Relationship Id="rId602" Type="http://schemas.openxmlformats.org/officeDocument/2006/relationships/hyperlink" Target="javascript:void(0)" TargetMode="External"/><Relationship Id="rId1025" Type="http://schemas.openxmlformats.org/officeDocument/2006/relationships/hyperlink" Target="https://auction.ikco.ir/auction/details/34?r=201" TargetMode="External"/><Relationship Id="rId1232" Type="http://schemas.openxmlformats.org/officeDocument/2006/relationships/hyperlink" Target="https://auction.ikco.ir/auction/details/34?r=25" TargetMode="External"/><Relationship Id="rId1677" Type="http://schemas.openxmlformats.org/officeDocument/2006/relationships/hyperlink" Target="https://auction.ikco.ir/auction/details/34?r=517" TargetMode="External"/><Relationship Id="rId907" Type="http://schemas.openxmlformats.org/officeDocument/2006/relationships/hyperlink" Target="javascript:void(0)" TargetMode="External"/><Relationship Id="rId1537" Type="http://schemas.openxmlformats.org/officeDocument/2006/relationships/hyperlink" Target="https://auction.ikco.ir/auction/details/34?r=330" TargetMode="External"/><Relationship Id="rId36" Type="http://schemas.openxmlformats.org/officeDocument/2006/relationships/hyperlink" Target="javascript:void(0)" TargetMode="External"/><Relationship Id="rId1604" Type="http://schemas.openxmlformats.org/officeDocument/2006/relationships/hyperlink" Target="https://auction.ikco.ir/auction/details/34?r=248" TargetMode="External"/><Relationship Id="rId185" Type="http://schemas.openxmlformats.org/officeDocument/2006/relationships/hyperlink" Target="https://auction.ikco.ir/auction/details/34?r=409" TargetMode="External"/><Relationship Id="rId392" Type="http://schemas.openxmlformats.org/officeDocument/2006/relationships/hyperlink" Target="javascript:void(0)" TargetMode="External"/><Relationship Id="rId697" Type="http://schemas.openxmlformats.org/officeDocument/2006/relationships/hyperlink" Target="javascript:void(0)" TargetMode="External"/><Relationship Id="rId252" Type="http://schemas.openxmlformats.org/officeDocument/2006/relationships/hyperlink" Target="javascript:void(0)" TargetMode="External"/><Relationship Id="rId1187" Type="http://schemas.openxmlformats.org/officeDocument/2006/relationships/hyperlink" Target="https://auction.ikco.ir/auction/details/34?r=163" TargetMode="External"/><Relationship Id="rId112" Type="http://schemas.openxmlformats.org/officeDocument/2006/relationships/hyperlink" Target="https://auction.ikco.ir/auction/details/34?r=429" TargetMode="External"/><Relationship Id="rId557" Type="http://schemas.openxmlformats.org/officeDocument/2006/relationships/hyperlink" Target="javascript:void(0)" TargetMode="External"/><Relationship Id="rId764" Type="http://schemas.openxmlformats.org/officeDocument/2006/relationships/hyperlink" Target="https://auction.ikco.ir/auction/details/34?r=423" TargetMode="External"/><Relationship Id="rId971" Type="http://schemas.openxmlformats.org/officeDocument/2006/relationships/hyperlink" Target="https://auction.ikco.ir/auction/details/34?r=162" TargetMode="External"/><Relationship Id="rId1394" Type="http://schemas.openxmlformats.org/officeDocument/2006/relationships/hyperlink" Target="javascript:void(0)" TargetMode="External"/><Relationship Id="rId417" Type="http://schemas.openxmlformats.org/officeDocument/2006/relationships/hyperlink" Target="https://auction.ikco.ir/auction/details/34?r=66" TargetMode="External"/><Relationship Id="rId624" Type="http://schemas.openxmlformats.org/officeDocument/2006/relationships/hyperlink" Target="javascript:void(0)" TargetMode="External"/><Relationship Id="rId831" Type="http://schemas.openxmlformats.org/officeDocument/2006/relationships/hyperlink" Target="https://auction.ikco.ir/auction/details/34?r=183" TargetMode="External"/><Relationship Id="rId1047" Type="http://schemas.openxmlformats.org/officeDocument/2006/relationships/hyperlink" Target="javascript:void(0)" TargetMode="External"/><Relationship Id="rId1254" Type="http://schemas.openxmlformats.org/officeDocument/2006/relationships/hyperlink" Target="javascript:void(0)" TargetMode="External"/><Relationship Id="rId1461" Type="http://schemas.openxmlformats.org/officeDocument/2006/relationships/hyperlink" Target="https://auction.ikco.ir/auction/details/34?r=285" TargetMode="External"/><Relationship Id="rId929" Type="http://schemas.openxmlformats.org/officeDocument/2006/relationships/hyperlink" Target="https://auction.ikco.ir/auction/details/34?r=159" TargetMode="External"/><Relationship Id="rId1114" Type="http://schemas.openxmlformats.org/officeDocument/2006/relationships/hyperlink" Target="https://auction.ikco.ir/auction/details/34?r=80" TargetMode="External"/><Relationship Id="rId1321" Type="http://schemas.openxmlformats.org/officeDocument/2006/relationships/hyperlink" Target="https://auction.ikco.ir/auction/details/34?r=95" TargetMode="External"/><Relationship Id="rId1559" Type="http://schemas.openxmlformats.org/officeDocument/2006/relationships/hyperlink" Target="javascript:void(0)" TargetMode="External"/><Relationship Id="rId58" Type="http://schemas.openxmlformats.org/officeDocument/2006/relationships/hyperlink" Target="https://auction.ikco.ir/auction/details/34?r=478" TargetMode="External"/><Relationship Id="rId1419" Type="http://schemas.openxmlformats.org/officeDocument/2006/relationships/hyperlink" Target="https://auction.ikco.ir/auction/details/34?r=229" TargetMode="External"/><Relationship Id="rId1626" Type="http://schemas.openxmlformats.org/officeDocument/2006/relationships/hyperlink" Target="https://auction.ikco.ir/auction/details/34?r=427" TargetMode="External"/><Relationship Id="rId274" Type="http://schemas.openxmlformats.org/officeDocument/2006/relationships/hyperlink" Target="https://auction.ikco.ir/auction/details/34?r=317" TargetMode="External"/><Relationship Id="rId481" Type="http://schemas.openxmlformats.org/officeDocument/2006/relationships/hyperlink" Target="https://auction.ikco.ir/auction/details/34?r=281" TargetMode="External"/><Relationship Id="rId134" Type="http://schemas.openxmlformats.org/officeDocument/2006/relationships/hyperlink" Target="https://auction.ikco.ir/auction/details/34?r=408" TargetMode="External"/><Relationship Id="rId579" Type="http://schemas.openxmlformats.org/officeDocument/2006/relationships/hyperlink" Target="https://auction.ikco.ir/auction/details/34?r=177" TargetMode="External"/><Relationship Id="rId786" Type="http://schemas.openxmlformats.org/officeDocument/2006/relationships/hyperlink" Target="https://auction.ikco.ir/auction/details/34?r=82" TargetMode="External"/><Relationship Id="rId993" Type="http://schemas.openxmlformats.org/officeDocument/2006/relationships/hyperlink" Target="https://auction.ikco.ir/auction/details/34?r=70" TargetMode="External"/><Relationship Id="rId341" Type="http://schemas.openxmlformats.org/officeDocument/2006/relationships/hyperlink" Target="javascript:void(0)" TargetMode="External"/><Relationship Id="rId439" Type="http://schemas.openxmlformats.org/officeDocument/2006/relationships/hyperlink" Target="https://auction.ikco.ir/auction/details/34?r=467" TargetMode="External"/><Relationship Id="rId646" Type="http://schemas.openxmlformats.org/officeDocument/2006/relationships/hyperlink" Target="javascript:void(0)" TargetMode="External"/><Relationship Id="rId1069" Type="http://schemas.openxmlformats.org/officeDocument/2006/relationships/hyperlink" Target="https://auction.ikco.ir/auction/details/34?r=105" TargetMode="External"/><Relationship Id="rId1276" Type="http://schemas.openxmlformats.org/officeDocument/2006/relationships/hyperlink" Target="https://auction.ikco.ir/auction/details/34?r=108" TargetMode="External"/><Relationship Id="rId1483" Type="http://schemas.openxmlformats.org/officeDocument/2006/relationships/hyperlink" Target="https://auction.ikco.ir/auction/details/34?r=43" TargetMode="External"/><Relationship Id="rId201" Type="http://schemas.openxmlformats.org/officeDocument/2006/relationships/hyperlink" Target="javascript:void(0)" TargetMode="External"/><Relationship Id="rId506" Type="http://schemas.openxmlformats.org/officeDocument/2006/relationships/hyperlink" Target="javascript:void(0)" TargetMode="External"/><Relationship Id="rId853" Type="http://schemas.openxmlformats.org/officeDocument/2006/relationships/hyperlink" Target="javascript:void(0)" TargetMode="External"/><Relationship Id="rId1136" Type="http://schemas.openxmlformats.org/officeDocument/2006/relationships/hyperlink" Target="https://auction.ikco.ir/auction/details/34?r=153" TargetMode="External"/><Relationship Id="rId713" Type="http://schemas.openxmlformats.org/officeDocument/2006/relationships/hyperlink" Target="https://auction.ikco.ir/auction/details/34?r=305" TargetMode="External"/><Relationship Id="rId920" Type="http://schemas.openxmlformats.org/officeDocument/2006/relationships/hyperlink" Target="https://auction.ikco.ir/auction/details/34?r=117" TargetMode="External"/><Relationship Id="rId1343" Type="http://schemas.openxmlformats.org/officeDocument/2006/relationships/hyperlink" Target="javascript:void(0)" TargetMode="External"/><Relationship Id="rId1550" Type="http://schemas.openxmlformats.org/officeDocument/2006/relationships/hyperlink" Target="javascript:void(0)" TargetMode="External"/><Relationship Id="rId1648" Type="http://schemas.openxmlformats.org/officeDocument/2006/relationships/hyperlink" Target="javascript:void(0)" TargetMode="External"/><Relationship Id="rId1203" Type="http://schemas.openxmlformats.org/officeDocument/2006/relationships/hyperlink" Target="javascript:void(0)" TargetMode="External"/><Relationship Id="rId1410" Type="http://schemas.openxmlformats.org/officeDocument/2006/relationships/hyperlink" Target="https://auction.ikco.ir/auction/details/34?r=204" TargetMode="External"/><Relationship Id="rId1508" Type="http://schemas.openxmlformats.org/officeDocument/2006/relationships/hyperlink" Target="javascript:void(0)" TargetMode="External"/><Relationship Id="rId296" Type="http://schemas.openxmlformats.org/officeDocument/2006/relationships/hyperlink" Target="https://auction.ikco.ir/auction/details/34?r=482" TargetMode="External"/><Relationship Id="rId156" Type="http://schemas.openxmlformats.org/officeDocument/2006/relationships/hyperlink" Target="javascript:void(0)" TargetMode="External"/><Relationship Id="rId363" Type="http://schemas.openxmlformats.org/officeDocument/2006/relationships/hyperlink" Target="https://auction.ikco.ir/auction/details/34?r=341" TargetMode="External"/><Relationship Id="rId570" Type="http://schemas.openxmlformats.org/officeDocument/2006/relationships/hyperlink" Target="https://auction.ikco.ir/auction/details/34?r=232" TargetMode="External"/><Relationship Id="rId223" Type="http://schemas.openxmlformats.org/officeDocument/2006/relationships/hyperlink" Target="https://auction.ikco.ir/auction/details/34?r=424" TargetMode="External"/><Relationship Id="rId430" Type="http://schemas.openxmlformats.org/officeDocument/2006/relationships/hyperlink" Target="https://auction.ikco.ir/auction/details/34?r=286" TargetMode="External"/><Relationship Id="rId668" Type="http://schemas.openxmlformats.org/officeDocument/2006/relationships/hyperlink" Target="javascript:void(0)" TargetMode="External"/><Relationship Id="rId875" Type="http://schemas.openxmlformats.org/officeDocument/2006/relationships/hyperlink" Target="https://auction.ikco.ir/auction/details/34?r=16" TargetMode="External"/><Relationship Id="rId1060" Type="http://schemas.openxmlformats.org/officeDocument/2006/relationships/hyperlink" Target="https://auction.ikco.ir/auction/details/34?r=97" TargetMode="External"/><Relationship Id="rId1298" Type="http://schemas.openxmlformats.org/officeDocument/2006/relationships/hyperlink" Target="javascript:void(0)" TargetMode="External"/><Relationship Id="rId528" Type="http://schemas.openxmlformats.org/officeDocument/2006/relationships/hyperlink" Target="https://auction.ikco.ir/auction/details/34?r=508" TargetMode="External"/><Relationship Id="rId735" Type="http://schemas.openxmlformats.org/officeDocument/2006/relationships/hyperlink" Target="https://auction.ikco.ir/auction/details/34?r=132" TargetMode="External"/><Relationship Id="rId942" Type="http://schemas.openxmlformats.org/officeDocument/2006/relationships/hyperlink" Target="https://auction.ikco.ir/auction/details/34?r=250" TargetMode="External"/><Relationship Id="rId1158" Type="http://schemas.openxmlformats.org/officeDocument/2006/relationships/hyperlink" Target="javascript:void(0)" TargetMode="External"/><Relationship Id="rId1365" Type="http://schemas.openxmlformats.org/officeDocument/2006/relationships/hyperlink" Target="https://auction.ikco.ir/auction/details/34?r=19" TargetMode="External"/><Relationship Id="rId1572" Type="http://schemas.openxmlformats.org/officeDocument/2006/relationships/hyperlink" Target="https://auction.ikco.ir/auction/details/34?r=374" TargetMode="External"/><Relationship Id="rId1018" Type="http://schemas.openxmlformats.org/officeDocument/2006/relationships/hyperlink" Target="https://auction.ikco.ir/auction/details/34?r=147" TargetMode="External"/><Relationship Id="rId1225" Type="http://schemas.openxmlformats.org/officeDocument/2006/relationships/hyperlink" Target="https://auction.ikco.ir/auction/details/34?r=22" TargetMode="External"/><Relationship Id="rId1432" Type="http://schemas.openxmlformats.org/officeDocument/2006/relationships/hyperlink" Target="https://auction.ikco.ir/auction/details/34?r=320" TargetMode="External"/><Relationship Id="rId71" Type="http://schemas.openxmlformats.org/officeDocument/2006/relationships/hyperlink" Target="https://auction.ikco.ir/auction/details/34?r=477" TargetMode="External"/><Relationship Id="rId802" Type="http://schemas.openxmlformats.org/officeDocument/2006/relationships/hyperlink" Target="javascript:void(0)" TargetMode="External"/><Relationship Id="rId29" Type="http://schemas.openxmlformats.org/officeDocument/2006/relationships/hyperlink" Target="https://auction.ikco.ir/auction/details/34?r=522" TargetMode="External"/><Relationship Id="rId178" Type="http://schemas.openxmlformats.org/officeDocument/2006/relationships/hyperlink" Target="https://auction.ikco.ir/auction/details/34?r=437" TargetMode="External"/><Relationship Id="rId385" Type="http://schemas.openxmlformats.org/officeDocument/2006/relationships/hyperlink" Target="https://auction.ikco.ir/auction/details/34?r=284" TargetMode="External"/><Relationship Id="rId592" Type="http://schemas.openxmlformats.org/officeDocument/2006/relationships/hyperlink" Target="https://auction.ikco.ir/auction/details/34?r=243" TargetMode="External"/><Relationship Id="rId245" Type="http://schemas.openxmlformats.org/officeDocument/2006/relationships/hyperlink" Target="https://auction.ikco.ir/auction/details/34?r=256" TargetMode="External"/><Relationship Id="rId452" Type="http://schemas.openxmlformats.org/officeDocument/2006/relationships/hyperlink" Target="javascript:void(0)" TargetMode="External"/><Relationship Id="rId897" Type="http://schemas.openxmlformats.org/officeDocument/2006/relationships/hyperlink" Target="https://auction.ikco.ir/auction/details/34?r=230" TargetMode="External"/><Relationship Id="rId1082" Type="http://schemas.openxmlformats.org/officeDocument/2006/relationships/hyperlink" Target="https://auction.ikco.ir/auction/details/34?r=173" TargetMode="External"/><Relationship Id="rId105" Type="http://schemas.openxmlformats.org/officeDocument/2006/relationships/hyperlink" Target="javascript:void(0)" TargetMode="External"/><Relationship Id="rId312" Type="http://schemas.openxmlformats.org/officeDocument/2006/relationships/hyperlink" Target="https://auction.ikco.ir/auction/details/34?r=378" TargetMode="External"/><Relationship Id="rId757" Type="http://schemas.openxmlformats.org/officeDocument/2006/relationships/hyperlink" Target="javascript:void(0)" TargetMode="External"/><Relationship Id="rId964" Type="http://schemas.openxmlformats.org/officeDocument/2006/relationships/hyperlink" Target="javascript:void(0)" TargetMode="External"/><Relationship Id="rId1387" Type="http://schemas.openxmlformats.org/officeDocument/2006/relationships/hyperlink" Target="https://auction.ikco.ir/auction/details/34?r=103" TargetMode="External"/><Relationship Id="rId1594" Type="http://schemas.openxmlformats.org/officeDocument/2006/relationships/hyperlink" Target="https://auction.ikco.ir/auction/details/34?r=236" TargetMode="External"/><Relationship Id="rId93" Type="http://schemas.openxmlformats.org/officeDocument/2006/relationships/hyperlink" Target="javascript:void(0)" TargetMode="External"/><Relationship Id="rId617" Type="http://schemas.openxmlformats.org/officeDocument/2006/relationships/hyperlink" Target="javascript:void(0)" TargetMode="External"/><Relationship Id="rId824" Type="http://schemas.openxmlformats.org/officeDocument/2006/relationships/hyperlink" Target="https://auction.ikco.ir/auction/details/34?r=155" TargetMode="External"/><Relationship Id="rId1247" Type="http://schemas.openxmlformats.org/officeDocument/2006/relationships/hyperlink" Target="https://auction.ikco.ir/auction/details/34?r=38" TargetMode="External"/><Relationship Id="rId1454" Type="http://schemas.openxmlformats.org/officeDocument/2006/relationships/hyperlink" Target="javascript:void(0)" TargetMode="External"/><Relationship Id="rId1661" Type="http://schemas.openxmlformats.org/officeDocument/2006/relationships/hyperlink" Target="https://auction.ikco.ir/auction/details/34?r=265" TargetMode="External"/><Relationship Id="rId1107" Type="http://schemas.openxmlformats.org/officeDocument/2006/relationships/hyperlink" Target="javascript:void(0)" TargetMode="External"/><Relationship Id="rId1314" Type="http://schemas.openxmlformats.org/officeDocument/2006/relationships/hyperlink" Target="https://auction.ikco.ir/auction/details/34?r=3" TargetMode="External"/><Relationship Id="rId1521" Type="http://schemas.openxmlformats.org/officeDocument/2006/relationships/hyperlink" Target="https://auction.ikco.ir/auction/details/34?r=166" TargetMode="External"/><Relationship Id="rId1619" Type="http://schemas.openxmlformats.org/officeDocument/2006/relationships/hyperlink" Target="https://auction.ikco.ir/auction/details/34?r=263" TargetMode="External"/><Relationship Id="rId20" Type="http://schemas.openxmlformats.org/officeDocument/2006/relationships/hyperlink" Target="https://auction.ikco.ir/auction/details/34?r=510" TargetMode="External"/><Relationship Id="rId267" Type="http://schemas.openxmlformats.org/officeDocument/2006/relationships/hyperlink" Target="javascript:void(0)" TargetMode="External"/><Relationship Id="rId474" Type="http://schemas.openxmlformats.org/officeDocument/2006/relationships/hyperlink" Target="https://auction.ikco.ir/auction/details/34?r=507" TargetMode="External"/><Relationship Id="rId127" Type="http://schemas.openxmlformats.org/officeDocument/2006/relationships/hyperlink" Target="https://auction.ikco.ir/auction/details/34?r=473" TargetMode="External"/><Relationship Id="rId681" Type="http://schemas.openxmlformats.org/officeDocument/2006/relationships/hyperlink" Target="javascript:void(0)" TargetMode="External"/><Relationship Id="rId779" Type="http://schemas.openxmlformats.org/officeDocument/2006/relationships/hyperlink" Target="https://auction.ikco.ir/auction/details/34?r=238" TargetMode="External"/><Relationship Id="rId986" Type="http://schemas.openxmlformats.org/officeDocument/2006/relationships/hyperlink" Target="https://auction.ikco.ir/auction/details/34?r=361" TargetMode="External"/><Relationship Id="rId334" Type="http://schemas.openxmlformats.org/officeDocument/2006/relationships/hyperlink" Target="https://auction.ikco.ir/auction/details/34?r=388" TargetMode="External"/><Relationship Id="rId541" Type="http://schemas.openxmlformats.org/officeDocument/2006/relationships/hyperlink" Target="https://auction.ikco.ir/auction/details/34?r=328" TargetMode="External"/><Relationship Id="rId639" Type="http://schemas.openxmlformats.org/officeDocument/2006/relationships/hyperlink" Target="javascript:void(0)" TargetMode="External"/><Relationship Id="rId1171" Type="http://schemas.openxmlformats.org/officeDocument/2006/relationships/hyperlink" Target="https://auction.ikco.ir/auction/details/34?r=59" TargetMode="External"/><Relationship Id="rId1269" Type="http://schemas.openxmlformats.org/officeDocument/2006/relationships/hyperlink" Target="javascript:void(0)" TargetMode="External"/><Relationship Id="rId1476" Type="http://schemas.openxmlformats.org/officeDocument/2006/relationships/hyperlink" Target="https://auction.ikco.ir/auction/details/34?r=484" TargetMode="External"/><Relationship Id="rId401" Type="http://schemas.openxmlformats.org/officeDocument/2006/relationships/hyperlink" Target="javascript:void(0)" TargetMode="External"/><Relationship Id="rId846" Type="http://schemas.openxmlformats.org/officeDocument/2006/relationships/hyperlink" Target="https://auction.ikco.ir/auction/details/34?r=13" TargetMode="External"/><Relationship Id="rId1031" Type="http://schemas.openxmlformats.org/officeDocument/2006/relationships/hyperlink" Target="https://auction.ikco.ir/auction/details/34?r=215" TargetMode="External"/><Relationship Id="rId1129" Type="http://schemas.openxmlformats.org/officeDocument/2006/relationships/hyperlink" Target="https://auction.ikco.ir/auction/details/34?r=138" TargetMode="External"/><Relationship Id="rId1683" Type="http://schemas.openxmlformats.org/officeDocument/2006/relationships/hyperlink" Target="https://auction.ikco.ir/auction/details/34?r=518" TargetMode="External"/><Relationship Id="rId706" Type="http://schemas.openxmlformats.org/officeDocument/2006/relationships/hyperlink" Target="javascript:void(0)" TargetMode="External"/><Relationship Id="rId913" Type="http://schemas.openxmlformats.org/officeDocument/2006/relationships/hyperlink" Target="javascript:void(0)" TargetMode="External"/><Relationship Id="rId1336" Type="http://schemas.openxmlformats.org/officeDocument/2006/relationships/hyperlink" Target="https://auction.ikco.ir/auction/details/34?r=145" TargetMode="External"/><Relationship Id="rId1543" Type="http://schemas.openxmlformats.org/officeDocument/2006/relationships/hyperlink" Target="https://auction.ikco.ir/auction/details/34?r=364" TargetMode="External"/><Relationship Id="rId42" Type="http://schemas.openxmlformats.org/officeDocument/2006/relationships/hyperlink" Target="javascript:void(0)" TargetMode="External"/><Relationship Id="rId1403" Type="http://schemas.openxmlformats.org/officeDocument/2006/relationships/hyperlink" Target="javascript:void(0)" TargetMode="External"/><Relationship Id="rId1610" Type="http://schemas.openxmlformats.org/officeDocument/2006/relationships/hyperlink" Target="https://auction.ikco.ir/auction/details/34?r=359" TargetMode="External"/><Relationship Id="rId191" Type="http://schemas.openxmlformats.org/officeDocument/2006/relationships/hyperlink" Target="https://auction.ikco.ir/auction/details/34?r=488" TargetMode="External"/><Relationship Id="rId289" Type="http://schemas.openxmlformats.org/officeDocument/2006/relationships/hyperlink" Target="https://auction.ikco.ir/auction/details/34?r=300" TargetMode="External"/><Relationship Id="rId496" Type="http://schemas.openxmlformats.org/officeDocument/2006/relationships/hyperlink" Target="https://auction.ikco.ir/auction/details/34?r=310" TargetMode="External"/><Relationship Id="rId149" Type="http://schemas.openxmlformats.org/officeDocument/2006/relationships/hyperlink" Target="https://auction.ikco.ir/auction/details/34?r=513" TargetMode="External"/><Relationship Id="rId356" Type="http://schemas.openxmlformats.org/officeDocument/2006/relationships/hyperlink" Target="javascript:void(0)" TargetMode="External"/><Relationship Id="rId563" Type="http://schemas.openxmlformats.org/officeDocument/2006/relationships/hyperlink" Target="javascript:void(0)" TargetMode="External"/><Relationship Id="rId770" Type="http://schemas.openxmlformats.org/officeDocument/2006/relationships/hyperlink" Target="https://auction.ikco.ir/auction/details/34?r=135" TargetMode="External"/><Relationship Id="rId1193" Type="http://schemas.openxmlformats.org/officeDocument/2006/relationships/hyperlink" Target="https://auction.ikco.ir/auction/details/34?r=195" TargetMode="External"/><Relationship Id="rId216" Type="http://schemas.openxmlformats.org/officeDocument/2006/relationships/hyperlink" Target="javascript:void(0)" TargetMode="External"/><Relationship Id="rId423" Type="http://schemas.openxmlformats.org/officeDocument/2006/relationships/hyperlink" Target="https://auction.ikco.ir/auction/details/34?r=303" TargetMode="External"/><Relationship Id="rId868" Type="http://schemas.openxmlformats.org/officeDocument/2006/relationships/hyperlink" Target="javascript:void(0)" TargetMode="External"/><Relationship Id="rId1053" Type="http://schemas.openxmlformats.org/officeDocument/2006/relationships/hyperlink" Target="javascript:void(0)" TargetMode="External"/><Relationship Id="rId1260" Type="http://schemas.openxmlformats.org/officeDocument/2006/relationships/hyperlink" Target="javascript:void(0)" TargetMode="External"/><Relationship Id="rId1498" Type="http://schemas.openxmlformats.org/officeDocument/2006/relationships/hyperlink" Target="https://auction.ikco.ir/auction/details/34?r=109" TargetMode="External"/><Relationship Id="rId630" Type="http://schemas.openxmlformats.org/officeDocument/2006/relationships/hyperlink" Target="javascript:void(0)" TargetMode="External"/><Relationship Id="rId728" Type="http://schemas.openxmlformats.org/officeDocument/2006/relationships/hyperlink" Target="https://auction.ikco.ir/auction/details/34?r=179" TargetMode="External"/><Relationship Id="rId935" Type="http://schemas.openxmlformats.org/officeDocument/2006/relationships/hyperlink" Target="https://auction.ikco.ir/auction/details/34?r=220" TargetMode="External"/><Relationship Id="rId1358" Type="http://schemas.openxmlformats.org/officeDocument/2006/relationships/hyperlink" Target="javascript:void(0)" TargetMode="External"/><Relationship Id="rId1565" Type="http://schemas.openxmlformats.org/officeDocument/2006/relationships/hyperlink" Target="javascript:void(0)" TargetMode="External"/><Relationship Id="rId64" Type="http://schemas.openxmlformats.org/officeDocument/2006/relationships/hyperlink" Target="https://auction.ikco.ir/auction/details/34?r=451" TargetMode="External"/><Relationship Id="rId1120" Type="http://schemas.openxmlformats.org/officeDocument/2006/relationships/hyperlink" Target="https://auction.ikco.ir/auction/details/34?r=91" TargetMode="External"/><Relationship Id="rId1218" Type="http://schemas.openxmlformats.org/officeDocument/2006/relationships/hyperlink" Target="javascript:void(0)" TargetMode="External"/><Relationship Id="rId1425" Type="http://schemas.openxmlformats.org/officeDocument/2006/relationships/hyperlink" Target="https://auction.ikco.ir/auction/details/34?r=282" TargetMode="External"/><Relationship Id="rId1632" Type="http://schemas.openxmlformats.org/officeDocument/2006/relationships/hyperlink" Target="https://auction.ikco.ir/auction/details/34?r=386" TargetMode="External"/><Relationship Id="rId280" Type="http://schemas.openxmlformats.org/officeDocument/2006/relationships/hyperlink" Target="https://auction.ikco.ir/auction/details/34?r=486" TargetMode="External"/><Relationship Id="rId140" Type="http://schemas.openxmlformats.org/officeDocument/2006/relationships/hyperlink" Target="https://auction.ikco.ir/auction/details/34?r=472" TargetMode="External"/><Relationship Id="rId378" Type="http://schemas.openxmlformats.org/officeDocument/2006/relationships/hyperlink" Target="https://auction.ikco.ir/auction/details/34?r=455" TargetMode="External"/><Relationship Id="rId585" Type="http://schemas.openxmlformats.org/officeDocument/2006/relationships/hyperlink" Target="https://auction.ikco.ir/auction/details/34?r=255" TargetMode="External"/><Relationship Id="rId792" Type="http://schemas.openxmlformats.org/officeDocument/2006/relationships/hyperlink" Target="https://auction.ikco.ir/auction/details/34?r=187" TargetMode="External"/><Relationship Id="rId6" Type="http://schemas.openxmlformats.org/officeDocument/2006/relationships/hyperlink" Target="javascript:void(0)" TargetMode="External"/><Relationship Id="rId238" Type="http://schemas.openxmlformats.org/officeDocument/2006/relationships/hyperlink" Target="https://auction.ikco.ir/auction/details/34?r=398" TargetMode="External"/><Relationship Id="rId445" Type="http://schemas.openxmlformats.org/officeDocument/2006/relationships/hyperlink" Target="https://auction.ikco.ir/auction/details/34?r=293" TargetMode="External"/><Relationship Id="rId652" Type="http://schemas.openxmlformats.org/officeDocument/2006/relationships/hyperlink" Target="javascript:void(0)" TargetMode="External"/><Relationship Id="rId1075" Type="http://schemas.openxmlformats.org/officeDocument/2006/relationships/hyperlink" Target="https://auction.ikco.ir/auction/details/34?r=142" TargetMode="External"/><Relationship Id="rId1282" Type="http://schemas.openxmlformats.org/officeDocument/2006/relationships/hyperlink" Target="https://auction.ikco.ir/auction/details/34?r=127" TargetMode="External"/><Relationship Id="rId305" Type="http://schemas.openxmlformats.org/officeDocument/2006/relationships/hyperlink" Target="javascript:void(0)" TargetMode="External"/><Relationship Id="rId512" Type="http://schemas.openxmlformats.org/officeDocument/2006/relationships/hyperlink" Target="javascript:void(0)" TargetMode="External"/><Relationship Id="rId957" Type="http://schemas.openxmlformats.org/officeDocument/2006/relationships/hyperlink" Target="https://auction.ikco.ir/auction/details/34?r=49" TargetMode="External"/><Relationship Id="rId1142" Type="http://schemas.openxmlformats.org/officeDocument/2006/relationships/hyperlink" Target="https://auction.ikco.ir/auction/details/34?r=185" TargetMode="External"/><Relationship Id="rId1587" Type="http://schemas.openxmlformats.org/officeDocument/2006/relationships/hyperlink" Target="https://auction.ikco.ir/auction/details/34?r=245" TargetMode="External"/><Relationship Id="rId86" Type="http://schemas.openxmlformats.org/officeDocument/2006/relationships/hyperlink" Target="https://auction.ikco.ir/auction/details/34?r=432" TargetMode="External"/><Relationship Id="rId817" Type="http://schemas.openxmlformats.org/officeDocument/2006/relationships/hyperlink" Target="javascript:void(0)" TargetMode="External"/><Relationship Id="rId1002" Type="http://schemas.openxmlformats.org/officeDocument/2006/relationships/hyperlink" Target="javascript:void(0)" TargetMode="External"/><Relationship Id="rId1447" Type="http://schemas.openxmlformats.org/officeDocument/2006/relationships/hyperlink" Target="https://auction.ikco.ir/auction/details/34?r=14" TargetMode="External"/><Relationship Id="rId1654" Type="http://schemas.openxmlformats.org/officeDocument/2006/relationships/hyperlink" Target="javascript:void(0)" TargetMode="External"/><Relationship Id="rId1307" Type="http://schemas.openxmlformats.org/officeDocument/2006/relationships/hyperlink" Target="javascript:void(0)" TargetMode="External"/><Relationship Id="rId1514" Type="http://schemas.openxmlformats.org/officeDocument/2006/relationships/hyperlink" Target="javascript:void(0)" TargetMode="External"/><Relationship Id="rId13" Type="http://schemas.openxmlformats.org/officeDocument/2006/relationships/hyperlink" Target="https://auction.ikco.ir/auction/details/34?r=431" TargetMode="External"/><Relationship Id="rId162" Type="http://schemas.openxmlformats.org/officeDocument/2006/relationships/hyperlink" Target="javascript:void(0)" TargetMode="External"/><Relationship Id="rId467" Type="http://schemas.openxmlformats.org/officeDocument/2006/relationships/hyperlink" Target="javascript:void(0)" TargetMode="External"/><Relationship Id="rId1097" Type="http://schemas.openxmlformats.org/officeDocument/2006/relationships/hyperlink" Target="https://auction.ikco.ir/auction/details/34?r=371" TargetMode="External"/><Relationship Id="rId674" Type="http://schemas.openxmlformats.org/officeDocument/2006/relationships/hyperlink" Target="javascript:void(0)" TargetMode="External"/><Relationship Id="rId881" Type="http://schemas.openxmlformats.org/officeDocument/2006/relationships/hyperlink" Target="https://auction.ikco.ir/auction/details/34?r=64" TargetMode="External"/><Relationship Id="rId979" Type="http://schemas.openxmlformats.org/officeDocument/2006/relationships/hyperlink" Target="javascript:void(0)" TargetMode="External"/><Relationship Id="rId327" Type="http://schemas.openxmlformats.org/officeDocument/2006/relationships/hyperlink" Target="https://auction.ikco.ir/auction/details/34?r=295" TargetMode="External"/><Relationship Id="rId534" Type="http://schemas.openxmlformats.org/officeDocument/2006/relationships/hyperlink" Target="https://auction.ikco.ir/auction/details/34?r=288" TargetMode="External"/><Relationship Id="rId741" Type="http://schemas.openxmlformats.org/officeDocument/2006/relationships/hyperlink" Target="https://auction.ikco.ir/auction/details/34?r=176" TargetMode="External"/><Relationship Id="rId839" Type="http://schemas.openxmlformats.org/officeDocument/2006/relationships/hyperlink" Target="https://auction.ikco.ir/auction/details/34?r=352" TargetMode="External"/><Relationship Id="rId1164" Type="http://schemas.openxmlformats.org/officeDocument/2006/relationships/hyperlink" Target="javascript:void(0)" TargetMode="External"/><Relationship Id="rId1371" Type="http://schemas.openxmlformats.org/officeDocument/2006/relationships/hyperlink" Target="https://auction.ikco.ir/auction/details/34?r=32" TargetMode="External"/><Relationship Id="rId1469" Type="http://schemas.openxmlformats.org/officeDocument/2006/relationships/hyperlink" Target="javascript:void(0)" TargetMode="External"/><Relationship Id="rId601" Type="http://schemas.openxmlformats.org/officeDocument/2006/relationships/hyperlink" Target="javascript:void(0)" TargetMode="External"/><Relationship Id="rId1024" Type="http://schemas.openxmlformats.org/officeDocument/2006/relationships/hyperlink" Target="https://auction.ikco.ir/auction/details/34?r=201" TargetMode="External"/><Relationship Id="rId1231" Type="http://schemas.openxmlformats.org/officeDocument/2006/relationships/hyperlink" Target="https://auction.ikco.ir/auction/details/34?r=25" TargetMode="External"/><Relationship Id="rId1676" Type="http://schemas.openxmlformats.org/officeDocument/2006/relationships/hyperlink" Target="https://auction.ikco.ir/auction/details/34?r=517" TargetMode="External"/><Relationship Id="rId906" Type="http://schemas.openxmlformats.org/officeDocument/2006/relationships/hyperlink" Target="https://auction.ikco.ir/auction/details/34?r=506" TargetMode="External"/><Relationship Id="rId1329" Type="http://schemas.openxmlformats.org/officeDocument/2006/relationships/hyperlink" Target="https://auction.ikco.ir/auction/details/34?r=128" TargetMode="External"/><Relationship Id="rId1536" Type="http://schemas.openxmlformats.org/officeDocument/2006/relationships/hyperlink" Target="https://auction.ikco.ir/auction/details/34?r=330" TargetMode="External"/><Relationship Id="rId35" Type="http://schemas.openxmlformats.org/officeDocument/2006/relationships/hyperlink" Target="https://auction.ikco.ir/auction/details/34?r=521" TargetMode="External"/><Relationship Id="rId1603" Type="http://schemas.openxmlformats.org/officeDocument/2006/relationships/hyperlink" Target="javascript:void(0)" TargetMode="External"/><Relationship Id="rId184" Type="http://schemas.openxmlformats.org/officeDocument/2006/relationships/hyperlink" Target="https://auction.ikco.ir/auction/details/34?r=409" TargetMode="External"/><Relationship Id="rId391" Type="http://schemas.openxmlformats.org/officeDocument/2006/relationships/hyperlink" Target="https://auction.ikco.ir/auction/details/34?r=154" TargetMode="External"/><Relationship Id="rId251" Type="http://schemas.openxmlformats.org/officeDocument/2006/relationships/hyperlink" Target="https://auction.ikco.ir/auction/details/34?r=399" TargetMode="External"/><Relationship Id="rId489" Type="http://schemas.openxmlformats.org/officeDocument/2006/relationships/hyperlink" Target="https://auction.ikco.ir/auction/details/34?r=501" TargetMode="External"/><Relationship Id="rId696" Type="http://schemas.openxmlformats.org/officeDocument/2006/relationships/hyperlink" Target="javascript:void(0)" TargetMode="External"/><Relationship Id="rId349" Type="http://schemas.openxmlformats.org/officeDocument/2006/relationships/hyperlink" Target="https://auction.ikco.ir/auction/details/34?r=520" TargetMode="External"/><Relationship Id="rId556" Type="http://schemas.openxmlformats.org/officeDocument/2006/relationships/hyperlink" Target="https://auction.ikco.ir/auction/details/34?r=291" TargetMode="External"/><Relationship Id="rId763" Type="http://schemas.openxmlformats.org/officeDocument/2006/relationships/hyperlink" Target="javascript:void(0)" TargetMode="External"/><Relationship Id="rId1186" Type="http://schemas.openxmlformats.org/officeDocument/2006/relationships/hyperlink" Target="https://auction.ikco.ir/auction/details/34?r=163" TargetMode="External"/><Relationship Id="rId1393" Type="http://schemas.openxmlformats.org/officeDocument/2006/relationships/hyperlink" Target="https://auction.ikco.ir/auction/details/34?r=139" TargetMode="External"/><Relationship Id="rId111" Type="http://schemas.openxmlformats.org/officeDocument/2006/relationships/hyperlink" Target="javascript:void(0)" TargetMode="External"/><Relationship Id="rId209" Type="http://schemas.openxmlformats.org/officeDocument/2006/relationships/hyperlink" Target="https://auction.ikco.ir/auction/details/34?r=403" TargetMode="External"/><Relationship Id="rId416" Type="http://schemas.openxmlformats.org/officeDocument/2006/relationships/hyperlink" Target="javascript:void(0)" TargetMode="External"/><Relationship Id="rId970" Type="http://schemas.openxmlformats.org/officeDocument/2006/relationships/hyperlink" Target="javascript:void(0)" TargetMode="External"/><Relationship Id="rId1046" Type="http://schemas.openxmlformats.org/officeDocument/2006/relationships/hyperlink" Target="https://auction.ikco.ir/auction/details/34?r=375" TargetMode="External"/><Relationship Id="rId1253" Type="http://schemas.openxmlformats.org/officeDocument/2006/relationships/hyperlink" Target="https://auction.ikco.ir/auction/details/34?r=53" TargetMode="External"/><Relationship Id="rId623" Type="http://schemas.openxmlformats.org/officeDocument/2006/relationships/hyperlink" Target="javascript:void(0)" TargetMode="External"/><Relationship Id="rId830" Type="http://schemas.openxmlformats.org/officeDocument/2006/relationships/hyperlink" Target="https://auction.ikco.ir/auction/details/34?r=183" TargetMode="External"/><Relationship Id="rId928" Type="http://schemas.openxmlformats.org/officeDocument/2006/relationships/hyperlink" Target="javascript:void(0)" TargetMode="External"/><Relationship Id="rId1460" Type="http://schemas.openxmlformats.org/officeDocument/2006/relationships/hyperlink" Target="javascript:void(0)" TargetMode="External"/><Relationship Id="rId1558" Type="http://schemas.openxmlformats.org/officeDocument/2006/relationships/hyperlink" Target="https://auction.ikco.ir/auction/details/34?r=254" TargetMode="External"/><Relationship Id="rId57" Type="http://schemas.openxmlformats.org/officeDocument/2006/relationships/hyperlink" Target="javascript:void(0)" TargetMode="External"/><Relationship Id="rId1113" Type="http://schemas.openxmlformats.org/officeDocument/2006/relationships/hyperlink" Target="javascript:void(0)" TargetMode="External"/><Relationship Id="rId1320" Type="http://schemas.openxmlformats.org/officeDocument/2006/relationships/hyperlink" Target="https://auction.ikco.ir/auction/details/34?r=95" TargetMode="External"/><Relationship Id="rId1418" Type="http://schemas.openxmlformats.org/officeDocument/2006/relationships/hyperlink" Target="javascript:void(0)" TargetMode="External"/><Relationship Id="rId1625" Type="http://schemas.openxmlformats.org/officeDocument/2006/relationships/hyperlink" Target="https://auction.ikco.ir/auction/details/34?r=427" TargetMode="External"/><Relationship Id="rId273" Type="http://schemas.openxmlformats.org/officeDocument/2006/relationships/hyperlink" Target="javascript:void(0)" TargetMode="External"/><Relationship Id="rId480" Type="http://schemas.openxmlformats.org/officeDocument/2006/relationships/hyperlink" Target="https://auction.ikco.ir/auction/details/34?r=281" TargetMode="External"/><Relationship Id="rId133" Type="http://schemas.openxmlformats.org/officeDocument/2006/relationships/hyperlink" Target="https://auction.ikco.ir/auction/details/34?r=408" TargetMode="External"/><Relationship Id="rId340" Type="http://schemas.openxmlformats.org/officeDocument/2006/relationships/hyperlink" Target="https://auction.ikco.ir/auction/details/34?r=249" TargetMode="External"/><Relationship Id="rId578" Type="http://schemas.openxmlformats.org/officeDocument/2006/relationships/hyperlink" Target="javascript:void(0)" TargetMode="External"/><Relationship Id="rId785" Type="http://schemas.openxmlformats.org/officeDocument/2006/relationships/hyperlink" Target="https://auction.ikco.ir/auction/details/34?r=82" TargetMode="External"/><Relationship Id="rId992" Type="http://schemas.openxmlformats.org/officeDocument/2006/relationships/hyperlink" Target="https://auction.ikco.ir/auction/details/34?r=70" TargetMode="External"/><Relationship Id="rId200" Type="http://schemas.openxmlformats.org/officeDocument/2006/relationships/hyperlink" Target="https://auction.ikco.ir/auction/details/34?r=461" TargetMode="External"/><Relationship Id="rId438" Type="http://schemas.openxmlformats.org/officeDocument/2006/relationships/hyperlink" Target="https://auction.ikco.ir/auction/details/34?r=467" TargetMode="External"/><Relationship Id="rId645" Type="http://schemas.openxmlformats.org/officeDocument/2006/relationships/hyperlink" Target="javascript:void(0)" TargetMode="External"/><Relationship Id="rId852" Type="http://schemas.openxmlformats.org/officeDocument/2006/relationships/hyperlink" Target="https://auction.ikco.ir/auction/details/34?r=110" TargetMode="External"/><Relationship Id="rId1068" Type="http://schemas.openxmlformats.org/officeDocument/2006/relationships/hyperlink" Target="javascript:void(0)" TargetMode="External"/><Relationship Id="rId1275" Type="http://schemas.openxmlformats.org/officeDocument/2006/relationships/hyperlink" Target="javascript:void(0)" TargetMode="External"/><Relationship Id="rId1482" Type="http://schemas.openxmlformats.org/officeDocument/2006/relationships/hyperlink" Target="https://auction.ikco.ir/auction/details/34?r=43" TargetMode="External"/><Relationship Id="rId505" Type="http://schemas.openxmlformats.org/officeDocument/2006/relationships/hyperlink" Target="https://auction.ikco.ir/auction/details/34?r=277" TargetMode="External"/><Relationship Id="rId712" Type="http://schemas.openxmlformats.org/officeDocument/2006/relationships/hyperlink" Target="javascript:void(0)" TargetMode="External"/><Relationship Id="rId1135" Type="http://schemas.openxmlformats.org/officeDocument/2006/relationships/hyperlink" Target="https://auction.ikco.ir/auction/details/34?r=153" TargetMode="External"/><Relationship Id="rId1342" Type="http://schemas.openxmlformats.org/officeDocument/2006/relationships/hyperlink" Target="https://auction.ikco.ir/auction/details/34?r=200" TargetMode="External"/><Relationship Id="rId79" Type="http://schemas.openxmlformats.org/officeDocument/2006/relationships/hyperlink" Target="https://auction.ikco.ir/auction/details/34?r=418" TargetMode="External"/><Relationship Id="rId1202" Type="http://schemas.openxmlformats.org/officeDocument/2006/relationships/hyperlink" Target="https://auction.ikco.ir/auction/details/34?r=283" TargetMode="External"/><Relationship Id="rId1647" Type="http://schemas.openxmlformats.org/officeDocument/2006/relationships/hyperlink" Target="https://auction.ikco.ir/auction/details/34?r=165" TargetMode="External"/><Relationship Id="rId1507" Type="http://schemas.openxmlformats.org/officeDocument/2006/relationships/hyperlink" Target="https://auction.ikco.ir/auction/details/34?r=360" TargetMode="External"/><Relationship Id="rId295" Type="http://schemas.openxmlformats.org/officeDocument/2006/relationships/hyperlink" Target="https://auction.ikco.ir/auction/details/34?r=482" TargetMode="External"/><Relationship Id="rId155" Type="http://schemas.openxmlformats.org/officeDocument/2006/relationships/hyperlink" Target="https://auction.ikco.ir/auction/details/34?r=415" TargetMode="External"/><Relationship Id="rId362" Type="http://schemas.openxmlformats.org/officeDocument/2006/relationships/hyperlink" Target="javascript:void(0)" TargetMode="External"/><Relationship Id="rId1297" Type="http://schemas.openxmlformats.org/officeDocument/2006/relationships/hyperlink" Target="https://auction.ikco.ir/auction/details/34?r=186" TargetMode="External"/><Relationship Id="rId222" Type="http://schemas.openxmlformats.org/officeDocument/2006/relationships/hyperlink" Target="javascript:void(0)" TargetMode="External"/><Relationship Id="rId667" Type="http://schemas.openxmlformats.org/officeDocument/2006/relationships/hyperlink" Target="javascript:void(0)" TargetMode="External"/><Relationship Id="rId874" Type="http://schemas.openxmlformats.org/officeDocument/2006/relationships/hyperlink" Target="javascript:void(0)" TargetMode="External"/><Relationship Id="rId527" Type="http://schemas.openxmlformats.org/officeDocument/2006/relationships/hyperlink" Target="javascript:void(0)" TargetMode="External"/><Relationship Id="rId734" Type="http://schemas.openxmlformats.org/officeDocument/2006/relationships/hyperlink" Target="https://auction.ikco.ir/auction/details/34?r=132" TargetMode="External"/><Relationship Id="rId941" Type="http://schemas.openxmlformats.org/officeDocument/2006/relationships/hyperlink" Target="https://auction.ikco.ir/auction/details/34?r=250" TargetMode="External"/><Relationship Id="rId1157" Type="http://schemas.openxmlformats.org/officeDocument/2006/relationships/hyperlink" Target="https://auction.ikco.ir/auction/details/34?r=240" TargetMode="External"/><Relationship Id="rId1364" Type="http://schemas.openxmlformats.org/officeDocument/2006/relationships/hyperlink" Target="javascript:void(0)" TargetMode="External"/><Relationship Id="rId1571" Type="http://schemas.openxmlformats.org/officeDocument/2006/relationships/hyperlink" Target="javascript:void(0)" TargetMode="External"/><Relationship Id="rId70" Type="http://schemas.openxmlformats.org/officeDocument/2006/relationships/hyperlink" Target="https://auction.ikco.ir/auction/details/34?r=477" TargetMode="External"/><Relationship Id="rId801" Type="http://schemas.openxmlformats.org/officeDocument/2006/relationships/hyperlink" Target="https://auction.ikco.ir/auction/details/34?r=377" TargetMode="External"/><Relationship Id="rId1017" Type="http://schemas.openxmlformats.org/officeDocument/2006/relationships/hyperlink" Target="javascript:void(0)" TargetMode="External"/><Relationship Id="rId1224" Type="http://schemas.openxmlformats.org/officeDocument/2006/relationships/hyperlink" Target="javascript:void(0)" TargetMode="External"/><Relationship Id="rId1431" Type="http://schemas.openxmlformats.org/officeDocument/2006/relationships/hyperlink" Target="https://auction.ikco.ir/auction/details/34?r=320" TargetMode="External"/><Relationship Id="rId1669" Type="http://schemas.openxmlformats.org/officeDocument/2006/relationships/hyperlink" Target="javascript:void(0)" TargetMode="External"/><Relationship Id="rId1529" Type="http://schemas.openxmlformats.org/officeDocument/2006/relationships/hyperlink" Target="javascript:void(0)" TargetMode="External"/><Relationship Id="rId28" Type="http://schemas.openxmlformats.org/officeDocument/2006/relationships/hyperlink" Target="https://auction.ikco.ir/auction/details/34?r=522" TargetMode="External"/><Relationship Id="rId177" Type="http://schemas.openxmlformats.org/officeDocument/2006/relationships/hyperlink" Target="javascript:void(0)" TargetMode="External"/><Relationship Id="rId384" Type="http://schemas.openxmlformats.org/officeDocument/2006/relationships/hyperlink" Target="https://auction.ikco.ir/auction/details/34?r=284" TargetMode="External"/><Relationship Id="rId591" Type="http://schemas.openxmlformats.org/officeDocument/2006/relationships/hyperlink" Target="https://auction.ikco.ir/auction/details/34?r=243" TargetMode="External"/><Relationship Id="rId244" Type="http://schemas.openxmlformats.org/officeDocument/2006/relationships/hyperlink" Target="https://auction.ikco.ir/auction/details/34?r=256" TargetMode="External"/><Relationship Id="rId689" Type="http://schemas.openxmlformats.org/officeDocument/2006/relationships/hyperlink" Target="javascript:void(0)" TargetMode="External"/><Relationship Id="rId896" Type="http://schemas.openxmlformats.org/officeDocument/2006/relationships/hyperlink" Target="https://auction.ikco.ir/auction/details/34?r=230" TargetMode="External"/><Relationship Id="rId1081" Type="http://schemas.openxmlformats.org/officeDocument/2006/relationships/hyperlink" Target="https://auction.ikco.ir/auction/details/34?r=173" TargetMode="External"/><Relationship Id="rId451" Type="http://schemas.openxmlformats.org/officeDocument/2006/relationships/hyperlink" Target="https://auction.ikco.ir/auction/details/34?r=275" TargetMode="External"/><Relationship Id="rId549" Type="http://schemas.openxmlformats.org/officeDocument/2006/relationships/hyperlink" Target="https://auction.ikco.ir/auction/details/34?r=402" TargetMode="External"/><Relationship Id="rId756" Type="http://schemas.openxmlformats.org/officeDocument/2006/relationships/hyperlink" Target="https://auction.ikco.ir/auction/details/34?r=287" TargetMode="External"/><Relationship Id="rId1179" Type="http://schemas.openxmlformats.org/officeDocument/2006/relationships/hyperlink" Target="javascript:void(0)" TargetMode="External"/><Relationship Id="rId1386" Type="http://schemas.openxmlformats.org/officeDocument/2006/relationships/hyperlink" Target="https://auction.ikco.ir/auction/details/34?r=103" TargetMode="External"/><Relationship Id="rId1593" Type="http://schemas.openxmlformats.org/officeDocument/2006/relationships/hyperlink" Target="https://auction.ikco.ir/auction/details/34?r=236" TargetMode="External"/><Relationship Id="rId104" Type="http://schemas.openxmlformats.org/officeDocument/2006/relationships/hyperlink" Target="https://auction.ikco.ir/auction/details/34?r=491" TargetMode="External"/><Relationship Id="rId311" Type="http://schemas.openxmlformats.org/officeDocument/2006/relationships/hyperlink" Target="javascript:void(0)" TargetMode="External"/><Relationship Id="rId409" Type="http://schemas.openxmlformats.org/officeDocument/2006/relationships/hyperlink" Target="https://auction.ikco.ir/auction/details/34?r=257" TargetMode="External"/><Relationship Id="rId963" Type="http://schemas.openxmlformats.org/officeDocument/2006/relationships/hyperlink" Target="https://auction.ikco.ir/auction/details/34?r=54" TargetMode="External"/><Relationship Id="rId1039" Type="http://schemas.openxmlformats.org/officeDocument/2006/relationships/hyperlink" Target="https://auction.ikco.ir/auction/details/34?r=234" TargetMode="External"/><Relationship Id="rId1246" Type="http://schemas.openxmlformats.org/officeDocument/2006/relationships/hyperlink" Target="https://auction.ikco.ir/auction/details/34?r=38" TargetMode="External"/><Relationship Id="rId92" Type="http://schemas.openxmlformats.org/officeDocument/2006/relationships/hyperlink" Target="https://auction.ikco.ir/auction/details/34?r=430" TargetMode="External"/><Relationship Id="rId616" Type="http://schemas.openxmlformats.org/officeDocument/2006/relationships/hyperlink" Target="javascript:void(0)" TargetMode="External"/><Relationship Id="rId823" Type="http://schemas.openxmlformats.org/officeDocument/2006/relationships/hyperlink" Target="javascript:void(0)" TargetMode="External"/><Relationship Id="rId1453" Type="http://schemas.openxmlformats.org/officeDocument/2006/relationships/hyperlink" Target="https://auction.ikco.ir/auction/details/34?r=114" TargetMode="External"/><Relationship Id="rId1660" Type="http://schemas.openxmlformats.org/officeDocument/2006/relationships/hyperlink" Target="javascript:void(0)" TargetMode="External"/><Relationship Id="rId1106" Type="http://schemas.openxmlformats.org/officeDocument/2006/relationships/hyperlink" Target="https://auction.ikco.ir/auction/details/34?r=28" TargetMode="External"/><Relationship Id="rId1313" Type="http://schemas.openxmlformats.org/officeDocument/2006/relationships/hyperlink" Target="javascript:void(0)" TargetMode="External"/><Relationship Id="rId1520" Type="http://schemas.openxmlformats.org/officeDocument/2006/relationships/hyperlink" Target="javascript:void(0)" TargetMode="External"/><Relationship Id="rId1618" Type="http://schemas.openxmlformats.org/officeDocument/2006/relationships/hyperlink" Target="javascript:void(0)" TargetMode="External"/><Relationship Id="rId199" Type="http://schemas.openxmlformats.org/officeDocument/2006/relationships/hyperlink" Target="https://auction.ikco.ir/auction/details/34?r=461" TargetMode="External"/><Relationship Id="rId266" Type="http://schemas.openxmlformats.org/officeDocument/2006/relationships/hyperlink" Target="https://auction.ikco.ir/auction/details/34?r=384" TargetMode="External"/><Relationship Id="rId473" Type="http://schemas.openxmlformats.org/officeDocument/2006/relationships/hyperlink" Target="javascript:void(0)" TargetMode="External"/><Relationship Id="rId680" Type="http://schemas.openxmlformats.org/officeDocument/2006/relationships/hyperlink" Target="javascript:void(0)" TargetMode="External"/><Relationship Id="rId126" Type="http://schemas.openxmlformats.org/officeDocument/2006/relationships/hyperlink" Target="javascript:void(0)" TargetMode="External"/><Relationship Id="rId333" Type="http://schemas.openxmlformats.org/officeDocument/2006/relationships/hyperlink" Target="https://auction.ikco.ir/auction/details/34?r=388" TargetMode="External"/><Relationship Id="rId540" Type="http://schemas.openxmlformats.org/officeDocument/2006/relationships/hyperlink" Target="https://auction.ikco.ir/auction/details/34?r=328" TargetMode="External"/><Relationship Id="rId778" Type="http://schemas.openxmlformats.org/officeDocument/2006/relationships/hyperlink" Target="javascript:void(0)" TargetMode="External"/><Relationship Id="rId985" Type="http://schemas.openxmlformats.org/officeDocument/2006/relationships/hyperlink" Target="javascript:void(0)" TargetMode="External"/><Relationship Id="rId1170" Type="http://schemas.openxmlformats.org/officeDocument/2006/relationships/hyperlink" Target="javascript:void(0)" TargetMode="External"/><Relationship Id="rId638" Type="http://schemas.openxmlformats.org/officeDocument/2006/relationships/hyperlink" Target="javascript:void(0)" TargetMode="External"/><Relationship Id="rId845" Type="http://schemas.openxmlformats.org/officeDocument/2006/relationships/hyperlink" Target="https://auction.ikco.ir/auction/details/34?r=13" TargetMode="External"/><Relationship Id="rId1030" Type="http://schemas.openxmlformats.org/officeDocument/2006/relationships/hyperlink" Target="https://auction.ikco.ir/auction/details/34?r=215" TargetMode="External"/><Relationship Id="rId1268" Type="http://schemas.openxmlformats.org/officeDocument/2006/relationships/hyperlink" Target="https://auction.ikco.ir/auction/details/34?r=89" TargetMode="External"/><Relationship Id="rId1475" Type="http://schemas.openxmlformats.org/officeDocument/2006/relationships/hyperlink" Target="javascript:void(0)" TargetMode="External"/><Relationship Id="rId1682" Type="http://schemas.openxmlformats.org/officeDocument/2006/relationships/hyperlink" Target="https://auction.ikco.ir/auction/details/34?r=518" TargetMode="External"/><Relationship Id="rId400" Type="http://schemas.openxmlformats.org/officeDocument/2006/relationships/hyperlink" Target="https://auction.ikco.ir/auction/details/34?r=244" TargetMode="External"/><Relationship Id="rId705" Type="http://schemas.openxmlformats.org/officeDocument/2006/relationships/hyperlink" Target="https://auction.ikco.ir/auction/details/34?r=26" TargetMode="External"/><Relationship Id="rId1128" Type="http://schemas.openxmlformats.org/officeDocument/2006/relationships/hyperlink" Target="javascript:void(0)" TargetMode="External"/><Relationship Id="rId1335" Type="http://schemas.openxmlformats.org/officeDocument/2006/relationships/hyperlink" Target="https://auction.ikco.ir/auction/details/34?r=145" TargetMode="External"/><Relationship Id="rId1542" Type="http://schemas.openxmlformats.org/officeDocument/2006/relationships/hyperlink" Target="https://auction.ikco.ir/auction/details/34?r=364" TargetMode="External"/><Relationship Id="rId912" Type="http://schemas.openxmlformats.org/officeDocument/2006/relationships/hyperlink" Target="https://auction.ikco.ir/auction/details/34?r=34" TargetMode="External"/><Relationship Id="rId41" Type="http://schemas.openxmlformats.org/officeDocument/2006/relationships/hyperlink" Target="https://auction.ikco.ir/auction/details/34?r=531" TargetMode="External"/><Relationship Id="rId1402" Type="http://schemas.openxmlformats.org/officeDocument/2006/relationships/hyperlink" Target="https://auction.ikco.ir/auction/details/34?r=197" TargetMode="External"/><Relationship Id="rId190" Type="http://schemas.openxmlformats.org/officeDocument/2006/relationships/hyperlink" Target="https://auction.ikco.ir/auction/details/34?r=488" TargetMode="External"/><Relationship Id="rId288" Type="http://schemas.openxmlformats.org/officeDocument/2006/relationships/hyperlink" Target="javascript:void(0)" TargetMode="External"/><Relationship Id="rId495" Type="http://schemas.openxmlformats.org/officeDocument/2006/relationships/hyperlink" Target="https://auction.ikco.ir/auction/details/34?r=310" TargetMode="External"/><Relationship Id="rId148" Type="http://schemas.openxmlformats.org/officeDocument/2006/relationships/hyperlink" Target="https://auction.ikco.ir/auction/details/34?r=513" TargetMode="External"/><Relationship Id="rId355" Type="http://schemas.openxmlformats.org/officeDocument/2006/relationships/hyperlink" Target="https://auction.ikco.ir/auction/details/34?r=434" TargetMode="External"/><Relationship Id="rId562" Type="http://schemas.openxmlformats.org/officeDocument/2006/relationships/hyperlink" Target="https://auction.ikco.ir/auction/details/34?r=337" TargetMode="External"/><Relationship Id="rId1192" Type="http://schemas.openxmlformats.org/officeDocument/2006/relationships/hyperlink" Target="https://auction.ikco.ir/auction/details/34?r=195" TargetMode="External"/><Relationship Id="rId215" Type="http://schemas.openxmlformats.org/officeDocument/2006/relationships/hyperlink" Target="https://auction.ikco.ir/auction/details/34?r=357" TargetMode="External"/><Relationship Id="rId422" Type="http://schemas.openxmlformats.org/officeDocument/2006/relationships/hyperlink" Target="javascript:void(0)" TargetMode="External"/><Relationship Id="rId867" Type="http://schemas.openxmlformats.org/officeDocument/2006/relationships/hyperlink" Target="https://auction.ikco.ir/auction/details/34?r=208" TargetMode="External"/><Relationship Id="rId1052" Type="http://schemas.openxmlformats.org/officeDocument/2006/relationships/hyperlink" Target="https://auction.ikco.ir/auction/details/34?r=20" TargetMode="External"/><Relationship Id="rId1497" Type="http://schemas.openxmlformats.org/officeDocument/2006/relationships/hyperlink" Target="https://auction.ikco.ir/auction/details/34?r=109" TargetMode="External"/><Relationship Id="rId727" Type="http://schemas.openxmlformats.org/officeDocument/2006/relationships/hyperlink" Target="javascript:void(0)" TargetMode="External"/><Relationship Id="rId934" Type="http://schemas.openxmlformats.org/officeDocument/2006/relationships/hyperlink" Target="javascript:void(0)" TargetMode="External"/><Relationship Id="rId1357" Type="http://schemas.openxmlformats.org/officeDocument/2006/relationships/hyperlink" Target="https://auction.ikco.ir/auction/details/34?r=312" TargetMode="External"/><Relationship Id="rId1564" Type="http://schemas.openxmlformats.org/officeDocument/2006/relationships/hyperlink" Target="https://auction.ikco.ir/auction/details/34?r=307" TargetMode="External"/><Relationship Id="rId63" Type="http://schemas.openxmlformats.org/officeDocument/2006/relationships/hyperlink" Target="javascript:void(0)" TargetMode="External"/><Relationship Id="rId1217" Type="http://schemas.openxmlformats.org/officeDocument/2006/relationships/hyperlink" Target="https://auction.ikco.ir/auction/details/34?r=1" TargetMode="External"/><Relationship Id="rId1424" Type="http://schemas.openxmlformats.org/officeDocument/2006/relationships/hyperlink" Target="javascript:void(0)" TargetMode="External"/><Relationship Id="rId1631" Type="http://schemas.openxmlformats.org/officeDocument/2006/relationships/hyperlink" Target="https://auction.ikco.ir/auction/details/34?r=386" TargetMode="External"/><Relationship Id="rId377" Type="http://schemas.openxmlformats.org/officeDocument/2006/relationships/hyperlink" Target="javascript:void(0)" TargetMode="External"/><Relationship Id="rId584" Type="http://schemas.openxmlformats.org/officeDocument/2006/relationships/hyperlink" Target="javascript:void(0)" TargetMode="External"/><Relationship Id="rId5" Type="http://schemas.openxmlformats.org/officeDocument/2006/relationships/hyperlink" Target="https://auction.ikco.ir/auction/details/34?r=411" TargetMode="External"/><Relationship Id="rId237" Type="http://schemas.openxmlformats.org/officeDocument/2006/relationships/hyperlink" Target="javascript:void(0)" TargetMode="External"/><Relationship Id="rId791" Type="http://schemas.openxmlformats.org/officeDocument/2006/relationships/hyperlink" Target="https://auction.ikco.ir/auction/details/34?r=187" TargetMode="External"/><Relationship Id="rId889" Type="http://schemas.openxmlformats.org/officeDocument/2006/relationships/hyperlink" Target="javascript:void(0)" TargetMode="External"/><Relationship Id="rId1074" Type="http://schemas.openxmlformats.org/officeDocument/2006/relationships/hyperlink" Target="javascript:void(0)" TargetMode="External"/><Relationship Id="rId444" Type="http://schemas.openxmlformats.org/officeDocument/2006/relationships/hyperlink" Target="https://auction.ikco.ir/auction/details/34?r=293" TargetMode="External"/><Relationship Id="rId651" Type="http://schemas.openxmlformats.org/officeDocument/2006/relationships/hyperlink" Target="javascript:void(0)" TargetMode="External"/><Relationship Id="rId749" Type="http://schemas.openxmlformats.org/officeDocument/2006/relationships/hyperlink" Target="https://auction.ikco.ir/auction/details/34?r=231" TargetMode="External"/><Relationship Id="rId1281" Type="http://schemas.openxmlformats.org/officeDocument/2006/relationships/hyperlink" Target="javascript:void(0)" TargetMode="External"/><Relationship Id="rId1379" Type="http://schemas.openxmlformats.org/officeDocument/2006/relationships/hyperlink" Target="javascript:void(0)" TargetMode="External"/><Relationship Id="rId1586" Type="http://schemas.openxmlformats.org/officeDocument/2006/relationships/hyperlink" Target="javascript:void(0)" TargetMode="External"/><Relationship Id="rId304" Type="http://schemas.openxmlformats.org/officeDocument/2006/relationships/hyperlink" Target="https://auction.ikco.ir/auction/details/34?r=387" TargetMode="External"/><Relationship Id="rId511" Type="http://schemas.openxmlformats.org/officeDocument/2006/relationships/hyperlink" Target="https://auction.ikco.ir/auction/details/34?r=493" TargetMode="External"/><Relationship Id="rId609" Type="http://schemas.openxmlformats.org/officeDocument/2006/relationships/hyperlink" Target="javascript:void(0)" TargetMode="External"/><Relationship Id="rId956" Type="http://schemas.openxmlformats.org/officeDocument/2006/relationships/hyperlink" Target="https://auction.ikco.ir/auction/details/34?r=49" TargetMode="External"/><Relationship Id="rId1141" Type="http://schemas.openxmlformats.org/officeDocument/2006/relationships/hyperlink" Target="https://auction.ikco.ir/auction/details/34?r=185" TargetMode="External"/><Relationship Id="rId1239" Type="http://schemas.openxmlformats.org/officeDocument/2006/relationships/hyperlink" Target="javascript:void(0)" TargetMode="External"/><Relationship Id="rId85" Type="http://schemas.openxmlformats.org/officeDocument/2006/relationships/hyperlink" Target="https://auction.ikco.ir/auction/details/34?r=432" TargetMode="External"/><Relationship Id="rId816" Type="http://schemas.openxmlformats.org/officeDocument/2006/relationships/hyperlink" Target="https://auction.ikco.ir/auction/details/34?r=149" TargetMode="External"/><Relationship Id="rId1001" Type="http://schemas.openxmlformats.org/officeDocument/2006/relationships/hyperlink" Target="https://auction.ikco.ir/auction/details/34?r=90" TargetMode="External"/><Relationship Id="rId1446" Type="http://schemas.openxmlformats.org/officeDocument/2006/relationships/hyperlink" Target="https://auction.ikco.ir/auction/details/34?r=14" TargetMode="External"/><Relationship Id="rId1653" Type="http://schemas.openxmlformats.org/officeDocument/2006/relationships/hyperlink" Target="https://auction.ikco.ir/auction/details/34?r=391" TargetMode="External"/><Relationship Id="rId1306" Type="http://schemas.openxmlformats.org/officeDocument/2006/relationships/hyperlink" Target="https://auction.ikco.ir/auction/details/34?r=209" TargetMode="External"/><Relationship Id="rId1513" Type="http://schemas.openxmlformats.org/officeDocument/2006/relationships/hyperlink" Target="https://auction.ikco.ir/auction/details/34?r=42" TargetMode="External"/><Relationship Id="rId12" Type="http://schemas.openxmlformats.org/officeDocument/2006/relationships/hyperlink" Target="javascript:void(0)" TargetMode="External"/><Relationship Id="rId161" Type="http://schemas.openxmlformats.org/officeDocument/2006/relationships/hyperlink" Target="https://auction.ikco.ir/auction/details/34?r=471" TargetMode="External"/><Relationship Id="rId399" Type="http://schemas.openxmlformats.org/officeDocument/2006/relationships/hyperlink" Target="https://auction.ikco.ir/auction/details/34?r=244" TargetMode="External"/><Relationship Id="rId259" Type="http://schemas.openxmlformats.org/officeDocument/2006/relationships/hyperlink" Target="https://auction.ikco.ir/auction/details/34?r=489" TargetMode="External"/><Relationship Id="rId466" Type="http://schemas.openxmlformats.org/officeDocument/2006/relationships/hyperlink" Target="https://auction.ikco.ir/auction/details/34?r=23" TargetMode="External"/><Relationship Id="rId673" Type="http://schemas.openxmlformats.org/officeDocument/2006/relationships/hyperlink" Target="javascript:void(0)" TargetMode="External"/><Relationship Id="rId880" Type="http://schemas.openxmlformats.org/officeDocument/2006/relationships/hyperlink" Target="javascript:void(0)" TargetMode="External"/><Relationship Id="rId1096" Type="http://schemas.openxmlformats.org/officeDocument/2006/relationships/hyperlink" Target="https://auction.ikco.ir/auction/details/34?r=371" TargetMode="External"/><Relationship Id="rId119" Type="http://schemas.openxmlformats.org/officeDocument/2006/relationships/hyperlink" Target="https://auction.ikco.ir/auction/details/34?r=412" TargetMode="External"/><Relationship Id="rId326" Type="http://schemas.openxmlformats.org/officeDocument/2006/relationships/hyperlink" Target="javascript:void(0)" TargetMode="External"/><Relationship Id="rId533" Type="http://schemas.openxmlformats.org/officeDocument/2006/relationships/hyperlink" Target="javascript:void(0)" TargetMode="External"/><Relationship Id="rId978" Type="http://schemas.openxmlformats.org/officeDocument/2006/relationships/hyperlink" Target="https://auction.ikco.ir/auction/details/34?r=239" TargetMode="External"/><Relationship Id="rId1163" Type="http://schemas.openxmlformats.org/officeDocument/2006/relationships/hyperlink" Target="https://auction.ikco.ir/auction/details/34?r=366" TargetMode="External"/><Relationship Id="rId1370" Type="http://schemas.openxmlformats.org/officeDocument/2006/relationships/hyperlink" Target="javascript:void(0)" TargetMode="External"/><Relationship Id="rId740" Type="http://schemas.openxmlformats.org/officeDocument/2006/relationships/hyperlink" Target="https://auction.ikco.ir/auction/details/34?r=176" TargetMode="External"/><Relationship Id="rId838" Type="http://schemas.openxmlformats.org/officeDocument/2006/relationships/hyperlink" Target="javascript:void(0)" TargetMode="External"/><Relationship Id="rId1023" Type="http://schemas.openxmlformats.org/officeDocument/2006/relationships/hyperlink" Target="javascript:void(0)" TargetMode="External"/><Relationship Id="rId1468" Type="http://schemas.openxmlformats.org/officeDocument/2006/relationships/hyperlink" Target="https://auction.ikco.ir/auction/details/34?r=381" TargetMode="External"/><Relationship Id="rId1675" Type="http://schemas.openxmlformats.org/officeDocument/2006/relationships/hyperlink" Target="javascript:void(0)" TargetMode="External"/><Relationship Id="rId600" Type="http://schemas.openxmlformats.org/officeDocument/2006/relationships/hyperlink" Target="javascript:void(0)" TargetMode="External"/><Relationship Id="rId1230" Type="http://schemas.openxmlformats.org/officeDocument/2006/relationships/hyperlink" Target="javascript:void(0)" TargetMode="External"/><Relationship Id="rId1328" Type="http://schemas.openxmlformats.org/officeDocument/2006/relationships/hyperlink" Target="javascript:void(0)" TargetMode="External"/><Relationship Id="rId1535" Type="http://schemas.openxmlformats.org/officeDocument/2006/relationships/hyperlink" Target="javascript:void(0)" TargetMode="External"/><Relationship Id="rId905" Type="http://schemas.openxmlformats.org/officeDocument/2006/relationships/hyperlink" Target="https://auction.ikco.ir/auction/details/34?r=506" TargetMode="External"/><Relationship Id="rId34" Type="http://schemas.openxmlformats.org/officeDocument/2006/relationships/hyperlink" Target="https://auction.ikco.ir/auction/details/34?r=521" TargetMode="External"/><Relationship Id="rId1602" Type="http://schemas.openxmlformats.org/officeDocument/2006/relationships/hyperlink" Target="https://auction.ikco.ir/auction/details/34?r=168" TargetMode="External"/><Relationship Id="rId183" Type="http://schemas.openxmlformats.org/officeDocument/2006/relationships/hyperlink" Target="javascript:void(0)" TargetMode="External"/><Relationship Id="rId390" Type="http://schemas.openxmlformats.org/officeDocument/2006/relationships/hyperlink" Target="https://auction.ikco.ir/auction/details/34?r=154" TargetMode="External"/><Relationship Id="rId250" Type="http://schemas.openxmlformats.org/officeDocument/2006/relationships/hyperlink" Target="https://auction.ikco.ir/auction/details/34?r=399" TargetMode="External"/><Relationship Id="rId488" Type="http://schemas.openxmlformats.org/officeDocument/2006/relationships/hyperlink" Target="javascript:void(0)" TargetMode="External"/><Relationship Id="rId695" Type="http://schemas.openxmlformats.org/officeDocument/2006/relationships/hyperlink" Target="javascript:void(0)" TargetMode="External"/><Relationship Id="rId110" Type="http://schemas.openxmlformats.org/officeDocument/2006/relationships/hyperlink" Target="https://auction.ikco.ir/auction/details/34?r=492" TargetMode="External"/><Relationship Id="rId348" Type="http://schemas.openxmlformats.org/officeDocument/2006/relationships/hyperlink" Target="https://auction.ikco.ir/auction/details/34?r=520" TargetMode="External"/><Relationship Id="rId555" Type="http://schemas.openxmlformats.org/officeDocument/2006/relationships/hyperlink" Target="https://auction.ikco.ir/auction/details/34?r=291" TargetMode="External"/><Relationship Id="rId762" Type="http://schemas.openxmlformats.org/officeDocument/2006/relationships/hyperlink" Target="https://auction.ikco.ir/auction/details/34?r=339" TargetMode="External"/><Relationship Id="rId1185" Type="http://schemas.openxmlformats.org/officeDocument/2006/relationships/hyperlink" Target="javascript:void(0)" TargetMode="External"/><Relationship Id="rId1392" Type="http://schemas.openxmlformats.org/officeDocument/2006/relationships/hyperlink" Target="https://auction.ikco.ir/auction/details/34?r=139" TargetMode="External"/><Relationship Id="rId208" Type="http://schemas.openxmlformats.org/officeDocument/2006/relationships/hyperlink" Target="https://auction.ikco.ir/auction/details/34?r=403" TargetMode="External"/><Relationship Id="rId415" Type="http://schemas.openxmlformats.org/officeDocument/2006/relationships/hyperlink" Target="https://auction.ikco.ir/auction/details/34?r=273" TargetMode="External"/><Relationship Id="rId622" Type="http://schemas.openxmlformats.org/officeDocument/2006/relationships/hyperlink" Target="javascript:void(0)" TargetMode="External"/><Relationship Id="rId1045" Type="http://schemas.openxmlformats.org/officeDocument/2006/relationships/hyperlink" Target="https://auction.ikco.ir/auction/details/34?r=375" TargetMode="External"/><Relationship Id="rId1252" Type="http://schemas.openxmlformats.org/officeDocument/2006/relationships/hyperlink" Target="https://auction.ikco.ir/auction/details/34?r=53" TargetMode="External"/><Relationship Id="rId927" Type="http://schemas.openxmlformats.org/officeDocument/2006/relationships/hyperlink" Target="https://auction.ikco.ir/auction/details/34?r=140" TargetMode="External"/><Relationship Id="rId1112" Type="http://schemas.openxmlformats.org/officeDocument/2006/relationships/hyperlink" Target="https://auction.ikco.ir/auction/details/34?r=46" TargetMode="External"/><Relationship Id="rId1557" Type="http://schemas.openxmlformats.org/officeDocument/2006/relationships/hyperlink" Target="https://auction.ikco.ir/auction/details/34?r=254" TargetMode="External"/><Relationship Id="rId56" Type="http://schemas.openxmlformats.org/officeDocument/2006/relationships/hyperlink" Target="https://auction.ikco.ir/auction/details/34?r=530" TargetMode="External"/><Relationship Id="rId1417" Type="http://schemas.openxmlformats.org/officeDocument/2006/relationships/hyperlink" Target="https://auction.ikco.ir/auction/details/34?r=217" TargetMode="External"/><Relationship Id="rId1624" Type="http://schemas.openxmlformats.org/officeDocument/2006/relationships/hyperlink" Target="javascript:void(0)" TargetMode="External"/><Relationship Id="rId272" Type="http://schemas.openxmlformats.org/officeDocument/2006/relationships/hyperlink" Target="https://auction.ikco.ir/auction/details/34?r=324" TargetMode="External"/><Relationship Id="rId577" Type="http://schemas.openxmlformats.org/officeDocument/2006/relationships/hyperlink" Target="https://auction.ikco.ir/auction/details/34?r=148" TargetMode="External"/><Relationship Id="rId132" Type="http://schemas.openxmlformats.org/officeDocument/2006/relationships/hyperlink" Target="javascript:void(0)" TargetMode="External"/><Relationship Id="rId784" Type="http://schemas.openxmlformats.org/officeDocument/2006/relationships/hyperlink" Target="javascript:void(0)" TargetMode="External"/><Relationship Id="rId991" Type="http://schemas.openxmlformats.org/officeDocument/2006/relationships/hyperlink" Target="javascript:void(0)" TargetMode="External"/><Relationship Id="rId1067" Type="http://schemas.openxmlformats.org/officeDocument/2006/relationships/hyperlink" Target="https://auction.ikco.ir/auction/details/34?r=101" TargetMode="External"/><Relationship Id="rId437" Type="http://schemas.openxmlformats.org/officeDocument/2006/relationships/hyperlink" Target="javascript:void(0)" TargetMode="External"/><Relationship Id="rId644" Type="http://schemas.openxmlformats.org/officeDocument/2006/relationships/hyperlink" Target="javascript:void(0)" TargetMode="External"/><Relationship Id="rId851" Type="http://schemas.openxmlformats.org/officeDocument/2006/relationships/hyperlink" Target="https://auction.ikco.ir/auction/details/34?r=110" TargetMode="External"/><Relationship Id="rId1274" Type="http://schemas.openxmlformats.org/officeDocument/2006/relationships/hyperlink" Target="https://auction.ikco.ir/auction/details/34?r=99" TargetMode="External"/><Relationship Id="rId1481" Type="http://schemas.openxmlformats.org/officeDocument/2006/relationships/hyperlink" Target="javascript:void(0)" TargetMode="External"/><Relationship Id="rId1579" Type="http://schemas.openxmlformats.org/officeDocument/2006/relationships/hyperlink" Target="https://auction.ikco.ir/auction/details/34?r=483" TargetMode="External"/><Relationship Id="rId504" Type="http://schemas.openxmlformats.org/officeDocument/2006/relationships/hyperlink" Target="https://auction.ikco.ir/auction/details/34?r=277" TargetMode="External"/><Relationship Id="rId711" Type="http://schemas.openxmlformats.org/officeDocument/2006/relationships/hyperlink" Target="https://auction.ikco.ir/auction/details/34?r=292" TargetMode="External"/><Relationship Id="rId949" Type="http://schemas.openxmlformats.org/officeDocument/2006/relationships/hyperlink" Target="javascript:void(0)" TargetMode="External"/><Relationship Id="rId1134" Type="http://schemas.openxmlformats.org/officeDocument/2006/relationships/hyperlink" Target="javascript:void(0)" TargetMode="External"/><Relationship Id="rId1341" Type="http://schemas.openxmlformats.org/officeDocument/2006/relationships/hyperlink" Target="https://auction.ikco.ir/auction/details/34?r=200" TargetMode="External"/><Relationship Id="rId78" Type="http://schemas.openxmlformats.org/officeDocument/2006/relationships/hyperlink" Target="javascript:void(0)" TargetMode="External"/><Relationship Id="rId809" Type="http://schemas.openxmlformats.org/officeDocument/2006/relationships/hyperlink" Target="https://auction.ikco.ir/auction/details/34?r=102" TargetMode="External"/><Relationship Id="rId1201" Type="http://schemas.openxmlformats.org/officeDocument/2006/relationships/hyperlink" Target="https://auction.ikco.ir/auction/details/34?r=283" TargetMode="External"/><Relationship Id="rId1439" Type="http://schemas.openxmlformats.org/officeDocument/2006/relationships/hyperlink" Target="javascript:void(0)" TargetMode="External"/><Relationship Id="rId1646" Type="http://schemas.openxmlformats.org/officeDocument/2006/relationships/hyperlink" Target="https://auction.ikco.ir/auction/details/34?r=165" TargetMode="External"/><Relationship Id="rId1506" Type="http://schemas.openxmlformats.org/officeDocument/2006/relationships/hyperlink" Target="https://auction.ikco.ir/auction/details/34?r=360" TargetMode="External"/><Relationship Id="rId294" Type="http://schemas.openxmlformats.org/officeDocument/2006/relationships/hyperlink" Target="javascript:void(0)" TargetMode="External"/><Relationship Id="rId154" Type="http://schemas.openxmlformats.org/officeDocument/2006/relationships/hyperlink" Target="https://auction.ikco.ir/auction/details/34?r=415" TargetMode="External"/><Relationship Id="rId361" Type="http://schemas.openxmlformats.org/officeDocument/2006/relationships/hyperlink" Target="https://auction.ikco.ir/auction/details/34?r=343" TargetMode="External"/><Relationship Id="rId599" Type="http://schemas.openxmlformats.org/officeDocument/2006/relationships/hyperlink" Target="javascript:void(0)" TargetMode="External"/><Relationship Id="rId459" Type="http://schemas.openxmlformats.org/officeDocument/2006/relationships/hyperlink" Target="https://auction.ikco.ir/auction/details/34?r=358" TargetMode="External"/><Relationship Id="rId666" Type="http://schemas.openxmlformats.org/officeDocument/2006/relationships/hyperlink" Target="javascript:void(0)" TargetMode="External"/><Relationship Id="rId873" Type="http://schemas.openxmlformats.org/officeDocument/2006/relationships/hyperlink" Target="https://auction.ikco.ir/auction/details/34?r=327" TargetMode="External"/><Relationship Id="rId1089" Type="http://schemas.openxmlformats.org/officeDocument/2006/relationships/hyperlink" Target="javascript:void(0)" TargetMode="External"/><Relationship Id="rId1296" Type="http://schemas.openxmlformats.org/officeDocument/2006/relationships/hyperlink" Target="https://auction.ikco.ir/auction/details/34?r=186" TargetMode="External"/><Relationship Id="rId221" Type="http://schemas.openxmlformats.org/officeDocument/2006/relationships/hyperlink" Target="https://auction.ikco.ir/auction/details/34?r=383" TargetMode="External"/><Relationship Id="rId319" Type="http://schemas.openxmlformats.org/officeDocument/2006/relationships/hyperlink" Target="https://auction.ikco.ir/auction/details/34?r=314" TargetMode="External"/><Relationship Id="rId526" Type="http://schemas.openxmlformats.org/officeDocument/2006/relationships/hyperlink" Target="https://auction.ikco.ir/auction/details/34?r=56" TargetMode="External"/><Relationship Id="rId1156" Type="http://schemas.openxmlformats.org/officeDocument/2006/relationships/hyperlink" Target="https://auction.ikco.ir/auction/details/34?r=240" TargetMode="External"/><Relationship Id="rId1363" Type="http://schemas.openxmlformats.org/officeDocument/2006/relationships/hyperlink" Target="https://auction.ikco.ir/auction/details/34?r=9" TargetMode="External"/><Relationship Id="rId733" Type="http://schemas.openxmlformats.org/officeDocument/2006/relationships/hyperlink" Target="javascript:void(0)" TargetMode="External"/><Relationship Id="rId940" Type="http://schemas.openxmlformats.org/officeDocument/2006/relationships/hyperlink" Target="javascript:void(0)" TargetMode="External"/><Relationship Id="rId1016" Type="http://schemas.openxmlformats.org/officeDocument/2006/relationships/hyperlink" Target="https://auction.ikco.ir/auction/details/34?r=146" TargetMode="External"/><Relationship Id="rId1570" Type="http://schemas.openxmlformats.org/officeDocument/2006/relationships/hyperlink" Target="https://auction.ikco.ir/auction/details/34?r=368" TargetMode="External"/><Relationship Id="rId1668" Type="http://schemas.openxmlformats.org/officeDocument/2006/relationships/hyperlink" Target="https://auction.ikco.ir/auction/details/34?r=516" TargetMode="External"/><Relationship Id="rId800" Type="http://schemas.openxmlformats.org/officeDocument/2006/relationships/hyperlink" Target="https://auction.ikco.ir/auction/details/34?r=377" TargetMode="External"/><Relationship Id="rId1223" Type="http://schemas.openxmlformats.org/officeDocument/2006/relationships/hyperlink" Target="https://auction.ikco.ir/auction/details/34?r=7" TargetMode="External"/><Relationship Id="rId1430" Type="http://schemas.openxmlformats.org/officeDocument/2006/relationships/hyperlink" Target="javascript:void(0)" TargetMode="External"/><Relationship Id="rId1528" Type="http://schemas.openxmlformats.org/officeDocument/2006/relationships/hyperlink" Target="https://auction.ikco.ir/auction/details/34?r=191" TargetMode="External"/><Relationship Id="rId232" Type="http://schemas.openxmlformats.org/officeDocument/2006/relationships/hyperlink" Target="https://auction.ikco.ir/auction/details/34?r=441" TargetMode="External"/><Relationship Id="rId884" Type="http://schemas.openxmlformats.org/officeDocument/2006/relationships/hyperlink" Target="https://auction.ikco.ir/auction/details/34?r=79" TargetMode="External"/><Relationship Id="rId27" Type="http://schemas.openxmlformats.org/officeDocument/2006/relationships/hyperlink" Target="javascript:void(0)" TargetMode="External"/><Relationship Id="rId537" Type="http://schemas.openxmlformats.org/officeDocument/2006/relationships/hyperlink" Target="https://auction.ikco.ir/auction/details/34?r=336" TargetMode="External"/><Relationship Id="rId744" Type="http://schemas.openxmlformats.org/officeDocument/2006/relationships/hyperlink" Target="https://auction.ikco.ir/auction/details/34?r=190" TargetMode="External"/><Relationship Id="rId951" Type="http://schemas.openxmlformats.org/officeDocument/2006/relationships/hyperlink" Target="https://auction.ikco.ir/auction/details/34?r=397" TargetMode="External"/><Relationship Id="rId1167" Type="http://schemas.openxmlformats.org/officeDocument/2006/relationships/hyperlink" Target="javascript:void(0)" TargetMode="External"/><Relationship Id="rId1374" Type="http://schemas.openxmlformats.org/officeDocument/2006/relationships/hyperlink" Target="https://auction.ikco.ir/auction/details/34?r=37" TargetMode="External"/><Relationship Id="rId1581" Type="http://schemas.openxmlformats.org/officeDocument/2006/relationships/hyperlink" Target="https://auction.ikco.ir/auction/details/34?r=83" TargetMode="External"/><Relationship Id="rId1679" Type="http://schemas.openxmlformats.org/officeDocument/2006/relationships/hyperlink" Target="https://auction.ikco.ir/auction/details/34?r=481" TargetMode="External"/><Relationship Id="rId80" Type="http://schemas.openxmlformats.org/officeDocument/2006/relationships/hyperlink" Target="https://auction.ikco.ir/auction/details/34?r=418" TargetMode="External"/><Relationship Id="rId176" Type="http://schemas.openxmlformats.org/officeDocument/2006/relationships/hyperlink" Target="https://auction.ikco.ir/auction/details/34?r=422" TargetMode="External"/><Relationship Id="rId383" Type="http://schemas.openxmlformats.org/officeDocument/2006/relationships/hyperlink" Target="javascript:void(0)" TargetMode="External"/><Relationship Id="rId590" Type="http://schemas.openxmlformats.org/officeDocument/2006/relationships/hyperlink" Target="javascript:void(0)" TargetMode="External"/><Relationship Id="rId604" Type="http://schemas.openxmlformats.org/officeDocument/2006/relationships/hyperlink" Target="javascript:void(0)" TargetMode="External"/><Relationship Id="rId811" Type="http://schemas.openxmlformats.org/officeDocument/2006/relationships/hyperlink" Target="javascript:void(0)" TargetMode="External"/><Relationship Id="rId1027" Type="http://schemas.openxmlformats.org/officeDocument/2006/relationships/hyperlink" Target="https://auction.ikco.ir/auction/details/34?r=211" TargetMode="External"/><Relationship Id="rId1234" Type="http://schemas.openxmlformats.org/officeDocument/2006/relationships/hyperlink" Target="https://auction.ikco.ir/auction/details/34?r=27" TargetMode="External"/><Relationship Id="rId1441" Type="http://schemas.openxmlformats.org/officeDocument/2006/relationships/hyperlink" Target="https://auction.ikco.ir/auction/details/34?r=365" TargetMode="External"/><Relationship Id="rId243" Type="http://schemas.openxmlformats.org/officeDocument/2006/relationships/hyperlink" Target="javascript:void(0)" TargetMode="External"/><Relationship Id="rId450" Type="http://schemas.openxmlformats.org/officeDocument/2006/relationships/hyperlink" Target="https://auction.ikco.ir/auction/details/34?r=275" TargetMode="External"/><Relationship Id="rId688" Type="http://schemas.openxmlformats.org/officeDocument/2006/relationships/hyperlink" Target="javascript:void(0)" TargetMode="External"/><Relationship Id="rId895" Type="http://schemas.openxmlformats.org/officeDocument/2006/relationships/hyperlink" Target="javascript:void(0)" TargetMode="External"/><Relationship Id="rId909" Type="http://schemas.openxmlformats.org/officeDocument/2006/relationships/hyperlink" Target="https://auction.ikco.ir/auction/details/34?r=5" TargetMode="External"/><Relationship Id="rId1080" Type="http://schemas.openxmlformats.org/officeDocument/2006/relationships/hyperlink" Target="javascript:void(0)" TargetMode="External"/><Relationship Id="rId1301" Type="http://schemas.openxmlformats.org/officeDocument/2006/relationships/hyperlink" Target="javascript:void(0)" TargetMode="External"/><Relationship Id="rId1539" Type="http://schemas.openxmlformats.org/officeDocument/2006/relationships/hyperlink" Target="https://auction.ikco.ir/auction/details/34?r=342" TargetMode="External"/><Relationship Id="rId38" Type="http://schemas.openxmlformats.org/officeDocument/2006/relationships/hyperlink" Target="https://auction.ikco.ir/auction/details/34?r=527" TargetMode="External"/><Relationship Id="rId103" Type="http://schemas.openxmlformats.org/officeDocument/2006/relationships/hyperlink" Target="https://auction.ikco.ir/auction/details/34?r=491" TargetMode="External"/><Relationship Id="rId310" Type="http://schemas.openxmlformats.org/officeDocument/2006/relationships/hyperlink" Target="https://auction.ikco.ir/auction/details/34?r=382" TargetMode="External"/><Relationship Id="rId548" Type="http://schemas.openxmlformats.org/officeDocument/2006/relationships/hyperlink" Target="javascript:void(0)" TargetMode="External"/><Relationship Id="rId755" Type="http://schemas.openxmlformats.org/officeDocument/2006/relationships/hyperlink" Target="https://auction.ikco.ir/auction/details/34?r=287" TargetMode="External"/><Relationship Id="rId962" Type="http://schemas.openxmlformats.org/officeDocument/2006/relationships/hyperlink" Target="https://auction.ikco.ir/auction/details/34?r=54" TargetMode="External"/><Relationship Id="rId1178" Type="http://schemas.openxmlformats.org/officeDocument/2006/relationships/hyperlink" Target="https://auction.ikco.ir/auction/details/34?r=75" TargetMode="External"/><Relationship Id="rId1385" Type="http://schemas.openxmlformats.org/officeDocument/2006/relationships/hyperlink" Target="javascript:void(0)" TargetMode="External"/><Relationship Id="rId1592" Type="http://schemas.openxmlformats.org/officeDocument/2006/relationships/hyperlink" Target="javascript:void(0)" TargetMode="External"/><Relationship Id="rId1606" Type="http://schemas.openxmlformats.org/officeDocument/2006/relationships/hyperlink" Target="javascript:void(0)" TargetMode="External"/><Relationship Id="rId91" Type="http://schemas.openxmlformats.org/officeDocument/2006/relationships/hyperlink" Target="https://auction.ikco.ir/auction/details/34?r=430" TargetMode="External"/><Relationship Id="rId187" Type="http://schemas.openxmlformats.org/officeDocument/2006/relationships/hyperlink" Target="https://auction.ikco.ir/auction/details/34?r=228" TargetMode="External"/><Relationship Id="rId394" Type="http://schemas.openxmlformats.org/officeDocument/2006/relationships/hyperlink" Target="https://auction.ikco.ir/auction/details/34?r=505" TargetMode="External"/><Relationship Id="rId408" Type="http://schemas.openxmlformats.org/officeDocument/2006/relationships/hyperlink" Target="https://auction.ikco.ir/auction/details/34?r=257" TargetMode="External"/><Relationship Id="rId615" Type="http://schemas.openxmlformats.org/officeDocument/2006/relationships/hyperlink" Target="javascript:void(0)" TargetMode="External"/><Relationship Id="rId822" Type="http://schemas.openxmlformats.org/officeDocument/2006/relationships/hyperlink" Target="https://auction.ikco.ir/auction/details/34?r=151" TargetMode="External"/><Relationship Id="rId1038" Type="http://schemas.openxmlformats.org/officeDocument/2006/relationships/hyperlink" Target="javascript:void(0)" TargetMode="External"/><Relationship Id="rId1245" Type="http://schemas.openxmlformats.org/officeDocument/2006/relationships/hyperlink" Target="javascript:void(0)" TargetMode="External"/><Relationship Id="rId1452" Type="http://schemas.openxmlformats.org/officeDocument/2006/relationships/hyperlink" Target="https://auction.ikco.ir/auction/details/34?r=114" TargetMode="External"/><Relationship Id="rId254" Type="http://schemas.openxmlformats.org/officeDocument/2006/relationships/hyperlink" Target="https://auction.ikco.ir/auction/details/34?r=400" TargetMode="External"/><Relationship Id="rId699" Type="http://schemas.openxmlformats.org/officeDocument/2006/relationships/hyperlink" Target="https://auction.ikco.ir/auction/details/34?r=4" TargetMode="External"/><Relationship Id="rId1091" Type="http://schemas.openxmlformats.org/officeDocument/2006/relationships/hyperlink" Target="https://auction.ikco.ir/auction/details/34?r=299" TargetMode="External"/><Relationship Id="rId1105" Type="http://schemas.openxmlformats.org/officeDocument/2006/relationships/hyperlink" Target="https://auction.ikco.ir/auction/details/34?r=28" TargetMode="External"/><Relationship Id="rId1312" Type="http://schemas.openxmlformats.org/officeDocument/2006/relationships/hyperlink" Target="https://auction.ikco.ir/auction/details/34?r=389" TargetMode="External"/><Relationship Id="rId49" Type="http://schemas.openxmlformats.org/officeDocument/2006/relationships/hyperlink" Target="https://auction.ikco.ir/auction/details/34?r=526" TargetMode="External"/><Relationship Id="rId114" Type="http://schemas.openxmlformats.org/officeDocument/2006/relationships/hyperlink" Target="javascript:void(0)" TargetMode="External"/><Relationship Id="rId461" Type="http://schemas.openxmlformats.org/officeDocument/2006/relationships/hyperlink" Target="javascript:void(0)" TargetMode="External"/><Relationship Id="rId559" Type="http://schemas.openxmlformats.org/officeDocument/2006/relationships/hyperlink" Target="https://auction.ikco.ir/auction/details/34?r=323" TargetMode="External"/><Relationship Id="rId766" Type="http://schemas.openxmlformats.org/officeDocument/2006/relationships/hyperlink" Target="javascript:void(0)" TargetMode="External"/><Relationship Id="rId1189" Type="http://schemas.openxmlformats.org/officeDocument/2006/relationships/hyperlink" Target="https://auction.ikco.ir/auction/details/34?r=189" TargetMode="External"/><Relationship Id="rId1396" Type="http://schemas.openxmlformats.org/officeDocument/2006/relationships/hyperlink" Target="https://auction.ikco.ir/auction/details/34?r=160" TargetMode="External"/><Relationship Id="rId1617" Type="http://schemas.openxmlformats.org/officeDocument/2006/relationships/hyperlink" Target="https://auction.ikco.ir/auction/details/34?r=393" TargetMode="External"/><Relationship Id="rId198" Type="http://schemas.openxmlformats.org/officeDocument/2006/relationships/hyperlink" Target="javascript:void(0)" TargetMode="External"/><Relationship Id="rId321" Type="http://schemas.openxmlformats.org/officeDocument/2006/relationships/hyperlink" Target="https://auction.ikco.ir/auction/details/34?r=311" TargetMode="External"/><Relationship Id="rId419" Type="http://schemas.openxmlformats.org/officeDocument/2006/relationships/hyperlink" Target="javascript:void(0)" TargetMode="External"/><Relationship Id="rId626" Type="http://schemas.openxmlformats.org/officeDocument/2006/relationships/hyperlink" Target="javascript:void(0)" TargetMode="External"/><Relationship Id="rId973" Type="http://schemas.openxmlformats.org/officeDocument/2006/relationships/hyperlink" Target="javascript:void(0)" TargetMode="External"/><Relationship Id="rId1049" Type="http://schemas.openxmlformats.org/officeDocument/2006/relationships/hyperlink" Target="https://auction.ikco.ir/auction/details/34?r=15" TargetMode="External"/><Relationship Id="rId1256" Type="http://schemas.openxmlformats.org/officeDocument/2006/relationships/hyperlink" Target="https://auction.ikco.ir/auction/details/34?r=60" TargetMode="External"/><Relationship Id="rId833" Type="http://schemas.openxmlformats.org/officeDocument/2006/relationships/hyperlink" Target="https://auction.ikco.ir/auction/details/34?r=206" TargetMode="External"/><Relationship Id="rId1116" Type="http://schemas.openxmlformats.org/officeDocument/2006/relationships/hyperlink" Target="javascript:void(0)" TargetMode="External"/><Relationship Id="rId1463" Type="http://schemas.openxmlformats.org/officeDocument/2006/relationships/hyperlink" Target="javascript:void(0)" TargetMode="External"/><Relationship Id="rId1670" Type="http://schemas.openxmlformats.org/officeDocument/2006/relationships/hyperlink" Target="https://auction.ikco.ir/auction/details/34?r=457" TargetMode="External"/><Relationship Id="rId265" Type="http://schemas.openxmlformats.org/officeDocument/2006/relationships/hyperlink" Target="https://auction.ikco.ir/auction/details/34?r=384" TargetMode="External"/><Relationship Id="rId472" Type="http://schemas.openxmlformats.org/officeDocument/2006/relationships/hyperlink" Target="https://auction.ikco.ir/auction/details/34?r=326" TargetMode="External"/><Relationship Id="rId900" Type="http://schemas.openxmlformats.org/officeDocument/2006/relationships/hyperlink" Target="https://auction.ikco.ir/auction/details/34?r=306" TargetMode="External"/><Relationship Id="rId1323" Type="http://schemas.openxmlformats.org/officeDocument/2006/relationships/hyperlink" Target="https://auction.ikco.ir/auction/details/34?r=106" TargetMode="External"/><Relationship Id="rId1530" Type="http://schemas.openxmlformats.org/officeDocument/2006/relationships/hyperlink" Target="https://auction.ikco.ir/auction/details/34?r=259" TargetMode="External"/><Relationship Id="rId1628" Type="http://schemas.openxmlformats.org/officeDocument/2006/relationships/hyperlink" Target="https://auction.ikco.ir/auction/details/34?r=416" TargetMode="External"/><Relationship Id="rId125" Type="http://schemas.openxmlformats.org/officeDocument/2006/relationships/hyperlink" Target="https://auction.ikco.ir/auction/details/34?r=453" TargetMode="External"/><Relationship Id="rId332" Type="http://schemas.openxmlformats.org/officeDocument/2006/relationships/hyperlink" Target="javascript:void(0)" TargetMode="External"/><Relationship Id="rId777" Type="http://schemas.openxmlformats.org/officeDocument/2006/relationships/hyperlink" Target="https://auction.ikco.ir/auction/details/34?r=212" TargetMode="External"/><Relationship Id="rId984" Type="http://schemas.openxmlformats.org/officeDocument/2006/relationships/hyperlink" Target="https://auction.ikco.ir/auction/details/34?r=268" TargetMode="External"/><Relationship Id="rId637" Type="http://schemas.openxmlformats.org/officeDocument/2006/relationships/hyperlink" Target="javascript:void(0)" TargetMode="External"/><Relationship Id="rId844" Type="http://schemas.openxmlformats.org/officeDocument/2006/relationships/hyperlink" Target="javascript:void(0)" TargetMode="External"/><Relationship Id="rId1267" Type="http://schemas.openxmlformats.org/officeDocument/2006/relationships/hyperlink" Target="https://auction.ikco.ir/auction/details/34?r=89" TargetMode="External"/><Relationship Id="rId1474" Type="http://schemas.openxmlformats.org/officeDocument/2006/relationships/hyperlink" Target="https://auction.ikco.ir/auction/details/34?r=395" TargetMode="External"/><Relationship Id="rId1681" Type="http://schemas.openxmlformats.org/officeDocument/2006/relationships/hyperlink" Target="javascript:void(0)" TargetMode="External"/><Relationship Id="rId276" Type="http://schemas.openxmlformats.org/officeDocument/2006/relationships/hyperlink" Target="javascript:void(0)" TargetMode="External"/><Relationship Id="rId483" Type="http://schemas.openxmlformats.org/officeDocument/2006/relationships/hyperlink" Target="https://auction.ikco.ir/auction/details/34?r=276" TargetMode="External"/><Relationship Id="rId690" Type="http://schemas.openxmlformats.org/officeDocument/2006/relationships/hyperlink" Target="javascript:void(0)" TargetMode="External"/><Relationship Id="rId704" Type="http://schemas.openxmlformats.org/officeDocument/2006/relationships/hyperlink" Target="https://auction.ikco.ir/auction/details/34?r=26" TargetMode="External"/><Relationship Id="rId911" Type="http://schemas.openxmlformats.org/officeDocument/2006/relationships/hyperlink" Target="https://auction.ikco.ir/auction/details/34?r=34" TargetMode="External"/><Relationship Id="rId1127" Type="http://schemas.openxmlformats.org/officeDocument/2006/relationships/hyperlink" Target="https://auction.ikco.ir/auction/details/34?r=125" TargetMode="External"/><Relationship Id="rId1334" Type="http://schemas.openxmlformats.org/officeDocument/2006/relationships/hyperlink" Target="javascript:void(0)" TargetMode="External"/><Relationship Id="rId1541" Type="http://schemas.openxmlformats.org/officeDocument/2006/relationships/hyperlink" Target="javascript:void(0)" TargetMode="External"/><Relationship Id="rId40" Type="http://schemas.openxmlformats.org/officeDocument/2006/relationships/hyperlink" Target="https://auction.ikco.ir/auction/details/34?r=531" TargetMode="External"/><Relationship Id="rId136" Type="http://schemas.openxmlformats.org/officeDocument/2006/relationships/hyperlink" Target="https://auction.ikco.ir/auction/details/34?r=421" TargetMode="External"/><Relationship Id="rId343" Type="http://schemas.openxmlformats.org/officeDocument/2006/relationships/hyperlink" Target="https://auction.ikco.ir/auction/details/34?r=120" TargetMode="External"/><Relationship Id="rId550" Type="http://schemas.openxmlformats.org/officeDocument/2006/relationships/hyperlink" Target="https://auction.ikco.ir/auction/details/34?r=402" TargetMode="External"/><Relationship Id="rId788" Type="http://schemas.openxmlformats.org/officeDocument/2006/relationships/hyperlink" Target="https://auction.ikco.ir/auction/details/34?r=158" TargetMode="External"/><Relationship Id="rId995" Type="http://schemas.openxmlformats.org/officeDocument/2006/relationships/hyperlink" Target="https://auction.ikco.ir/auction/details/34?r=71" TargetMode="External"/><Relationship Id="rId1180" Type="http://schemas.openxmlformats.org/officeDocument/2006/relationships/hyperlink" Target="https://auction.ikco.ir/auction/details/34?r=88" TargetMode="External"/><Relationship Id="rId1401" Type="http://schemas.openxmlformats.org/officeDocument/2006/relationships/hyperlink" Target="https://auction.ikco.ir/auction/details/34?r=197" TargetMode="External"/><Relationship Id="rId1639" Type="http://schemas.openxmlformats.org/officeDocument/2006/relationships/hyperlink" Target="javascript:void(0)" TargetMode="External"/><Relationship Id="rId203" Type="http://schemas.openxmlformats.org/officeDocument/2006/relationships/hyperlink" Target="https://auction.ikco.ir/auction/details/34?r=464" TargetMode="External"/><Relationship Id="rId648" Type="http://schemas.openxmlformats.org/officeDocument/2006/relationships/hyperlink" Target="javascript:void(0)" TargetMode="External"/><Relationship Id="rId855" Type="http://schemas.openxmlformats.org/officeDocument/2006/relationships/hyperlink" Target="https://auction.ikco.ir/auction/details/34?r=156" TargetMode="External"/><Relationship Id="rId1040" Type="http://schemas.openxmlformats.org/officeDocument/2006/relationships/hyperlink" Target="https://auction.ikco.ir/auction/details/34?r=234" TargetMode="External"/><Relationship Id="rId1278" Type="http://schemas.openxmlformats.org/officeDocument/2006/relationships/hyperlink" Target="javascript:void(0)" TargetMode="External"/><Relationship Id="rId1485" Type="http://schemas.openxmlformats.org/officeDocument/2006/relationships/hyperlink" Target="https://auction.ikco.ir/auction/details/34?r=48" TargetMode="External"/><Relationship Id="rId287" Type="http://schemas.openxmlformats.org/officeDocument/2006/relationships/hyperlink" Target="https://auction.ikco.ir/auction/details/34?r=251" TargetMode="External"/><Relationship Id="rId410" Type="http://schemas.openxmlformats.org/officeDocument/2006/relationships/hyperlink" Target="javascript:void(0)" TargetMode="External"/><Relationship Id="rId494" Type="http://schemas.openxmlformats.org/officeDocument/2006/relationships/hyperlink" Target="javascript:void(0)" TargetMode="External"/><Relationship Id="rId508" Type="http://schemas.openxmlformats.org/officeDocument/2006/relationships/hyperlink" Target="https://auction.ikco.ir/auction/details/34?r=315" TargetMode="External"/><Relationship Id="rId715" Type="http://schemas.openxmlformats.org/officeDocument/2006/relationships/hyperlink" Target="javascript:void(0)" TargetMode="External"/><Relationship Id="rId922" Type="http://schemas.openxmlformats.org/officeDocument/2006/relationships/hyperlink" Target="javascript:void(0)" TargetMode="External"/><Relationship Id="rId1138" Type="http://schemas.openxmlformats.org/officeDocument/2006/relationships/hyperlink" Target="https://auction.ikco.ir/auction/details/34?r=178" TargetMode="External"/><Relationship Id="rId1345" Type="http://schemas.openxmlformats.org/officeDocument/2006/relationships/hyperlink" Target="https://auction.ikco.ir/auction/details/34?r=207" TargetMode="External"/><Relationship Id="rId1552" Type="http://schemas.openxmlformats.org/officeDocument/2006/relationships/hyperlink" Target="https://auction.ikco.ir/auction/details/34?r=170" TargetMode="External"/><Relationship Id="rId147" Type="http://schemas.openxmlformats.org/officeDocument/2006/relationships/hyperlink" Target="javascript:void(0)" TargetMode="External"/><Relationship Id="rId354" Type="http://schemas.openxmlformats.org/officeDocument/2006/relationships/hyperlink" Target="https://auction.ikco.ir/auction/details/34?r=434" TargetMode="External"/><Relationship Id="rId799" Type="http://schemas.openxmlformats.org/officeDocument/2006/relationships/hyperlink" Target="javascript:void(0)" TargetMode="External"/><Relationship Id="rId1191" Type="http://schemas.openxmlformats.org/officeDocument/2006/relationships/hyperlink" Target="javascript:void(0)" TargetMode="External"/><Relationship Id="rId1205" Type="http://schemas.openxmlformats.org/officeDocument/2006/relationships/hyperlink" Target="https://auction.ikco.ir/auction/details/34?r=297" TargetMode="External"/><Relationship Id="rId51" Type="http://schemas.openxmlformats.org/officeDocument/2006/relationships/hyperlink" Target="javascript:void(0)" TargetMode="External"/><Relationship Id="rId561" Type="http://schemas.openxmlformats.org/officeDocument/2006/relationships/hyperlink" Target="https://auction.ikco.ir/auction/details/34?r=337" TargetMode="External"/><Relationship Id="rId659" Type="http://schemas.openxmlformats.org/officeDocument/2006/relationships/hyperlink" Target="javascript:void(0)" TargetMode="External"/><Relationship Id="rId866" Type="http://schemas.openxmlformats.org/officeDocument/2006/relationships/hyperlink" Target="https://auction.ikco.ir/auction/details/34?r=208" TargetMode="External"/><Relationship Id="rId1289" Type="http://schemas.openxmlformats.org/officeDocument/2006/relationships/hyperlink" Target="https://auction.ikco.ir/auction/details/34?r=131" TargetMode="External"/><Relationship Id="rId1412" Type="http://schemas.openxmlformats.org/officeDocument/2006/relationships/hyperlink" Target="javascript:void(0)" TargetMode="External"/><Relationship Id="rId1496" Type="http://schemas.openxmlformats.org/officeDocument/2006/relationships/hyperlink" Target="javascript:void(0)" TargetMode="External"/><Relationship Id="rId214" Type="http://schemas.openxmlformats.org/officeDocument/2006/relationships/hyperlink" Target="https://auction.ikco.ir/auction/details/34?r=357" TargetMode="External"/><Relationship Id="rId298" Type="http://schemas.openxmlformats.org/officeDocument/2006/relationships/hyperlink" Target="https://auction.ikco.ir/auction/details/34?r=394" TargetMode="External"/><Relationship Id="rId421" Type="http://schemas.openxmlformats.org/officeDocument/2006/relationships/hyperlink" Target="https://auction.ikco.ir/auction/details/34?r=346" TargetMode="External"/><Relationship Id="rId519" Type="http://schemas.openxmlformats.org/officeDocument/2006/relationships/hyperlink" Target="https://auction.ikco.ir/auction/details/34?r=294" TargetMode="External"/><Relationship Id="rId1051" Type="http://schemas.openxmlformats.org/officeDocument/2006/relationships/hyperlink" Target="https://auction.ikco.ir/auction/details/34?r=20" TargetMode="External"/><Relationship Id="rId1149" Type="http://schemas.openxmlformats.org/officeDocument/2006/relationships/hyperlink" Target="javascript:void(0)" TargetMode="External"/><Relationship Id="rId1356" Type="http://schemas.openxmlformats.org/officeDocument/2006/relationships/hyperlink" Target="https://auction.ikco.ir/auction/details/34?r=312" TargetMode="External"/><Relationship Id="rId158" Type="http://schemas.openxmlformats.org/officeDocument/2006/relationships/hyperlink" Target="https://auction.ikco.ir/auction/details/34?r=447" TargetMode="External"/><Relationship Id="rId726" Type="http://schemas.openxmlformats.org/officeDocument/2006/relationships/hyperlink" Target="https://auction.ikco.ir/auction/details/34?r=18" TargetMode="External"/><Relationship Id="rId933" Type="http://schemas.openxmlformats.org/officeDocument/2006/relationships/hyperlink" Target="https://auction.ikco.ir/auction/details/34?r=188" TargetMode="External"/><Relationship Id="rId1009" Type="http://schemas.openxmlformats.org/officeDocument/2006/relationships/hyperlink" Target="https://auction.ikco.ir/auction/details/34?r=123" TargetMode="External"/><Relationship Id="rId1563" Type="http://schemas.openxmlformats.org/officeDocument/2006/relationships/hyperlink" Target="https://auction.ikco.ir/auction/details/34?r=307" TargetMode="External"/><Relationship Id="rId62" Type="http://schemas.openxmlformats.org/officeDocument/2006/relationships/hyperlink" Target="https://auction.ikco.ir/auction/details/34?r=523" TargetMode="External"/><Relationship Id="rId365" Type="http://schemas.openxmlformats.org/officeDocument/2006/relationships/hyperlink" Target="javascript:void(0)" TargetMode="External"/><Relationship Id="rId572" Type="http://schemas.openxmlformats.org/officeDocument/2006/relationships/hyperlink" Target="javascript:void(0)" TargetMode="External"/><Relationship Id="rId1216" Type="http://schemas.openxmlformats.org/officeDocument/2006/relationships/hyperlink" Target="https://auction.ikco.ir/auction/details/34?r=1" TargetMode="External"/><Relationship Id="rId1423" Type="http://schemas.openxmlformats.org/officeDocument/2006/relationships/hyperlink" Target="https://auction.ikco.ir/auction/details/34?r=262" TargetMode="External"/><Relationship Id="rId1630" Type="http://schemas.openxmlformats.org/officeDocument/2006/relationships/hyperlink" Target="javascript:void(0)" TargetMode="External"/><Relationship Id="rId225" Type="http://schemas.openxmlformats.org/officeDocument/2006/relationships/hyperlink" Target="javascript:void(0)" TargetMode="External"/><Relationship Id="rId432" Type="http://schemas.openxmlformats.org/officeDocument/2006/relationships/hyperlink" Target="https://auction.ikco.ir/auction/details/34?r=495" TargetMode="External"/><Relationship Id="rId877" Type="http://schemas.openxmlformats.org/officeDocument/2006/relationships/hyperlink" Target="javascript:void(0)" TargetMode="External"/><Relationship Id="rId1062" Type="http://schemas.openxmlformats.org/officeDocument/2006/relationships/hyperlink" Target="javascript:void(0)" TargetMode="External"/><Relationship Id="rId737" Type="http://schemas.openxmlformats.org/officeDocument/2006/relationships/hyperlink" Target="https://auction.ikco.ir/auction/details/34?r=143" TargetMode="External"/><Relationship Id="rId944" Type="http://schemas.openxmlformats.org/officeDocument/2006/relationships/hyperlink" Target="https://auction.ikco.ir/auction/details/34?r=260" TargetMode="External"/><Relationship Id="rId1367" Type="http://schemas.openxmlformats.org/officeDocument/2006/relationships/hyperlink" Target="javascript:void(0)" TargetMode="External"/><Relationship Id="rId1574" Type="http://schemas.openxmlformats.org/officeDocument/2006/relationships/hyperlink" Target="javascript:void(0)" TargetMode="External"/><Relationship Id="rId73" Type="http://schemas.openxmlformats.org/officeDocument/2006/relationships/hyperlink" Target="https://auction.ikco.ir/auction/details/34?r=438" TargetMode="External"/><Relationship Id="rId169" Type="http://schemas.openxmlformats.org/officeDocument/2006/relationships/hyperlink" Target="https://auction.ikco.ir/auction/details/34?r=443" TargetMode="External"/><Relationship Id="rId376" Type="http://schemas.openxmlformats.org/officeDocument/2006/relationships/hyperlink" Target="https://auction.ikco.ir/auction/details/34?r=372" TargetMode="External"/><Relationship Id="rId583" Type="http://schemas.openxmlformats.org/officeDocument/2006/relationships/hyperlink" Target="https://auction.ikco.ir/auction/details/34?r=351" TargetMode="External"/><Relationship Id="rId790" Type="http://schemas.openxmlformats.org/officeDocument/2006/relationships/hyperlink" Target="javascript:void(0)" TargetMode="External"/><Relationship Id="rId804" Type="http://schemas.openxmlformats.org/officeDocument/2006/relationships/hyperlink" Target="https://auction.ikco.ir/auction/details/34?r=36" TargetMode="External"/><Relationship Id="rId1227" Type="http://schemas.openxmlformats.org/officeDocument/2006/relationships/hyperlink" Target="javascript:void(0)" TargetMode="External"/><Relationship Id="rId1434" Type="http://schemas.openxmlformats.org/officeDocument/2006/relationships/hyperlink" Target="https://auction.ikco.ir/auction/details/34?r=335" TargetMode="External"/><Relationship Id="rId1641" Type="http://schemas.openxmlformats.org/officeDocument/2006/relationships/hyperlink" Target="https://auction.ikco.ir/auction/details/34?r=454" TargetMode="External"/><Relationship Id="rId4" Type="http://schemas.openxmlformats.org/officeDocument/2006/relationships/hyperlink" Target="https://auction.ikco.ir/auction/details/34?r=411" TargetMode="External"/><Relationship Id="rId236" Type="http://schemas.openxmlformats.org/officeDocument/2006/relationships/hyperlink" Target="https://auction.ikco.ir/auction/details/34?r=448" TargetMode="External"/><Relationship Id="rId443" Type="http://schemas.openxmlformats.org/officeDocument/2006/relationships/hyperlink" Target="javascript:void(0)" TargetMode="External"/><Relationship Id="rId650" Type="http://schemas.openxmlformats.org/officeDocument/2006/relationships/hyperlink" Target="javascript:void(0)" TargetMode="External"/><Relationship Id="rId888" Type="http://schemas.openxmlformats.org/officeDocument/2006/relationships/hyperlink" Target="https://auction.ikco.ir/auction/details/34?r=104" TargetMode="External"/><Relationship Id="rId1073" Type="http://schemas.openxmlformats.org/officeDocument/2006/relationships/hyperlink" Target="https://auction.ikco.ir/auction/details/34?r=129" TargetMode="External"/><Relationship Id="rId1280" Type="http://schemas.openxmlformats.org/officeDocument/2006/relationships/hyperlink" Target="https://auction.ikco.ir/auction/details/34?r=116" TargetMode="External"/><Relationship Id="rId1501" Type="http://schemas.openxmlformats.org/officeDocument/2006/relationships/hyperlink" Target="https://auction.ikco.ir/auction/details/34?r=252" TargetMode="External"/><Relationship Id="rId303" Type="http://schemas.openxmlformats.org/officeDocument/2006/relationships/hyperlink" Target="https://auction.ikco.ir/auction/details/34?r=387" TargetMode="External"/><Relationship Id="rId748" Type="http://schemas.openxmlformats.org/officeDocument/2006/relationships/hyperlink" Target="javascript:void(0)" TargetMode="External"/><Relationship Id="rId955" Type="http://schemas.openxmlformats.org/officeDocument/2006/relationships/hyperlink" Target="javascript:void(0)" TargetMode="External"/><Relationship Id="rId1140" Type="http://schemas.openxmlformats.org/officeDocument/2006/relationships/hyperlink" Target="javascript:void(0)" TargetMode="External"/><Relationship Id="rId1378" Type="http://schemas.openxmlformats.org/officeDocument/2006/relationships/hyperlink" Target="https://auction.ikco.ir/auction/details/34?r=45" TargetMode="External"/><Relationship Id="rId1585" Type="http://schemas.openxmlformats.org/officeDocument/2006/relationships/hyperlink" Target="https://auction.ikco.ir/auction/details/34?r=175" TargetMode="External"/><Relationship Id="rId84" Type="http://schemas.openxmlformats.org/officeDocument/2006/relationships/hyperlink" Target="javascript:void(0)" TargetMode="External"/><Relationship Id="rId387" Type="http://schemas.openxmlformats.org/officeDocument/2006/relationships/hyperlink" Target="https://auction.ikco.ir/auction/details/34?r=340" TargetMode="External"/><Relationship Id="rId510" Type="http://schemas.openxmlformats.org/officeDocument/2006/relationships/hyperlink" Target="https://auction.ikco.ir/auction/details/34?r=493" TargetMode="External"/><Relationship Id="rId594" Type="http://schemas.openxmlformats.org/officeDocument/2006/relationships/hyperlink" Target="https://auction.ikco.ir/auction/details/34?r=302" TargetMode="External"/><Relationship Id="rId608" Type="http://schemas.openxmlformats.org/officeDocument/2006/relationships/hyperlink" Target="javascript:void(0)" TargetMode="External"/><Relationship Id="rId815" Type="http://schemas.openxmlformats.org/officeDocument/2006/relationships/hyperlink" Target="https://auction.ikco.ir/auction/details/34?r=149" TargetMode="External"/><Relationship Id="rId1238" Type="http://schemas.openxmlformats.org/officeDocument/2006/relationships/hyperlink" Target="https://auction.ikco.ir/auction/details/34?r=31" TargetMode="External"/><Relationship Id="rId1445" Type="http://schemas.openxmlformats.org/officeDocument/2006/relationships/hyperlink" Target="javascript:void(0)" TargetMode="External"/><Relationship Id="rId1652" Type="http://schemas.openxmlformats.org/officeDocument/2006/relationships/hyperlink" Target="https://auction.ikco.ir/auction/details/34?r=391" TargetMode="External"/><Relationship Id="rId247" Type="http://schemas.openxmlformats.org/officeDocument/2006/relationships/hyperlink" Target="https://auction.ikco.ir/auction/details/34?r=404" TargetMode="External"/><Relationship Id="rId899" Type="http://schemas.openxmlformats.org/officeDocument/2006/relationships/hyperlink" Target="https://auction.ikco.ir/auction/details/34?r=306" TargetMode="External"/><Relationship Id="rId1000" Type="http://schemas.openxmlformats.org/officeDocument/2006/relationships/hyperlink" Target="https://auction.ikco.ir/auction/details/34?r=90" TargetMode="External"/><Relationship Id="rId1084" Type="http://schemas.openxmlformats.org/officeDocument/2006/relationships/hyperlink" Target="https://auction.ikco.ir/auction/details/34?r=193" TargetMode="External"/><Relationship Id="rId1305" Type="http://schemas.openxmlformats.org/officeDocument/2006/relationships/hyperlink" Target="https://auction.ikco.ir/auction/details/34?r=209" TargetMode="External"/><Relationship Id="rId107" Type="http://schemas.openxmlformats.org/officeDocument/2006/relationships/hyperlink" Target="https://auction.ikco.ir/auction/details/34?r=440" TargetMode="External"/><Relationship Id="rId454" Type="http://schemas.openxmlformats.org/officeDocument/2006/relationships/hyperlink" Target="https://auction.ikco.ir/auction/details/34?r=137" TargetMode="External"/><Relationship Id="rId661" Type="http://schemas.openxmlformats.org/officeDocument/2006/relationships/hyperlink" Target="javascript:void(0)" TargetMode="External"/><Relationship Id="rId759" Type="http://schemas.openxmlformats.org/officeDocument/2006/relationships/hyperlink" Target="https://auction.ikco.ir/auction/details/34?r=321" TargetMode="External"/><Relationship Id="rId966" Type="http://schemas.openxmlformats.org/officeDocument/2006/relationships/hyperlink" Target="https://auction.ikco.ir/auction/details/34?r=63" TargetMode="External"/><Relationship Id="rId1291" Type="http://schemas.openxmlformats.org/officeDocument/2006/relationships/hyperlink" Target="https://auction.ikco.ir/auction/details/34?r=133" TargetMode="External"/><Relationship Id="rId1389" Type="http://schemas.openxmlformats.org/officeDocument/2006/relationships/hyperlink" Target="https://auction.ikco.ir/auction/details/34?r=121" TargetMode="External"/><Relationship Id="rId1512" Type="http://schemas.openxmlformats.org/officeDocument/2006/relationships/hyperlink" Target="https://auction.ikco.ir/auction/details/34?r=42" TargetMode="External"/><Relationship Id="rId1596" Type="http://schemas.openxmlformats.org/officeDocument/2006/relationships/hyperlink" Target="https://auction.ikco.ir/auction/details/34?r=514" TargetMode="External"/><Relationship Id="rId11" Type="http://schemas.openxmlformats.org/officeDocument/2006/relationships/hyperlink" Target="https://auction.ikco.ir/auction/details/34?r=413" TargetMode="External"/><Relationship Id="rId314" Type="http://schemas.openxmlformats.org/officeDocument/2006/relationships/hyperlink" Target="javascript:void(0)" TargetMode="External"/><Relationship Id="rId398" Type="http://schemas.openxmlformats.org/officeDocument/2006/relationships/hyperlink" Target="javascript:void(0)" TargetMode="External"/><Relationship Id="rId521" Type="http://schemas.openxmlformats.org/officeDocument/2006/relationships/hyperlink" Target="javascript:void(0)" TargetMode="External"/><Relationship Id="rId619" Type="http://schemas.openxmlformats.org/officeDocument/2006/relationships/hyperlink" Target="javascript:void(0)" TargetMode="External"/><Relationship Id="rId1151" Type="http://schemas.openxmlformats.org/officeDocument/2006/relationships/hyperlink" Target="https://auction.ikco.ir/auction/details/34?r=224" TargetMode="External"/><Relationship Id="rId1249" Type="http://schemas.openxmlformats.org/officeDocument/2006/relationships/hyperlink" Target="https://auction.ikco.ir/auction/details/34?r=39" TargetMode="External"/><Relationship Id="rId95" Type="http://schemas.openxmlformats.org/officeDocument/2006/relationships/hyperlink" Target="https://auction.ikco.ir/auction/details/34?r=433" TargetMode="External"/><Relationship Id="rId160" Type="http://schemas.openxmlformats.org/officeDocument/2006/relationships/hyperlink" Target="https://auction.ikco.ir/auction/details/34?r=471" TargetMode="External"/><Relationship Id="rId826" Type="http://schemas.openxmlformats.org/officeDocument/2006/relationships/hyperlink" Target="javascript:void(0)" TargetMode="External"/><Relationship Id="rId1011" Type="http://schemas.openxmlformats.org/officeDocument/2006/relationships/hyperlink" Target="javascript:void(0)" TargetMode="External"/><Relationship Id="rId1109" Type="http://schemas.openxmlformats.org/officeDocument/2006/relationships/hyperlink" Target="https://auction.ikco.ir/auction/details/34?r=40" TargetMode="External"/><Relationship Id="rId1456" Type="http://schemas.openxmlformats.org/officeDocument/2006/relationships/hyperlink" Target="https://auction.ikco.ir/auction/details/34?r=118" TargetMode="External"/><Relationship Id="rId1663" Type="http://schemas.openxmlformats.org/officeDocument/2006/relationships/hyperlink" Target="javascript:void(0)" TargetMode="External"/><Relationship Id="rId258" Type="http://schemas.openxmlformats.org/officeDocument/2006/relationships/hyperlink" Target="javascript:void(0)" TargetMode="External"/><Relationship Id="rId465" Type="http://schemas.openxmlformats.org/officeDocument/2006/relationships/hyperlink" Target="https://auction.ikco.ir/auction/details/34?r=23" TargetMode="External"/><Relationship Id="rId672" Type="http://schemas.openxmlformats.org/officeDocument/2006/relationships/hyperlink" Target="javascript:void(0)" TargetMode="External"/><Relationship Id="rId1095" Type="http://schemas.openxmlformats.org/officeDocument/2006/relationships/hyperlink" Target="javascript:void(0)" TargetMode="External"/><Relationship Id="rId1316" Type="http://schemas.openxmlformats.org/officeDocument/2006/relationships/hyperlink" Target="javascript:void(0)" TargetMode="External"/><Relationship Id="rId1523" Type="http://schemas.openxmlformats.org/officeDocument/2006/relationships/hyperlink" Target="javascript:void(0)" TargetMode="External"/><Relationship Id="rId22" Type="http://schemas.openxmlformats.org/officeDocument/2006/relationships/hyperlink" Target="https://auction.ikco.ir/auction/details/34?r=479" TargetMode="External"/><Relationship Id="rId118" Type="http://schemas.openxmlformats.org/officeDocument/2006/relationships/hyperlink" Target="https://auction.ikco.ir/auction/details/34?r=412" TargetMode="External"/><Relationship Id="rId325" Type="http://schemas.openxmlformats.org/officeDocument/2006/relationships/hyperlink" Target="https://auction.ikco.ir/auction/details/34?r=512" TargetMode="External"/><Relationship Id="rId532" Type="http://schemas.openxmlformats.org/officeDocument/2006/relationships/hyperlink" Target="https://auction.ikco.ir/auction/details/34?r=247" TargetMode="External"/><Relationship Id="rId977" Type="http://schemas.openxmlformats.org/officeDocument/2006/relationships/hyperlink" Target="https://auction.ikco.ir/auction/details/34?r=239" TargetMode="External"/><Relationship Id="rId1162" Type="http://schemas.openxmlformats.org/officeDocument/2006/relationships/hyperlink" Target="https://auction.ikco.ir/auction/details/34?r=366" TargetMode="External"/><Relationship Id="rId171" Type="http://schemas.openxmlformats.org/officeDocument/2006/relationships/hyperlink" Target="javascript:void(0)" TargetMode="External"/><Relationship Id="rId837" Type="http://schemas.openxmlformats.org/officeDocument/2006/relationships/hyperlink" Target="https://auction.ikco.ir/auction/details/34?r=280" TargetMode="External"/><Relationship Id="rId1022" Type="http://schemas.openxmlformats.org/officeDocument/2006/relationships/hyperlink" Target="https://auction.ikco.ir/auction/details/34?r=181" TargetMode="External"/><Relationship Id="rId1467" Type="http://schemas.openxmlformats.org/officeDocument/2006/relationships/hyperlink" Target="https://auction.ikco.ir/auction/details/34?r=381" TargetMode="External"/><Relationship Id="rId1674" Type="http://schemas.openxmlformats.org/officeDocument/2006/relationships/hyperlink" Target="https://auction.ikco.ir/auction/details/34?r=425" TargetMode="External"/><Relationship Id="rId269" Type="http://schemas.openxmlformats.org/officeDocument/2006/relationships/hyperlink" Target="https://auction.ikco.ir/auction/details/34?r=485" TargetMode="External"/><Relationship Id="rId476" Type="http://schemas.openxmlformats.org/officeDocument/2006/relationships/hyperlink" Target="javascript:void(0)" TargetMode="External"/><Relationship Id="rId683" Type="http://schemas.openxmlformats.org/officeDocument/2006/relationships/hyperlink" Target="javascript:void(0)" TargetMode="External"/><Relationship Id="rId890" Type="http://schemas.openxmlformats.org/officeDocument/2006/relationships/hyperlink" Target="https://auction.ikco.ir/auction/details/34?r=169" TargetMode="External"/><Relationship Id="rId904" Type="http://schemas.openxmlformats.org/officeDocument/2006/relationships/hyperlink" Target="javascript:void(0)" TargetMode="External"/><Relationship Id="rId1327" Type="http://schemas.openxmlformats.org/officeDocument/2006/relationships/hyperlink" Target="https://auction.ikco.ir/auction/details/34?r=112" TargetMode="External"/><Relationship Id="rId1534" Type="http://schemas.openxmlformats.org/officeDocument/2006/relationships/hyperlink" Target="https://auction.ikco.ir/auction/details/34?r=274" TargetMode="External"/><Relationship Id="rId33" Type="http://schemas.openxmlformats.org/officeDocument/2006/relationships/hyperlink" Target="javascript:void(0)" TargetMode="External"/><Relationship Id="rId129" Type="http://schemas.openxmlformats.org/officeDocument/2006/relationships/hyperlink" Target="javascript:void(0)" TargetMode="External"/><Relationship Id="rId336" Type="http://schemas.openxmlformats.org/officeDocument/2006/relationships/hyperlink" Target="https://auction.ikco.ir/auction/details/34?r=468" TargetMode="External"/><Relationship Id="rId543" Type="http://schemas.openxmlformats.org/officeDocument/2006/relationships/hyperlink" Target="https://auction.ikco.ir/auction/details/34?r=458" TargetMode="External"/><Relationship Id="rId988" Type="http://schemas.openxmlformats.org/officeDocument/2006/relationships/hyperlink" Target="javascript:void(0)" TargetMode="External"/><Relationship Id="rId1173" Type="http://schemas.openxmlformats.org/officeDocument/2006/relationships/hyperlink" Target="javascript:void(0)" TargetMode="External"/><Relationship Id="rId1380" Type="http://schemas.openxmlformats.org/officeDocument/2006/relationships/hyperlink" Target="https://auction.ikco.ir/auction/details/34?r=50" TargetMode="External"/><Relationship Id="rId1601" Type="http://schemas.openxmlformats.org/officeDocument/2006/relationships/hyperlink" Target="https://auction.ikco.ir/auction/details/34?r=168" TargetMode="External"/><Relationship Id="rId182" Type="http://schemas.openxmlformats.org/officeDocument/2006/relationships/hyperlink" Target="https://auction.ikco.ir/auction/details/34?r=470" TargetMode="External"/><Relationship Id="rId403" Type="http://schemas.openxmlformats.org/officeDocument/2006/relationships/hyperlink" Target="https://auction.ikco.ir/auction/details/34?r=278" TargetMode="External"/><Relationship Id="rId750" Type="http://schemas.openxmlformats.org/officeDocument/2006/relationships/hyperlink" Target="https://auction.ikco.ir/auction/details/34?r=231" TargetMode="External"/><Relationship Id="rId848" Type="http://schemas.openxmlformats.org/officeDocument/2006/relationships/hyperlink" Target="https://auction.ikco.ir/auction/details/34?r=107" TargetMode="External"/><Relationship Id="rId1033" Type="http://schemas.openxmlformats.org/officeDocument/2006/relationships/hyperlink" Target="https://auction.ikco.ir/auction/details/34?r=219" TargetMode="External"/><Relationship Id="rId1478" Type="http://schemas.openxmlformats.org/officeDocument/2006/relationships/hyperlink" Target="javascript:void(0)" TargetMode="External"/><Relationship Id="rId1685" Type="http://schemas.openxmlformats.org/officeDocument/2006/relationships/hyperlink" Target="https://auction.ikco.ir/auction/details/34?r=519" TargetMode="External"/><Relationship Id="rId487" Type="http://schemas.openxmlformats.org/officeDocument/2006/relationships/hyperlink" Target="https://auction.ikco.ir/auction/details/34?r=504" TargetMode="External"/><Relationship Id="rId610" Type="http://schemas.openxmlformats.org/officeDocument/2006/relationships/hyperlink" Target="javascript:void(0)" TargetMode="External"/><Relationship Id="rId694" Type="http://schemas.openxmlformats.org/officeDocument/2006/relationships/hyperlink" Target="javascript:void(0)" TargetMode="External"/><Relationship Id="rId708" Type="http://schemas.openxmlformats.org/officeDocument/2006/relationships/hyperlink" Target="https://auction.ikco.ir/auction/details/34?r=157" TargetMode="External"/><Relationship Id="rId915" Type="http://schemas.openxmlformats.org/officeDocument/2006/relationships/hyperlink" Target="https://auction.ikco.ir/auction/details/34?r=98" TargetMode="External"/><Relationship Id="rId1240" Type="http://schemas.openxmlformats.org/officeDocument/2006/relationships/hyperlink" Target="https://auction.ikco.ir/auction/details/34?r=33" TargetMode="External"/><Relationship Id="rId1338" Type="http://schemas.openxmlformats.org/officeDocument/2006/relationships/hyperlink" Target="https://auction.ikco.ir/auction/details/34?r=174" TargetMode="External"/><Relationship Id="rId1545" Type="http://schemas.openxmlformats.org/officeDocument/2006/relationships/hyperlink" Target="https://auction.ikco.ir/auction/details/34?r=136" TargetMode="External"/><Relationship Id="rId347" Type="http://schemas.openxmlformats.org/officeDocument/2006/relationships/hyperlink" Target="javascript:void(0)" TargetMode="External"/><Relationship Id="rId999" Type="http://schemas.openxmlformats.org/officeDocument/2006/relationships/hyperlink" Target="javascript:void(0)" TargetMode="External"/><Relationship Id="rId1100" Type="http://schemas.openxmlformats.org/officeDocument/2006/relationships/hyperlink" Target="https://auction.ikco.ir/auction/details/34?r=373" TargetMode="External"/><Relationship Id="rId1184" Type="http://schemas.openxmlformats.org/officeDocument/2006/relationships/hyperlink" Target="https://auction.ikco.ir/auction/details/34?r=113" TargetMode="External"/><Relationship Id="rId1405" Type="http://schemas.openxmlformats.org/officeDocument/2006/relationships/hyperlink" Target="https://auction.ikco.ir/auction/details/34?r=198" TargetMode="External"/><Relationship Id="rId44" Type="http://schemas.openxmlformats.org/officeDocument/2006/relationships/hyperlink" Target="https://auction.ikco.ir/auction/details/34?r=525" TargetMode="External"/><Relationship Id="rId554" Type="http://schemas.openxmlformats.org/officeDocument/2006/relationships/hyperlink" Target="javascript:void(0)" TargetMode="External"/><Relationship Id="rId761" Type="http://schemas.openxmlformats.org/officeDocument/2006/relationships/hyperlink" Target="https://auction.ikco.ir/auction/details/34?r=339" TargetMode="External"/><Relationship Id="rId859" Type="http://schemas.openxmlformats.org/officeDocument/2006/relationships/hyperlink" Target="javascript:void(0)" TargetMode="External"/><Relationship Id="rId1391" Type="http://schemas.openxmlformats.org/officeDocument/2006/relationships/hyperlink" Target="javascript:void(0)" TargetMode="External"/><Relationship Id="rId1489" Type="http://schemas.openxmlformats.org/officeDocument/2006/relationships/hyperlink" Target="https://auction.ikco.ir/auction/details/34?r=55" TargetMode="External"/><Relationship Id="rId1612" Type="http://schemas.openxmlformats.org/officeDocument/2006/relationships/hyperlink" Target="javascript:void(0)" TargetMode="External"/><Relationship Id="rId193" Type="http://schemas.openxmlformats.org/officeDocument/2006/relationships/hyperlink" Target="https://auction.ikco.ir/auction/details/34?r=370" TargetMode="External"/><Relationship Id="rId207" Type="http://schemas.openxmlformats.org/officeDocument/2006/relationships/hyperlink" Target="javascript:void(0)" TargetMode="External"/><Relationship Id="rId414" Type="http://schemas.openxmlformats.org/officeDocument/2006/relationships/hyperlink" Target="https://auction.ikco.ir/auction/details/34?r=273" TargetMode="External"/><Relationship Id="rId498" Type="http://schemas.openxmlformats.org/officeDocument/2006/relationships/hyperlink" Target="https://auction.ikco.ir/auction/details/34?r=499" TargetMode="External"/><Relationship Id="rId621" Type="http://schemas.openxmlformats.org/officeDocument/2006/relationships/hyperlink" Target="javascript:void(0)" TargetMode="External"/><Relationship Id="rId1044" Type="http://schemas.openxmlformats.org/officeDocument/2006/relationships/hyperlink" Target="javascript:void(0)" TargetMode="External"/><Relationship Id="rId1251" Type="http://schemas.openxmlformats.org/officeDocument/2006/relationships/hyperlink" Target="javascript:void(0)" TargetMode="External"/><Relationship Id="rId1349" Type="http://schemas.openxmlformats.org/officeDocument/2006/relationships/hyperlink" Target="javascript:void(0)" TargetMode="External"/><Relationship Id="rId260" Type="http://schemas.openxmlformats.org/officeDocument/2006/relationships/hyperlink" Target="https://auction.ikco.ir/auction/details/34?r=489" TargetMode="External"/><Relationship Id="rId719" Type="http://schemas.openxmlformats.org/officeDocument/2006/relationships/hyperlink" Target="https://auction.ikco.ir/auction/details/34?r=419" TargetMode="External"/><Relationship Id="rId926" Type="http://schemas.openxmlformats.org/officeDocument/2006/relationships/hyperlink" Target="https://auction.ikco.ir/auction/details/34?r=140" TargetMode="External"/><Relationship Id="rId1111" Type="http://schemas.openxmlformats.org/officeDocument/2006/relationships/hyperlink" Target="https://auction.ikco.ir/auction/details/34?r=46" TargetMode="External"/><Relationship Id="rId1556" Type="http://schemas.openxmlformats.org/officeDocument/2006/relationships/hyperlink" Target="javascript:void(0)" TargetMode="External"/><Relationship Id="rId55" Type="http://schemas.openxmlformats.org/officeDocument/2006/relationships/hyperlink" Target="https://auction.ikco.ir/auction/details/34?r=530" TargetMode="External"/><Relationship Id="rId120" Type="http://schemas.openxmlformats.org/officeDocument/2006/relationships/hyperlink" Target="javascript:void(0)" TargetMode="External"/><Relationship Id="rId358" Type="http://schemas.openxmlformats.org/officeDocument/2006/relationships/hyperlink" Target="https://auction.ikco.ir/auction/details/34?r=348" TargetMode="External"/><Relationship Id="rId565" Type="http://schemas.openxmlformats.org/officeDocument/2006/relationships/hyperlink" Target="https://auction.ikco.ir/auction/details/34?r=494" TargetMode="External"/><Relationship Id="rId772" Type="http://schemas.openxmlformats.org/officeDocument/2006/relationships/hyperlink" Target="javascript:void(0)" TargetMode="External"/><Relationship Id="rId1195" Type="http://schemas.openxmlformats.org/officeDocument/2006/relationships/hyperlink" Target="https://auction.ikco.ir/auction/details/34?r=237" TargetMode="External"/><Relationship Id="rId1209" Type="http://schemas.openxmlformats.org/officeDocument/2006/relationships/hyperlink" Target="javascript:void(0)" TargetMode="External"/><Relationship Id="rId1416" Type="http://schemas.openxmlformats.org/officeDocument/2006/relationships/hyperlink" Target="https://auction.ikco.ir/auction/details/34?r=217" TargetMode="External"/><Relationship Id="rId1623" Type="http://schemas.openxmlformats.org/officeDocument/2006/relationships/hyperlink" Target="https://auction.ikco.ir/auction/details/34?r=271" TargetMode="External"/><Relationship Id="rId218" Type="http://schemas.openxmlformats.org/officeDocument/2006/relationships/hyperlink" Target="https://auction.ikco.ir/auction/details/34?r=511" TargetMode="External"/><Relationship Id="rId425" Type="http://schemas.openxmlformats.org/officeDocument/2006/relationships/hyperlink" Target="javascript:void(0)" TargetMode="External"/><Relationship Id="rId632" Type="http://schemas.openxmlformats.org/officeDocument/2006/relationships/hyperlink" Target="javascript:void(0)" TargetMode="External"/><Relationship Id="rId1055" Type="http://schemas.openxmlformats.org/officeDocument/2006/relationships/hyperlink" Target="https://auction.ikco.ir/auction/details/34?r=41" TargetMode="External"/><Relationship Id="rId1262" Type="http://schemas.openxmlformats.org/officeDocument/2006/relationships/hyperlink" Target="https://auction.ikco.ir/auction/details/34?r=68" TargetMode="External"/><Relationship Id="rId271" Type="http://schemas.openxmlformats.org/officeDocument/2006/relationships/hyperlink" Target="https://auction.ikco.ir/auction/details/34?r=324" TargetMode="External"/><Relationship Id="rId937" Type="http://schemas.openxmlformats.org/officeDocument/2006/relationships/hyperlink" Target="javascript:void(0)" TargetMode="External"/><Relationship Id="rId1122" Type="http://schemas.openxmlformats.org/officeDocument/2006/relationships/hyperlink" Target="javascript:void(0)" TargetMode="External"/><Relationship Id="rId1567" Type="http://schemas.openxmlformats.org/officeDocument/2006/relationships/hyperlink" Target="https://auction.ikco.ir/auction/details/34?r=363" TargetMode="External"/><Relationship Id="rId66" Type="http://schemas.openxmlformats.org/officeDocument/2006/relationships/hyperlink" Target="javascript:void(0)" TargetMode="External"/><Relationship Id="rId131" Type="http://schemas.openxmlformats.org/officeDocument/2006/relationships/hyperlink" Target="https://auction.ikco.ir/auction/details/34?r=439" TargetMode="External"/><Relationship Id="rId369" Type="http://schemas.openxmlformats.org/officeDocument/2006/relationships/hyperlink" Target="https://auction.ikco.ir/auction/details/34?r=355" TargetMode="External"/><Relationship Id="rId576" Type="http://schemas.openxmlformats.org/officeDocument/2006/relationships/hyperlink" Target="https://auction.ikco.ir/auction/details/34?r=148" TargetMode="External"/><Relationship Id="rId783" Type="http://schemas.openxmlformats.org/officeDocument/2006/relationships/hyperlink" Target="https://auction.ikco.ir/auction/details/34?r=72" TargetMode="External"/><Relationship Id="rId990" Type="http://schemas.openxmlformats.org/officeDocument/2006/relationships/hyperlink" Target="https://auction.ikco.ir/auction/details/34?r=57" TargetMode="External"/><Relationship Id="rId1427" Type="http://schemas.openxmlformats.org/officeDocument/2006/relationships/hyperlink" Target="javascript:void(0)" TargetMode="External"/><Relationship Id="rId1634" Type="http://schemas.openxmlformats.org/officeDocument/2006/relationships/hyperlink" Target="https://auction.ikco.ir/auction/details/34?r=380" TargetMode="External"/><Relationship Id="rId229" Type="http://schemas.openxmlformats.org/officeDocument/2006/relationships/hyperlink" Target="https://auction.ikco.ir/auction/details/34?r=396" TargetMode="External"/><Relationship Id="rId436" Type="http://schemas.openxmlformats.org/officeDocument/2006/relationships/hyperlink" Target="https://auction.ikco.ir/auction/details/34?r=61" TargetMode="External"/><Relationship Id="rId643" Type="http://schemas.openxmlformats.org/officeDocument/2006/relationships/hyperlink" Target="javascript:void(0)" TargetMode="External"/><Relationship Id="rId1066" Type="http://schemas.openxmlformats.org/officeDocument/2006/relationships/hyperlink" Target="https://auction.ikco.ir/auction/details/34?r=101" TargetMode="External"/><Relationship Id="rId1273" Type="http://schemas.openxmlformats.org/officeDocument/2006/relationships/hyperlink" Target="https://auction.ikco.ir/auction/details/34?r=99" TargetMode="External"/><Relationship Id="rId1480" Type="http://schemas.openxmlformats.org/officeDocument/2006/relationships/hyperlink" Target="https://auction.ikco.ir/auction/details/34?r=8" TargetMode="External"/><Relationship Id="rId850" Type="http://schemas.openxmlformats.org/officeDocument/2006/relationships/hyperlink" Target="javascript:void(0)" TargetMode="External"/><Relationship Id="rId948" Type="http://schemas.openxmlformats.org/officeDocument/2006/relationships/hyperlink" Target="https://auction.ikco.ir/auction/details/34?r=349" TargetMode="External"/><Relationship Id="rId1133" Type="http://schemas.openxmlformats.org/officeDocument/2006/relationships/hyperlink" Target="https://auction.ikco.ir/auction/details/34?r=152" TargetMode="External"/><Relationship Id="rId1578" Type="http://schemas.openxmlformats.org/officeDocument/2006/relationships/hyperlink" Target="https://auction.ikco.ir/auction/details/34?r=483" TargetMode="External"/><Relationship Id="rId77" Type="http://schemas.openxmlformats.org/officeDocument/2006/relationships/hyperlink" Target="https://auction.ikco.ir/auction/details/34?r=444" TargetMode="External"/><Relationship Id="rId282" Type="http://schemas.openxmlformats.org/officeDocument/2006/relationships/hyperlink" Target="javascript:void(0)" TargetMode="External"/><Relationship Id="rId503" Type="http://schemas.openxmlformats.org/officeDocument/2006/relationships/hyperlink" Target="javascript:void(0)" TargetMode="External"/><Relationship Id="rId587" Type="http://schemas.openxmlformats.org/officeDocument/2006/relationships/hyperlink" Target="javascript:void(0)" TargetMode="External"/><Relationship Id="rId710" Type="http://schemas.openxmlformats.org/officeDocument/2006/relationships/hyperlink" Target="https://auction.ikco.ir/auction/details/34?r=292" TargetMode="External"/><Relationship Id="rId808" Type="http://schemas.openxmlformats.org/officeDocument/2006/relationships/hyperlink" Target="javascript:void(0)" TargetMode="External"/><Relationship Id="rId1340" Type="http://schemas.openxmlformats.org/officeDocument/2006/relationships/hyperlink" Target="javascript:void(0)" TargetMode="External"/><Relationship Id="rId1438" Type="http://schemas.openxmlformats.org/officeDocument/2006/relationships/hyperlink" Target="https://auction.ikco.ir/auction/details/34?r=356" TargetMode="External"/><Relationship Id="rId1645" Type="http://schemas.openxmlformats.org/officeDocument/2006/relationships/hyperlink" Target="javascript:void(0)" TargetMode="External"/><Relationship Id="rId8" Type="http://schemas.openxmlformats.org/officeDocument/2006/relationships/hyperlink" Target="https://auction.ikco.ir/auction/details/34?r=528" TargetMode="External"/><Relationship Id="rId142" Type="http://schemas.openxmlformats.org/officeDocument/2006/relationships/hyperlink" Target="https://auction.ikco.ir/auction/details/34?r=445" TargetMode="External"/><Relationship Id="rId447" Type="http://schemas.openxmlformats.org/officeDocument/2006/relationships/hyperlink" Target="https://auction.ikco.ir/auction/details/34?r=500" TargetMode="External"/><Relationship Id="rId794" Type="http://schemas.openxmlformats.org/officeDocument/2006/relationships/hyperlink" Target="https://auction.ikco.ir/auction/details/34?r=289" TargetMode="External"/><Relationship Id="rId1077" Type="http://schemas.openxmlformats.org/officeDocument/2006/relationships/hyperlink" Target="javascript:void(0)" TargetMode="External"/><Relationship Id="rId1200" Type="http://schemas.openxmlformats.org/officeDocument/2006/relationships/hyperlink" Target="javascript:void(0)" TargetMode="External"/><Relationship Id="rId654" Type="http://schemas.openxmlformats.org/officeDocument/2006/relationships/hyperlink" Target="javascript:void(0)" TargetMode="External"/><Relationship Id="rId861" Type="http://schemas.openxmlformats.org/officeDocument/2006/relationships/hyperlink" Target="https://auction.ikco.ir/auction/details/34?r=184" TargetMode="External"/><Relationship Id="rId959" Type="http://schemas.openxmlformats.org/officeDocument/2006/relationships/hyperlink" Target="https://auction.ikco.ir/auction/details/34?r=51" TargetMode="External"/><Relationship Id="rId1284" Type="http://schemas.openxmlformats.org/officeDocument/2006/relationships/hyperlink" Target="javascript:void(0)" TargetMode="External"/><Relationship Id="rId1491" Type="http://schemas.openxmlformats.org/officeDocument/2006/relationships/hyperlink" Target="https://auction.ikco.ir/auction/details/34?r=58" TargetMode="External"/><Relationship Id="rId1505" Type="http://schemas.openxmlformats.org/officeDocument/2006/relationships/hyperlink" Target="javascript:void(0)" TargetMode="External"/><Relationship Id="rId1589" Type="http://schemas.openxmlformats.org/officeDocument/2006/relationships/hyperlink" Target="javascript:void(0)" TargetMode="External"/><Relationship Id="rId293" Type="http://schemas.openxmlformats.org/officeDocument/2006/relationships/hyperlink" Target="https://auction.ikco.ir/auction/details/34?r=390" TargetMode="External"/><Relationship Id="rId307" Type="http://schemas.openxmlformats.org/officeDocument/2006/relationships/hyperlink" Target="https://auction.ikco.ir/auction/details/34?r=270" TargetMode="External"/><Relationship Id="rId514" Type="http://schemas.openxmlformats.org/officeDocument/2006/relationships/hyperlink" Target="https://auction.ikco.ir/auction/details/34?r=329" TargetMode="External"/><Relationship Id="rId721" Type="http://schemas.openxmlformats.org/officeDocument/2006/relationships/hyperlink" Target="javascript:void(0)" TargetMode="External"/><Relationship Id="rId1144" Type="http://schemas.openxmlformats.org/officeDocument/2006/relationships/hyperlink" Target="https://auction.ikco.ir/auction/details/34?r=218" TargetMode="External"/><Relationship Id="rId1351" Type="http://schemas.openxmlformats.org/officeDocument/2006/relationships/hyperlink" Target="https://auction.ikco.ir/auction/details/34?r=246" TargetMode="External"/><Relationship Id="rId1449" Type="http://schemas.openxmlformats.org/officeDocument/2006/relationships/hyperlink" Target="https://auction.ikco.ir/auction/details/34?r=78" TargetMode="External"/><Relationship Id="rId88" Type="http://schemas.openxmlformats.org/officeDocument/2006/relationships/hyperlink" Target="https://auction.ikco.ir/auction/details/34?r=476" TargetMode="External"/><Relationship Id="rId153" Type="http://schemas.openxmlformats.org/officeDocument/2006/relationships/hyperlink" Target="javascript:void(0)" TargetMode="External"/><Relationship Id="rId360" Type="http://schemas.openxmlformats.org/officeDocument/2006/relationships/hyperlink" Target="https://auction.ikco.ir/auction/details/34?r=343" TargetMode="External"/><Relationship Id="rId598" Type="http://schemas.openxmlformats.org/officeDocument/2006/relationships/hyperlink" Target="https://auction.ikco.ir/auction/details/34?r=10" TargetMode="External"/><Relationship Id="rId819" Type="http://schemas.openxmlformats.org/officeDocument/2006/relationships/hyperlink" Target="https://auction.ikco.ir/auction/details/34?r=150" TargetMode="External"/><Relationship Id="rId1004" Type="http://schemas.openxmlformats.org/officeDocument/2006/relationships/hyperlink" Target="https://auction.ikco.ir/auction/details/34?r=92" TargetMode="External"/><Relationship Id="rId1211" Type="http://schemas.openxmlformats.org/officeDocument/2006/relationships/hyperlink" Target="https://auction.ikco.ir/auction/details/34?r=325" TargetMode="External"/><Relationship Id="rId1656" Type="http://schemas.openxmlformats.org/officeDocument/2006/relationships/hyperlink" Target="https://auction.ikco.ir/auction/details/34?r=426" TargetMode="External"/><Relationship Id="rId220" Type="http://schemas.openxmlformats.org/officeDocument/2006/relationships/hyperlink" Target="https://auction.ikco.ir/auction/details/34?r=383" TargetMode="External"/><Relationship Id="rId458" Type="http://schemas.openxmlformats.org/officeDocument/2006/relationships/hyperlink" Target="javascript:void(0)" TargetMode="External"/><Relationship Id="rId665" Type="http://schemas.openxmlformats.org/officeDocument/2006/relationships/hyperlink" Target="javascript:void(0)" TargetMode="External"/><Relationship Id="rId872" Type="http://schemas.openxmlformats.org/officeDocument/2006/relationships/hyperlink" Target="https://auction.ikco.ir/auction/details/34?r=327" TargetMode="External"/><Relationship Id="rId1088" Type="http://schemas.openxmlformats.org/officeDocument/2006/relationships/hyperlink" Target="https://auction.ikco.ir/auction/details/34?r=223" TargetMode="External"/><Relationship Id="rId1295" Type="http://schemas.openxmlformats.org/officeDocument/2006/relationships/hyperlink" Target="https://auction.ikco.ir/auction/details/34?r=141" TargetMode="External"/><Relationship Id="rId1309" Type="http://schemas.openxmlformats.org/officeDocument/2006/relationships/hyperlink" Target="https://auction.ikco.ir/auction/details/34?r=385" TargetMode="External"/><Relationship Id="rId1516" Type="http://schemas.openxmlformats.org/officeDocument/2006/relationships/hyperlink" Target="https://auction.ikco.ir/auction/details/34?r=73" TargetMode="External"/><Relationship Id="rId15" Type="http://schemas.openxmlformats.org/officeDocument/2006/relationships/hyperlink" Target="javascript:void(0)" TargetMode="External"/><Relationship Id="rId318" Type="http://schemas.openxmlformats.org/officeDocument/2006/relationships/hyperlink" Target="https://auction.ikco.ir/auction/details/34?r=314" TargetMode="External"/><Relationship Id="rId525" Type="http://schemas.openxmlformats.org/officeDocument/2006/relationships/hyperlink" Target="https://auction.ikco.ir/auction/details/34?r=56" TargetMode="External"/><Relationship Id="rId732" Type="http://schemas.openxmlformats.org/officeDocument/2006/relationships/hyperlink" Target="https://auction.ikco.ir/auction/details/34?r=67" TargetMode="External"/><Relationship Id="rId1155" Type="http://schemas.openxmlformats.org/officeDocument/2006/relationships/hyperlink" Target="javascript:void(0)" TargetMode="External"/><Relationship Id="rId1362" Type="http://schemas.openxmlformats.org/officeDocument/2006/relationships/hyperlink" Target="https://auction.ikco.ir/auction/details/34?r=9" TargetMode="External"/><Relationship Id="rId99" Type="http://schemas.openxmlformats.org/officeDocument/2006/relationships/hyperlink" Target="javascript:void(0)" TargetMode="External"/><Relationship Id="rId164" Type="http://schemas.openxmlformats.org/officeDocument/2006/relationships/hyperlink" Target="https://auction.ikco.ir/auction/details/34?r=420" TargetMode="External"/><Relationship Id="rId371" Type="http://schemas.openxmlformats.org/officeDocument/2006/relationships/hyperlink" Target="javascript:void(0)" TargetMode="External"/><Relationship Id="rId1015" Type="http://schemas.openxmlformats.org/officeDocument/2006/relationships/hyperlink" Target="https://auction.ikco.ir/auction/details/34?r=146" TargetMode="External"/><Relationship Id="rId1222" Type="http://schemas.openxmlformats.org/officeDocument/2006/relationships/hyperlink" Target="https://auction.ikco.ir/auction/details/34?r=7" TargetMode="External"/><Relationship Id="rId1667" Type="http://schemas.openxmlformats.org/officeDocument/2006/relationships/hyperlink" Target="https://auction.ikco.ir/auction/details/34?r=516" TargetMode="External"/><Relationship Id="rId469" Type="http://schemas.openxmlformats.org/officeDocument/2006/relationships/hyperlink" Target="https://auction.ikco.ir/auction/details/34?r=253" TargetMode="External"/><Relationship Id="rId676" Type="http://schemas.openxmlformats.org/officeDocument/2006/relationships/hyperlink" Target="javascript:void(0)" TargetMode="External"/><Relationship Id="rId883" Type="http://schemas.openxmlformats.org/officeDocument/2006/relationships/hyperlink" Target="javascript:void(0)" TargetMode="External"/><Relationship Id="rId1099" Type="http://schemas.openxmlformats.org/officeDocument/2006/relationships/hyperlink" Target="https://auction.ikco.ir/auction/details/34?r=373" TargetMode="External"/><Relationship Id="rId1527" Type="http://schemas.openxmlformats.org/officeDocument/2006/relationships/hyperlink" Target="https://auction.ikco.ir/auction/details/34?r=191" TargetMode="External"/><Relationship Id="rId26" Type="http://schemas.openxmlformats.org/officeDocument/2006/relationships/hyperlink" Target="https://auction.ikco.ir/auction/details/34?r=480" TargetMode="External"/><Relationship Id="rId231" Type="http://schemas.openxmlformats.org/officeDocument/2006/relationships/hyperlink" Target="javascript:void(0)" TargetMode="External"/><Relationship Id="rId329" Type="http://schemas.openxmlformats.org/officeDocument/2006/relationships/hyperlink" Target="javascript:void(0)" TargetMode="External"/><Relationship Id="rId536" Type="http://schemas.openxmlformats.org/officeDocument/2006/relationships/hyperlink" Target="javascript:void(0)" TargetMode="External"/><Relationship Id="rId1166" Type="http://schemas.openxmlformats.org/officeDocument/2006/relationships/hyperlink" Target="https://auction.ikco.ir/auction/details/34?r=405" TargetMode="External"/><Relationship Id="rId1373" Type="http://schemas.openxmlformats.org/officeDocument/2006/relationships/hyperlink" Target="javascript:void(0)" TargetMode="External"/><Relationship Id="rId175" Type="http://schemas.openxmlformats.org/officeDocument/2006/relationships/hyperlink" Target="https://auction.ikco.ir/auction/details/34?r=422" TargetMode="External"/><Relationship Id="rId743" Type="http://schemas.openxmlformats.org/officeDocument/2006/relationships/hyperlink" Target="https://auction.ikco.ir/auction/details/34?r=190" TargetMode="External"/><Relationship Id="rId950" Type="http://schemas.openxmlformats.org/officeDocument/2006/relationships/hyperlink" Target="https://auction.ikco.ir/auction/details/34?r=397" TargetMode="External"/><Relationship Id="rId1026" Type="http://schemas.openxmlformats.org/officeDocument/2006/relationships/hyperlink" Target="javascript:void(0)" TargetMode="External"/><Relationship Id="rId1580" Type="http://schemas.openxmlformats.org/officeDocument/2006/relationships/hyperlink" Target="javascript:void(0)" TargetMode="External"/><Relationship Id="rId1678" Type="http://schemas.openxmlformats.org/officeDocument/2006/relationships/hyperlink" Target="javascript:void(0)" TargetMode="External"/><Relationship Id="rId382" Type="http://schemas.openxmlformats.org/officeDocument/2006/relationships/hyperlink" Target="https://auction.ikco.ir/auction/details/34?r=465" TargetMode="External"/><Relationship Id="rId603" Type="http://schemas.openxmlformats.org/officeDocument/2006/relationships/hyperlink" Target="javascript:void(0)" TargetMode="External"/><Relationship Id="rId687" Type="http://schemas.openxmlformats.org/officeDocument/2006/relationships/hyperlink" Target="javascript:void(0)" TargetMode="External"/><Relationship Id="rId810" Type="http://schemas.openxmlformats.org/officeDocument/2006/relationships/hyperlink" Target="https://auction.ikco.ir/auction/details/34?r=102" TargetMode="External"/><Relationship Id="rId908" Type="http://schemas.openxmlformats.org/officeDocument/2006/relationships/hyperlink" Target="https://auction.ikco.ir/auction/details/34?r=5" TargetMode="External"/><Relationship Id="rId1233" Type="http://schemas.openxmlformats.org/officeDocument/2006/relationships/hyperlink" Target="javascript:void(0)" TargetMode="External"/><Relationship Id="rId1440" Type="http://schemas.openxmlformats.org/officeDocument/2006/relationships/hyperlink" Target="https://auction.ikco.ir/auction/details/34?r=365" TargetMode="External"/><Relationship Id="rId1538" Type="http://schemas.openxmlformats.org/officeDocument/2006/relationships/hyperlink" Target="javascript:void(0)" TargetMode="External"/><Relationship Id="rId242" Type="http://schemas.openxmlformats.org/officeDocument/2006/relationships/hyperlink" Target="https://auction.ikco.ir/auction/details/34?r=414" TargetMode="External"/><Relationship Id="rId894" Type="http://schemas.openxmlformats.org/officeDocument/2006/relationships/hyperlink" Target="https://auction.ikco.ir/auction/details/34?r=214" TargetMode="External"/><Relationship Id="rId1177" Type="http://schemas.openxmlformats.org/officeDocument/2006/relationships/hyperlink" Target="https://auction.ikco.ir/auction/details/34?r=75" TargetMode="External"/><Relationship Id="rId1300" Type="http://schemas.openxmlformats.org/officeDocument/2006/relationships/hyperlink" Target="https://auction.ikco.ir/auction/details/34?r=203" TargetMode="External"/><Relationship Id="rId37" Type="http://schemas.openxmlformats.org/officeDocument/2006/relationships/hyperlink" Target="https://auction.ikco.ir/auction/details/34?r=527" TargetMode="External"/><Relationship Id="rId102" Type="http://schemas.openxmlformats.org/officeDocument/2006/relationships/hyperlink" Target="javascript:void(0)" TargetMode="External"/><Relationship Id="rId547" Type="http://schemas.openxmlformats.org/officeDocument/2006/relationships/hyperlink" Target="https://auction.ikco.ir/auction/details/34?r=369" TargetMode="External"/><Relationship Id="rId754" Type="http://schemas.openxmlformats.org/officeDocument/2006/relationships/hyperlink" Target="javascript:void(0)" TargetMode="External"/><Relationship Id="rId961" Type="http://schemas.openxmlformats.org/officeDocument/2006/relationships/hyperlink" Target="javascript:void(0)" TargetMode="External"/><Relationship Id="rId1384" Type="http://schemas.openxmlformats.org/officeDocument/2006/relationships/hyperlink" Target="https://auction.ikco.ir/auction/details/34?r=52" TargetMode="External"/><Relationship Id="rId1591" Type="http://schemas.openxmlformats.org/officeDocument/2006/relationships/hyperlink" Target="https://auction.ikco.ir/auction/details/34?r=331" TargetMode="External"/><Relationship Id="rId1605" Type="http://schemas.openxmlformats.org/officeDocument/2006/relationships/hyperlink" Target="https://auction.ikco.ir/auction/details/34?r=248" TargetMode="External"/><Relationship Id="rId90" Type="http://schemas.openxmlformats.org/officeDocument/2006/relationships/hyperlink" Target="javascript:void(0)" TargetMode="External"/><Relationship Id="rId186" Type="http://schemas.openxmlformats.org/officeDocument/2006/relationships/hyperlink" Target="javascript:void(0)" TargetMode="External"/><Relationship Id="rId393" Type="http://schemas.openxmlformats.org/officeDocument/2006/relationships/hyperlink" Target="https://auction.ikco.ir/auction/details/34?r=505" TargetMode="External"/><Relationship Id="rId407" Type="http://schemas.openxmlformats.org/officeDocument/2006/relationships/hyperlink" Target="javascript:void(0)" TargetMode="External"/><Relationship Id="rId614" Type="http://schemas.openxmlformats.org/officeDocument/2006/relationships/hyperlink" Target="javascript:void(0)" TargetMode="External"/><Relationship Id="rId821" Type="http://schemas.openxmlformats.org/officeDocument/2006/relationships/hyperlink" Target="https://auction.ikco.ir/auction/details/34?r=151" TargetMode="External"/><Relationship Id="rId1037" Type="http://schemas.openxmlformats.org/officeDocument/2006/relationships/hyperlink" Target="https://auction.ikco.ir/auction/details/34?r=222" TargetMode="External"/><Relationship Id="rId1244" Type="http://schemas.openxmlformats.org/officeDocument/2006/relationships/hyperlink" Target="https://auction.ikco.ir/auction/details/34?r=35" TargetMode="External"/><Relationship Id="rId1451" Type="http://schemas.openxmlformats.org/officeDocument/2006/relationships/hyperlink" Target="javascript:void(0)" TargetMode="External"/><Relationship Id="rId253" Type="http://schemas.openxmlformats.org/officeDocument/2006/relationships/hyperlink" Target="https://auction.ikco.ir/auction/details/34?r=400" TargetMode="External"/><Relationship Id="rId460" Type="http://schemas.openxmlformats.org/officeDocument/2006/relationships/hyperlink" Target="https://auction.ikco.ir/auction/details/34?r=358" TargetMode="External"/><Relationship Id="rId698" Type="http://schemas.openxmlformats.org/officeDocument/2006/relationships/hyperlink" Target="https://auction.ikco.ir/auction/details/34?r=4" TargetMode="External"/><Relationship Id="rId919" Type="http://schemas.openxmlformats.org/officeDocument/2006/relationships/hyperlink" Target="javascript:void(0)" TargetMode="External"/><Relationship Id="rId1090" Type="http://schemas.openxmlformats.org/officeDocument/2006/relationships/hyperlink" Target="https://auction.ikco.ir/auction/details/34?r=299" TargetMode="External"/><Relationship Id="rId1104" Type="http://schemas.openxmlformats.org/officeDocument/2006/relationships/hyperlink" Target="javascript:void(0)" TargetMode="External"/><Relationship Id="rId1311" Type="http://schemas.openxmlformats.org/officeDocument/2006/relationships/hyperlink" Target="https://auction.ikco.ir/auction/details/34?r=389" TargetMode="External"/><Relationship Id="rId1549" Type="http://schemas.openxmlformats.org/officeDocument/2006/relationships/hyperlink" Target="https://auction.ikco.ir/auction/details/34?r=167" TargetMode="External"/><Relationship Id="rId48" Type="http://schemas.openxmlformats.org/officeDocument/2006/relationships/hyperlink" Target="javascript:void(0)" TargetMode="External"/><Relationship Id="rId113" Type="http://schemas.openxmlformats.org/officeDocument/2006/relationships/hyperlink" Target="https://auction.ikco.ir/auction/details/34?r=429" TargetMode="External"/><Relationship Id="rId320" Type="http://schemas.openxmlformats.org/officeDocument/2006/relationships/hyperlink" Target="javascript:void(0)" TargetMode="External"/><Relationship Id="rId558" Type="http://schemas.openxmlformats.org/officeDocument/2006/relationships/hyperlink" Target="https://auction.ikco.ir/auction/details/34?r=323" TargetMode="External"/><Relationship Id="rId765" Type="http://schemas.openxmlformats.org/officeDocument/2006/relationships/hyperlink" Target="https://auction.ikco.ir/auction/details/34?r=423" TargetMode="External"/><Relationship Id="rId972" Type="http://schemas.openxmlformats.org/officeDocument/2006/relationships/hyperlink" Target="https://auction.ikco.ir/auction/details/34?r=162" TargetMode="External"/><Relationship Id="rId1188" Type="http://schemas.openxmlformats.org/officeDocument/2006/relationships/hyperlink" Target="javascript:void(0)" TargetMode="External"/><Relationship Id="rId1395" Type="http://schemas.openxmlformats.org/officeDocument/2006/relationships/hyperlink" Target="https://auction.ikco.ir/auction/details/34?r=160" TargetMode="External"/><Relationship Id="rId1409" Type="http://schemas.openxmlformats.org/officeDocument/2006/relationships/hyperlink" Target="javascript:void(0)" TargetMode="External"/><Relationship Id="rId1616" Type="http://schemas.openxmlformats.org/officeDocument/2006/relationships/hyperlink" Target="https://auction.ikco.ir/auction/details/34?r=393" TargetMode="External"/><Relationship Id="rId197" Type="http://schemas.openxmlformats.org/officeDocument/2006/relationships/hyperlink" Target="https://auction.ikco.ir/auction/details/34?r=487" TargetMode="External"/><Relationship Id="rId418" Type="http://schemas.openxmlformats.org/officeDocument/2006/relationships/hyperlink" Target="https://auction.ikco.ir/auction/details/34?r=66" TargetMode="External"/><Relationship Id="rId625" Type="http://schemas.openxmlformats.org/officeDocument/2006/relationships/hyperlink" Target="javascript:void(0)" TargetMode="External"/><Relationship Id="rId832" Type="http://schemas.openxmlformats.org/officeDocument/2006/relationships/hyperlink" Target="javascript:void(0)" TargetMode="External"/><Relationship Id="rId1048" Type="http://schemas.openxmlformats.org/officeDocument/2006/relationships/hyperlink" Target="https://auction.ikco.ir/auction/details/34?r=15" TargetMode="External"/><Relationship Id="rId1255" Type="http://schemas.openxmlformats.org/officeDocument/2006/relationships/hyperlink" Target="https://auction.ikco.ir/auction/details/34?r=60" TargetMode="External"/><Relationship Id="rId1462" Type="http://schemas.openxmlformats.org/officeDocument/2006/relationships/hyperlink" Target="https://auction.ikco.ir/auction/details/34?r=285" TargetMode="External"/><Relationship Id="rId264" Type="http://schemas.openxmlformats.org/officeDocument/2006/relationships/hyperlink" Target="javascript:void(0)" TargetMode="External"/><Relationship Id="rId471" Type="http://schemas.openxmlformats.org/officeDocument/2006/relationships/hyperlink" Target="https://auction.ikco.ir/auction/details/34?r=326" TargetMode="External"/><Relationship Id="rId1115" Type="http://schemas.openxmlformats.org/officeDocument/2006/relationships/hyperlink" Target="https://auction.ikco.ir/auction/details/34?r=80" TargetMode="External"/><Relationship Id="rId1322" Type="http://schemas.openxmlformats.org/officeDocument/2006/relationships/hyperlink" Target="javascript:void(0)" TargetMode="External"/><Relationship Id="rId59" Type="http://schemas.openxmlformats.org/officeDocument/2006/relationships/hyperlink" Target="https://auction.ikco.ir/auction/details/34?r=478" TargetMode="External"/><Relationship Id="rId124" Type="http://schemas.openxmlformats.org/officeDocument/2006/relationships/hyperlink" Target="https://auction.ikco.ir/auction/details/34?r=453" TargetMode="External"/><Relationship Id="rId569" Type="http://schemas.openxmlformats.org/officeDocument/2006/relationships/hyperlink" Target="javascript:void(0)" TargetMode="External"/><Relationship Id="rId776" Type="http://schemas.openxmlformats.org/officeDocument/2006/relationships/hyperlink" Target="https://auction.ikco.ir/auction/details/34?r=212" TargetMode="External"/><Relationship Id="rId983" Type="http://schemas.openxmlformats.org/officeDocument/2006/relationships/hyperlink" Target="https://auction.ikco.ir/auction/details/34?r=268" TargetMode="External"/><Relationship Id="rId1199" Type="http://schemas.openxmlformats.org/officeDocument/2006/relationships/hyperlink" Target="https://auction.ikco.ir/auction/details/34?r=266" TargetMode="External"/><Relationship Id="rId1627" Type="http://schemas.openxmlformats.org/officeDocument/2006/relationships/hyperlink" Target="javascript:void(0)" TargetMode="External"/><Relationship Id="rId331" Type="http://schemas.openxmlformats.org/officeDocument/2006/relationships/hyperlink" Target="https://auction.ikco.ir/auction/details/34?r=490" TargetMode="External"/><Relationship Id="rId429" Type="http://schemas.openxmlformats.org/officeDocument/2006/relationships/hyperlink" Target="https://auction.ikco.ir/auction/details/34?r=286" TargetMode="External"/><Relationship Id="rId636" Type="http://schemas.openxmlformats.org/officeDocument/2006/relationships/hyperlink" Target="javascript:void(0)" TargetMode="External"/><Relationship Id="rId1059" Type="http://schemas.openxmlformats.org/officeDocument/2006/relationships/hyperlink" Target="javascript:void(0)" TargetMode="External"/><Relationship Id="rId1266" Type="http://schemas.openxmlformats.org/officeDocument/2006/relationships/hyperlink" Target="javascript:void(0)" TargetMode="External"/><Relationship Id="rId1473" Type="http://schemas.openxmlformats.org/officeDocument/2006/relationships/hyperlink" Target="https://auction.ikco.ir/auction/details/34?r=395" TargetMode="External"/><Relationship Id="rId843" Type="http://schemas.openxmlformats.org/officeDocument/2006/relationships/hyperlink" Target="https://auction.ikco.ir/auction/details/34?r=12" TargetMode="External"/><Relationship Id="rId1126" Type="http://schemas.openxmlformats.org/officeDocument/2006/relationships/hyperlink" Target="https://auction.ikco.ir/auction/details/34?r=125" TargetMode="External"/><Relationship Id="rId1680" Type="http://schemas.openxmlformats.org/officeDocument/2006/relationships/hyperlink" Target="https://auction.ikco.ir/auction/details/34?r=481" TargetMode="External"/><Relationship Id="rId275" Type="http://schemas.openxmlformats.org/officeDocument/2006/relationships/hyperlink" Target="https://auction.ikco.ir/auction/details/34?r=317" TargetMode="External"/><Relationship Id="rId482" Type="http://schemas.openxmlformats.org/officeDocument/2006/relationships/hyperlink" Target="javascript:void(0)" TargetMode="External"/><Relationship Id="rId703" Type="http://schemas.openxmlformats.org/officeDocument/2006/relationships/hyperlink" Target="javascript:void(0)" TargetMode="External"/><Relationship Id="rId910" Type="http://schemas.openxmlformats.org/officeDocument/2006/relationships/hyperlink" Target="javascript:void(0)" TargetMode="External"/><Relationship Id="rId1333" Type="http://schemas.openxmlformats.org/officeDocument/2006/relationships/hyperlink" Target="https://auction.ikco.ir/auction/details/34?r=134" TargetMode="External"/><Relationship Id="rId1540" Type="http://schemas.openxmlformats.org/officeDocument/2006/relationships/hyperlink" Target="https://auction.ikco.ir/auction/details/34?r=342" TargetMode="External"/><Relationship Id="rId1638" Type="http://schemas.openxmlformats.org/officeDocument/2006/relationships/hyperlink" Target="https://auction.ikco.ir/auction/details/34?r=428" TargetMode="External"/><Relationship Id="rId135" Type="http://schemas.openxmlformats.org/officeDocument/2006/relationships/hyperlink" Target="javascript:void(0)" TargetMode="External"/><Relationship Id="rId342" Type="http://schemas.openxmlformats.org/officeDocument/2006/relationships/hyperlink" Target="https://auction.ikco.ir/auction/details/34?r=120" TargetMode="External"/><Relationship Id="rId787" Type="http://schemas.openxmlformats.org/officeDocument/2006/relationships/hyperlink" Target="javascript:void(0)" TargetMode="External"/><Relationship Id="rId994" Type="http://schemas.openxmlformats.org/officeDocument/2006/relationships/hyperlink" Target="javascript:void(0)" TargetMode="External"/><Relationship Id="rId1400" Type="http://schemas.openxmlformats.org/officeDocument/2006/relationships/hyperlink" Target="javascript:void(0)" TargetMode="External"/><Relationship Id="rId202" Type="http://schemas.openxmlformats.org/officeDocument/2006/relationships/hyperlink" Target="https://auction.ikco.ir/auction/details/34?r=464" TargetMode="External"/><Relationship Id="rId647" Type="http://schemas.openxmlformats.org/officeDocument/2006/relationships/hyperlink" Target="javascript:void(0)" TargetMode="External"/><Relationship Id="rId854" Type="http://schemas.openxmlformats.org/officeDocument/2006/relationships/hyperlink" Target="https://auction.ikco.ir/auction/details/34?r=156" TargetMode="External"/><Relationship Id="rId1277" Type="http://schemas.openxmlformats.org/officeDocument/2006/relationships/hyperlink" Target="https://auction.ikco.ir/auction/details/34?r=108" TargetMode="External"/><Relationship Id="rId1484" Type="http://schemas.openxmlformats.org/officeDocument/2006/relationships/hyperlink" Target="javascript:void(0)" TargetMode="External"/><Relationship Id="rId286" Type="http://schemas.openxmlformats.org/officeDocument/2006/relationships/hyperlink" Target="https://auction.ikco.ir/auction/details/34?r=251" TargetMode="External"/><Relationship Id="rId493" Type="http://schemas.openxmlformats.org/officeDocument/2006/relationships/hyperlink" Target="https://auction.ikco.ir/auction/details/34?r=497" TargetMode="External"/><Relationship Id="rId507" Type="http://schemas.openxmlformats.org/officeDocument/2006/relationships/hyperlink" Target="https://auction.ikco.ir/auction/details/34?r=315" TargetMode="External"/><Relationship Id="rId714" Type="http://schemas.openxmlformats.org/officeDocument/2006/relationships/hyperlink" Target="https://auction.ikco.ir/auction/details/34?r=305" TargetMode="External"/><Relationship Id="rId921" Type="http://schemas.openxmlformats.org/officeDocument/2006/relationships/hyperlink" Target="https://auction.ikco.ir/auction/details/34?r=117" TargetMode="External"/><Relationship Id="rId1137" Type="http://schemas.openxmlformats.org/officeDocument/2006/relationships/hyperlink" Target="javascript:void(0)" TargetMode="External"/><Relationship Id="rId1344" Type="http://schemas.openxmlformats.org/officeDocument/2006/relationships/hyperlink" Target="https://auction.ikco.ir/auction/details/34?r=207" TargetMode="External"/><Relationship Id="rId1551" Type="http://schemas.openxmlformats.org/officeDocument/2006/relationships/hyperlink" Target="https://auction.ikco.ir/auction/details/34?r=170" TargetMode="External"/><Relationship Id="rId50" Type="http://schemas.openxmlformats.org/officeDocument/2006/relationships/hyperlink" Target="https://auction.ikco.ir/auction/details/34?r=526" TargetMode="External"/><Relationship Id="rId146" Type="http://schemas.openxmlformats.org/officeDocument/2006/relationships/hyperlink" Target="https://auction.ikco.ir/auction/details/34?r=446" TargetMode="External"/><Relationship Id="rId353" Type="http://schemas.openxmlformats.org/officeDocument/2006/relationships/hyperlink" Target="javascript:void(0)" TargetMode="External"/><Relationship Id="rId560" Type="http://schemas.openxmlformats.org/officeDocument/2006/relationships/hyperlink" Target="javascript:void(0)" TargetMode="External"/><Relationship Id="rId798" Type="http://schemas.openxmlformats.org/officeDocument/2006/relationships/hyperlink" Target="https://auction.ikco.ir/auction/details/34?r=322" TargetMode="External"/><Relationship Id="rId1190" Type="http://schemas.openxmlformats.org/officeDocument/2006/relationships/hyperlink" Target="https://auction.ikco.ir/auction/details/34?r=189" TargetMode="External"/><Relationship Id="rId1204" Type="http://schemas.openxmlformats.org/officeDocument/2006/relationships/hyperlink" Target="https://auction.ikco.ir/auction/details/34?r=297" TargetMode="External"/><Relationship Id="rId1411" Type="http://schemas.openxmlformats.org/officeDocument/2006/relationships/hyperlink" Target="https://auction.ikco.ir/auction/details/34?r=204" TargetMode="External"/><Relationship Id="rId1649" Type="http://schemas.openxmlformats.org/officeDocument/2006/relationships/hyperlink" Target="https://auction.ikco.ir/auction/details/34?r=194" TargetMode="External"/><Relationship Id="rId213" Type="http://schemas.openxmlformats.org/officeDocument/2006/relationships/hyperlink" Target="javascript:void(0)" TargetMode="External"/><Relationship Id="rId420" Type="http://schemas.openxmlformats.org/officeDocument/2006/relationships/hyperlink" Target="https://auction.ikco.ir/auction/details/34?r=346" TargetMode="External"/><Relationship Id="rId658" Type="http://schemas.openxmlformats.org/officeDocument/2006/relationships/hyperlink" Target="javascript:void(0)" TargetMode="External"/><Relationship Id="rId865" Type="http://schemas.openxmlformats.org/officeDocument/2006/relationships/hyperlink" Target="javascript:void(0)" TargetMode="External"/><Relationship Id="rId1050" Type="http://schemas.openxmlformats.org/officeDocument/2006/relationships/hyperlink" Target="javascript:void(0)" TargetMode="External"/><Relationship Id="rId1288" Type="http://schemas.openxmlformats.org/officeDocument/2006/relationships/hyperlink" Target="https://auction.ikco.ir/auction/details/34?r=131" TargetMode="External"/><Relationship Id="rId1495" Type="http://schemas.openxmlformats.org/officeDocument/2006/relationships/hyperlink" Target="https://auction.ikco.ir/auction/details/34?r=94" TargetMode="External"/><Relationship Id="rId1509" Type="http://schemas.openxmlformats.org/officeDocument/2006/relationships/hyperlink" Target="https://auction.ikco.ir/auction/details/34?r=367" TargetMode="External"/><Relationship Id="rId297" Type="http://schemas.openxmlformats.org/officeDocument/2006/relationships/hyperlink" Target="javascript:void(0)" TargetMode="External"/><Relationship Id="rId518" Type="http://schemas.openxmlformats.org/officeDocument/2006/relationships/hyperlink" Target="javascript:void(0)" TargetMode="External"/><Relationship Id="rId725" Type="http://schemas.openxmlformats.org/officeDocument/2006/relationships/hyperlink" Target="https://auction.ikco.ir/auction/details/34?r=18" TargetMode="External"/><Relationship Id="rId932" Type="http://schemas.openxmlformats.org/officeDocument/2006/relationships/hyperlink" Target="https://auction.ikco.ir/auction/details/34?r=188" TargetMode="External"/><Relationship Id="rId1148" Type="http://schemas.openxmlformats.org/officeDocument/2006/relationships/hyperlink" Target="https://auction.ikco.ir/auction/details/34?r=221" TargetMode="External"/><Relationship Id="rId1355" Type="http://schemas.openxmlformats.org/officeDocument/2006/relationships/hyperlink" Target="javascript:void(0)" TargetMode="External"/><Relationship Id="rId1562" Type="http://schemas.openxmlformats.org/officeDocument/2006/relationships/hyperlink" Target="javascript:void(0)" TargetMode="External"/><Relationship Id="rId157" Type="http://schemas.openxmlformats.org/officeDocument/2006/relationships/hyperlink" Target="https://auction.ikco.ir/auction/details/34?r=447" TargetMode="External"/><Relationship Id="rId364" Type="http://schemas.openxmlformats.org/officeDocument/2006/relationships/hyperlink" Target="https://auction.ikco.ir/auction/details/34?r=341" TargetMode="External"/><Relationship Id="rId1008" Type="http://schemas.openxmlformats.org/officeDocument/2006/relationships/hyperlink" Target="javascript:void(0)" TargetMode="External"/><Relationship Id="rId1215" Type="http://schemas.openxmlformats.org/officeDocument/2006/relationships/hyperlink" Target="javascript:void(0)" TargetMode="External"/><Relationship Id="rId1422" Type="http://schemas.openxmlformats.org/officeDocument/2006/relationships/hyperlink" Target="https://auction.ikco.ir/auction/details/34?r=262" TargetMode="External"/><Relationship Id="rId61" Type="http://schemas.openxmlformats.org/officeDocument/2006/relationships/hyperlink" Target="https://auction.ikco.ir/auction/details/34?r=523" TargetMode="External"/><Relationship Id="rId571" Type="http://schemas.openxmlformats.org/officeDocument/2006/relationships/hyperlink" Target="https://auction.ikco.ir/auction/details/34?r=232" TargetMode="External"/><Relationship Id="rId669" Type="http://schemas.openxmlformats.org/officeDocument/2006/relationships/hyperlink" Target="javascript:void(0)" TargetMode="External"/><Relationship Id="rId876" Type="http://schemas.openxmlformats.org/officeDocument/2006/relationships/hyperlink" Target="https://auction.ikco.ir/auction/details/34?r=16" TargetMode="External"/><Relationship Id="rId1299" Type="http://schemas.openxmlformats.org/officeDocument/2006/relationships/hyperlink" Target="https://auction.ikco.ir/auction/details/34?r=203" TargetMode="External"/><Relationship Id="rId19" Type="http://schemas.openxmlformats.org/officeDocument/2006/relationships/hyperlink" Target="https://auction.ikco.ir/auction/details/34?r=510" TargetMode="External"/><Relationship Id="rId224" Type="http://schemas.openxmlformats.org/officeDocument/2006/relationships/hyperlink" Target="https://auction.ikco.ir/auction/details/34?r=424" TargetMode="External"/><Relationship Id="rId431" Type="http://schemas.openxmlformats.org/officeDocument/2006/relationships/hyperlink" Target="javascript:void(0)" TargetMode="External"/><Relationship Id="rId529" Type="http://schemas.openxmlformats.org/officeDocument/2006/relationships/hyperlink" Target="https://auction.ikco.ir/auction/details/34?r=508" TargetMode="External"/><Relationship Id="rId736" Type="http://schemas.openxmlformats.org/officeDocument/2006/relationships/hyperlink" Target="javascript:void(0)" TargetMode="External"/><Relationship Id="rId1061" Type="http://schemas.openxmlformats.org/officeDocument/2006/relationships/hyperlink" Target="https://auction.ikco.ir/auction/details/34?r=97" TargetMode="External"/><Relationship Id="rId1159" Type="http://schemas.openxmlformats.org/officeDocument/2006/relationships/hyperlink" Target="https://auction.ikco.ir/auction/details/34?r=298" TargetMode="External"/><Relationship Id="rId1366" Type="http://schemas.openxmlformats.org/officeDocument/2006/relationships/hyperlink" Target="https://auction.ikco.ir/auction/details/34?r=19" TargetMode="External"/><Relationship Id="rId168" Type="http://schemas.openxmlformats.org/officeDocument/2006/relationships/hyperlink" Target="javascript:void(0)" TargetMode="External"/><Relationship Id="rId943" Type="http://schemas.openxmlformats.org/officeDocument/2006/relationships/hyperlink" Target="javascript:void(0)" TargetMode="External"/><Relationship Id="rId1019" Type="http://schemas.openxmlformats.org/officeDocument/2006/relationships/hyperlink" Target="https://auction.ikco.ir/auction/details/34?r=147" TargetMode="External"/><Relationship Id="rId1573" Type="http://schemas.openxmlformats.org/officeDocument/2006/relationships/hyperlink" Target="https://auction.ikco.ir/auction/details/34?r=374" TargetMode="External"/><Relationship Id="rId72" Type="http://schemas.openxmlformats.org/officeDocument/2006/relationships/hyperlink" Target="javascript:void(0)" TargetMode="External"/><Relationship Id="rId375" Type="http://schemas.openxmlformats.org/officeDocument/2006/relationships/hyperlink" Target="https://auction.ikco.ir/auction/details/34?r=372" TargetMode="External"/><Relationship Id="rId582" Type="http://schemas.openxmlformats.org/officeDocument/2006/relationships/hyperlink" Target="https://auction.ikco.ir/auction/details/34?r=351" TargetMode="External"/><Relationship Id="rId803" Type="http://schemas.openxmlformats.org/officeDocument/2006/relationships/hyperlink" Target="https://auction.ikco.ir/auction/details/34?r=36" TargetMode="External"/><Relationship Id="rId1226" Type="http://schemas.openxmlformats.org/officeDocument/2006/relationships/hyperlink" Target="https://auction.ikco.ir/auction/details/34?r=22" TargetMode="External"/><Relationship Id="rId1433" Type="http://schemas.openxmlformats.org/officeDocument/2006/relationships/hyperlink" Target="javascript:void(0)" TargetMode="External"/><Relationship Id="rId1640" Type="http://schemas.openxmlformats.org/officeDocument/2006/relationships/hyperlink" Target="https://auction.ikco.ir/auction/details/34?r=454" TargetMode="External"/><Relationship Id="rId3" Type="http://schemas.openxmlformats.org/officeDocument/2006/relationships/hyperlink" Target="javascript:void(0)" TargetMode="External"/><Relationship Id="rId235" Type="http://schemas.openxmlformats.org/officeDocument/2006/relationships/hyperlink" Target="https://auction.ikco.ir/auction/details/34?r=448" TargetMode="External"/><Relationship Id="rId442" Type="http://schemas.openxmlformats.org/officeDocument/2006/relationships/hyperlink" Target="https://auction.ikco.ir/auction/details/34?r=319" TargetMode="External"/><Relationship Id="rId887" Type="http://schemas.openxmlformats.org/officeDocument/2006/relationships/hyperlink" Target="https://auction.ikco.ir/auction/details/34?r=104" TargetMode="External"/><Relationship Id="rId1072" Type="http://schemas.openxmlformats.org/officeDocument/2006/relationships/hyperlink" Target="https://auction.ikco.ir/auction/details/34?r=129" TargetMode="External"/><Relationship Id="rId1500" Type="http://schemas.openxmlformats.org/officeDocument/2006/relationships/hyperlink" Target="https://auction.ikco.ir/auction/details/34?r=252" TargetMode="External"/><Relationship Id="rId302" Type="http://schemas.openxmlformats.org/officeDocument/2006/relationships/hyperlink" Target="javascript:void(0)" TargetMode="External"/><Relationship Id="rId747" Type="http://schemas.openxmlformats.org/officeDocument/2006/relationships/hyperlink" Target="https://auction.ikco.ir/auction/details/34?r=192" TargetMode="External"/><Relationship Id="rId954" Type="http://schemas.openxmlformats.org/officeDocument/2006/relationships/hyperlink" Target="https://auction.ikco.ir/auction/details/34?r=509" TargetMode="External"/><Relationship Id="rId1377" Type="http://schemas.openxmlformats.org/officeDocument/2006/relationships/hyperlink" Target="https://auction.ikco.ir/auction/details/34?r=45" TargetMode="External"/><Relationship Id="rId1584" Type="http://schemas.openxmlformats.org/officeDocument/2006/relationships/hyperlink" Target="https://auction.ikco.ir/auction/details/34?r=175" TargetMode="External"/><Relationship Id="rId83" Type="http://schemas.openxmlformats.org/officeDocument/2006/relationships/hyperlink" Target="https://auction.ikco.ir/auction/details/34?r=452" TargetMode="External"/><Relationship Id="rId179" Type="http://schemas.openxmlformats.org/officeDocument/2006/relationships/hyperlink" Target="https://auction.ikco.ir/auction/details/34?r=437" TargetMode="External"/><Relationship Id="rId386" Type="http://schemas.openxmlformats.org/officeDocument/2006/relationships/hyperlink" Target="javascript:void(0)" TargetMode="External"/><Relationship Id="rId593" Type="http://schemas.openxmlformats.org/officeDocument/2006/relationships/hyperlink" Target="javascript:void(0)" TargetMode="External"/><Relationship Id="rId607" Type="http://schemas.openxmlformats.org/officeDocument/2006/relationships/hyperlink" Target="javascript:void(0)" TargetMode="External"/><Relationship Id="rId814" Type="http://schemas.openxmlformats.org/officeDocument/2006/relationships/hyperlink" Target="javascript:void(0)" TargetMode="External"/><Relationship Id="rId1237" Type="http://schemas.openxmlformats.org/officeDocument/2006/relationships/hyperlink" Target="https://auction.ikco.ir/auction/details/34?r=31" TargetMode="External"/><Relationship Id="rId1444" Type="http://schemas.openxmlformats.org/officeDocument/2006/relationships/hyperlink" Target="https://auction.ikco.ir/auction/details/34?r=379" TargetMode="External"/><Relationship Id="rId1651" Type="http://schemas.openxmlformats.org/officeDocument/2006/relationships/hyperlink" Target="javascript:void(0)" TargetMode="External"/><Relationship Id="rId246" Type="http://schemas.openxmlformats.org/officeDocument/2006/relationships/hyperlink" Target="javascript:void(0)" TargetMode="External"/><Relationship Id="rId453" Type="http://schemas.openxmlformats.org/officeDocument/2006/relationships/hyperlink" Target="https://auction.ikco.ir/auction/details/34?r=137" TargetMode="External"/><Relationship Id="rId660" Type="http://schemas.openxmlformats.org/officeDocument/2006/relationships/hyperlink" Target="javascript:void(0)" TargetMode="External"/><Relationship Id="rId898" Type="http://schemas.openxmlformats.org/officeDocument/2006/relationships/hyperlink" Target="javascript:void(0)" TargetMode="External"/><Relationship Id="rId1083" Type="http://schemas.openxmlformats.org/officeDocument/2006/relationships/hyperlink" Target="javascript:void(0)" TargetMode="External"/><Relationship Id="rId1290" Type="http://schemas.openxmlformats.org/officeDocument/2006/relationships/hyperlink" Target="javascript:void(0)" TargetMode="External"/><Relationship Id="rId1304" Type="http://schemas.openxmlformats.org/officeDocument/2006/relationships/hyperlink" Target="javascript:void(0)" TargetMode="External"/><Relationship Id="rId1511" Type="http://schemas.openxmlformats.org/officeDocument/2006/relationships/hyperlink" Target="javascript:void(0)" TargetMode="External"/><Relationship Id="rId106" Type="http://schemas.openxmlformats.org/officeDocument/2006/relationships/hyperlink" Target="https://auction.ikco.ir/auction/details/34?r=440" TargetMode="External"/><Relationship Id="rId313" Type="http://schemas.openxmlformats.org/officeDocument/2006/relationships/hyperlink" Target="https://auction.ikco.ir/auction/details/34?r=378" TargetMode="External"/><Relationship Id="rId758" Type="http://schemas.openxmlformats.org/officeDocument/2006/relationships/hyperlink" Target="https://auction.ikco.ir/auction/details/34?r=321" TargetMode="External"/><Relationship Id="rId965" Type="http://schemas.openxmlformats.org/officeDocument/2006/relationships/hyperlink" Target="https://auction.ikco.ir/auction/details/34?r=63" TargetMode="External"/><Relationship Id="rId1150" Type="http://schemas.openxmlformats.org/officeDocument/2006/relationships/hyperlink" Target="https://auction.ikco.ir/auction/details/34?r=224" TargetMode="External"/><Relationship Id="rId1388" Type="http://schemas.openxmlformats.org/officeDocument/2006/relationships/hyperlink" Target="javascript:void(0)" TargetMode="External"/><Relationship Id="rId1595" Type="http://schemas.openxmlformats.org/officeDocument/2006/relationships/hyperlink" Target="https://auction.ikco.ir/auction/details/34?r=514" TargetMode="External"/><Relationship Id="rId1609" Type="http://schemas.openxmlformats.org/officeDocument/2006/relationships/hyperlink" Target="javascript:void(0)" TargetMode="External"/><Relationship Id="rId10" Type="http://schemas.openxmlformats.org/officeDocument/2006/relationships/hyperlink" Target="https://auction.ikco.ir/auction/details/34?r=413" TargetMode="External"/><Relationship Id="rId94" Type="http://schemas.openxmlformats.org/officeDocument/2006/relationships/hyperlink" Target="https://auction.ikco.ir/auction/details/34?r=433" TargetMode="External"/><Relationship Id="rId397" Type="http://schemas.openxmlformats.org/officeDocument/2006/relationships/hyperlink" Target="https://auction.ikco.ir/auction/details/34?r=290" TargetMode="External"/><Relationship Id="rId520" Type="http://schemas.openxmlformats.org/officeDocument/2006/relationships/hyperlink" Target="https://auction.ikco.ir/auction/details/34?r=294" TargetMode="External"/><Relationship Id="rId618" Type="http://schemas.openxmlformats.org/officeDocument/2006/relationships/hyperlink" Target="javascript:void(0)" TargetMode="External"/><Relationship Id="rId825" Type="http://schemas.openxmlformats.org/officeDocument/2006/relationships/hyperlink" Target="https://auction.ikco.ir/auction/details/34?r=155" TargetMode="External"/><Relationship Id="rId1248" Type="http://schemas.openxmlformats.org/officeDocument/2006/relationships/hyperlink" Target="javascript:void(0)" TargetMode="External"/><Relationship Id="rId1455" Type="http://schemas.openxmlformats.org/officeDocument/2006/relationships/hyperlink" Target="https://auction.ikco.ir/auction/details/34?r=118" TargetMode="External"/><Relationship Id="rId1662" Type="http://schemas.openxmlformats.org/officeDocument/2006/relationships/hyperlink" Target="https://auction.ikco.ir/auction/details/34?r=265" TargetMode="External"/><Relationship Id="rId257" Type="http://schemas.openxmlformats.org/officeDocument/2006/relationships/hyperlink" Target="https://auction.ikco.ir/auction/details/34?r=466" TargetMode="External"/><Relationship Id="rId464" Type="http://schemas.openxmlformats.org/officeDocument/2006/relationships/hyperlink" Target="javascript:void(0)" TargetMode="External"/><Relationship Id="rId1010" Type="http://schemas.openxmlformats.org/officeDocument/2006/relationships/hyperlink" Target="https://auction.ikco.ir/auction/details/34?r=123" TargetMode="External"/><Relationship Id="rId1094" Type="http://schemas.openxmlformats.org/officeDocument/2006/relationships/hyperlink" Target="https://auction.ikco.ir/auction/details/34?r=362" TargetMode="External"/><Relationship Id="rId1108" Type="http://schemas.openxmlformats.org/officeDocument/2006/relationships/hyperlink" Target="https://auction.ikco.ir/auction/details/34?r=40" TargetMode="External"/><Relationship Id="rId1315" Type="http://schemas.openxmlformats.org/officeDocument/2006/relationships/hyperlink" Target="https://auction.ikco.ir/auction/details/34?r=3" TargetMode="External"/><Relationship Id="rId117" Type="http://schemas.openxmlformats.org/officeDocument/2006/relationships/hyperlink" Target="javascript:void(0)" TargetMode="External"/><Relationship Id="rId671" Type="http://schemas.openxmlformats.org/officeDocument/2006/relationships/hyperlink" Target="javascript:void(0)" TargetMode="External"/><Relationship Id="rId769" Type="http://schemas.openxmlformats.org/officeDocument/2006/relationships/hyperlink" Target="javascript:void(0)" TargetMode="External"/><Relationship Id="rId976" Type="http://schemas.openxmlformats.org/officeDocument/2006/relationships/hyperlink" Target="javascript:void(0)" TargetMode="External"/><Relationship Id="rId1399" Type="http://schemas.openxmlformats.org/officeDocument/2006/relationships/hyperlink" Target="https://auction.ikco.ir/auction/details/34?r=164" TargetMode="External"/><Relationship Id="rId324" Type="http://schemas.openxmlformats.org/officeDocument/2006/relationships/hyperlink" Target="https://auction.ikco.ir/auction/details/34?r=512" TargetMode="External"/><Relationship Id="rId531" Type="http://schemas.openxmlformats.org/officeDocument/2006/relationships/hyperlink" Target="https://auction.ikco.ir/auction/details/34?r=247" TargetMode="External"/><Relationship Id="rId629" Type="http://schemas.openxmlformats.org/officeDocument/2006/relationships/hyperlink" Target="javascript:void(0)" TargetMode="External"/><Relationship Id="rId1161" Type="http://schemas.openxmlformats.org/officeDocument/2006/relationships/hyperlink" Target="javascript:void(0)" TargetMode="External"/><Relationship Id="rId1259" Type="http://schemas.openxmlformats.org/officeDocument/2006/relationships/hyperlink" Target="https://auction.ikco.ir/auction/details/34?r=62" TargetMode="External"/><Relationship Id="rId1466" Type="http://schemas.openxmlformats.org/officeDocument/2006/relationships/hyperlink" Target="javascript:void(0)" TargetMode="External"/><Relationship Id="rId836" Type="http://schemas.openxmlformats.org/officeDocument/2006/relationships/hyperlink" Target="https://auction.ikco.ir/auction/details/34?r=280" TargetMode="External"/><Relationship Id="rId1021" Type="http://schemas.openxmlformats.org/officeDocument/2006/relationships/hyperlink" Target="https://auction.ikco.ir/auction/details/34?r=181" TargetMode="External"/><Relationship Id="rId1119" Type="http://schemas.openxmlformats.org/officeDocument/2006/relationships/hyperlink" Target="javascript:void(0)" TargetMode="External"/><Relationship Id="rId1673" Type="http://schemas.openxmlformats.org/officeDocument/2006/relationships/hyperlink" Target="https://auction.ikco.ir/auction/details/34?r=425" TargetMode="External"/><Relationship Id="rId903" Type="http://schemas.openxmlformats.org/officeDocument/2006/relationships/hyperlink" Target="https://auction.ikco.ir/auction/details/34?r=338" TargetMode="External"/><Relationship Id="rId1326" Type="http://schemas.openxmlformats.org/officeDocument/2006/relationships/hyperlink" Target="https://auction.ikco.ir/auction/details/34?r=112" TargetMode="External"/><Relationship Id="rId1533" Type="http://schemas.openxmlformats.org/officeDocument/2006/relationships/hyperlink" Target="https://auction.ikco.ir/auction/details/34?r=274" TargetMode="External"/><Relationship Id="rId32" Type="http://schemas.openxmlformats.org/officeDocument/2006/relationships/hyperlink" Target="https://auction.ikco.ir/auction/details/34?r=529" TargetMode="External"/><Relationship Id="rId1600" Type="http://schemas.openxmlformats.org/officeDocument/2006/relationships/hyperlink" Target="javascript:void(0)" TargetMode="External"/><Relationship Id="rId181" Type="http://schemas.openxmlformats.org/officeDocument/2006/relationships/hyperlink" Target="https://auction.ikco.ir/auction/details/34?r=470" TargetMode="External"/><Relationship Id="rId279" Type="http://schemas.openxmlformats.org/officeDocument/2006/relationships/hyperlink" Target="javascript:void(0)" TargetMode="External"/><Relationship Id="rId486" Type="http://schemas.openxmlformats.org/officeDocument/2006/relationships/hyperlink" Target="https://auction.ikco.ir/auction/details/34?r=504" TargetMode="External"/><Relationship Id="rId693" Type="http://schemas.openxmlformats.org/officeDocument/2006/relationships/hyperlink" Target="javascript:void(0)" TargetMode="External"/><Relationship Id="rId139" Type="http://schemas.openxmlformats.org/officeDocument/2006/relationships/hyperlink" Target="https://auction.ikco.ir/auction/details/34?r=472" TargetMode="External"/><Relationship Id="rId346" Type="http://schemas.openxmlformats.org/officeDocument/2006/relationships/hyperlink" Target="https://auction.ikco.ir/auction/details/34?r=318" TargetMode="External"/><Relationship Id="rId553" Type="http://schemas.openxmlformats.org/officeDocument/2006/relationships/hyperlink" Target="https://auction.ikco.ir/auction/details/34?r=180" TargetMode="External"/><Relationship Id="rId760" Type="http://schemas.openxmlformats.org/officeDocument/2006/relationships/hyperlink" Target="javascript:void(0)" TargetMode="External"/><Relationship Id="rId998" Type="http://schemas.openxmlformats.org/officeDocument/2006/relationships/hyperlink" Target="https://auction.ikco.ir/auction/details/34?r=81" TargetMode="External"/><Relationship Id="rId1183" Type="http://schemas.openxmlformats.org/officeDocument/2006/relationships/hyperlink" Target="https://auction.ikco.ir/auction/details/34?r=113" TargetMode="External"/><Relationship Id="rId1390" Type="http://schemas.openxmlformats.org/officeDocument/2006/relationships/hyperlink" Target="https://auction.ikco.ir/auction/details/34?r=121" TargetMode="External"/><Relationship Id="rId206" Type="http://schemas.openxmlformats.org/officeDocument/2006/relationships/hyperlink" Target="https://auction.ikco.ir/auction/details/34?r=463" TargetMode="External"/><Relationship Id="rId413" Type="http://schemas.openxmlformats.org/officeDocument/2006/relationships/hyperlink" Target="javascript:void(0)" TargetMode="External"/><Relationship Id="rId858" Type="http://schemas.openxmlformats.org/officeDocument/2006/relationships/hyperlink" Target="https://auction.ikco.ir/auction/details/34?r=182" TargetMode="External"/><Relationship Id="rId1043" Type="http://schemas.openxmlformats.org/officeDocument/2006/relationships/hyperlink" Target="https://auction.ikco.ir/auction/details/34?r=353" TargetMode="External"/><Relationship Id="rId1488" Type="http://schemas.openxmlformats.org/officeDocument/2006/relationships/hyperlink" Target="https://auction.ikco.ir/auction/details/34?r=55" TargetMode="External"/><Relationship Id="rId620" Type="http://schemas.openxmlformats.org/officeDocument/2006/relationships/hyperlink" Target="javascript:void(0)" TargetMode="External"/><Relationship Id="rId718" Type="http://schemas.openxmlformats.org/officeDocument/2006/relationships/hyperlink" Target="javascript:void(0)" TargetMode="External"/><Relationship Id="rId925" Type="http://schemas.openxmlformats.org/officeDocument/2006/relationships/hyperlink" Target="javascript:void(0)" TargetMode="External"/><Relationship Id="rId1250" Type="http://schemas.openxmlformats.org/officeDocument/2006/relationships/hyperlink" Target="https://auction.ikco.ir/auction/details/34?r=39" TargetMode="External"/><Relationship Id="rId1348" Type="http://schemas.openxmlformats.org/officeDocument/2006/relationships/hyperlink" Target="https://auction.ikco.ir/auction/details/34?r=227" TargetMode="External"/><Relationship Id="rId1555" Type="http://schemas.openxmlformats.org/officeDocument/2006/relationships/hyperlink" Target="https://auction.ikco.ir/auction/details/34?r=242" TargetMode="External"/><Relationship Id="rId1110" Type="http://schemas.openxmlformats.org/officeDocument/2006/relationships/hyperlink" Target="javascript:void(0)" TargetMode="External"/><Relationship Id="rId1208" Type="http://schemas.openxmlformats.org/officeDocument/2006/relationships/hyperlink" Target="https://auction.ikco.ir/auction/details/34?r=304" TargetMode="External"/><Relationship Id="rId1415" Type="http://schemas.openxmlformats.org/officeDocument/2006/relationships/hyperlink" Target="javascript:void(0)" TargetMode="External"/><Relationship Id="rId54" Type="http://schemas.openxmlformats.org/officeDocument/2006/relationships/hyperlink" Target="javascript:void(0)" TargetMode="External"/><Relationship Id="rId1622" Type="http://schemas.openxmlformats.org/officeDocument/2006/relationships/hyperlink" Target="https://auction.ikco.ir/auction/details/34?r=271" TargetMode="External"/><Relationship Id="rId270" Type="http://schemas.openxmlformats.org/officeDocument/2006/relationships/hyperlink" Target="javascript:void(0)" TargetMode="External"/><Relationship Id="rId130" Type="http://schemas.openxmlformats.org/officeDocument/2006/relationships/hyperlink" Target="https://auction.ikco.ir/auction/details/34?r=439" TargetMode="External"/><Relationship Id="rId368" Type="http://schemas.openxmlformats.org/officeDocument/2006/relationships/hyperlink" Target="javascript:void(0)" TargetMode="External"/><Relationship Id="rId575" Type="http://schemas.openxmlformats.org/officeDocument/2006/relationships/hyperlink" Target="javascript:void(0)" TargetMode="External"/><Relationship Id="rId782" Type="http://schemas.openxmlformats.org/officeDocument/2006/relationships/hyperlink" Target="https://auction.ikco.ir/auction/details/34?r=72" TargetMode="External"/><Relationship Id="rId228" Type="http://schemas.openxmlformats.org/officeDocument/2006/relationships/hyperlink" Target="javascript:void(0)" TargetMode="External"/><Relationship Id="rId435" Type="http://schemas.openxmlformats.org/officeDocument/2006/relationships/hyperlink" Target="https://auction.ikco.ir/auction/details/34?r=61" TargetMode="External"/><Relationship Id="rId642" Type="http://schemas.openxmlformats.org/officeDocument/2006/relationships/hyperlink" Target="javascript:void(0)" TargetMode="External"/><Relationship Id="rId1065" Type="http://schemas.openxmlformats.org/officeDocument/2006/relationships/hyperlink" Target="javascript:void(0)" TargetMode="External"/><Relationship Id="rId1272" Type="http://schemas.openxmlformats.org/officeDocument/2006/relationships/hyperlink" Target="javascript:void(0)" TargetMode="External"/><Relationship Id="rId502" Type="http://schemas.openxmlformats.org/officeDocument/2006/relationships/hyperlink" Target="https://auction.ikco.ir/auction/details/34?r=347" TargetMode="External"/><Relationship Id="rId947" Type="http://schemas.openxmlformats.org/officeDocument/2006/relationships/hyperlink" Target="https://auction.ikco.ir/auction/details/34?r=349" TargetMode="External"/><Relationship Id="rId1132" Type="http://schemas.openxmlformats.org/officeDocument/2006/relationships/hyperlink" Target="https://auction.ikco.ir/auction/details/34?r=152" TargetMode="External"/><Relationship Id="rId1577" Type="http://schemas.openxmlformats.org/officeDocument/2006/relationships/hyperlink" Target="javascript:void(0)" TargetMode="External"/><Relationship Id="rId76" Type="http://schemas.openxmlformats.org/officeDocument/2006/relationships/hyperlink" Target="https://auction.ikco.ir/auction/details/34?r=444" TargetMode="External"/><Relationship Id="rId807" Type="http://schemas.openxmlformats.org/officeDocument/2006/relationships/hyperlink" Target="https://auction.ikco.ir/auction/details/34?r=44" TargetMode="External"/><Relationship Id="rId1437" Type="http://schemas.openxmlformats.org/officeDocument/2006/relationships/hyperlink" Target="https://auction.ikco.ir/auction/details/34?r=356" TargetMode="External"/><Relationship Id="rId1644" Type="http://schemas.openxmlformats.org/officeDocument/2006/relationships/hyperlink" Target="https://auction.ikco.ir/auction/details/34?r=456" TargetMode="External"/><Relationship Id="rId1504" Type="http://schemas.openxmlformats.org/officeDocument/2006/relationships/hyperlink" Target="https://auction.ikco.ir/auction/details/34?r=316" TargetMode="External"/><Relationship Id="rId292" Type="http://schemas.openxmlformats.org/officeDocument/2006/relationships/hyperlink" Target="https://auction.ikco.ir/auction/details/34?r=390" TargetMode="External"/><Relationship Id="rId597" Type="http://schemas.openxmlformats.org/officeDocument/2006/relationships/hyperlink" Target="https://auction.ikco.ir/auction/details/34?r=10" TargetMode="External"/><Relationship Id="rId152" Type="http://schemas.openxmlformats.org/officeDocument/2006/relationships/hyperlink" Target="https://auction.ikco.ir/auction/details/34?r=436" TargetMode="External"/><Relationship Id="rId457" Type="http://schemas.openxmlformats.org/officeDocument/2006/relationships/hyperlink" Target="https://auction.ikco.ir/auction/details/34?r=350" TargetMode="External"/><Relationship Id="rId1087" Type="http://schemas.openxmlformats.org/officeDocument/2006/relationships/hyperlink" Target="https://auction.ikco.ir/auction/details/34?r=223" TargetMode="External"/><Relationship Id="rId1294" Type="http://schemas.openxmlformats.org/officeDocument/2006/relationships/hyperlink" Target="https://auction.ikco.ir/auction/details/34?r=141" TargetMode="External"/><Relationship Id="rId664" Type="http://schemas.openxmlformats.org/officeDocument/2006/relationships/hyperlink" Target="javascript:void(0)" TargetMode="External"/><Relationship Id="rId871" Type="http://schemas.openxmlformats.org/officeDocument/2006/relationships/hyperlink" Target="javascript:void(0)" TargetMode="External"/><Relationship Id="rId969" Type="http://schemas.openxmlformats.org/officeDocument/2006/relationships/hyperlink" Target="https://auction.ikco.ir/auction/details/34?r=76" TargetMode="External"/><Relationship Id="rId1599" Type="http://schemas.openxmlformats.org/officeDocument/2006/relationships/hyperlink" Target="https://auction.ikco.ir/auction/details/34?r=122" TargetMode="External"/><Relationship Id="rId317" Type="http://schemas.openxmlformats.org/officeDocument/2006/relationships/hyperlink" Target="javascript:void(0)" TargetMode="External"/><Relationship Id="rId524" Type="http://schemas.openxmlformats.org/officeDocument/2006/relationships/hyperlink" Target="javascript:void(0)" TargetMode="External"/><Relationship Id="rId731" Type="http://schemas.openxmlformats.org/officeDocument/2006/relationships/hyperlink" Target="https://auction.ikco.ir/auction/details/34?r=67" TargetMode="External"/><Relationship Id="rId1154" Type="http://schemas.openxmlformats.org/officeDocument/2006/relationships/hyperlink" Target="https://auction.ikco.ir/auction/details/34?r=225" TargetMode="External"/><Relationship Id="rId1361" Type="http://schemas.openxmlformats.org/officeDocument/2006/relationships/hyperlink" Target="javascript:void(0)" TargetMode="External"/><Relationship Id="rId1459" Type="http://schemas.openxmlformats.org/officeDocument/2006/relationships/hyperlink" Target="https://auction.ikco.ir/auction/details/34?r=210" TargetMode="External"/><Relationship Id="rId98" Type="http://schemas.openxmlformats.org/officeDocument/2006/relationships/hyperlink" Target="https://auction.ikco.ir/auction/details/34?r=462" TargetMode="External"/><Relationship Id="rId829" Type="http://schemas.openxmlformats.org/officeDocument/2006/relationships/hyperlink" Target="javascript:void(0)" TargetMode="External"/><Relationship Id="rId1014" Type="http://schemas.openxmlformats.org/officeDocument/2006/relationships/hyperlink" Target="javascript:void(0)" TargetMode="External"/><Relationship Id="rId1221" Type="http://schemas.openxmlformats.org/officeDocument/2006/relationships/hyperlink" Target="javascript:void(0)" TargetMode="External"/><Relationship Id="rId1666" Type="http://schemas.openxmlformats.org/officeDocument/2006/relationships/hyperlink" Target="javascript:void(0)" TargetMode="External"/><Relationship Id="rId1319" Type="http://schemas.openxmlformats.org/officeDocument/2006/relationships/hyperlink" Target="javascript:void(0)" TargetMode="External"/><Relationship Id="rId1526" Type="http://schemas.openxmlformats.org/officeDocument/2006/relationships/hyperlink" Target="javascript:void(0)" TargetMode="External"/><Relationship Id="rId25" Type="http://schemas.openxmlformats.org/officeDocument/2006/relationships/hyperlink" Target="https://auction.ikco.ir/auction/details/34?r=480" TargetMode="External"/><Relationship Id="rId174" Type="http://schemas.openxmlformats.org/officeDocument/2006/relationships/hyperlink" Target="javascript:void(0)" TargetMode="External"/><Relationship Id="rId381" Type="http://schemas.openxmlformats.org/officeDocument/2006/relationships/hyperlink" Target="https://auction.ikco.ir/auction/details/34?r=465" TargetMode="External"/><Relationship Id="rId241" Type="http://schemas.openxmlformats.org/officeDocument/2006/relationships/hyperlink" Target="https://auction.ikco.ir/auction/details/34?r=414" TargetMode="External"/><Relationship Id="rId479" Type="http://schemas.openxmlformats.org/officeDocument/2006/relationships/hyperlink" Target="javascript:void(0)" TargetMode="External"/><Relationship Id="rId686" Type="http://schemas.openxmlformats.org/officeDocument/2006/relationships/hyperlink" Target="javascript:void(0)" TargetMode="External"/><Relationship Id="rId893" Type="http://schemas.openxmlformats.org/officeDocument/2006/relationships/hyperlink" Target="https://auction.ikco.ir/auction/details/34?r=214" TargetMode="External"/><Relationship Id="rId339" Type="http://schemas.openxmlformats.org/officeDocument/2006/relationships/hyperlink" Target="https://auction.ikco.ir/auction/details/34?r=249" TargetMode="External"/><Relationship Id="rId546" Type="http://schemas.openxmlformats.org/officeDocument/2006/relationships/hyperlink" Target="https://auction.ikco.ir/auction/details/34?r=369" TargetMode="External"/><Relationship Id="rId753" Type="http://schemas.openxmlformats.org/officeDocument/2006/relationships/hyperlink" Target="https://auction.ikco.ir/auction/details/34?r=279" TargetMode="External"/><Relationship Id="rId1176" Type="http://schemas.openxmlformats.org/officeDocument/2006/relationships/hyperlink" Target="javascript:void(0)" TargetMode="External"/><Relationship Id="rId1383" Type="http://schemas.openxmlformats.org/officeDocument/2006/relationships/hyperlink" Target="https://auction.ikco.ir/auction/details/34?r=52" TargetMode="External"/><Relationship Id="rId101" Type="http://schemas.openxmlformats.org/officeDocument/2006/relationships/hyperlink" Target="https://auction.ikco.ir/auction/details/34?r=435" TargetMode="External"/><Relationship Id="rId406" Type="http://schemas.openxmlformats.org/officeDocument/2006/relationships/hyperlink" Target="https://auction.ikco.ir/auction/details/34?r=459" TargetMode="External"/><Relationship Id="rId960" Type="http://schemas.openxmlformats.org/officeDocument/2006/relationships/hyperlink" Target="https://auction.ikco.ir/auction/details/34?r=51" TargetMode="External"/><Relationship Id="rId1036" Type="http://schemas.openxmlformats.org/officeDocument/2006/relationships/hyperlink" Target="https://auction.ikco.ir/auction/details/34?r=222" TargetMode="External"/><Relationship Id="rId1243" Type="http://schemas.openxmlformats.org/officeDocument/2006/relationships/hyperlink" Target="https://auction.ikco.ir/auction/details/34?r=35" TargetMode="External"/><Relationship Id="rId1590" Type="http://schemas.openxmlformats.org/officeDocument/2006/relationships/hyperlink" Target="https://auction.ikco.ir/auction/details/34?r=331" TargetMode="External"/><Relationship Id="rId613" Type="http://schemas.openxmlformats.org/officeDocument/2006/relationships/hyperlink" Target="javascript:void(0)" TargetMode="External"/><Relationship Id="rId820" Type="http://schemas.openxmlformats.org/officeDocument/2006/relationships/hyperlink" Target="javascript:void(0)" TargetMode="External"/><Relationship Id="rId918" Type="http://schemas.openxmlformats.org/officeDocument/2006/relationships/hyperlink" Target="https://auction.ikco.ir/auction/details/34?r=115" TargetMode="External"/><Relationship Id="rId1450" Type="http://schemas.openxmlformats.org/officeDocument/2006/relationships/hyperlink" Target="https://auction.ikco.ir/auction/details/34?r=78" TargetMode="External"/><Relationship Id="rId1548" Type="http://schemas.openxmlformats.org/officeDocument/2006/relationships/hyperlink" Target="https://auction.ikco.ir/auction/details/34?r=167" TargetMode="External"/><Relationship Id="rId1103" Type="http://schemas.openxmlformats.org/officeDocument/2006/relationships/hyperlink" Target="https://auction.ikco.ir/auction/details/34?r=2" TargetMode="External"/><Relationship Id="rId1310" Type="http://schemas.openxmlformats.org/officeDocument/2006/relationships/hyperlink" Target="javascript:void(0)" TargetMode="External"/><Relationship Id="rId1408" Type="http://schemas.openxmlformats.org/officeDocument/2006/relationships/hyperlink" Target="https://auction.ikco.ir/auction/details/34?r=202" TargetMode="External"/><Relationship Id="rId47" Type="http://schemas.openxmlformats.org/officeDocument/2006/relationships/hyperlink" Target="https://auction.ikco.ir/auction/details/34?r=524" TargetMode="External"/><Relationship Id="rId1615" Type="http://schemas.openxmlformats.org/officeDocument/2006/relationships/hyperlink" Target="javascript:void(0)" TargetMode="External"/><Relationship Id="rId196" Type="http://schemas.openxmlformats.org/officeDocument/2006/relationships/hyperlink" Target="https://auction.ikco.ir/auction/details/34?r=487" TargetMode="External"/><Relationship Id="rId263" Type="http://schemas.openxmlformats.org/officeDocument/2006/relationships/hyperlink" Target="https://auction.ikco.ir/auction/details/34?r=401" TargetMode="External"/><Relationship Id="rId470" Type="http://schemas.openxmlformats.org/officeDocument/2006/relationships/hyperlink" Target="javascript:void(0)" TargetMode="External"/><Relationship Id="rId123" Type="http://schemas.openxmlformats.org/officeDocument/2006/relationships/hyperlink" Target="javascript:void(0)" TargetMode="External"/><Relationship Id="rId330" Type="http://schemas.openxmlformats.org/officeDocument/2006/relationships/hyperlink" Target="https://auction.ikco.ir/auction/details/34?r=490" TargetMode="External"/><Relationship Id="rId568" Type="http://schemas.openxmlformats.org/officeDocument/2006/relationships/hyperlink" Target="https://auction.ikco.ir/auction/details/34?r=258" TargetMode="External"/><Relationship Id="rId775" Type="http://schemas.openxmlformats.org/officeDocument/2006/relationships/hyperlink" Target="javascript:void(0)" TargetMode="External"/><Relationship Id="rId982" Type="http://schemas.openxmlformats.org/officeDocument/2006/relationships/hyperlink" Target="javascript:void(0)" TargetMode="External"/><Relationship Id="rId1198" Type="http://schemas.openxmlformats.org/officeDocument/2006/relationships/hyperlink" Target="https://auction.ikco.ir/auction/details/34?r=266" TargetMode="External"/><Relationship Id="rId428" Type="http://schemas.openxmlformats.org/officeDocument/2006/relationships/hyperlink" Target="javascript:void(0)" TargetMode="External"/><Relationship Id="rId635" Type="http://schemas.openxmlformats.org/officeDocument/2006/relationships/hyperlink" Target="javascript:void(0)" TargetMode="External"/><Relationship Id="rId842" Type="http://schemas.openxmlformats.org/officeDocument/2006/relationships/hyperlink" Target="https://auction.ikco.ir/auction/details/34?r=12" TargetMode="External"/><Relationship Id="rId1058" Type="http://schemas.openxmlformats.org/officeDocument/2006/relationships/hyperlink" Target="https://auction.ikco.ir/auction/details/34?r=86" TargetMode="External"/><Relationship Id="rId1265" Type="http://schemas.openxmlformats.org/officeDocument/2006/relationships/hyperlink" Target="https://auction.ikco.ir/auction/details/34?r=69" TargetMode="External"/><Relationship Id="rId1472" Type="http://schemas.openxmlformats.org/officeDocument/2006/relationships/hyperlink" Target="javascript:void(0)" TargetMode="External"/><Relationship Id="rId702" Type="http://schemas.openxmlformats.org/officeDocument/2006/relationships/hyperlink" Target="https://auction.ikco.ir/auction/details/34?r=308" TargetMode="External"/><Relationship Id="rId1125" Type="http://schemas.openxmlformats.org/officeDocument/2006/relationships/hyperlink" Target="javascript:void(0)" TargetMode="External"/><Relationship Id="rId1332" Type="http://schemas.openxmlformats.org/officeDocument/2006/relationships/hyperlink" Target="https://auction.ikco.ir/auction/details/34?r=134" TargetMode="External"/><Relationship Id="rId69" Type="http://schemas.openxmlformats.org/officeDocument/2006/relationships/hyperlink" Target="javascript:void(0)" TargetMode="External"/><Relationship Id="rId1637" Type="http://schemas.openxmlformats.org/officeDocument/2006/relationships/hyperlink" Target="https://auction.ikco.ir/auction/details/34?r=428" TargetMode="External"/><Relationship Id="rId285" Type="http://schemas.openxmlformats.org/officeDocument/2006/relationships/hyperlink" Target="javascript:void(0)" TargetMode="External"/><Relationship Id="rId492" Type="http://schemas.openxmlformats.org/officeDocument/2006/relationships/hyperlink" Target="https://auction.ikco.ir/auction/details/34?r=497" TargetMode="External"/><Relationship Id="rId797" Type="http://schemas.openxmlformats.org/officeDocument/2006/relationships/hyperlink" Target="https://auction.ikco.ir/auction/details/34?r=322" TargetMode="External"/><Relationship Id="rId145" Type="http://schemas.openxmlformats.org/officeDocument/2006/relationships/hyperlink" Target="https://auction.ikco.ir/auction/details/34?r=446" TargetMode="External"/><Relationship Id="rId352" Type="http://schemas.openxmlformats.org/officeDocument/2006/relationships/hyperlink" Target="https://auction.ikco.ir/auction/details/34?r=296" TargetMode="External"/><Relationship Id="rId1287" Type="http://schemas.openxmlformats.org/officeDocument/2006/relationships/hyperlink" Target="javascript:void(0)" TargetMode="External"/><Relationship Id="rId212" Type="http://schemas.openxmlformats.org/officeDocument/2006/relationships/hyperlink" Target="https://auction.ikco.ir/auction/details/34?r=376" TargetMode="External"/><Relationship Id="rId657" Type="http://schemas.openxmlformats.org/officeDocument/2006/relationships/hyperlink" Target="javascript:void(0)" TargetMode="External"/><Relationship Id="rId864" Type="http://schemas.openxmlformats.org/officeDocument/2006/relationships/hyperlink" Target="https://auction.ikco.ir/auction/details/34?r=196" TargetMode="External"/><Relationship Id="rId1494" Type="http://schemas.openxmlformats.org/officeDocument/2006/relationships/hyperlink" Target="https://auction.ikco.ir/auction/details/34?r=94" TargetMode="External"/><Relationship Id="rId517" Type="http://schemas.openxmlformats.org/officeDocument/2006/relationships/hyperlink" Target="https://auction.ikco.ir/auction/details/34?r=503" TargetMode="External"/><Relationship Id="rId724" Type="http://schemas.openxmlformats.org/officeDocument/2006/relationships/hyperlink" Target="javascript:void(0)" TargetMode="External"/><Relationship Id="rId931" Type="http://schemas.openxmlformats.org/officeDocument/2006/relationships/hyperlink" Target="javascript:void(0)" TargetMode="External"/><Relationship Id="rId1147" Type="http://schemas.openxmlformats.org/officeDocument/2006/relationships/hyperlink" Target="https://auction.ikco.ir/auction/details/34?r=221" TargetMode="External"/><Relationship Id="rId1354" Type="http://schemas.openxmlformats.org/officeDocument/2006/relationships/hyperlink" Target="https://auction.ikco.ir/auction/details/34?r=272" TargetMode="External"/><Relationship Id="rId1561" Type="http://schemas.openxmlformats.org/officeDocument/2006/relationships/hyperlink" Target="https://auction.ikco.ir/auction/details/34?r=264" TargetMode="External"/><Relationship Id="rId60" Type="http://schemas.openxmlformats.org/officeDocument/2006/relationships/hyperlink" Target="javascript:void(0)" TargetMode="External"/><Relationship Id="rId1007" Type="http://schemas.openxmlformats.org/officeDocument/2006/relationships/hyperlink" Target="https://auction.ikco.ir/auction/details/34?r=111" TargetMode="External"/><Relationship Id="rId1214" Type="http://schemas.openxmlformats.org/officeDocument/2006/relationships/hyperlink" Target="https://auction.ikco.ir/auction/details/34?r=333" TargetMode="External"/><Relationship Id="rId1421" Type="http://schemas.openxmlformats.org/officeDocument/2006/relationships/hyperlink" Target="javascript:void(0)" TargetMode="External"/><Relationship Id="rId1659" Type="http://schemas.openxmlformats.org/officeDocument/2006/relationships/hyperlink" Target="https://auction.ikco.ir/auction/details/34?r=85" TargetMode="External"/><Relationship Id="rId1519" Type="http://schemas.openxmlformats.org/officeDocument/2006/relationships/hyperlink" Target="https://auction.ikco.ir/auction/details/34?r=77" TargetMode="External"/><Relationship Id="rId18" Type="http://schemas.openxmlformats.org/officeDocument/2006/relationships/hyperlink" Target="javascript:void(0)" TargetMode="External"/><Relationship Id="rId167" Type="http://schemas.openxmlformats.org/officeDocument/2006/relationships/hyperlink" Target="https://auction.ikco.ir/auction/details/34?r=449" TargetMode="External"/><Relationship Id="rId374" Type="http://schemas.openxmlformats.org/officeDocument/2006/relationships/hyperlink" Target="javascript:void(0)" TargetMode="External"/><Relationship Id="rId581" Type="http://schemas.openxmlformats.org/officeDocument/2006/relationships/hyperlink" Target="javascript:void(0)" TargetMode="External"/><Relationship Id="rId234" Type="http://schemas.openxmlformats.org/officeDocument/2006/relationships/hyperlink" Target="javascript:void(0)" TargetMode="External"/><Relationship Id="rId679" Type="http://schemas.openxmlformats.org/officeDocument/2006/relationships/hyperlink" Target="javascript:void(0)" TargetMode="External"/><Relationship Id="rId886" Type="http://schemas.openxmlformats.org/officeDocument/2006/relationships/hyperlink" Target="javascript:void(0)" TargetMode="External"/><Relationship Id="rId2" Type="http://schemas.openxmlformats.org/officeDocument/2006/relationships/hyperlink" Target="https://auction.ikco.ir/auction/details/34?r=407" TargetMode="External"/><Relationship Id="rId441" Type="http://schemas.openxmlformats.org/officeDocument/2006/relationships/hyperlink" Target="https://auction.ikco.ir/auction/details/34?r=319" TargetMode="External"/><Relationship Id="rId539" Type="http://schemas.openxmlformats.org/officeDocument/2006/relationships/hyperlink" Target="javascript:void(0)" TargetMode="External"/><Relationship Id="rId746" Type="http://schemas.openxmlformats.org/officeDocument/2006/relationships/hyperlink" Target="https://auction.ikco.ir/auction/details/34?r=192" TargetMode="External"/><Relationship Id="rId1071" Type="http://schemas.openxmlformats.org/officeDocument/2006/relationships/hyperlink" Target="javascript:void(0)" TargetMode="External"/><Relationship Id="rId1169" Type="http://schemas.openxmlformats.org/officeDocument/2006/relationships/hyperlink" Target="https://auction.ikco.ir/auction/details/34?r=47" TargetMode="External"/><Relationship Id="rId1376" Type="http://schemas.openxmlformats.org/officeDocument/2006/relationships/hyperlink" Target="javascript:void(0)" TargetMode="External"/><Relationship Id="rId1583" Type="http://schemas.openxmlformats.org/officeDocument/2006/relationships/hyperlink" Target="javascript:void(0)" TargetMode="External"/><Relationship Id="rId301" Type="http://schemas.openxmlformats.org/officeDocument/2006/relationships/hyperlink" Target="https://auction.ikco.ir/auction/details/34?r=261" TargetMode="External"/><Relationship Id="rId953" Type="http://schemas.openxmlformats.org/officeDocument/2006/relationships/hyperlink" Target="https://auction.ikco.ir/auction/details/34?r=509" TargetMode="External"/><Relationship Id="rId1029" Type="http://schemas.openxmlformats.org/officeDocument/2006/relationships/hyperlink" Target="javascript:void(0)" TargetMode="External"/><Relationship Id="rId1236" Type="http://schemas.openxmlformats.org/officeDocument/2006/relationships/hyperlink" Target="javascript:void(0)" TargetMode="External"/><Relationship Id="rId82" Type="http://schemas.openxmlformats.org/officeDocument/2006/relationships/hyperlink" Target="https://auction.ikco.ir/auction/details/34?r=452" TargetMode="External"/><Relationship Id="rId606" Type="http://schemas.openxmlformats.org/officeDocument/2006/relationships/hyperlink" Target="javascript:void(0)" TargetMode="External"/><Relationship Id="rId813" Type="http://schemas.openxmlformats.org/officeDocument/2006/relationships/hyperlink" Target="https://auction.ikco.ir/auction/details/34?r=124" TargetMode="External"/><Relationship Id="rId1443" Type="http://schemas.openxmlformats.org/officeDocument/2006/relationships/hyperlink" Target="https://auction.ikco.ir/auction/details/34?r=379" TargetMode="External"/><Relationship Id="rId1650" Type="http://schemas.openxmlformats.org/officeDocument/2006/relationships/hyperlink" Target="https://auction.ikco.ir/auction/details/34?r=194" TargetMode="External"/><Relationship Id="rId1303" Type="http://schemas.openxmlformats.org/officeDocument/2006/relationships/hyperlink" Target="https://auction.ikco.ir/auction/details/34?r=205" TargetMode="External"/><Relationship Id="rId1510" Type="http://schemas.openxmlformats.org/officeDocument/2006/relationships/hyperlink" Target="https://auction.ikco.ir/auction/details/34?r=367" TargetMode="External"/><Relationship Id="rId1608" Type="http://schemas.openxmlformats.org/officeDocument/2006/relationships/hyperlink" Target="https://auction.ikco.ir/auction/details/34?r=269" TargetMode="External"/><Relationship Id="rId189" Type="http://schemas.openxmlformats.org/officeDocument/2006/relationships/hyperlink" Target="javascript:void(0)" TargetMode="External"/><Relationship Id="rId396" Type="http://schemas.openxmlformats.org/officeDocument/2006/relationships/hyperlink" Target="https://auction.ikco.ir/auction/details/34?r=290" TargetMode="External"/><Relationship Id="rId256" Type="http://schemas.openxmlformats.org/officeDocument/2006/relationships/hyperlink" Target="https://auction.ikco.ir/auction/details/34?r=466" TargetMode="External"/><Relationship Id="rId463" Type="http://schemas.openxmlformats.org/officeDocument/2006/relationships/hyperlink" Target="https://auction.ikco.ir/auction/details/34?r=496" TargetMode="External"/><Relationship Id="rId670" Type="http://schemas.openxmlformats.org/officeDocument/2006/relationships/hyperlink" Target="javascript:void(0)" TargetMode="External"/><Relationship Id="rId1093" Type="http://schemas.openxmlformats.org/officeDocument/2006/relationships/hyperlink" Target="https://auction.ikco.ir/auction/details/34?r=362" TargetMode="External"/><Relationship Id="rId116" Type="http://schemas.openxmlformats.org/officeDocument/2006/relationships/hyperlink" Target="https://auction.ikco.ir/auction/details/34?r=410" TargetMode="External"/><Relationship Id="rId323" Type="http://schemas.openxmlformats.org/officeDocument/2006/relationships/hyperlink" Target="javascript:void(0)" TargetMode="External"/><Relationship Id="rId530" Type="http://schemas.openxmlformats.org/officeDocument/2006/relationships/hyperlink" Target="javascript:void(0)" TargetMode="External"/><Relationship Id="rId768" Type="http://schemas.openxmlformats.org/officeDocument/2006/relationships/hyperlink" Target="https://auction.ikco.ir/auction/details/34?r=17" TargetMode="External"/><Relationship Id="rId975" Type="http://schemas.openxmlformats.org/officeDocument/2006/relationships/hyperlink" Target="https://auction.ikco.ir/auction/details/34?r=213" TargetMode="External"/><Relationship Id="rId1160" Type="http://schemas.openxmlformats.org/officeDocument/2006/relationships/hyperlink" Target="https://auction.ikco.ir/auction/details/34?r=298" TargetMode="External"/><Relationship Id="rId1398" Type="http://schemas.openxmlformats.org/officeDocument/2006/relationships/hyperlink" Target="https://auction.ikco.ir/auction/details/34?r=164" TargetMode="External"/><Relationship Id="rId628" Type="http://schemas.openxmlformats.org/officeDocument/2006/relationships/hyperlink" Target="javascript:void(0)" TargetMode="External"/><Relationship Id="rId835" Type="http://schemas.openxmlformats.org/officeDocument/2006/relationships/hyperlink" Target="javascript:void(0)" TargetMode="External"/><Relationship Id="rId1258" Type="http://schemas.openxmlformats.org/officeDocument/2006/relationships/hyperlink" Target="https://auction.ikco.ir/auction/details/34?r=62" TargetMode="External"/><Relationship Id="rId1465" Type="http://schemas.openxmlformats.org/officeDocument/2006/relationships/hyperlink" Target="https://auction.ikco.ir/auction/details/34?r=344" TargetMode="External"/><Relationship Id="rId1672" Type="http://schemas.openxmlformats.org/officeDocument/2006/relationships/hyperlink" Target="javascript:void(0)" TargetMode="External"/><Relationship Id="rId1020" Type="http://schemas.openxmlformats.org/officeDocument/2006/relationships/hyperlink" Target="javascript:void(0)" TargetMode="External"/><Relationship Id="rId1118" Type="http://schemas.openxmlformats.org/officeDocument/2006/relationships/hyperlink" Target="https://auction.ikco.ir/auction/details/34?r=87" TargetMode="External"/><Relationship Id="rId1325" Type="http://schemas.openxmlformats.org/officeDocument/2006/relationships/hyperlink" Target="javascript:void(0)" TargetMode="External"/><Relationship Id="rId1532" Type="http://schemas.openxmlformats.org/officeDocument/2006/relationships/hyperlink" Target="javascript:void(0)" TargetMode="External"/><Relationship Id="rId902" Type="http://schemas.openxmlformats.org/officeDocument/2006/relationships/hyperlink" Target="https://auction.ikco.ir/auction/details/34?r=338" TargetMode="External"/><Relationship Id="rId31" Type="http://schemas.openxmlformats.org/officeDocument/2006/relationships/hyperlink" Target="https://auction.ikco.ir/auction/details/34?r=529" TargetMode="External"/><Relationship Id="rId180" Type="http://schemas.openxmlformats.org/officeDocument/2006/relationships/hyperlink" Target="javascript:void(0)" TargetMode="External"/><Relationship Id="rId278" Type="http://schemas.openxmlformats.org/officeDocument/2006/relationships/hyperlink" Target="https://auction.ikco.ir/auction/details/34?r=354" TargetMode="External"/><Relationship Id="rId485" Type="http://schemas.openxmlformats.org/officeDocument/2006/relationships/hyperlink" Target="javascript:void(0)" TargetMode="External"/><Relationship Id="rId692" Type="http://schemas.openxmlformats.org/officeDocument/2006/relationships/hyperlink" Target="javascript:void(0)" TargetMode="External"/><Relationship Id="rId138" Type="http://schemas.openxmlformats.org/officeDocument/2006/relationships/hyperlink" Target="javascript:void(0)" TargetMode="External"/><Relationship Id="rId345" Type="http://schemas.openxmlformats.org/officeDocument/2006/relationships/hyperlink" Target="https://auction.ikco.ir/auction/details/34?r=318" TargetMode="External"/><Relationship Id="rId552" Type="http://schemas.openxmlformats.org/officeDocument/2006/relationships/hyperlink" Target="https://auction.ikco.ir/auction/details/34?r=180" TargetMode="External"/><Relationship Id="rId997" Type="http://schemas.openxmlformats.org/officeDocument/2006/relationships/hyperlink" Target="https://auction.ikco.ir/auction/details/34?r=81" TargetMode="External"/><Relationship Id="rId1182" Type="http://schemas.openxmlformats.org/officeDocument/2006/relationships/hyperlink" Target="javascript:void(0)" TargetMode="External"/><Relationship Id="rId205" Type="http://schemas.openxmlformats.org/officeDocument/2006/relationships/hyperlink" Target="https://auction.ikco.ir/auction/details/34?r=463" TargetMode="External"/><Relationship Id="rId412" Type="http://schemas.openxmlformats.org/officeDocument/2006/relationships/hyperlink" Target="https://auction.ikco.ir/auction/details/34?r=498" TargetMode="External"/><Relationship Id="rId857" Type="http://schemas.openxmlformats.org/officeDocument/2006/relationships/hyperlink" Target="https://auction.ikco.ir/auction/details/34?r=182" TargetMode="External"/><Relationship Id="rId1042" Type="http://schemas.openxmlformats.org/officeDocument/2006/relationships/hyperlink" Target="https://auction.ikco.ir/auction/details/34?r=353" TargetMode="External"/><Relationship Id="rId1487" Type="http://schemas.openxmlformats.org/officeDocument/2006/relationships/hyperlink" Target="javascript:void(0)" TargetMode="External"/><Relationship Id="rId717" Type="http://schemas.openxmlformats.org/officeDocument/2006/relationships/hyperlink" Target="https://auction.ikco.ir/auction/details/34?r=84" TargetMode="External"/><Relationship Id="rId924" Type="http://schemas.openxmlformats.org/officeDocument/2006/relationships/hyperlink" Target="https://auction.ikco.ir/auction/details/34?r=126" TargetMode="External"/><Relationship Id="rId1347" Type="http://schemas.openxmlformats.org/officeDocument/2006/relationships/hyperlink" Target="https://auction.ikco.ir/auction/details/34?r=227" TargetMode="External"/><Relationship Id="rId1554" Type="http://schemas.openxmlformats.org/officeDocument/2006/relationships/hyperlink" Target="https://auction.ikco.ir/auction/details/34?r=242" TargetMode="External"/><Relationship Id="rId53" Type="http://schemas.openxmlformats.org/officeDocument/2006/relationships/hyperlink" Target="https://auction.ikco.ir/auction/details/34?r=474" TargetMode="External"/><Relationship Id="rId1207" Type="http://schemas.openxmlformats.org/officeDocument/2006/relationships/hyperlink" Target="https://auction.ikco.ir/auction/details/34?r=304" TargetMode="External"/><Relationship Id="rId1414" Type="http://schemas.openxmlformats.org/officeDocument/2006/relationships/hyperlink" Target="https://auction.ikco.ir/auction/details/34?r=216" TargetMode="External"/><Relationship Id="rId1621" Type="http://schemas.openxmlformats.org/officeDocument/2006/relationships/hyperlink" Target="javascript:void(0)" TargetMode="External"/><Relationship Id="rId367" Type="http://schemas.openxmlformats.org/officeDocument/2006/relationships/hyperlink" Target="https://auction.ikco.ir/auction/details/34?r=345" TargetMode="External"/><Relationship Id="rId574" Type="http://schemas.openxmlformats.org/officeDocument/2006/relationships/hyperlink" Target="https://auction.ikco.ir/auction/details/34?r=119" TargetMode="External"/><Relationship Id="rId227" Type="http://schemas.openxmlformats.org/officeDocument/2006/relationships/hyperlink" Target="https://auction.ikco.ir/auction/details/34?r=450" TargetMode="External"/><Relationship Id="rId781" Type="http://schemas.openxmlformats.org/officeDocument/2006/relationships/hyperlink" Target="javascript:void(0)" TargetMode="External"/><Relationship Id="rId879" Type="http://schemas.openxmlformats.org/officeDocument/2006/relationships/hyperlink" Target="https://auction.ikco.ir/auction/details/34?r=21" TargetMode="External"/><Relationship Id="rId434" Type="http://schemas.openxmlformats.org/officeDocument/2006/relationships/hyperlink" Target="javascript:void(0)" TargetMode="External"/><Relationship Id="rId641" Type="http://schemas.openxmlformats.org/officeDocument/2006/relationships/hyperlink" Target="javascript:void(0)" TargetMode="External"/><Relationship Id="rId739" Type="http://schemas.openxmlformats.org/officeDocument/2006/relationships/hyperlink" Target="javascript:void(0)" TargetMode="External"/><Relationship Id="rId1064" Type="http://schemas.openxmlformats.org/officeDocument/2006/relationships/hyperlink" Target="https://auction.ikco.ir/auction/details/34?r=100" TargetMode="External"/><Relationship Id="rId1271" Type="http://schemas.openxmlformats.org/officeDocument/2006/relationships/hyperlink" Target="https://auction.ikco.ir/auction/details/34?r=96" TargetMode="External"/><Relationship Id="rId1369" Type="http://schemas.openxmlformats.org/officeDocument/2006/relationships/hyperlink" Target="https://auction.ikco.ir/auction/details/34?r=29" TargetMode="External"/><Relationship Id="rId1576" Type="http://schemas.openxmlformats.org/officeDocument/2006/relationships/hyperlink" Target="https://auction.ikco.ir/auction/details/34?r=406" TargetMode="External"/><Relationship Id="rId501" Type="http://schemas.openxmlformats.org/officeDocument/2006/relationships/hyperlink" Target="https://auction.ikco.ir/auction/details/34?r=347" TargetMode="External"/><Relationship Id="rId946" Type="http://schemas.openxmlformats.org/officeDocument/2006/relationships/hyperlink" Target="javascript:void(0)" TargetMode="External"/><Relationship Id="rId1131" Type="http://schemas.openxmlformats.org/officeDocument/2006/relationships/hyperlink" Target="javascript:void(0)" TargetMode="External"/><Relationship Id="rId1229" Type="http://schemas.openxmlformats.org/officeDocument/2006/relationships/hyperlink" Target="https://auction.ikco.ir/auction/details/34?r=24" TargetMode="External"/><Relationship Id="rId75" Type="http://schemas.openxmlformats.org/officeDocument/2006/relationships/hyperlink" Target="javascript:void(0)" TargetMode="External"/><Relationship Id="rId806" Type="http://schemas.openxmlformats.org/officeDocument/2006/relationships/hyperlink" Target="https://auction.ikco.ir/auction/details/34?r=44" TargetMode="External"/><Relationship Id="rId1436" Type="http://schemas.openxmlformats.org/officeDocument/2006/relationships/hyperlink" Target="javascript:void(0)" TargetMode="External"/><Relationship Id="rId1643" Type="http://schemas.openxmlformats.org/officeDocument/2006/relationships/hyperlink" Target="https://auction.ikco.ir/auction/details/34?r=456" TargetMode="External"/><Relationship Id="rId1503" Type="http://schemas.openxmlformats.org/officeDocument/2006/relationships/hyperlink" Target="https://auction.ikco.ir/auction/details/34?r=316" TargetMode="External"/><Relationship Id="rId291" Type="http://schemas.openxmlformats.org/officeDocument/2006/relationships/hyperlink" Target="javascript:void(0)" TargetMode="External"/><Relationship Id="rId151" Type="http://schemas.openxmlformats.org/officeDocument/2006/relationships/hyperlink" Target="https://auction.ikco.ir/auction/details/34?r=436" TargetMode="External"/><Relationship Id="rId389" Type="http://schemas.openxmlformats.org/officeDocument/2006/relationships/hyperlink" Target="javascript:void(0)" TargetMode="External"/><Relationship Id="rId596" Type="http://schemas.openxmlformats.org/officeDocument/2006/relationships/hyperlink" Target="javascript:void(0)" TargetMode="External"/><Relationship Id="rId249" Type="http://schemas.openxmlformats.org/officeDocument/2006/relationships/hyperlink" Target="javascript:void(0)" TargetMode="External"/><Relationship Id="rId456" Type="http://schemas.openxmlformats.org/officeDocument/2006/relationships/hyperlink" Target="https://auction.ikco.ir/auction/details/34?r=350" TargetMode="External"/><Relationship Id="rId663" Type="http://schemas.openxmlformats.org/officeDocument/2006/relationships/hyperlink" Target="javascript:void(0)" TargetMode="External"/><Relationship Id="rId870" Type="http://schemas.openxmlformats.org/officeDocument/2006/relationships/hyperlink" Target="https://auction.ikco.ir/auction/details/34?r=233" TargetMode="External"/><Relationship Id="rId1086" Type="http://schemas.openxmlformats.org/officeDocument/2006/relationships/hyperlink" Target="javascript:void(0)" TargetMode="External"/><Relationship Id="rId1293" Type="http://schemas.openxmlformats.org/officeDocument/2006/relationships/hyperlink" Target="javascript:void(0)" TargetMode="External"/><Relationship Id="rId109" Type="http://schemas.openxmlformats.org/officeDocument/2006/relationships/hyperlink" Target="https://auction.ikco.ir/auction/details/34?r=492" TargetMode="External"/><Relationship Id="rId316" Type="http://schemas.openxmlformats.org/officeDocument/2006/relationships/hyperlink" Target="https://auction.ikco.ir/auction/details/34?r=332" TargetMode="External"/><Relationship Id="rId523" Type="http://schemas.openxmlformats.org/officeDocument/2006/relationships/hyperlink" Target="https://auction.ikco.ir/auction/details/34?r=30" TargetMode="External"/><Relationship Id="rId968" Type="http://schemas.openxmlformats.org/officeDocument/2006/relationships/hyperlink" Target="https://auction.ikco.ir/auction/details/34?r=76" TargetMode="External"/><Relationship Id="rId1153" Type="http://schemas.openxmlformats.org/officeDocument/2006/relationships/hyperlink" Target="https://auction.ikco.ir/auction/details/34?r=225" TargetMode="External"/><Relationship Id="rId1598" Type="http://schemas.openxmlformats.org/officeDocument/2006/relationships/hyperlink" Target="https://auction.ikco.ir/auction/details/34?r=122" TargetMode="External"/><Relationship Id="rId97" Type="http://schemas.openxmlformats.org/officeDocument/2006/relationships/hyperlink" Target="https://auction.ikco.ir/auction/details/34?r=462" TargetMode="External"/><Relationship Id="rId730" Type="http://schemas.openxmlformats.org/officeDocument/2006/relationships/hyperlink" Target="javascript:void(0)" TargetMode="External"/><Relationship Id="rId828" Type="http://schemas.openxmlformats.org/officeDocument/2006/relationships/hyperlink" Target="https://auction.ikco.ir/auction/details/34?r=161" TargetMode="External"/><Relationship Id="rId1013" Type="http://schemas.openxmlformats.org/officeDocument/2006/relationships/hyperlink" Target="https://auction.ikco.ir/auction/details/34?r=144" TargetMode="External"/><Relationship Id="rId1360" Type="http://schemas.openxmlformats.org/officeDocument/2006/relationships/hyperlink" Target="https://auction.ikco.ir/auction/details/34?r=334" TargetMode="External"/><Relationship Id="rId1458" Type="http://schemas.openxmlformats.org/officeDocument/2006/relationships/hyperlink" Target="https://auction.ikco.ir/auction/details/34?r=210" TargetMode="External"/><Relationship Id="rId1665" Type="http://schemas.openxmlformats.org/officeDocument/2006/relationships/hyperlink" Target="https://auction.ikco.ir/auction/details/34?r=515" TargetMode="External"/><Relationship Id="rId1220" Type="http://schemas.openxmlformats.org/officeDocument/2006/relationships/hyperlink" Target="https://auction.ikco.ir/auction/details/34?r=6" TargetMode="External"/><Relationship Id="rId1318" Type="http://schemas.openxmlformats.org/officeDocument/2006/relationships/hyperlink" Target="https://auction.ikco.ir/auction/details/34?r=65" TargetMode="External"/><Relationship Id="rId1525" Type="http://schemas.openxmlformats.org/officeDocument/2006/relationships/hyperlink" Target="https://auction.ikco.ir/auction/details/34?r=171" TargetMode="External"/><Relationship Id="rId24" Type="http://schemas.openxmlformats.org/officeDocument/2006/relationships/hyperlink" Target="javascript:void(0)" TargetMode="External"/><Relationship Id="rId173" Type="http://schemas.openxmlformats.org/officeDocument/2006/relationships/hyperlink" Target="https://auction.ikco.ir/auction/details/34?r=417" TargetMode="External"/><Relationship Id="rId380" Type="http://schemas.openxmlformats.org/officeDocument/2006/relationships/hyperlink" Target="javascript:void(0)" TargetMode="External"/><Relationship Id="rId240" Type="http://schemas.openxmlformats.org/officeDocument/2006/relationships/hyperlink" Target="javascript:void(0)" TargetMode="External"/><Relationship Id="rId478" Type="http://schemas.openxmlformats.org/officeDocument/2006/relationships/hyperlink" Target="https://auction.ikco.ir/auction/details/34?r=502" TargetMode="External"/><Relationship Id="rId685" Type="http://schemas.openxmlformats.org/officeDocument/2006/relationships/hyperlink" Target="javascript:void(0)" TargetMode="External"/><Relationship Id="rId892" Type="http://schemas.openxmlformats.org/officeDocument/2006/relationships/hyperlink" Target="javascript:void(0)" TargetMode="External"/><Relationship Id="rId100" Type="http://schemas.openxmlformats.org/officeDocument/2006/relationships/hyperlink" Target="https://auction.ikco.ir/auction/details/34?r=435" TargetMode="External"/><Relationship Id="rId338" Type="http://schemas.openxmlformats.org/officeDocument/2006/relationships/hyperlink" Target="javascript:void(0)" TargetMode="External"/><Relationship Id="rId545" Type="http://schemas.openxmlformats.org/officeDocument/2006/relationships/hyperlink" Target="javascript:void(0)" TargetMode="External"/><Relationship Id="rId752" Type="http://schemas.openxmlformats.org/officeDocument/2006/relationships/hyperlink" Target="https://auction.ikco.ir/auction/details/34?r=279" TargetMode="External"/><Relationship Id="rId1175" Type="http://schemas.openxmlformats.org/officeDocument/2006/relationships/hyperlink" Target="https://auction.ikco.ir/auction/details/34?r=74" TargetMode="External"/><Relationship Id="rId1382" Type="http://schemas.openxmlformats.org/officeDocument/2006/relationships/hyperlink" Target="javascript:void(0)" TargetMode="External"/><Relationship Id="rId405" Type="http://schemas.openxmlformats.org/officeDocument/2006/relationships/hyperlink" Target="https://auction.ikco.ir/auction/details/34?r=459" TargetMode="External"/><Relationship Id="rId612" Type="http://schemas.openxmlformats.org/officeDocument/2006/relationships/hyperlink" Target="javascript:void(0)" TargetMode="External"/><Relationship Id="rId1035" Type="http://schemas.openxmlformats.org/officeDocument/2006/relationships/hyperlink" Target="javascript:void(0)" TargetMode="External"/><Relationship Id="rId1242" Type="http://schemas.openxmlformats.org/officeDocument/2006/relationships/hyperlink" Target="javascript:void(0)" TargetMode="External"/><Relationship Id="rId1687" Type="http://schemas.openxmlformats.org/officeDocument/2006/relationships/printerSettings" Target="../printerSettings/printerSettings1.bin"/><Relationship Id="rId917" Type="http://schemas.openxmlformats.org/officeDocument/2006/relationships/hyperlink" Target="https://auction.ikco.ir/auction/details/34?r=115" TargetMode="External"/><Relationship Id="rId1102" Type="http://schemas.openxmlformats.org/officeDocument/2006/relationships/hyperlink" Target="https://auction.ikco.ir/auction/details/34?r=2" TargetMode="External"/><Relationship Id="rId1547" Type="http://schemas.openxmlformats.org/officeDocument/2006/relationships/hyperlink" Target="javascript:void(0)" TargetMode="External"/><Relationship Id="rId46" Type="http://schemas.openxmlformats.org/officeDocument/2006/relationships/hyperlink" Target="https://auction.ikco.ir/auction/details/34?r=524" TargetMode="External"/><Relationship Id="rId1407" Type="http://schemas.openxmlformats.org/officeDocument/2006/relationships/hyperlink" Target="https://auction.ikco.ir/auction/details/34?r=202" TargetMode="External"/><Relationship Id="rId1614" Type="http://schemas.openxmlformats.org/officeDocument/2006/relationships/hyperlink" Target="https://auction.ikco.ir/auction/details/34?r=241" TargetMode="External"/><Relationship Id="rId195" Type="http://schemas.openxmlformats.org/officeDocument/2006/relationships/hyperlink" Target="javascript:void(0)" TargetMode="External"/><Relationship Id="rId262" Type="http://schemas.openxmlformats.org/officeDocument/2006/relationships/hyperlink" Target="https://auction.ikco.ir/auction/details/34?r=401" TargetMode="External"/><Relationship Id="rId567" Type="http://schemas.openxmlformats.org/officeDocument/2006/relationships/hyperlink" Target="https://auction.ikco.ir/auction/details/34?r=258" TargetMode="External"/><Relationship Id="rId1197" Type="http://schemas.openxmlformats.org/officeDocument/2006/relationships/hyperlink" Target="javascript:void(0)" TargetMode="External"/><Relationship Id="rId122" Type="http://schemas.openxmlformats.org/officeDocument/2006/relationships/hyperlink" Target="https://auction.ikco.ir/auction/details/34?r=475" TargetMode="External"/><Relationship Id="rId774" Type="http://schemas.openxmlformats.org/officeDocument/2006/relationships/hyperlink" Target="https://auction.ikco.ir/auction/details/34?r=199" TargetMode="External"/><Relationship Id="rId981" Type="http://schemas.openxmlformats.org/officeDocument/2006/relationships/hyperlink" Target="https://auction.ikco.ir/auction/details/34?r=267" TargetMode="External"/><Relationship Id="rId1057" Type="http://schemas.openxmlformats.org/officeDocument/2006/relationships/hyperlink" Target="https://auction.ikco.ir/auction/details/34?r=86" TargetMode="External"/><Relationship Id="rId427" Type="http://schemas.openxmlformats.org/officeDocument/2006/relationships/hyperlink" Target="https://auction.ikco.ir/auction/details/34?r=309" TargetMode="External"/><Relationship Id="rId634" Type="http://schemas.openxmlformats.org/officeDocument/2006/relationships/hyperlink" Target="javascript:void(0)" TargetMode="External"/><Relationship Id="rId841" Type="http://schemas.openxmlformats.org/officeDocument/2006/relationships/hyperlink" Target="javascript:void(0)" TargetMode="External"/><Relationship Id="rId1264" Type="http://schemas.openxmlformats.org/officeDocument/2006/relationships/hyperlink" Target="https://auction.ikco.ir/auction/details/34?r=69" TargetMode="External"/><Relationship Id="rId1471" Type="http://schemas.openxmlformats.org/officeDocument/2006/relationships/hyperlink" Target="https://auction.ikco.ir/auction/details/34?r=392" TargetMode="External"/><Relationship Id="rId1569" Type="http://schemas.openxmlformats.org/officeDocument/2006/relationships/hyperlink" Target="https://auction.ikco.ir/auction/details/34?r=368" TargetMode="External"/><Relationship Id="rId701" Type="http://schemas.openxmlformats.org/officeDocument/2006/relationships/hyperlink" Target="https://auction.ikco.ir/auction/details/34?r=308" TargetMode="External"/><Relationship Id="rId939" Type="http://schemas.openxmlformats.org/officeDocument/2006/relationships/hyperlink" Target="https://auction.ikco.ir/auction/details/34?r=226" TargetMode="External"/><Relationship Id="rId1124" Type="http://schemas.openxmlformats.org/officeDocument/2006/relationships/hyperlink" Target="https://auction.ikco.ir/auction/details/34?r=93" TargetMode="External"/><Relationship Id="rId1331" Type="http://schemas.openxmlformats.org/officeDocument/2006/relationships/hyperlink" Target="javascript:void(0)" TargetMode="External"/><Relationship Id="rId68" Type="http://schemas.openxmlformats.org/officeDocument/2006/relationships/hyperlink" Target="https://auction.ikco.ir/auction/details/34?r=442" TargetMode="External"/><Relationship Id="rId1429" Type="http://schemas.openxmlformats.org/officeDocument/2006/relationships/hyperlink" Target="https://auction.ikco.ir/auction/details/34?r=301" TargetMode="External"/><Relationship Id="rId1636" Type="http://schemas.openxmlformats.org/officeDocument/2006/relationships/hyperlink" Target="javascript:void(0)" TargetMode="External"/><Relationship Id="rId284" Type="http://schemas.openxmlformats.org/officeDocument/2006/relationships/hyperlink" Target="https://auction.ikco.ir/auction/details/34?r=313" TargetMode="External"/><Relationship Id="rId491" Type="http://schemas.openxmlformats.org/officeDocument/2006/relationships/hyperlink" Target="javascript:void(0)" TargetMode="External"/><Relationship Id="rId144" Type="http://schemas.openxmlformats.org/officeDocument/2006/relationships/hyperlink" Target="javascript:void(0)" TargetMode="External"/><Relationship Id="rId589" Type="http://schemas.openxmlformats.org/officeDocument/2006/relationships/hyperlink" Target="https://auction.ikco.ir/auction/details/34?r=235" TargetMode="External"/><Relationship Id="rId796" Type="http://schemas.openxmlformats.org/officeDocument/2006/relationships/hyperlink" Target="javascript:void(0)" TargetMode="External"/><Relationship Id="rId351" Type="http://schemas.openxmlformats.org/officeDocument/2006/relationships/hyperlink" Target="https://auction.ikco.ir/auction/details/34?r=296" TargetMode="External"/><Relationship Id="rId449" Type="http://schemas.openxmlformats.org/officeDocument/2006/relationships/hyperlink" Target="javascript:void(0)" TargetMode="External"/><Relationship Id="rId656" Type="http://schemas.openxmlformats.org/officeDocument/2006/relationships/hyperlink" Target="javascript:void(0)" TargetMode="External"/><Relationship Id="rId863" Type="http://schemas.openxmlformats.org/officeDocument/2006/relationships/hyperlink" Target="https://auction.ikco.ir/auction/details/34?r=196" TargetMode="External"/><Relationship Id="rId1079" Type="http://schemas.openxmlformats.org/officeDocument/2006/relationships/hyperlink" Target="https://auction.ikco.ir/auction/details/34?r=172" TargetMode="External"/><Relationship Id="rId1286" Type="http://schemas.openxmlformats.org/officeDocument/2006/relationships/hyperlink" Target="https://auction.ikco.ir/auction/details/34?r=130" TargetMode="External"/><Relationship Id="rId1493" Type="http://schemas.openxmlformats.org/officeDocument/2006/relationships/hyperlink" Target="javascript:void(0)" TargetMode="External"/><Relationship Id="rId211" Type="http://schemas.openxmlformats.org/officeDocument/2006/relationships/hyperlink" Target="https://auction.ikco.ir/auction/details/34?r=376" TargetMode="External"/><Relationship Id="rId309" Type="http://schemas.openxmlformats.org/officeDocument/2006/relationships/hyperlink" Target="https://auction.ikco.ir/auction/details/34?r=382" TargetMode="External"/><Relationship Id="rId516" Type="http://schemas.openxmlformats.org/officeDocument/2006/relationships/hyperlink" Target="https://auction.ikco.ir/auction/details/34?r=503" TargetMode="External"/><Relationship Id="rId1146" Type="http://schemas.openxmlformats.org/officeDocument/2006/relationships/hyperlink" Target="javascript:void(0)" TargetMode="External"/><Relationship Id="rId723" Type="http://schemas.openxmlformats.org/officeDocument/2006/relationships/hyperlink" Target="https://auction.ikco.ir/auction/details/34?r=11" TargetMode="External"/><Relationship Id="rId930" Type="http://schemas.openxmlformats.org/officeDocument/2006/relationships/hyperlink" Target="https://auction.ikco.ir/auction/details/34?r=159" TargetMode="External"/><Relationship Id="rId1006" Type="http://schemas.openxmlformats.org/officeDocument/2006/relationships/hyperlink" Target="https://auction.ikco.ir/auction/details/34?r=111" TargetMode="External"/><Relationship Id="rId1353" Type="http://schemas.openxmlformats.org/officeDocument/2006/relationships/hyperlink" Target="https://auction.ikco.ir/auction/details/34?r=272" TargetMode="External"/><Relationship Id="rId1560" Type="http://schemas.openxmlformats.org/officeDocument/2006/relationships/hyperlink" Target="https://auction.ikco.ir/auction/details/34?r=264" TargetMode="External"/><Relationship Id="rId1658" Type="http://schemas.openxmlformats.org/officeDocument/2006/relationships/hyperlink" Target="https://auction.ikco.ir/auction/details/34?r=85" TargetMode="External"/><Relationship Id="rId1213" Type="http://schemas.openxmlformats.org/officeDocument/2006/relationships/hyperlink" Target="https://auction.ikco.ir/auction/details/34?r=333" TargetMode="External"/><Relationship Id="rId1420" Type="http://schemas.openxmlformats.org/officeDocument/2006/relationships/hyperlink" Target="https://auction.ikco.ir/auction/details/34?r=229" TargetMode="External"/><Relationship Id="rId1518" Type="http://schemas.openxmlformats.org/officeDocument/2006/relationships/hyperlink" Target="https://auction.ikco.ir/auction/details/34?r=77" TargetMode="External"/><Relationship Id="rId17" Type="http://schemas.openxmlformats.org/officeDocument/2006/relationships/hyperlink" Target="https://auction.ikco.ir/auction/details/34?r=469" TargetMode="External"/><Relationship Id="rId166" Type="http://schemas.openxmlformats.org/officeDocument/2006/relationships/hyperlink" Target="https://auction.ikco.ir/auction/details/34?r=449" TargetMode="External"/><Relationship Id="rId373" Type="http://schemas.openxmlformats.org/officeDocument/2006/relationships/hyperlink" Target="https://auction.ikco.ir/auction/details/34?r=460" TargetMode="External"/><Relationship Id="rId580" Type="http://schemas.openxmlformats.org/officeDocument/2006/relationships/hyperlink" Target="https://auction.ikco.ir/auction/details/34?r=177" TargetMode="External"/><Relationship Id="rId1" Type="http://schemas.openxmlformats.org/officeDocument/2006/relationships/hyperlink" Target="https://auction.ikco.ir/auction/details/34?r=407" TargetMode="External"/><Relationship Id="rId233" Type="http://schemas.openxmlformats.org/officeDocument/2006/relationships/hyperlink" Target="https://auction.ikco.ir/auction/details/34?r=441" TargetMode="External"/><Relationship Id="rId440" Type="http://schemas.openxmlformats.org/officeDocument/2006/relationships/hyperlink" Target="javascript:void(0)" TargetMode="External"/><Relationship Id="rId678" Type="http://schemas.openxmlformats.org/officeDocument/2006/relationships/hyperlink" Target="javascript:void(0)" TargetMode="External"/><Relationship Id="rId885" Type="http://schemas.openxmlformats.org/officeDocument/2006/relationships/hyperlink" Target="https://auction.ikco.ir/auction/details/34?r=79" TargetMode="External"/><Relationship Id="rId1070" Type="http://schemas.openxmlformats.org/officeDocument/2006/relationships/hyperlink" Target="https://auction.ikco.ir/auction/details/34?r=105" TargetMode="External"/><Relationship Id="rId300" Type="http://schemas.openxmlformats.org/officeDocument/2006/relationships/hyperlink" Target="https://auction.ikco.ir/auction/details/34?r=261" TargetMode="External"/><Relationship Id="rId538" Type="http://schemas.openxmlformats.org/officeDocument/2006/relationships/hyperlink" Target="https://auction.ikco.ir/auction/details/34?r=336" TargetMode="External"/><Relationship Id="rId745" Type="http://schemas.openxmlformats.org/officeDocument/2006/relationships/hyperlink" Target="javascript:void(0)" TargetMode="External"/><Relationship Id="rId952" Type="http://schemas.openxmlformats.org/officeDocument/2006/relationships/hyperlink" Target="javascript:void(0)" TargetMode="External"/><Relationship Id="rId1168" Type="http://schemas.openxmlformats.org/officeDocument/2006/relationships/hyperlink" Target="https://auction.ikco.ir/auction/details/34?r=47" TargetMode="External"/><Relationship Id="rId1375" Type="http://schemas.openxmlformats.org/officeDocument/2006/relationships/hyperlink" Target="https://auction.ikco.ir/auction/details/34?r=37" TargetMode="External"/><Relationship Id="rId1582" Type="http://schemas.openxmlformats.org/officeDocument/2006/relationships/hyperlink" Target="https://auction.ikco.ir/auction/details/34?r=83" TargetMode="External"/><Relationship Id="rId81" Type="http://schemas.openxmlformats.org/officeDocument/2006/relationships/hyperlink" Target="javascript:void(0)" TargetMode="External"/><Relationship Id="rId605" Type="http://schemas.openxmlformats.org/officeDocument/2006/relationships/hyperlink" Target="javascript:void(0)" TargetMode="External"/><Relationship Id="rId812" Type="http://schemas.openxmlformats.org/officeDocument/2006/relationships/hyperlink" Target="https://auction.ikco.ir/auction/details/34?r=124" TargetMode="External"/><Relationship Id="rId1028" Type="http://schemas.openxmlformats.org/officeDocument/2006/relationships/hyperlink" Target="https://auction.ikco.ir/auction/details/34?r=211" TargetMode="External"/><Relationship Id="rId1235" Type="http://schemas.openxmlformats.org/officeDocument/2006/relationships/hyperlink" Target="https://auction.ikco.ir/auction/details/34?r=27" TargetMode="External"/><Relationship Id="rId1442" Type="http://schemas.openxmlformats.org/officeDocument/2006/relationships/hyperlink" Target="javascript:void(0)" TargetMode="External"/><Relationship Id="rId1302" Type="http://schemas.openxmlformats.org/officeDocument/2006/relationships/hyperlink" Target="https://auction.ikco.ir/auction/details/34?r=205" TargetMode="External"/><Relationship Id="rId39" Type="http://schemas.openxmlformats.org/officeDocument/2006/relationships/hyperlink" Target="javascript:void(0)" TargetMode="External"/><Relationship Id="rId1607" Type="http://schemas.openxmlformats.org/officeDocument/2006/relationships/hyperlink" Target="https://auction.ikco.ir/auction/details/34?r=269" TargetMode="External"/><Relationship Id="rId188" Type="http://schemas.openxmlformats.org/officeDocument/2006/relationships/hyperlink" Target="https://auction.ikco.ir/auction/details/34?r=228" TargetMode="External"/><Relationship Id="rId395" Type="http://schemas.openxmlformats.org/officeDocument/2006/relationships/hyperlink" Target="javascript:void(0)" TargetMode="External"/><Relationship Id="rId255" Type="http://schemas.openxmlformats.org/officeDocument/2006/relationships/hyperlink" Target="javascript:void(0)" TargetMode="External"/><Relationship Id="rId462" Type="http://schemas.openxmlformats.org/officeDocument/2006/relationships/hyperlink" Target="https://auction.ikco.ir/auction/details/34?r=496" TargetMode="External"/><Relationship Id="rId1092" Type="http://schemas.openxmlformats.org/officeDocument/2006/relationships/hyperlink" Target="javascript:void(0)" TargetMode="External"/><Relationship Id="rId1397" Type="http://schemas.openxmlformats.org/officeDocument/2006/relationships/hyperlink" Target="javascript:void(0)" TargetMode="External"/><Relationship Id="rId115" Type="http://schemas.openxmlformats.org/officeDocument/2006/relationships/hyperlink" Target="https://auction.ikco.ir/auction/details/34?r=410" TargetMode="External"/><Relationship Id="rId322" Type="http://schemas.openxmlformats.org/officeDocument/2006/relationships/hyperlink" Target="https://auction.ikco.ir/auction/details/34?r=311" TargetMode="External"/><Relationship Id="rId767" Type="http://schemas.openxmlformats.org/officeDocument/2006/relationships/hyperlink" Target="https://auction.ikco.ir/auction/details/34?r=17" TargetMode="External"/><Relationship Id="rId974" Type="http://schemas.openxmlformats.org/officeDocument/2006/relationships/hyperlink" Target="https://auction.ikco.ir/auction/details/34?r=213" TargetMode="External"/><Relationship Id="rId627" Type="http://schemas.openxmlformats.org/officeDocument/2006/relationships/hyperlink" Target="javascript:void(0)" TargetMode="External"/><Relationship Id="rId834" Type="http://schemas.openxmlformats.org/officeDocument/2006/relationships/hyperlink" Target="https://auction.ikco.ir/auction/details/34?r=206" TargetMode="External"/><Relationship Id="rId1257" Type="http://schemas.openxmlformats.org/officeDocument/2006/relationships/hyperlink" Target="javascript:void(0)" TargetMode="External"/><Relationship Id="rId1464" Type="http://schemas.openxmlformats.org/officeDocument/2006/relationships/hyperlink" Target="https://auction.ikco.ir/auction/details/34?r=344" TargetMode="External"/><Relationship Id="rId1671" Type="http://schemas.openxmlformats.org/officeDocument/2006/relationships/hyperlink" Target="https://auction.ikco.ir/auction/details/34?r=457" TargetMode="External"/><Relationship Id="rId901" Type="http://schemas.openxmlformats.org/officeDocument/2006/relationships/hyperlink" Target="javascript:void(0)" TargetMode="External"/><Relationship Id="rId1117" Type="http://schemas.openxmlformats.org/officeDocument/2006/relationships/hyperlink" Target="https://auction.ikco.ir/auction/details/34?r=87" TargetMode="External"/><Relationship Id="rId1324" Type="http://schemas.openxmlformats.org/officeDocument/2006/relationships/hyperlink" Target="https://auction.ikco.ir/auction/details/34?r=106" TargetMode="External"/><Relationship Id="rId1531" Type="http://schemas.openxmlformats.org/officeDocument/2006/relationships/hyperlink" Target="https://auction.ikco.ir/auction/details/34?r=259" TargetMode="External"/><Relationship Id="rId30" Type="http://schemas.openxmlformats.org/officeDocument/2006/relationships/hyperlink" Target="javascript:void(0)" TargetMode="External"/><Relationship Id="rId1629" Type="http://schemas.openxmlformats.org/officeDocument/2006/relationships/hyperlink" Target="https://auction.ikco.ir/auction/details/34?r=416" TargetMode="External"/><Relationship Id="rId277" Type="http://schemas.openxmlformats.org/officeDocument/2006/relationships/hyperlink" Target="https://auction.ikco.ir/auction/details/34?r=354" TargetMode="External"/><Relationship Id="rId484" Type="http://schemas.openxmlformats.org/officeDocument/2006/relationships/hyperlink" Target="https://auction.ikco.ir/auction/details/34?r=276" TargetMode="External"/><Relationship Id="rId137" Type="http://schemas.openxmlformats.org/officeDocument/2006/relationships/hyperlink" Target="https://auction.ikco.ir/auction/details/34?r=421" TargetMode="External"/><Relationship Id="rId344" Type="http://schemas.openxmlformats.org/officeDocument/2006/relationships/hyperlink" Target="javascript:void(0)" TargetMode="External"/><Relationship Id="rId691" Type="http://schemas.openxmlformats.org/officeDocument/2006/relationships/hyperlink" Target="javascript:void(0)" TargetMode="External"/><Relationship Id="rId789" Type="http://schemas.openxmlformats.org/officeDocument/2006/relationships/hyperlink" Target="https://auction.ikco.ir/auction/details/34?r=158" TargetMode="External"/><Relationship Id="rId996" Type="http://schemas.openxmlformats.org/officeDocument/2006/relationships/hyperlink" Target="https://auction.ikco.ir/auction/details/34?r=71" TargetMode="External"/><Relationship Id="rId551" Type="http://schemas.openxmlformats.org/officeDocument/2006/relationships/hyperlink" Target="javascript:void(0)" TargetMode="External"/><Relationship Id="rId649" Type="http://schemas.openxmlformats.org/officeDocument/2006/relationships/hyperlink" Target="javascript:void(0)" TargetMode="External"/><Relationship Id="rId856" Type="http://schemas.openxmlformats.org/officeDocument/2006/relationships/hyperlink" Target="javascript:void(0)" TargetMode="External"/><Relationship Id="rId1181" Type="http://schemas.openxmlformats.org/officeDocument/2006/relationships/hyperlink" Target="https://auction.ikco.ir/auction/details/34?r=88" TargetMode="External"/><Relationship Id="rId1279" Type="http://schemas.openxmlformats.org/officeDocument/2006/relationships/hyperlink" Target="https://auction.ikco.ir/auction/details/34?r=116" TargetMode="External"/><Relationship Id="rId1486" Type="http://schemas.openxmlformats.org/officeDocument/2006/relationships/hyperlink" Target="https://auction.ikco.ir/auction/details/34?r=48" TargetMode="External"/><Relationship Id="rId204" Type="http://schemas.openxmlformats.org/officeDocument/2006/relationships/hyperlink" Target="javascript:void(0)" TargetMode="External"/><Relationship Id="rId411" Type="http://schemas.openxmlformats.org/officeDocument/2006/relationships/hyperlink" Target="https://auction.ikco.ir/auction/details/34?r=498" TargetMode="External"/><Relationship Id="rId509" Type="http://schemas.openxmlformats.org/officeDocument/2006/relationships/hyperlink" Target="javascript:void(0)" TargetMode="External"/><Relationship Id="rId1041" Type="http://schemas.openxmlformats.org/officeDocument/2006/relationships/hyperlink" Target="javascript:void(0)" TargetMode="External"/><Relationship Id="rId1139" Type="http://schemas.openxmlformats.org/officeDocument/2006/relationships/hyperlink" Target="https://auction.ikco.ir/auction/details/34?r=178" TargetMode="External"/><Relationship Id="rId1346" Type="http://schemas.openxmlformats.org/officeDocument/2006/relationships/hyperlink" Target="javascript:void(0)" TargetMode="External"/><Relationship Id="rId716" Type="http://schemas.openxmlformats.org/officeDocument/2006/relationships/hyperlink" Target="https://auction.ikco.ir/auction/details/34?r=84" TargetMode="External"/><Relationship Id="rId923" Type="http://schemas.openxmlformats.org/officeDocument/2006/relationships/hyperlink" Target="https://auction.ikco.ir/auction/details/34?r=126" TargetMode="External"/><Relationship Id="rId1553" Type="http://schemas.openxmlformats.org/officeDocument/2006/relationships/hyperlink" Target="javascript:void(0)" TargetMode="External"/><Relationship Id="rId52" Type="http://schemas.openxmlformats.org/officeDocument/2006/relationships/hyperlink" Target="https://auction.ikco.ir/auction/details/34?r=474" TargetMode="External"/><Relationship Id="rId1206" Type="http://schemas.openxmlformats.org/officeDocument/2006/relationships/hyperlink" Target="javascript:void(0)" TargetMode="External"/><Relationship Id="rId1413" Type="http://schemas.openxmlformats.org/officeDocument/2006/relationships/hyperlink" Target="https://auction.ikco.ir/auction/details/34?r=216" TargetMode="External"/><Relationship Id="rId1620" Type="http://schemas.openxmlformats.org/officeDocument/2006/relationships/hyperlink" Target="https://auction.ikco.ir/auction/details/34?r=263" TargetMode="External"/><Relationship Id="rId299" Type="http://schemas.openxmlformats.org/officeDocument/2006/relationships/hyperlink" Target="https://auction.ikco.ir/auction/details/34?r=394" TargetMode="External"/><Relationship Id="rId159" Type="http://schemas.openxmlformats.org/officeDocument/2006/relationships/hyperlink" Target="javascript:void(0)" TargetMode="External"/><Relationship Id="rId366" Type="http://schemas.openxmlformats.org/officeDocument/2006/relationships/hyperlink" Target="https://auction.ikco.ir/auction/details/34?r=345" TargetMode="External"/><Relationship Id="rId573" Type="http://schemas.openxmlformats.org/officeDocument/2006/relationships/hyperlink" Target="https://auction.ikco.ir/auction/details/34?r=119" TargetMode="External"/><Relationship Id="rId780" Type="http://schemas.openxmlformats.org/officeDocument/2006/relationships/hyperlink" Target="https://auction.ikco.ir/auction/details/34?r=238" TargetMode="External"/><Relationship Id="rId226" Type="http://schemas.openxmlformats.org/officeDocument/2006/relationships/hyperlink" Target="https://auction.ikco.ir/auction/details/34?r=450" TargetMode="External"/><Relationship Id="rId433" Type="http://schemas.openxmlformats.org/officeDocument/2006/relationships/hyperlink" Target="https://auction.ikco.ir/auction/details/34?r=495" TargetMode="External"/><Relationship Id="rId878" Type="http://schemas.openxmlformats.org/officeDocument/2006/relationships/hyperlink" Target="https://auction.ikco.ir/auction/details/34?r=21" TargetMode="External"/><Relationship Id="rId1063" Type="http://schemas.openxmlformats.org/officeDocument/2006/relationships/hyperlink" Target="https://auction.ikco.ir/auction/details/34?r=100" TargetMode="External"/><Relationship Id="rId1270" Type="http://schemas.openxmlformats.org/officeDocument/2006/relationships/hyperlink" Target="https://auction.ikco.ir/auction/details/34?r=96" TargetMode="External"/><Relationship Id="rId640" Type="http://schemas.openxmlformats.org/officeDocument/2006/relationships/hyperlink" Target="javascript:void(0)" TargetMode="External"/><Relationship Id="rId738" Type="http://schemas.openxmlformats.org/officeDocument/2006/relationships/hyperlink" Target="https://auction.ikco.ir/auction/details/34?r=143" TargetMode="External"/><Relationship Id="rId945" Type="http://schemas.openxmlformats.org/officeDocument/2006/relationships/hyperlink" Target="https://auction.ikco.ir/auction/details/34?r=260" TargetMode="External"/><Relationship Id="rId1368" Type="http://schemas.openxmlformats.org/officeDocument/2006/relationships/hyperlink" Target="https://auction.ikco.ir/auction/details/34?r=29" TargetMode="External"/><Relationship Id="rId1575" Type="http://schemas.openxmlformats.org/officeDocument/2006/relationships/hyperlink" Target="https://auction.ikco.ir/auction/details/34?r=406" TargetMode="External"/><Relationship Id="rId74" Type="http://schemas.openxmlformats.org/officeDocument/2006/relationships/hyperlink" Target="https://auction.ikco.ir/auction/details/34?r=438" TargetMode="External"/><Relationship Id="rId500" Type="http://schemas.openxmlformats.org/officeDocument/2006/relationships/hyperlink" Target="javascript:void(0)" TargetMode="External"/><Relationship Id="rId805" Type="http://schemas.openxmlformats.org/officeDocument/2006/relationships/hyperlink" Target="javascript:void(0)" TargetMode="External"/><Relationship Id="rId1130" Type="http://schemas.openxmlformats.org/officeDocument/2006/relationships/hyperlink" Target="https://auction.ikco.ir/auction/details/34?r=138" TargetMode="External"/><Relationship Id="rId1228" Type="http://schemas.openxmlformats.org/officeDocument/2006/relationships/hyperlink" Target="https://auction.ikco.ir/auction/details/34?r=24" TargetMode="External"/><Relationship Id="rId1435" Type="http://schemas.openxmlformats.org/officeDocument/2006/relationships/hyperlink" Target="https://auction.ikco.ir/auction/details/34?r=335" TargetMode="External"/><Relationship Id="rId1642" Type="http://schemas.openxmlformats.org/officeDocument/2006/relationships/hyperlink" Target="javascript:void(0)" TargetMode="External"/><Relationship Id="rId1502" Type="http://schemas.openxmlformats.org/officeDocument/2006/relationships/hyperlink" Target="javascript:void(0)" TargetMode="External"/><Relationship Id="rId290" Type="http://schemas.openxmlformats.org/officeDocument/2006/relationships/hyperlink" Target="https://auction.ikco.ir/auction/details/34?r=300" TargetMode="External"/><Relationship Id="rId388" Type="http://schemas.openxmlformats.org/officeDocument/2006/relationships/hyperlink" Target="https://auction.ikco.ir/auction/details/34?r=340" TargetMode="External"/><Relationship Id="rId150" Type="http://schemas.openxmlformats.org/officeDocument/2006/relationships/hyperlink" Target="javascript:void(0)" TargetMode="External"/><Relationship Id="rId595" Type="http://schemas.openxmlformats.org/officeDocument/2006/relationships/hyperlink" Target="https://auction.ikco.ir/auction/details/34?r=302" TargetMode="External"/><Relationship Id="rId248" Type="http://schemas.openxmlformats.org/officeDocument/2006/relationships/hyperlink" Target="https://auction.ikco.ir/auction/details/34?r=404" TargetMode="External"/><Relationship Id="rId455" Type="http://schemas.openxmlformats.org/officeDocument/2006/relationships/hyperlink" Target="javascript:void(0)" TargetMode="External"/><Relationship Id="rId662" Type="http://schemas.openxmlformats.org/officeDocument/2006/relationships/hyperlink" Target="javascript:void(0)" TargetMode="External"/><Relationship Id="rId1085" Type="http://schemas.openxmlformats.org/officeDocument/2006/relationships/hyperlink" Target="https://auction.ikco.ir/auction/details/34?r=193" TargetMode="External"/><Relationship Id="rId1292" Type="http://schemas.openxmlformats.org/officeDocument/2006/relationships/hyperlink" Target="https://auction.ikco.ir/auction/details/34?r=133" TargetMode="External"/><Relationship Id="rId108" Type="http://schemas.openxmlformats.org/officeDocument/2006/relationships/hyperlink" Target="javascript:void(0)" TargetMode="External"/><Relationship Id="rId315" Type="http://schemas.openxmlformats.org/officeDocument/2006/relationships/hyperlink" Target="https://auction.ikco.ir/auction/details/34?r=332" TargetMode="External"/><Relationship Id="rId522" Type="http://schemas.openxmlformats.org/officeDocument/2006/relationships/hyperlink" Target="https://auction.ikco.ir/auction/details/34?r=30" TargetMode="External"/><Relationship Id="rId967" Type="http://schemas.openxmlformats.org/officeDocument/2006/relationships/hyperlink" Target="javascript:void(0)" TargetMode="External"/><Relationship Id="rId1152" Type="http://schemas.openxmlformats.org/officeDocument/2006/relationships/hyperlink" Target="javascript:void(0)" TargetMode="External"/><Relationship Id="rId1597" Type="http://schemas.openxmlformats.org/officeDocument/2006/relationships/hyperlink" Target="javascript:void(0)" TargetMode="External"/><Relationship Id="rId96" Type="http://schemas.openxmlformats.org/officeDocument/2006/relationships/hyperlink" Target="javascript:void(0)" TargetMode="External"/><Relationship Id="rId827" Type="http://schemas.openxmlformats.org/officeDocument/2006/relationships/hyperlink" Target="https://auction.ikco.ir/auction/details/34?r=161" TargetMode="External"/><Relationship Id="rId1012" Type="http://schemas.openxmlformats.org/officeDocument/2006/relationships/hyperlink" Target="https://auction.ikco.ir/auction/details/34?r=144" TargetMode="External"/><Relationship Id="rId1457" Type="http://schemas.openxmlformats.org/officeDocument/2006/relationships/hyperlink" Target="javascript:void(0)" TargetMode="External"/><Relationship Id="rId1664" Type="http://schemas.openxmlformats.org/officeDocument/2006/relationships/hyperlink" Target="https://auction.ikco.ir/auction/details/34?r=515" TargetMode="External"/><Relationship Id="rId1317" Type="http://schemas.openxmlformats.org/officeDocument/2006/relationships/hyperlink" Target="https://auction.ikco.ir/auction/details/34?r=65" TargetMode="External"/><Relationship Id="rId1524" Type="http://schemas.openxmlformats.org/officeDocument/2006/relationships/hyperlink" Target="https://auction.ikco.ir/auction/details/34?r=171" TargetMode="External"/><Relationship Id="rId23" Type="http://schemas.openxmlformats.org/officeDocument/2006/relationships/hyperlink" Target="https://auction.ikco.ir/auction/details/34?r=479" TargetMode="External"/><Relationship Id="rId172" Type="http://schemas.openxmlformats.org/officeDocument/2006/relationships/hyperlink" Target="https://auction.ikco.ir/auction/details/34?r=417" TargetMode="External"/><Relationship Id="rId477" Type="http://schemas.openxmlformats.org/officeDocument/2006/relationships/hyperlink" Target="https://auction.ikco.ir/auction/details/34?r=502" TargetMode="External"/><Relationship Id="rId684" Type="http://schemas.openxmlformats.org/officeDocument/2006/relationships/hyperlink" Target="javascript:void(0)" TargetMode="External"/><Relationship Id="rId337" Type="http://schemas.openxmlformats.org/officeDocument/2006/relationships/hyperlink" Target="https://auction.ikco.ir/auction/details/34?r=468" TargetMode="External"/><Relationship Id="rId891" Type="http://schemas.openxmlformats.org/officeDocument/2006/relationships/hyperlink" Target="https://auction.ikco.ir/auction/details/34?r=169" TargetMode="External"/><Relationship Id="rId989" Type="http://schemas.openxmlformats.org/officeDocument/2006/relationships/hyperlink" Target="https://auction.ikco.ir/auction/details/34?r=57" TargetMode="External"/><Relationship Id="rId544" Type="http://schemas.openxmlformats.org/officeDocument/2006/relationships/hyperlink" Target="https://auction.ikco.ir/auction/details/34?r=458" TargetMode="External"/><Relationship Id="rId751" Type="http://schemas.openxmlformats.org/officeDocument/2006/relationships/hyperlink" Target="javascript:void(0)" TargetMode="External"/><Relationship Id="rId849" Type="http://schemas.openxmlformats.org/officeDocument/2006/relationships/hyperlink" Target="https://auction.ikco.ir/auction/details/34?r=107" TargetMode="External"/><Relationship Id="rId1174" Type="http://schemas.openxmlformats.org/officeDocument/2006/relationships/hyperlink" Target="https://auction.ikco.ir/auction/details/34?r=74" TargetMode="External"/><Relationship Id="rId1381" Type="http://schemas.openxmlformats.org/officeDocument/2006/relationships/hyperlink" Target="https://auction.ikco.ir/auction/details/34?r=50" TargetMode="External"/><Relationship Id="rId1479" Type="http://schemas.openxmlformats.org/officeDocument/2006/relationships/hyperlink" Target="https://auction.ikco.ir/auction/details/34?r=8" TargetMode="External"/><Relationship Id="rId1686" Type="http://schemas.openxmlformats.org/officeDocument/2006/relationships/hyperlink" Target="https://auction.ikco.ir/auction/details/34?r=519" TargetMode="External"/><Relationship Id="rId404" Type="http://schemas.openxmlformats.org/officeDocument/2006/relationships/hyperlink" Target="javascript:void(0)" TargetMode="External"/><Relationship Id="rId611" Type="http://schemas.openxmlformats.org/officeDocument/2006/relationships/hyperlink" Target="javascript:void(0)" TargetMode="External"/><Relationship Id="rId1034" Type="http://schemas.openxmlformats.org/officeDocument/2006/relationships/hyperlink" Target="https://auction.ikco.ir/auction/details/34?r=219" TargetMode="External"/><Relationship Id="rId1241" Type="http://schemas.openxmlformats.org/officeDocument/2006/relationships/hyperlink" Target="https://auction.ikco.ir/auction/details/34?r=33" TargetMode="External"/><Relationship Id="rId1339" Type="http://schemas.openxmlformats.org/officeDocument/2006/relationships/hyperlink" Target="https://auction.ikco.ir/auction/details/34?r=174" TargetMode="External"/><Relationship Id="rId709" Type="http://schemas.openxmlformats.org/officeDocument/2006/relationships/hyperlink" Target="javascript:void(0)" TargetMode="External"/><Relationship Id="rId916" Type="http://schemas.openxmlformats.org/officeDocument/2006/relationships/hyperlink" Target="javascript:void(0)" TargetMode="External"/><Relationship Id="rId1101" Type="http://schemas.openxmlformats.org/officeDocument/2006/relationships/hyperlink" Target="javascript:void(0)" TargetMode="External"/><Relationship Id="rId1546" Type="http://schemas.openxmlformats.org/officeDocument/2006/relationships/hyperlink" Target="https://auction.ikco.ir/auction/details/34?r=136" TargetMode="External"/><Relationship Id="rId45" Type="http://schemas.openxmlformats.org/officeDocument/2006/relationships/hyperlink" Target="javascript:void(0)" TargetMode="External"/><Relationship Id="rId1406" Type="http://schemas.openxmlformats.org/officeDocument/2006/relationships/hyperlink" Target="javascript:void(0)" TargetMode="External"/><Relationship Id="rId1613" Type="http://schemas.openxmlformats.org/officeDocument/2006/relationships/hyperlink" Target="https://auction.ikco.ir/auction/details/34?r=241" TargetMode="External"/><Relationship Id="rId194" Type="http://schemas.openxmlformats.org/officeDocument/2006/relationships/hyperlink" Target="https://auction.ikco.ir/auction/details/34?r=370" TargetMode="External"/><Relationship Id="rId261" Type="http://schemas.openxmlformats.org/officeDocument/2006/relationships/hyperlink" Target="javascript:void(0)" TargetMode="External"/><Relationship Id="rId499" Type="http://schemas.openxmlformats.org/officeDocument/2006/relationships/hyperlink" Target="https://auction.ikco.ir/auction/details/34?r=499" TargetMode="External"/><Relationship Id="rId359" Type="http://schemas.openxmlformats.org/officeDocument/2006/relationships/hyperlink" Target="javascript:void(0)" TargetMode="External"/><Relationship Id="rId566" Type="http://schemas.openxmlformats.org/officeDocument/2006/relationships/hyperlink" Target="javascript:void(0)" TargetMode="External"/><Relationship Id="rId773" Type="http://schemas.openxmlformats.org/officeDocument/2006/relationships/hyperlink" Target="https://auction.ikco.ir/auction/details/34?r=199" TargetMode="External"/><Relationship Id="rId1196" Type="http://schemas.openxmlformats.org/officeDocument/2006/relationships/hyperlink" Target="https://auction.ikco.ir/auction/details/34?r=237" TargetMode="External"/><Relationship Id="rId121" Type="http://schemas.openxmlformats.org/officeDocument/2006/relationships/hyperlink" Target="https://auction.ikco.ir/auction/details/34?r=475" TargetMode="External"/><Relationship Id="rId219" Type="http://schemas.openxmlformats.org/officeDocument/2006/relationships/hyperlink" Target="javascript:void(0)" TargetMode="External"/><Relationship Id="rId426" Type="http://schemas.openxmlformats.org/officeDocument/2006/relationships/hyperlink" Target="https://auction.ikco.ir/auction/details/34?r=309" TargetMode="External"/><Relationship Id="rId633" Type="http://schemas.openxmlformats.org/officeDocument/2006/relationships/hyperlink" Target="javascript:void(0)" TargetMode="External"/><Relationship Id="rId980" Type="http://schemas.openxmlformats.org/officeDocument/2006/relationships/hyperlink" Target="https://auction.ikco.ir/auction/details/34?r=267" TargetMode="External"/><Relationship Id="rId1056" Type="http://schemas.openxmlformats.org/officeDocument/2006/relationships/hyperlink" Target="javascript:void(0)" TargetMode="External"/><Relationship Id="rId1263" Type="http://schemas.openxmlformats.org/officeDocument/2006/relationships/hyperlink" Target="javascript:void(0)" TargetMode="External"/><Relationship Id="rId840" Type="http://schemas.openxmlformats.org/officeDocument/2006/relationships/hyperlink" Target="https://auction.ikco.ir/auction/details/34?r=352" TargetMode="External"/><Relationship Id="rId938" Type="http://schemas.openxmlformats.org/officeDocument/2006/relationships/hyperlink" Target="https://auction.ikco.ir/auction/details/34?r=226" TargetMode="External"/><Relationship Id="rId1470" Type="http://schemas.openxmlformats.org/officeDocument/2006/relationships/hyperlink" Target="https://auction.ikco.ir/auction/details/34?r=392" TargetMode="External"/><Relationship Id="rId1568" Type="http://schemas.openxmlformats.org/officeDocument/2006/relationships/hyperlink" Target="javascript:void(0)" TargetMode="External"/><Relationship Id="rId67" Type="http://schemas.openxmlformats.org/officeDocument/2006/relationships/hyperlink" Target="https://auction.ikco.ir/auction/details/34?r=442" TargetMode="External"/><Relationship Id="rId700" Type="http://schemas.openxmlformats.org/officeDocument/2006/relationships/hyperlink" Target="javascript:void(0)" TargetMode="External"/><Relationship Id="rId1123" Type="http://schemas.openxmlformats.org/officeDocument/2006/relationships/hyperlink" Target="https://auction.ikco.ir/auction/details/34?r=93" TargetMode="External"/><Relationship Id="rId1330" Type="http://schemas.openxmlformats.org/officeDocument/2006/relationships/hyperlink" Target="https://auction.ikco.ir/auction/details/34?r=128" TargetMode="External"/><Relationship Id="rId1428" Type="http://schemas.openxmlformats.org/officeDocument/2006/relationships/hyperlink" Target="https://auction.ikco.ir/auction/details/34?r=301" TargetMode="External"/><Relationship Id="rId1635" Type="http://schemas.openxmlformats.org/officeDocument/2006/relationships/hyperlink" Target="https://auction.ikco.ir/auction/details/34?r=380" TargetMode="External"/><Relationship Id="rId283" Type="http://schemas.openxmlformats.org/officeDocument/2006/relationships/hyperlink" Target="https://auction.ikco.ir/auction/details/34?r=313" TargetMode="External"/><Relationship Id="rId490" Type="http://schemas.openxmlformats.org/officeDocument/2006/relationships/hyperlink" Target="https://auction.ikco.ir/auction/details/34?r=501" TargetMode="External"/><Relationship Id="rId143" Type="http://schemas.openxmlformats.org/officeDocument/2006/relationships/hyperlink" Target="https://auction.ikco.ir/auction/details/34?r=445" TargetMode="External"/><Relationship Id="rId350" Type="http://schemas.openxmlformats.org/officeDocument/2006/relationships/hyperlink" Target="javascript:void(0)" TargetMode="External"/><Relationship Id="rId588" Type="http://schemas.openxmlformats.org/officeDocument/2006/relationships/hyperlink" Target="https://auction.ikco.ir/auction/details/34?r=235" TargetMode="External"/><Relationship Id="rId795" Type="http://schemas.openxmlformats.org/officeDocument/2006/relationships/hyperlink" Target="https://auction.ikco.ir/auction/details/34?r=289" TargetMode="External"/><Relationship Id="rId9" Type="http://schemas.openxmlformats.org/officeDocument/2006/relationships/hyperlink" Target="javascript:void(0)" TargetMode="External"/><Relationship Id="rId210" Type="http://schemas.openxmlformats.org/officeDocument/2006/relationships/hyperlink" Target="javascript:void(0)" TargetMode="External"/><Relationship Id="rId448" Type="http://schemas.openxmlformats.org/officeDocument/2006/relationships/hyperlink" Target="https://auction.ikco.ir/auction/details/34?r=500" TargetMode="External"/><Relationship Id="rId655" Type="http://schemas.openxmlformats.org/officeDocument/2006/relationships/hyperlink" Target="javascript:void(0)" TargetMode="External"/><Relationship Id="rId862" Type="http://schemas.openxmlformats.org/officeDocument/2006/relationships/hyperlink" Target="javascript:void(0)" TargetMode="External"/><Relationship Id="rId1078" Type="http://schemas.openxmlformats.org/officeDocument/2006/relationships/hyperlink" Target="https://auction.ikco.ir/auction/details/34?r=172" TargetMode="External"/><Relationship Id="rId1285" Type="http://schemas.openxmlformats.org/officeDocument/2006/relationships/hyperlink" Target="https://auction.ikco.ir/auction/details/34?r=130" TargetMode="External"/><Relationship Id="rId1492" Type="http://schemas.openxmlformats.org/officeDocument/2006/relationships/hyperlink" Target="https://auction.ikco.ir/auction/details/34?r=58" TargetMode="External"/><Relationship Id="rId308" Type="http://schemas.openxmlformats.org/officeDocument/2006/relationships/hyperlink" Target="javascript:void(0)" TargetMode="External"/><Relationship Id="rId515" Type="http://schemas.openxmlformats.org/officeDocument/2006/relationships/hyperlink" Target="javascript:void(0)" TargetMode="External"/><Relationship Id="rId722" Type="http://schemas.openxmlformats.org/officeDocument/2006/relationships/hyperlink" Target="https://auction.ikco.ir/auction/details/34?r=11" TargetMode="External"/><Relationship Id="rId1145" Type="http://schemas.openxmlformats.org/officeDocument/2006/relationships/hyperlink" Target="https://auction.ikco.ir/auction/details/34?r=218" TargetMode="External"/><Relationship Id="rId1352" Type="http://schemas.openxmlformats.org/officeDocument/2006/relationships/hyperlink" Target="javascript:void(0)" TargetMode="External"/><Relationship Id="rId89" Type="http://schemas.openxmlformats.org/officeDocument/2006/relationships/hyperlink" Target="https://auction.ikco.ir/auction/details/34?r=476" TargetMode="External"/><Relationship Id="rId1005" Type="http://schemas.openxmlformats.org/officeDocument/2006/relationships/hyperlink" Target="javascript:void(0)" TargetMode="External"/><Relationship Id="rId1212" Type="http://schemas.openxmlformats.org/officeDocument/2006/relationships/hyperlink" Target="javascript:void(0)" TargetMode="External"/><Relationship Id="rId1657" Type="http://schemas.openxmlformats.org/officeDocument/2006/relationships/hyperlink" Target="javascript:void(0)" TargetMode="External"/><Relationship Id="rId1517" Type="http://schemas.openxmlformats.org/officeDocument/2006/relationships/hyperlink" Target="javascript:void(0)" TargetMode="External"/><Relationship Id="rId16" Type="http://schemas.openxmlformats.org/officeDocument/2006/relationships/hyperlink" Target="https://auction.ikco.ir/auction/details/34?r=469" TargetMode="External"/><Relationship Id="rId165" Type="http://schemas.openxmlformats.org/officeDocument/2006/relationships/hyperlink" Target="javascript:void(0)" TargetMode="External"/><Relationship Id="rId372" Type="http://schemas.openxmlformats.org/officeDocument/2006/relationships/hyperlink" Target="https://auction.ikco.ir/auction/details/34?r=460" TargetMode="External"/><Relationship Id="rId677" Type="http://schemas.openxmlformats.org/officeDocument/2006/relationships/hyperlink" Target="javascript:void(0)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A5ABB-2008-4CDD-92B8-06B7E2CC039C}">
  <sheetPr codeName="Sheet4"/>
  <dimension ref="A3:Y23"/>
  <sheetViews>
    <sheetView workbookViewId="0">
      <selection activeCell="B35" sqref="B35"/>
    </sheetView>
  </sheetViews>
  <sheetFormatPr defaultRowHeight="15" x14ac:dyDescent="0.25"/>
  <cols>
    <col min="1" max="1" width="14" bestFit="1" customWidth="1"/>
    <col min="2" max="2" width="16.28515625" bestFit="1" customWidth="1"/>
    <col min="3" max="3" width="12.5703125" bestFit="1" customWidth="1"/>
    <col min="4" max="4" width="15.5703125" bestFit="1" customWidth="1"/>
    <col min="5" max="5" width="12.5703125" bestFit="1" customWidth="1"/>
    <col min="6" max="6" width="15.5703125" bestFit="1" customWidth="1"/>
    <col min="7" max="7" width="12.5703125" bestFit="1" customWidth="1"/>
    <col min="8" max="8" width="15.5703125" bestFit="1" customWidth="1"/>
    <col min="9" max="9" width="12.5703125" bestFit="1" customWidth="1"/>
    <col min="10" max="10" width="15.5703125" bestFit="1" customWidth="1"/>
    <col min="11" max="11" width="12.5703125" bestFit="1" customWidth="1"/>
    <col min="12" max="12" width="15.5703125" bestFit="1" customWidth="1"/>
    <col min="13" max="13" width="12.5703125" bestFit="1" customWidth="1"/>
    <col min="14" max="14" width="15.5703125" bestFit="1" customWidth="1"/>
    <col min="15" max="15" width="14.28515625" bestFit="1" customWidth="1"/>
    <col min="16" max="16" width="15.5703125" bestFit="1" customWidth="1"/>
    <col min="17" max="17" width="14.28515625" bestFit="1" customWidth="1"/>
    <col min="18" max="18" width="15.5703125" bestFit="1" customWidth="1"/>
    <col min="19" max="19" width="12.5703125" bestFit="1" customWidth="1"/>
    <col min="20" max="20" width="15.5703125" bestFit="1" customWidth="1"/>
    <col min="21" max="21" width="12.5703125" bestFit="1" customWidth="1"/>
    <col min="22" max="22" width="15.5703125" bestFit="1" customWidth="1"/>
    <col min="23" max="23" width="12.5703125" bestFit="1" customWidth="1"/>
    <col min="24" max="24" width="20.5703125" bestFit="1" customWidth="1"/>
    <col min="25" max="25" width="17" bestFit="1" customWidth="1"/>
  </cols>
  <sheetData>
    <row r="3" spans="1:25" x14ac:dyDescent="0.25">
      <c r="B3" s="2" t="s">
        <v>0</v>
      </c>
    </row>
    <row r="4" spans="1:25" x14ac:dyDescent="0.25">
      <c r="B4" t="s">
        <v>1</v>
      </c>
      <c r="D4" t="s">
        <v>2</v>
      </c>
      <c r="F4" t="s">
        <v>3</v>
      </c>
      <c r="H4" t="s">
        <v>4</v>
      </c>
      <c r="J4" t="s">
        <v>5</v>
      </c>
      <c r="L4" t="s">
        <v>6</v>
      </c>
      <c r="N4" t="s">
        <v>7</v>
      </c>
      <c r="P4" t="s">
        <v>8</v>
      </c>
      <c r="R4" t="s">
        <v>9</v>
      </c>
      <c r="T4" t="s">
        <v>10</v>
      </c>
      <c r="V4" t="s">
        <v>11</v>
      </c>
      <c r="X4" t="s">
        <v>12</v>
      </c>
      <c r="Y4" t="s">
        <v>13</v>
      </c>
    </row>
    <row r="5" spans="1:25" x14ac:dyDescent="0.25">
      <c r="A5" s="2" t="s">
        <v>14</v>
      </c>
      <c r="B5" t="s">
        <v>15</v>
      </c>
      <c r="C5" t="s">
        <v>16</v>
      </c>
      <c r="D5" t="s">
        <v>15</v>
      </c>
      <c r="E5" t="s">
        <v>16</v>
      </c>
      <c r="F5" t="s">
        <v>15</v>
      </c>
      <c r="G5" t="s">
        <v>16</v>
      </c>
      <c r="H5" t="s">
        <v>15</v>
      </c>
      <c r="I5" t="s">
        <v>16</v>
      </c>
      <c r="J5" t="s">
        <v>15</v>
      </c>
      <c r="K5" t="s">
        <v>16</v>
      </c>
      <c r="L5" t="s">
        <v>15</v>
      </c>
      <c r="M5" t="s">
        <v>16</v>
      </c>
      <c r="N5" t="s">
        <v>15</v>
      </c>
      <c r="O5" t="s">
        <v>16</v>
      </c>
      <c r="P5" t="s">
        <v>15</v>
      </c>
      <c r="Q5" t="s">
        <v>16</v>
      </c>
      <c r="R5" t="s">
        <v>15</v>
      </c>
      <c r="S5" t="s">
        <v>16</v>
      </c>
      <c r="T5" t="s">
        <v>15</v>
      </c>
      <c r="U5" t="s">
        <v>16</v>
      </c>
      <c r="V5" t="s">
        <v>15</v>
      </c>
      <c r="W5" t="s">
        <v>16</v>
      </c>
    </row>
    <row r="6" spans="1:25" x14ac:dyDescent="0.25">
      <c r="A6" s="3" t="s">
        <v>17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>
        <v>408500000</v>
      </c>
      <c r="O6" s="7">
        <v>1634000000</v>
      </c>
      <c r="P6" s="7">
        <v>401000000</v>
      </c>
      <c r="Q6" s="7">
        <v>401000000</v>
      </c>
      <c r="R6" s="7">
        <v>402500000</v>
      </c>
      <c r="S6" s="7">
        <v>402500000</v>
      </c>
      <c r="T6" s="7"/>
      <c r="U6" s="7"/>
      <c r="V6" s="7">
        <v>415000000</v>
      </c>
      <c r="W6" s="7">
        <v>415000000</v>
      </c>
      <c r="X6" s="7">
        <v>407500000</v>
      </c>
      <c r="Y6" s="7">
        <v>2852500000</v>
      </c>
    </row>
    <row r="7" spans="1:25" x14ac:dyDescent="0.25">
      <c r="A7" s="4" t="s">
        <v>18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>
        <v>413500000</v>
      </c>
      <c r="O7" s="7">
        <v>413500000</v>
      </c>
      <c r="P7" s="7"/>
      <c r="Q7" s="7"/>
      <c r="R7" s="7"/>
      <c r="S7" s="7"/>
      <c r="T7" s="7"/>
      <c r="U7" s="7"/>
      <c r="V7" s="7"/>
      <c r="W7" s="7"/>
      <c r="X7" s="7">
        <v>413500000</v>
      </c>
      <c r="Y7" s="7">
        <v>413500000</v>
      </c>
    </row>
    <row r="8" spans="1:25" x14ac:dyDescent="0.25">
      <c r="A8" s="4" t="s">
        <v>19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>
        <v>402500000</v>
      </c>
      <c r="S8" s="7">
        <v>402500000</v>
      </c>
      <c r="T8" s="7"/>
      <c r="U8" s="7"/>
      <c r="V8" s="7"/>
      <c r="W8" s="7"/>
      <c r="X8" s="7">
        <v>402500000</v>
      </c>
      <c r="Y8" s="7">
        <v>402500000</v>
      </c>
    </row>
    <row r="9" spans="1:25" x14ac:dyDescent="0.25">
      <c r="A9" s="4" t="s">
        <v>20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>
        <v>411500000</v>
      </c>
      <c r="O9" s="7">
        <v>411500000</v>
      </c>
      <c r="P9" s="7"/>
      <c r="Q9" s="7"/>
      <c r="R9" s="7"/>
      <c r="S9" s="7"/>
      <c r="T9" s="7"/>
      <c r="U9" s="7"/>
      <c r="V9" s="7"/>
      <c r="W9" s="7"/>
      <c r="X9" s="7">
        <v>411500000</v>
      </c>
      <c r="Y9" s="7">
        <v>411500000</v>
      </c>
    </row>
    <row r="10" spans="1:25" x14ac:dyDescent="0.25">
      <c r="A10" s="4" t="s">
        <v>21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>
        <v>402000000</v>
      </c>
      <c r="O10" s="7">
        <v>402000000</v>
      </c>
      <c r="P10" s="7"/>
      <c r="Q10" s="7"/>
      <c r="R10" s="7"/>
      <c r="S10" s="7"/>
      <c r="T10" s="7"/>
      <c r="U10" s="7"/>
      <c r="V10" s="7"/>
      <c r="W10" s="7"/>
      <c r="X10" s="7">
        <v>402000000</v>
      </c>
      <c r="Y10" s="7">
        <v>402000000</v>
      </c>
    </row>
    <row r="11" spans="1:25" x14ac:dyDescent="0.25">
      <c r="A11" s="4" t="s">
        <v>22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>
        <v>407000000</v>
      </c>
      <c r="O11" s="7">
        <v>407000000</v>
      </c>
      <c r="P11" s="7"/>
      <c r="Q11" s="7"/>
      <c r="R11" s="7"/>
      <c r="S11" s="7"/>
      <c r="T11" s="7"/>
      <c r="U11" s="7"/>
      <c r="V11" s="7"/>
      <c r="W11" s="7"/>
      <c r="X11" s="7">
        <v>407000000</v>
      </c>
      <c r="Y11" s="7">
        <v>407000000</v>
      </c>
    </row>
    <row r="12" spans="1:25" x14ac:dyDescent="0.25">
      <c r="A12" s="4" t="s">
        <v>23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>
        <v>401000000</v>
      </c>
      <c r="Q12" s="7">
        <v>401000000</v>
      </c>
      <c r="R12" s="7"/>
      <c r="S12" s="7"/>
      <c r="T12" s="7"/>
      <c r="U12" s="7"/>
      <c r="V12" s="7"/>
      <c r="W12" s="7"/>
      <c r="X12" s="7">
        <v>401000000</v>
      </c>
      <c r="Y12" s="7">
        <v>401000000</v>
      </c>
    </row>
    <row r="13" spans="1:25" x14ac:dyDescent="0.25">
      <c r="A13" s="4" t="s">
        <v>24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>
        <v>415000000</v>
      </c>
      <c r="W13" s="7">
        <v>415000000</v>
      </c>
      <c r="X13" s="7">
        <v>415000000</v>
      </c>
      <c r="Y13" s="7">
        <v>415000000</v>
      </c>
    </row>
    <row r="14" spans="1:25" x14ac:dyDescent="0.25">
      <c r="A14" s="3" t="s">
        <v>25</v>
      </c>
      <c r="B14" s="7">
        <v>309000000</v>
      </c>
      <c r="C14" s="7">
        <v>309000000</v>
      </c>
      <c r="D14" s="7">
        <v>392000000</v>
      </c>
      <c r="E14" s="7">
        <v>392000000</v>
      </c>
      <c r="F14" s="7">
        <v>397000000</v>
      </c>
      <c r="G14" s="7">
        <v>794000000</v>
      </c>
      <c r="H14" s="7">
        <v>403000000</v>
      </c>
      <c r="I14" s="7">
        <v>806000000</v>
      </c>
      <c r="J14" s="7">
        <v>405000000</v>
      </c>
      <c r="K14" s="7">
        <v>405000000</v>
      </c>
      <c r="L14" s="7">
        <v>407000000</v>
      </c>
      <c r="M14" s="7">
        <v>814000000</v>
      </c>
      <c r="N14" s="7"/>
      <c r="O14" s="7"/>
      <c r="P14" s="7">
        <v>420000000</v>
      </c>
      <c r="Q14" s="7">
        <v>840000000</v>
      </c>
      <c r="R14" s="7"/>
      <c r="S14" s="7"/>
      <c r="T14" s="7">
        <v>405000000</v>
      </c>
      <c r="U14" s="7">
        <v>405000000</v>
      </c>
      <c r="V14" s="7">
        <v>420000000</v>
      </c>
      <c r="W14" s="7">
        <v>420000000</v>
      </c>
      <c r="X14" s="7">
        <v>398846153.84615386</v>
      </c>
      <c r="Y14" s="7">
        <v>5185000000</v>
      </c>
    </row>
    <row r="15" spans="1:25" x14ac:dyDescent="0.25">
      <c r="A15" s="4" t="s">
        <v>26</v>
      </c>
      <c r="B15" s="7">
        <v>309000000</v>
      </c>
      <c r="C15" s="7">
        <v>309000000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>
        <v>309000000</v>
      </c>
      <c r="Y15" s="7">
        <v>309000000</v>
      </c>
    </row>
    <row r="16" spans="1:25" x14ac:dyDescent="0.25">
      <c r="A16" s="4" t="s">
        <v>27</v>
      </c>
      <c r="B16" s="7"/>
      <c r="C16" s="7"/>
      <c r="D16" s="7"/>
      <c r="E16" s="7"/>
      <c r="F16" s="7"/>
      <c r="G16" s="7"/>
      <c r="H16" s="7"/>
      <c r="I16" s="7"/>
      <c r="J16" s="7">
        <v>405000000</v>
      </c>
      <c r="K16" s="7">
        <v>405000000</v>
      </c>
      <c r="L16" s="7"/>
      <c r="M16" s="7"/>
      <c r="N16" s="7"/>
      <c r="O16" s="7"/>
      <c r="P16" s="7"/>
      <c r="Q16" s="7"/>
      <c r="R16" s="7"/>
      <c r="S16" s="7"/>
      <c r="T16" s="7">
        <v>405000000</v>
      </c>
      <c r="U16" s="7">
        <v>405000000</v>
      </c>
      <c r="V16" s="7"/>
      <c r="W16" s="7"/>
      <c r="X16" s="7">
        <v>405000000</v>
      </c>
      <c r="Y16" s="7">
        <v>810000000</v>
      </c>
    </row>
    <row r="17" spans="1:25" x14ac:dyDescent="0.25">
      <c r="A17" s="4" t="s">
        <v>28</v>
      </c>
      <c r="B17" s="7"/>
      <c r="C17" s="7"/>
      <c r="D17" s="7">
        <v>392000000</v>
      </c>
      <c r="E17" s="7">
        <v>392000000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>
        <v>392000000</v>
      </c>
      <c r="Y17" s="7">
        <v>392000000</v>
      </c>
    </row>
    <row r="18" spans="1:25" x14ac:dyDescent="0.25">
      <c r="A18" s="4" t="s">
        <v>29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>
        <v>407000000</v>
      </c>
      <c r="M18" s="7">
        <v>814000000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>
        <v>407000000</v>
      </c>
      <c r="Y18" s="7">
        <v>814000000</v>
      </c>
    </row>
    <row r="19" spans="1:25" x14ac:dyDescent="0.25">
      <c r="A19" s="4" t="s">
        <v>30</v>
      </c>
      <c r="B19" s="7"/>
      <c r="C19" s="7"/>
      <c r="D19" s="7"/>
      <c r="E19" s="7"/>
      <c r="F19" s="7"/>
      <c r="G19" s="7"/>
      <c r="H19" s="7">
        <v>403000000</v>
      </c>
      <c r="I19" s="7">
        <v>806000000</v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>
        <v>403000000</v>
      </c>
      <c r="Y19" s="7">
        <v>806000000</v>
      </c>
    </row>
    <row r="20" spans="1:25" x14ac:dyDescent="0.25">
      <c r="A20" s="4" t="s">
        <v>31</v>
      </c>
      <c r="B20" s="7"/>
      <c r="C20" s="7"/>
      <c r="D20" s="7"/>
      <c r="E20" s="7"/>
      <c r="F20" s="7">
        <v>397000000</v>
      </c>
      <c r="G20" s="7">
        <v>794000000</v>
      </c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>
        <v>397000000</v>
      </c>
      <c r="Y20" s="7">
        <v>794000000</v>
      </c>
    </row>
    <row r="21" spans="1:25" x14ac:dyDescent="0.25">
      <c r="A21" s="4" t="s">
        <v>32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>
        <v>420000000</v>
      </c>
      <c r="Q21" s="7">
        <v>840000000</v>
      </c>
      <c r="R21" s="7"/>
      <c r="S21" s="7"/>
      <c r="T21" s="7"/>
      <c r="U21" s="7"/>
      <c r="V21" s="7"/>
      <c r="W21" s="7"/>
      <c r="X21" s="7">
        <v>420000000</v>
      </c>
      <c r="Y21" s="7">
        <v>840000000</v>
      </c>
    </row>
    <row r="22" spans="1:25" x14ac:dyDescent="0.25">
      <c r="A22" s="4" t="s">
        <v>33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>
        <v>420000000</v>
      </c>
      <c r="W22" s="7">
        <v>420000000</v>
      </c>
      <c r="X22" s="7">
        <v>420000000</v>
      </c>
      <c r="Y22" s="7">
        <v>420000000</v>
      </c>
    </row>
    <row r="23" spans="1:25" x14ac:dyDescent="0.25">
      <c r="A23" s="3" t="s">
        <v>34</v>
      </c>
      <c r="B23" s="7">
        <v>309000000</v>
      </c>
      <c r="C23" s="7">
        <v>309000000</v>
      </c>
      <c r="D23" s="7">
        <v>392000000</v>
      </c>
      <c r="E23" s="7">
        <v>392000000</v>
      </c>
      <c r="F23" s="7">
        <v>397000000</v>
      </c>
      <c r="G23" s="7">
        <v>794000000</v>
      </c>
      <c r="H23" s="7">
        <v>403000000</v>
      </c>
      <c r="I23" s="7">
        <v>806000000</v>
      </c>
      <c r="J23" s="7">
        <v>405000000</v>
      </c>
      <c r="K23" s="7">
        <v>405000000</v>
      </c>
      <c r="L23" s="7">
        <v>407000000</v>
      </c>
      <c r="M23" s="7">
        <v>814000000</v>
      </c>
      <c r="N23" s="7">
        <v>408500000</v>
      </c>
      <c r="O23" s="7">
        <v>1634000000</v>
      </c>
      <c r="P23" s="7">
        <v>413666666.66666669</v>
      </c>
      <c r="Q23" s="7">
        <v>1241000000</v>
      </c>
      <c r="R23" s="7">
        <v>402500000</v>
      </c>
      <c r="S23" s="7">
        <v>402500000</v>
      </c>
      <c r="T23" s="7">
        <v>405000000</v>
      </c>
      <c r="U23" s="7">
        <v>405000000</v>
      </c>
      <c r="V23" s="7">
        <v>417500000</v>
      </c>
      <c r="W23" s="7">
        <v>835000000</v>
      </c>
      <c r="X23" s="7">
        <v>401875000</v>
      </c>
      <c r="Y23" s="7">
        <v>8037500000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49275-2843-4237-AB9A-FB090F082D24}">
  <sheetPr codeName="Sheet7"/>
  <dimension ref="A3:B6"/>
  <sheetViews>
    <sheetView workbookViewId="0">
      <selection activeCell="B5" sqref="B5"/>
    </sheetView>
  </sheetViews>
  <sheetFormatPr defaultRowHeight="15" x14ac:dyDescent="0.25"/>
  <cols>
    <col min="1" max="1" width="13.140625" bestFit="1" customWidth="1"/>
    <col min="2" max="2" width="15.5703125" bestFit="1" customWidth="1"/>
  </cols>
  <sheetData>
    <row r="3" spans="1:2" x14ac:dyDescent="0.25">
      <c r="A3" s="2" t="s">
        <v>14</v>
      </c>
      <c r="B3" t="s">
        <v>15</v>
      </c>
    </row>
    <row r="4" spans="1:2" x14ac:dyDescent="0.25">
      <c r="A4" s="8" t="s">
        <v>35</v>
      </c>
      <c r="B4">
        <v>397730769.23076922</v>
      </c>
    </row>
    <row r="5" spans="1:2" x14ac:dyDescent="0.25">
      <c r="A5" s="8" t="s">
        <v>36</v>
      </c>
      <c r="B5">
        <v>409571428.5714286</v>
      </c>
    </row>
    <row r="6" spans="1:2" x14ac:dyDescent="0.25">
      <c r="A6" s="8" t="s">
        <v>34</v>
      </c>
      <c r="B6">
        <v>401875000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30B7-6E75-48E7-82D4-CC83327DA85F}">
  <sheetPr codeName="Sheet8"/>
  <dimension ref="A2:Q31"/>
  <sheetViews>
    <sheetView workbookViewId="0">
      <selection activeCell="O16" sqref="O16"/>
    </sheetView>
  </sheetViews>
  <sheetFormatPr defaultRowHeight="15" x14ac:dyDescent="0.25"/>
  <cols>
    <col min="1" max="1" width="14" bestFit="1" customWidth="1"/>
    <col min="2" max="2" width="16.28515625" bestFit="1" customWidth="1"/>
    <col min="3" max="3" width="10" bestFit="1" customWidth="1"/>
    <col min="4" max="4" width="11.28515625" bestFit="1" customWidth="1"/>
    <col min="5" max="5" width="10" bestFit="1" customWidth="1"/>
    <col min="6" max="6" width="13.7109375" bestFit="1" customWidth="1"/>
    <col min="7" max="7" width="11.5703125" bestFit="1" customWidth="1"/>
    <col min="8" max="8" width="14.7109375" bestFit="1" customWidth="1"/>
    <col min="9" max="9" width="11.5703125" bestFit="1" customWidth="1"/>
    <col min="10" max="10" width="10" bestFit="1" customWidth="1"/>
    <col min="11" max="11" width="14.7109375" bestFit="1" customWidth="1"/>
    <col min="12" max="12" width="11.5703125" bestFit="1" customWidth="1"/>
    <col min="13" max="13" width="14" bestFit="1" customWidth="1"/>
    <col min="14" max="14" width="16.28515625" bestFit="1" customWidth="1"/>
    <col min="15" max="15" width="9.7109375" bestFit="1" customWidth="1"/>
    <col min="16" max="16" width="11.28515625" bestFit="1" customWidth="1"/>
    <col min="17" max="17" width="14.7109375" bestFit="1" customWidth="1"/>
    <col min="18" max="18" width="11.5703125" bestFit="1" customWidth="1"/>
    <col min="19" max="19" width="10" bestFit="1" customWidth="1"/>
    <col min="20" max="20" width="14.7109375" bestFit="1" customWidth="1"/>
    <col min="21" max="21" width="11.5703125" bestFit="1" customWidth="1"/>
    <col min="22" max="22" width="10" bestFit="1" customWidth="1"/>
    <col min="23" max="23" width="14.7109375" bestFit="1" customWidth="1"/>
    <col min="24" max="24" width="11.5703125" bestFit="1" customWidth="1"/>
    <col min="25" max="25" width="14.7109375" bestFit="1" customWidth="1"/>
    <col min="26" max="26" width="11.5703125" bestFit="1" customWidth="1"/>
    <col min="27" max="27" width="14.7109375" bestFit="1" customWidth="1"/>
    <col min="28" max="28" width="11.28515625" bestFit="1" customWidth="1"/>
  </cols>
  <sheetData>
    <row r="2" spans="1:17" x14ac:dyDescent="0.25">
      <c r="M2" s="2" t="s">
        <v>37</v>
      </c>
      <c r="N2" s="2" t="s">
        <v>0</v>
      </c>
    </row>
    <row r="3" spans="1:17" x14ac:dyDescent="0.25">
      <c r="A3" s="2" t="s">
        <v>16</v>
      </c>
      <c r="B3" s="2" t="s">
        <v>0</v>
      </c>
      <c r="M3" s="2" t="s">
        <v>14</v>
      </c>
      <c r="N3" t="s">
        <v>38</v>
      </c>
      <c r="O3" t="s">
        <v>11</v>
      </c>
      <c r="Q3">
        <f>SUM(N4:N30)</f>
        <v>13</v>
      </c>
    </row>
    <row r="4" spans="1:17" x14ac:dyDescent="0.25">
      <c r="A4" s="2" t="s">
        <v>14</v>
      </c>
      <c r="B4" t="s">
        <v>38</v>
      </c>
      <c r="C4" t="s">
        <v>11</v>
      </c>
      <c r="M4" s="3" t="s">
        <v>11</v>
      </c>
      <c r="Q4">
        <f>SUMIFS(O4:O30,N4:N30,1,O4:O30,1)</f>
        <v>4</v>
      </c>
    </row>
    <row r="5" spans="1:17" x14ac:dyDescent="0.25">
      <c r="A5" s="3" t="s">
        <v>11</v>
      </c>
      <c r="M5" s="4" t="s">
        <v>33</v>
      </c>
      <c r="O5">
        <v>1</v>
      </c>
      <c r="Q5">
        <f>Q3-Q4</f>
        <v>9</v>
      </c>
    </row>
    <row r="6" spans="1:17" x14ac:dyDescent="0.25">
      <c r="A6" s="4" t="s">
        <v>33</v>
      </c>
      <c r="C6">
        <v>420000000</v>
      </c>
      <c r="M6" s="4" t="s">
        <v>24</v>
      </c>
      <c r="O6">
        <v>1</v>
      </c>
    </row>
    <row r="7" spans="1:17" x14ac:dyDescent="0.25">
      <c r="A7" s="4" t="s">
        <v>24</v>
      </c>
      <c r="C7">
        <v>415000000</v>
      </c>
      <c r="M7" s="3" t="s">
        <v>6</v>
      </c>
    </row>
    <row r="8" spans="1:17" x14ac:dyDescent="0.25">
      <c r="A8" s="3" t="s">
        <v>6</v>
      </c>
      <c r="M8" s="4" t="s">
        <v>29</v>
      </c>
      <c r="N8">
        <v>1</v>
      </c>
      <c r="O8">
        <v>1</v>
      </c>
    </row>
    <row r="9" spans="1:17" x14ac:dyDescent="0.25">
      <c r="A9" s="4" t="s">
        <v>29</v>
      </c>
      <c r="B9">
        <v>407000000</v>
      </c>
      <c r="C9">
        <v>407000000</v>
      </c>
      <c r="M9" s="3" t="s">
        <v>7</v>
      </c>
    </row>
    <row r="10" spans="1:17" x14ac:dyDescent="0.25">
      <c r="A10" s="3" t="s">
        <v>7</v>
      </c>
      <c r="M10" s="4" t="s">
        <v>18</v>
      </c>
      <c r="N10">
        <v>1</v>
      </c>
    </row>
    <row r="11" spans="1:17" x14ac:dyDescent="0.25">
      <c r="A11" s="4" t="s">
        <v>18</v>
      </c>
      <c r="B11">
        <v>413500000</v>
      </c>
      <c r="M11" s="4" t="s">
        <v>20</v>
      </c>
      <c r="N11">
        <v>1</v>
      </c>
    </row>
    <row r="12" spans="1:17" x14ac:dyDescent="0.25">
      <c r="A12" s="4" t="s">
        <v>20</v>
      </c>
      <c r="B12">
        <v>411500000</v>
      </c>
      <c r="M12" s="4" t="s">
        <v>21</v>
      </c>
      <c r="N12">
        <v>1</v>
      </c>
    </row>
    <row r="13" spans="1:17" x14ac:dyDescent="0.25">
      <c r="A13" s="4" t="s">
        <v>21</v>
      </c>
      <c r="B13">
        <v>402000000</v>
      </c>
      <c r="M13" s="4" t="s">
        <v>22</v>
      </c>
      <c r="N13">
        <v>1</v>
      </c>
    </row>
    <row r="14" spans="1:17" x14ac:dyDescent="0.25">
      <c r="A14" s="4" t="s">
        <v>22</v>
      </c>
      <c r="B14">
        <v>407000000</v>
      </c>
      <c r="M14" s="3" t="s">
        <v>8</v>
      </c>
    </row>
    <row r="15" spans="1:17" x14ac:dyDescent="0.25">
      <c r="A15" s="3" t="s">
        <v>8</v>
      </c>
      <c r="M15" s="4" t="s">
        <v>23</v>
      </c>
      <c r="N15">
        <v>1</v>
      </c>
    </row>
    <row r="16" spans="1:17" x14ac:dyDescent="0.25">
      <c r="A16" s="4" t="s">
        <v>23</v>
      </c>
      <c r="B16">
        <v>401000000</v>
      </c>
      <c r="M16" s="4" t="s">
        <v>32</v>
      </c>
      <c r="N16">
        <v>1</v>
      </c>
      <c r="O16">
        <v>1</v>
      </c>
    </row>
    <row r="17" spans="1:15" x14ac:dyDescent="0.25">
      <c r="A17" s="4" t="s">
        <v>32</v>
      </c>
      <c r="B17">
        <v>420000000</v>
      </c>
      <c r="C17">
        <v>420000000</v>
      </c>
      <c r="M17" s="3" t="s">
        <v>9</v>
      </c>
    </row>
    <row r="18" spans="1:15" x14ac:dyDescent="0.25">
      <c r="A18" s="3" t="s">
        <v>9</v>
      </c>
      <c r="M18" s="4" t="s">
        <v>19</v>
      </c>
      <c r="N18">
        <v>1</v>
      </c>
    </row>
    <row r="19" spans="1:15" x14ac:dyDescent="0.25">
      <c r="A19" s="4" t="s">
        <v>19</v>
      </c>
      <c r="B19">
        <v>402500000</v>
      </c>
      <c r="M19" s="3" t="s">
        <v>10</v>
      </c>
    </row>
    <row r="20" spans="1:15" x14ac:dyDescent="0.25">
      <c r="A20" s="3" t="s">
        <v>10</v>
      </c>
      <c r="M20" s="4" t="s">
        <v>27</v>
      </c>
      <c r="N20">
        <v>1</v>
      </c>
    </row>
    <row r="21" spans="1:15" x14ac:dyDescent="0.25">
      <c r="A21" s="4" t="s">
        <v>27</v>
      </c>
      <c r="B21">
        <v>405000000</v>
      </c>
      <c r="M21" s="3" t="s">
        <v>5</v>
      </c>
    </row>
    <row r="22" spans="1:15" x14ac:dyDescent="0.25">
      <c r="A22" s="3" t="s">
        <v>5</v>
      </c>
      <c r="M22" s="4" t="s">
        <v>27</v>
      </c>
      <c r="O22">
        <v>1</v>
      </c>
    </row>
    <row r="23" spans="1:15" x14ac:dyDescent="0.25">
      <c r="A23" s="4" t="s">
        <v>27</v>
      </c>
      <c r="C23">
        <v>405000000</v>
      </c>
      <c r="M23" s="3" t="s">
        <v>4</v>
      </c>
    </row>
    <row r="24" spans="1:15" x14ac:dyDescent="0.25">
      <c r="A24" s="3" t="s">
        <v>4</v>
      </c>
      <c r="M24" s="4" t="s">
        <v>30</v>
      </c>
      <c r="N24">
        <v>1</v>
      </c>
      <c r="O24">
        <v>1</v>
      </c>
    </row>
    <row r="25" spans="1:15" x14ac:dyDescent="0.25">
      <c r="A25" s="4" t="s">
        <v>30</v>
      </c>
      <c r="B25">
        <v>403000000</v>
      </c>
      <c r="C25">
        <v>403000000</v>
      </c>
      <c r="M25" s="3" t="s">
        <v>3</v>
      </c>
    </row>
    <row r="26" spans="1:15" x14ac:dyDescent="0.25">
      <c r="A26" s="3" t="s">
        <v>3</v>
      </c>
      <c r="M26" s="4" t="s">
        <v>31</v>
      </c>
      <c r="N26">
        <v>1</v>
      </c>
      <c r="O26">
        <v>1</v>
      </c>
    </row>
    <row r="27" spans="1:15" x14ac:dyDescent="0.25">
      <c r="A27" s="4" t="s">
        <v>31</v>
      </c>
      <c r="B27">
        <v>397000000</v>
      </c>
      <c r="C27">
        <v>397000000</v>
      </c>
      <c r="M27" s="3" t="s">
        <v>2</v>
      </c>
    </row>
    <row r="28" spans="1:15" x14ac:dyDescent="0.25">
      <c r="A28" s="3" t="s">
        <v>2</v>
      </c>
      <c r="M28" s="4" t="s">
        <v>28</v>
      </c>
      <c r="N28">
        <v>1</v>
      </c>
    </row>
    <row r="29" spans="1:15" x14ac:dyDescent="0.25">
      <c r="A29" s="4" t="s">
        <v>28</v>
      </c>
      <c r="B29">
        <v>392000000</v>
      </c>
      <c r="M29" s="3" t="s">
        <v>1</v>
      </c>
    </row>
    <row r="30" spans="1:15" x14ac:dyDescent="0.25">
      <c r="A30" s="3" t="s">
        <v>1</v>
      </c>
      <c r="M30" s="4" t="s">
        <v>26</v>
      </c>
      <c r="N30">
        <v>1</v>
      </c>
    </row>
    <row r="31" spans="1:15" x14ac:dyDescent="0.25">
      <c r="A31" s="4" t="s">
        <v>26</v>
      </c>
      <c r="B31">
        <v>309000000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ADCB4-0E93-43BE-8EB7-D91F3F805192}">
  <sheetPr codeName="Sheet3"/>
  <dimension ref="A1:BEJ1740"/>
  <sheetViews>
    <sheetView tabSelected="1" topLeftCell="G1" zoomScaleNormal="100" workbookViewId="0">
      <selection activeCell="O14" sqref="O14"/>
    </sheetView>
  </sheetViews>
  <sheetFormatPr defaultRowHeight="15" x14ac:dyDescent="0.25"/>
  <cols>
    <col min="1" max="1" width="26.5703125" customWidth="1"/>
    <col min="2" max="2" width="17.5703125" customWidth="1"/>
    <col min="3" max="3" width="11.140625" customWidth="1"/>
    <col min="4" max="4" width="15.140625" customWidth="1"/>
    <col min="5" max="5" width="14.28515625" customWidth="1"/>
    <col min="6" max="6" width="27.42578125" customWidth="1"/>
    <col min="7" max="7" width="16.140625" customWidth="1"/>
    <col min="8" max="8" width="13" customWidth="1"/>
    <col min="9" max="10" width="11.7109375" customWidth="1"/>
    <col min="11" max="11" width="13.85546875" customWidth="1"/>
    <col min="12" max="12" width="16.85546875" customWidth="1"/>
    <col min="13" max="13" width="11.5703125" customWidth="1"/>
    <col min="14" max="14" width="9.7109375" customWidth="1"/>
    <col min="15" max="15" width="11.140625" customWidth="1"/>
    <col min="16" max="17" width="11" customWidth="1"/>
    <col min="18" max="18" width="19.5703125" customWidth="1"/>
    <col min="19" max="19" width="29.7109375" customWidth="1"/>
    <col min="20" max="20" width="26.140625" customWidth="1"/>
    <col min="21" max="21" width="18" style="45" bestFit="1" customWidth="1"/>
    <col min="23" max="23" width="16.42578125" customWidth="1"/>
    <col min="25" max="25" width="15" bestFit="1" customWidth="1"/>
    <col min="26" max="26" width="9.140625" style="46"/>
  </cols>
  <sheetData>
    <row r="1" spans="1:26" x14ac:dyDescent="0.25">
      <c r="A1" s="14" t="s">
        <v>39</v>
      </c>
      <c r="B1" s="15" t="s">
        <v>40</v>
      </c>
      <c r="C1" s="15" t="s">
        <v>41</v>
      </c>
      <c r="D1" s="15" t="s">
        <v>42</v>
      </c>
      <c r="E1" s="15" t="s">
        <v>43</v>
      </c>
      <c r="F1" s="15" t="s">
        <v>44</v>
      </c>
      <c r="G1" s="15" t="s">
        <v>45</v>
      </c>
      <c r="H1" s="15" t="s">
        <v>46</v>
      </c>
      <c r="I1" s="15" t="s">
        <v>47</v>
      </c>
      <c r="J1" s="15" t="s">
        <v>48</v>
      </c>
      <c r="K1" s="15" t="s">
        <v>49</v>
      </c>
      <c r="L1" s="15" t="s">
        <v>50</v>
      </c>
      <c r="M1" s="15" t="s">
        <v>51</v>
      </c>
      <c r="N1" s="15" t="s">
        <v>52</v>
      </c>
      <c r="O1" s="15" t="s">
        <v>53</v>
      </c>
      <c r="P1" s="15" t="s">
        <v>9746</v>
      </c>
      <c r="Q1" s="15" t="s">
        <v>9747</v>
      </c>
      <c r="R1" s="15" t="s">
        <v>9748</v>
      </c>
      <c r="S1" s="16" t="s">
        <v>54</v>
      </c>
      <c r="T1" s="22" t="s">
        <v>55</v>
      </c>
      <c r="U1" s="45" t="s">
        <v>56</v>
      </c>
      <c r="V1" s="22" t="s">
        <v>57</v>
      </c>
      <c r="W1" s="22" t="s">
        <v>58</v>
      </c>
      <c r="X1" s="22" t="s">
        <v>59</v>
      </c>
      <c r="Y1" s="22" t="s">
        <v>60</v>
      </c>
    </row>
    <row r="2" spans="1:26" x14ac:dyDescent="0.25">
      <c r="A2" s="21" t="s">
        <v>61</v>
      </c>
      <c r="B2" s="19" t="s">
        <v>62</v>
      </c>
      <c r="C2" s="19">
        <v>573</v>
      </c>
      <c r="D2" s="19" t="s">
        <v>63</v>
      </c>
      <c r="E2" s="19" t="s">
        <v>64</v>
      </c>
      <c r="F2" s="19" t="s">
        <v>65</v>
      </c>
      <c r="G2" s="19" t="s">
        <v>66</v>
      </c>
      <c r="H2" s="19">
        <v>999999</v>
      </c>
      <c r="I2" s="19">
        <v>1390</v>
      </c>
      <c r="J2" s="19">
        <v>12490031409</v>
      </c>
      <c r="K2" s="19" t="s">
        <v>67</v>
      </c>
      <c r="L2" s="19" t="s">
        <v>68</v>
      </c>
      <c r="M2" s="19" t="s">
        <v>69</v>
      </c>
      <c r="N2" s="19">
        <v>57301</v>
      </c>
      <c r="O2" s="19" t="s">
        <v>70</v>
      </c>
      <c r="P2" s="19"/>
      <c r="Q2" s="19" t="s">
        <v>71</v>
      </c>
      <c r="R2" s="49" t="s">
        <v>72</v>
      </c>
      <c r="S2" t="s">
        <v>73</v>
      </c>
      <c r="T2" s="6">
        <v>70000000</v>
      </c>
      <c r="U2" s="45">
        <f>VLOOKUP(B2,realPrices!C:G,5,0)</f>
        <v>101000000</v>
      </c>
      <c r="W2" t="str">
        <f t="shared" ref="W2:W65" si="0">M2&amp;I2</f>
        <v>SE XU71390</v>
      </c>
      <c r="X2" t="e">
        <f>VLOOKUP(W2,Sheet10!D:F,2,0)*10000000</f>
        <v>#N/A</v>
      </c>
      <c r="Y2" t="s">
        <v>74</v>
      </c>
    </row>
    <row r="3" spans="1:26" x14ac:dyDescent="0.25">
      <c r="A3" s="21" t="s">
        <v>75</v>
      </c>
      <c r="B3" s="19" t="s">
        <v>76</v>
      </c>
      <c r="C3" s="19">
        <v>164</v>
      </c>
      <c r="D3" s="19" t="s">
        <v>77</v>
      </c>
      <c r="E3" s="19" t="s">
        <v>78</v>
      </c>
      <c r="F3" s="19" t="s">
        <v>65</v>
      </c>
      <c r="G3" s="19"/>
      <c r="H3" s="19">
        <v>999999</v>
      </c>
      <c r="I3" s="19">
        <v>1394</v>
      </c>
      <c r="J3" s="19" t="s">
        <v>79</v>
      </c>
      <c r="K3" s="19" t="s">
        <v>80</v>
      </c>
      <c r="L3" s="19" t="s">
        <v>81</v>
      </c>
      <c r="M3" s="19" t="s">
        <v>82</v>
      </c>
      <c r="N3" s="19">
        <v>16401</v>
      </c>
      <c r="O3" s="19" t="s">
        <v>83</v>
      </c>
      <c r="P3" s="19"/>
      <c r="Q3" s="19" t="s">
        <v>84</v>
      </c>
      <c r="R3" s="49" t="s">
        <v>85</v>
      </c>
      <c r="S3" t="s">
        <v>86</v>
      </c>
      <c r="T3" s="6">
        <v>250000000</v>
      </c>
      <c r="U3" s="45">
        <f>VLOOKUP(B3,realPrices!C:G,5,0)</f>
        <v>388900000</v>
      </c>
      <c r="W3" t="str">
        <f t="shared" si="0"/>
        <v>PU1 OHVG CNG1394</v>
      </c>
      <c r="X3" t="e">
        <f>VLOOKUP(W3,Sheet10!D:F,2,0)*10000000</f>
        <v>#N/A</v>
      </c>
      <c r="Y3" t="s">
        <v>74</v>
      </c>
      <c r="Z3"/>
    </row>
    <row r="4" spans="1:26" x14ac:dyDescent="0.25">
      <c r="A4" s="21" t="s">
        <v>87</v>
      </c>
      <c r="B4" s="19" t="s">
        <v>88</v>
      </c>
      <c r="C4" s="19">
        <v>322</v>
      </c>
      <c r="D4" s="19" t="s">
        <v>63</v>
      </c>
      <c r="E4" s="19" t="s">
        <v>64</v>
      </c>
      <c r="F4" s="19" t="s">
        <v>65</v>
      </c>
      <c r="G4" s="19"/>
      <c r="H4" s="19">
        <v>2377</v>
      </c>
      <c r="I4" s="19">
        <v>1399</v>
      </c>
      <c r="J4" s="19" t="s">
        <v>89</v>
      </c>
      <c r="K4" s="19" t="s">
        <v>90</v>
      </c>
      <c r="L4" s="19" t="s">
        <v>91</v>
      </c>
      <c r="M4" s="19" t="s">
        <v>92</v>
      </c>
      <c r="N4" s="19">
        <v>32201</v>
      </c>
      <c r="O4" s="19" t="s">
        <v>70</v>
      </c>
      <c r="P4" s="19"/>
      <c r="Q4" s="19" t="s">
        <v>93</v>
      </c>
      <c r="R4" s="49" t="s">
        <v>94</v>
      </c>
      <c r="S4" t="s">
        <v>95</v>
      </c>
      <c r="T4" s="6">
        <v>300000000</v>
      </c>
      <c r="U4" s="45">
        <f>VLOOKUP(B4,realPrices!C:G,5,0)</f>
        <v>568900000</v>
      </c>
      <c r="W4" t="str">
        <f t="shared" si="0"/>
        <v>TARA TU5P1399</v>
      </c>
      <c r="X4" t="e">
        <f>VLOOKUP(W4,Sheet10!D:F,2,0)*10000000</f>
        <v>#N/A</v>
      </c>
      <c r="Y4" t="s">
        <v>74</v>
      </c>
    </row>
    <row r="5" spans="1:26" x14ac:dyDescent="0.25">
      <c r="A5" s="21" t="s">
        <v>96</v>
      </c>
      <c r="B5" s="19">
        <v>22103755</v>
      </c>
      <c r="C5" s="19">
        <v>153</v>
      </c>
      <c r="D5" s="19" t="s">
        <v>97</v>
      </c>
      <c r="E5" s="19" t="s">
        <v>64</v>
      </c>
      <c r="F5" s="19" t="s">
        <v>98</v>
      </c>
      <c r="G5" s="19" t="s">
        <v>99</v>
      </c>
      <c r="H5" s="19">
        <v>25858</v>
      </c>
      <c r="I5" s="19">
        <v>1385</v>
      </c>
      <c r="J5" s="19">
        <v>11285038325</v>
      </c>
      <c r="K5" s="19" t="s">
        <v>100</v>
      </c>
      <c r="L5" s="19" t="s">
        <v>101</v>
      </c>
      <c r="M5" s="19" t="s">
        <v>102</v>
      </c>
      <c r="N5" s="19">
        <v>540</v>
      </c>
      <c r="O5" s="19" t="s">
        <v>83</v>
      </c>
      <c r="P5" s="19"/>
      <c r="Q5" s="19" t="s">
        <v>103</v>
      </c>
      <c r="R5" s="49" t="s">
        <v>104</v>
      </c>
      <c r="S5" t="s">
        <v>105</v>
      </c>
      <c r="T5" s="6">
        <v>400000000</v>
      </c>
      <c r="U5" s="45">
        <f>VLOOKUP(B5,realPrices!C:G,5,0)</f>
        <v>999999999</v>
      </c>
      <c r="W5" t="str">
        <f t="shared" si="0"/>
        <v>1600i1385</v>
      </c>
      <c r="X5" t="e">
        <f>VLOOKUP(W5,Sheet10!D:F,2,0)*10000000</f>
        <v>#N/A</v>
      </c>
      <c r="Y5" t="s">
        <v>74</v>
      </c>
      <c r="Z5"/>
    </row>
    <row r="6" spans="1:26" x14ac:dyDescent="0.25">
      <c r="A6" s="21" t="s">
        <v>106</v>
      </c>
      <c r="B6" s="19">
        <v>82901531</v>
      </c>
      <c r="C6" s="19">
        <v>153</v>
      </c>
      <c r="D6" s="19" t="s">
        <v>97</v>
      </c>
      <c r="E6" s="19" t="s">
        <v>64</v>
      </c>
      <c r="F6" s="19" t="s">
        <v>98</v>
      </c>
      <c r="G6" s="19" t="s">
        <v>107</v>
      </c>
      <c r="H6" s="19">
        <v>131923</v>
      </c>
      <c r="I6" s="19">
        <v>1382</v>
      </c>
      <c r="J6" s="19">
        <v>2038201549</v>
      </c>
      <c r="K6" s="19" t="s">
        <v>108</v>
      </c>
      <c r="L6" s="19" t="s">
        <v>109</v>
      </c>
      <c r="M6" s="19" t="s">
        <v>110</v>
      </c>
      <c r="N6" s="19">
        <v>2</v>
      </c>
      <c r="O6" s="19" t="s">
        <v>83</v>
      </c>
      <c r="P6" s="19"/>
      <c r="Q6" s="19" t="s">
        <v>111</v>
      </c>
      <c r="R6" s="49" t="s">
        <v>112</v>
      </c>
      <c r="S6" t="s">
        <v>113</v>
      </c>
      <c r="T6" s="6">
        <v>400000000</v>
      </c>
      <c r="U6" s="45">
        <f>VLOOKUP(B6,realPrices!C:G,5,0)</f>
        <v>912000000</v>
      </c>
      <c r="W6" t="str">
        <f t="shared" si="0"/>
        <v>معمولي1382</v>
      </c>
      <c r="X6" t="e">
        <f>VLOOKUP(W6,Sheet10!D:F,2,0)*10000000</f>
        <v>#N/A</v>
      </c>
      <c r="Y6" t="s">
        <v>114</v>
      </c>
      <c r="Z6"/>
    </row>
    <row r="7" spans="1:26" x14ac:dyDescent="0.25">
      <c r="A7" s="21" t="s">
        <v>115</v>
      </c>
      <c r="B7" s="19">
        <v>31003309</v>
      </c>
      <c r="C7" s="19">
        <v>155</v>
      </c>
      <c r="D7" s="19" t="s">
        <v>116</v>
      </c>
      <c r="E7" s="19" t="s">
        <v>64</v>
      </c>
      <c r="F7" s="19" t="s">
        <v>98</v>
      </c>
      <c r="G7" s="19" t="s">
        <v>107</v>
      </c>
      <c r="H7" s="19">
        <v>47764</v>
      </c>
      <c r="I7" s="19">
        <v>1386</v>
      </c>
      <c r="J7" s="19">
        <v>11486018657</v>
      </c>
      <c r="K7" s="19" t="s">
        <v>117</v>
      </c>
      <c r="L7" s="19" t="s">
        <v>118</v>
      </c>
      <c r="M7" s="19" t="s">
        <v>119</v>
      </c>
      <c r="N7" s="19">
        <v>15520</v>
      </c>
      <c r="O7" s="19" t="s">
        <v>83</v>
      </c>
      <c r="P7" s="19"/>
      <c r="Q7" s="19" t="s">
        <v>120</v>
      </c>
      <c r="R7" s="49" t="s">
        <v>121</v>
      </c>
      <c r="S7" t="s">
        <v>122</v>
      </c>
      <c r="T7" s="6">
        <v>450000000</v>
      </c>
      <c r="U7" s="45">
        <f>VLOOKUP(B7,realPrices!C:G,5,0)</f>
        <v>1189000000</v>
      </c>
      <c r="W7" t="str">
        <f t="shared" si="0"/>
        <v>BARDO OHV1386</v>
      </c>
      <c r="X7" t="e">
        <f>VLOOKUP(W7,Sheet10!D:F,2,0)*10000000</f>
        <v>#N/A</v>
      </c>
      <c r="Y7" t="s">
        <v>114</v>
      </c>
      <c r="Z7"/>
    </row>
    <row r="8" spans="1:26" x14ac:dyDescent="0.25">
      <c r="A8" s="21" t="s">
        <v>123</v>
      </c>
      <c r="B8" s="19">
        <v>31666895</v>
      </c>
      <c r="C8" s="19">
        <v>156</v>
      </c>
      <c r="D8" s="19" t="s">
        <v>97</v>
      </c>
      <c r="E8" s="19" t="s">
        <v>78</v>
      </c>
      <c r="F8" s="19" t="s">
        <v>98</v>
      </c>
      <c r="G8" s="19" t="s">
        <v>99</v>
      </c>
      <c r="H8" s="19">
        <v>43923</v>
      </c>
      <c r="I8" s="19">
        <v>1386</v>
      </c>
      <c r="J8" s="19">
        <v>11486069367</v>
      </c>
      <c r="K8" s="19" t="s">
        <v>124</v>
      </c>
      <c r="L8" s="19" t="s">
        <v>125</v>
      </c>
      <c r="M8" s="19" t="s">
        <v>126</v>
      </c>
      <c r="N8" s="19">
        <v>15605</v>
      </c>
      <c r="O8" s="19" t="s">
        <v>83</v>
      </c>
      <c r="P8" s="19"/>
      <c r="Q8" s="19" t="s">
        <v>127</v>
      </c>
      <c r="R8" s="49" t="s">
        <v>128</v>
      </c>
      <c r="S8" t="s">
        <v>129</v>
      </c>
      <c r="T8" s="6">
        <v>500000000</v>
      </c>
      <c r="U8" s="45">
        <f>VLOOKUP(B8,realPrices!C:G,5,0)</f>
        <v>989999999</v>
      </c>
      <c r="W8" t="str">
        <f t="shared" si="0"/>
        <v>OHV CNG1386</v>
      </c>
      <c r="X8" t="e">
        <f>VLOOKUP(W8,Sheet10!D:F,2,0)*10000000</f>
        <v>#N/A</v>
      </c>
      <c r="Y8" t="s">
        <v>74</v>
      </c>
    </row>
    <row r="9" spans="1:26" x14ac:dyDescent="0.25">
      <c r="A9" s="21" t="s">
        <v>130</v>
      </c>
      <c r="B9" s="19">
        <v>83341282</v>
      </c>
      <c r="C9" s="19">
        <v>245</v>
      </c>
      <c r="D9" s="19" t="s">
        <v>131</v>
      </c>
      <c r="E9" s="19" t="s">
        <v>64</v>
      </c>
      <c r="F9" s="19" t="s">
        <v>98</v>
      </c>
      <c r="G9" s="19" t="s">
        <v>99</v>
      </c>
      <c r="H9" s="19">
        <v>143579</v>
      </c>
      <c r="I9" s="19">
        <v>1383</v>
      </c>
      <c r="J9" s="19">
        <v>12483173575</v>
      </c>
      <c r="K9" s="19" t="s">
        <v>132</v>
      </c>
      <c r="L9" s="19" t="s">
        <v>133</v>
      </c>
      <c r="M9" s="19" t="s">
        <v>110</v>
      </c>
      <c r="N9" s="19">
        <v>2</v>
      </c>
      <c r="O9" s="19" t="s">
        <v>70</v>
      </c>
      <c r="P9" s="19"/>
      <c r="Q9" s="19" t="s">
        <v>111</v>
      </c>
      <c r="R9" s="49" t="s">
        <v>134</v>
      </c>
      <c r="S9" t="s">
        <v>135</v>
      </c>
      <c r="T9" s="6">
        <v>500000000</v>
      </c>
      <c r="U9" s="45">
        <f>VLOOKUP(B9,realPrices!C:G,5,0)</f>
        <v>1155555555</v>
      </c>
      <c r="W9" t="str">
        <f t="shared" si="0"/>
        <v>معمولي1383</v>
      </c>
      <c r="X9" t="e">
        <f>VLOOKUP(W9,Sheet10!D:F,2,0)*10000000</f>
        <v>#N/A</v>
      </c>
      <c r="Y9" t="s">
        <v>74</v>
      </c>
    </row>
    <row r="10" spans="1:26" x14ac:dyDescent="0.25">
      <c r="A10" s="21" t="s">
        <v>136</v>
      </c>
      <c r="B10" s="19" t="s">
        <v>137</v>
      </c>
      <c r="C10" s="19">
        <v>256</v>
      </c>
      <c r="D10" s="19" t="s">
        <v>77</v>
      </c>
      <c r="E10" s="19" t="s">
        <v>64</v>
      </c>
      <c r="F10" s="19" t="s">
        <v>98</v>
      </c>
      <c r="G10" s="19" t="s">
        <v>107</v>
      </c>
      <c r="H10" s="19">
        <v>74102</v>
      </c>
      <c r="I10" s="19">
        <v>1388</v>
      </c>
      <c r="J10" s="19">
        <v>12487271976</v>
      </c>
      <c r="K10" s="19" t="s">
        <v>138</v>
      </c>
      <c r="L10" s="19" t="s">
        <v>139</v>
      </c>
      <c r="M10" s="19" t="s">
        <v>140</v>
      </c>
      <c r="N10" s="19">
        <v>25602</v>
      </c>
      <c r="O10" s="19" t="s">
        <v>70</v>
      </c>
      <c r="P10" s="19"/>
      <c r="Q10" s="19" t="s">
        <v>141</v>
      </c>
      <c r="R10" s="49" t="s">
        <v>142</v>
      </c>
      <c r="S10" t="s">
        <v>143</v>
      </c>
      <c r="T10" s="6">
        <v>500000000</v>
      </c>
      <c r="U10" s="45">
        <f>VLOOKUP(B10,realPrices!C:G,5,0)</f>
        <v>1552000000</v>
      </c>
      <c r="W10" t="str">
        <f t="shared" si="0"/>
        <v>405 GLX XU71388</v>
      </c>
      <c r="X10" t="e">
        <f>VLOOKUP(W10,Sheet10!D:F,2,0)*10000000</f>
        <v>#N/A</v>
      </c>
      <c r="Y10" t="s">
        <v>114</v>
      </c>
      <c r="Z10"/>
    </row>
    <row r="11" spans="1:26" x14ac:dyDescent="0.25">
      <c r="A11" s="21" t="s">
        <v>144</v>
      </c>
      <c r="B11" s="19" t="s">
        <v>145</v>
      </c>
      <c r="C11" s="19">
        <v>155</v>
      </c>
      <c r="D11" s="19" t="s">
        <v>146</v>
      </c>
      <c r="E11" s="19" t="s">
        <v>64</v>
      </c>
      <c r="F11" s="19" t="s">
        <v>98</v>
      </c>
      <c r="G11" s="19" t="s">
        <v>107</v>
      </c>
      <c r="H11" s="19">
        <v>33278</v>
      </c>
      <c r="I11" s="19">
        <v>1391</v>
      </c>
      <c r="J11" s="19" t="s">
        <v>147</v>
      </c>
      <c r="K11" s="19" t="s">
        <v>148</v>
      </c>
      <c r="L11" s="19" t="s">
        <v>149</v>
      </c>
      <c r="M11" s="19" t="s">
        <v>119</v>
      </c>
      <c r="N11" s="19">
        <v>15504</v>
      </c>
      <c r="O11" s="19" t="s">
        <v>83</v>
      </c>
      <c r="P11" s="19"/>
      <c r="Q11" s="19" t="s">
        <v>150</v>
      </c>
      <c r="R11" s="49" t="s">
        <v>151</v>
      </c>
      <c r="S11" t="s">
        <v>152</v>
      </c>
      <c r="T11" s="6">
        <v>500000000</v>
      </c>
      <c r="U11" s="45">
        <f>VLOOKUP(B11,realPrices!C:G,5,0)</f>
        <v>1555600000</v>
      </c>
      <c r="W11" t="str">
        <f t="shared" si="0"/>
        <v>BARDO OHV1391</v>
      </c>
      <c r="X11">
        <f>VLOOKUP(W11,Sheet10!D:F,2,0)*10000000</f>
        <v>0</v>
      </c>
      <c r="Y11" t="s">
        <v>114</v>
      </c>
      <c r="Z11"/>
    </row>
    <row r="12" spans="1:26" x14ac:dyDescent="0.25">
      <c r="A12" s="21" t="s">
        <v>153</v>
      </c>
      <c r="B12" s="19" t="s">
        <v>154</v>
      </c>
      <c r="C12" s="19">
        <v>322</v>
      </c>
      <c r="D12" s="19" t="s">
        <v>77</v>
      </c>
      <c r="E12" s="19" t="s">
        <v>64</v>
      </c>
      <c r="F12" s="19" t="s">
        <v>65</v>
      </c>
      <c r="G12" s="19"/>
      <c r="H12" s="19">
        <v>999999</v>
      </c>
      <c r="I12" s="19">
        <v>1399</v>
      </c>
      <c r="J12" s="19" t="s">
        <v>155</v>
      </c>
      <c r="K12" s="19" t="s">
        <v>156</v>
      </c>
      <c r="L12" s="19" t="s">
        <v>157</v>
      </c>
      <c r="M12" s="19" t="s">
        <v>92</v>
      </c>
      <c r="N12" s="19">
        <v>32201</v>
      </c>
      <c r="O12" s="19" t="s">
        <v>70</v>
      </c>
      <c r="P12" s="19"/>
      <c r="Q12" s="19" t="s">
        <v>93</v>
      </c>
      <c r="R12" s="49" t="s">
        <v>158</v>
      </c>
      <c r="S12" t="s">
        <v>159</v>
      </c>
      <c r="T12" s="6">
        <v>500000000</v>
      </c>
      <c r="U12" s="45">
        <f>VLOOKUP(B12,realPrices!C:G,5,0)</f>
        <v>738900000</v>
      </c>
      <c r="W12" t="str">
        <f t="shared" si="0"/>
        <v>TARA TU5P1399</v>
      </c>
      <c r="X12" t="e">
        <f>VLOOKUP(W12,Sheet10!D:F,2,0)*10000000</f>
        <v>#N/A</v>
      </c>
      <c r="Y12" t="s">
        <v>74</v>
      </c>
      <c r="Z12"/>
    </row>
    <row r="13" spans="1:26" x14ac:dyDescent="0.25">
      <c r="A13" s="21" t="s">
        <v>160</v>
      </c>
      <c r="B13" s="19" t="s">
        <v>161</v>
      </c>
      <c r="C13" s="19">
        <v>156</v>
      </c>
      <c r="D13" s="19" t="s">
        <v>162</v>
      </c>
      <c r="E13" s="19" t="s">
        <v>78</v>
      </c>
      <c r="F13" s="19" t="s">
        <v>98</v>
      </c>
      <c r="G13" s="19" t="s">
        <v>107</v>
      </c>
      <c r="H13" s="19">
        <v>29814</v>
      </c>
      <c r="I13" s="19">
        <v>1393</v>
      </c>
      <c r="J13" s="19" t="s">
        <v>163</v>
      </c>
      <c r="K13" s="19" t="s">
        <v>164</v>
      </c>
      <c r="L13" s="19" t="s">
        <v>165</v>
      </c>
      <c r="M13" s="19" t="s">
        <v>126</v>
      </c>
      <c r="N13" s="19">
        <v>15611</v>
      </c>
      <c r="O13" s="19" t="s">
        <v>83</v>
      </c>
      <c r="P13" s="19"/>
      <c r="Q13" s="19" t="s">
        <v>166</v>
      </c>
      <c r="R13" s="49" t="s">
        <v>167</v>
      </c>
      <c r="S13" t="s">
        <v>168</v>
      </c>
      <c r="T13" s="6">
        <v>600000000</v>
      </c>
      <c r="U13" s="45">
        <f>VLOOKUP(B13,realPrices!C:G,5,0)</f>
        <v>1655555555</v>
      </c>
      <c r="W13" t="str">
        <f t="shared" si="0"/>
        <v>OHV CNG1393</v>
      </c>
      <c r="X13">
        <f>VLOOKUP(W13,Sheet10!D:F,2,0)*10000000</f>
        <v>0</v>
      </c>
      <c r="Y13" t="s">
        <v>114</v>
      </c>
    </row>
    <row r="14" spans="1:26" x14ac:dyDescent="0.25">
      <c r="A14" s="21" t="s">
        <v>169</v>
      </c>
      <c r="B14" s="19" t="s">
        <v>170</v>
      </c>
      <c r="C14" s="19">
        <v>156</v>
      </c>
      <c r="D14" s="19" t="s">
        <v>162</v>
      </c>
      <c r="E14" s="19" t="s">
        <v>78</v>
      </c>
      <c r="F14" s="19" t="s">
        <v>98</v>
      </c>
      <c r="G14" s="19" t="s">
        <v>107</v>
      </c>
      <c r="H14" s="19">
        <v>18474</v>
      </c>
      <c r="I14" s="19">
        <v>1392</v>
      </c>
      <c r="J14" s="19" t="s">
        <v>171</v>
      </c>
      <c r="K14" s="19" t="s">
        <v>172</v>
      </c>
      <c r="L14" s="19" t="s">
        <v>173</v>
      </c>
      <c r="M14" s="19" t="s">
        <v>126</v>
      </c>
      <c r="N14" s="19">
        <v>15610</v>
      </c>
      <c r="O14" s="19" t="s">
        <v>83</v>
      </c>
      <c r="P14" s="19"/>
      <c r="Q14" s="19" t="s">
        <v>174</v>
      </c>
      <c r="R14" s="49" t="s">
        <v>175</v>
      </c>
      <c r="S14" t="s">
        <v>176</v>
      </c>
      <c r="T14" s="6">
        <v>650000000</v>
      </c>
      <c r="U14" s="45">
        <f>VLOOKUP(B14,realPrices!C:G,5,0)</f>
        <v>1665555555</v>
      </c>
      <c r="W14" t="str">
        <f t="shared" si="0"/>
        <v>OHV CNG1392</v>
      </c>
      <c r="X14">
        <f>VLOOKUP(W14,Sheet10!D:F,2,0)*10000000</f>
        <v>0</v>
      </c>
      <c r="Y14" t="s">
        <v>114</v>
      </c>
      <c r="Z14"/>
    </row>
    <row r="15" spans="1:26" x14ac:dyDescent="0.25">
      <c r="A15" s="21" t="s">
        <v>177</v>
      </c>
      <c r="B15" s="19">
        <v>40414546</v>
      </c>
      <c r="C15" s="19">
        <v>272</v>
      </c>
      <c r="D15" s="19" t="s">
        <v>178</v>
      </c>
      <c r="E15" s="19" t="s">
        <v>78</v>
      </c>
      <c r="F15" s="19" t="s">
        <v>98</v>
      </c>
      <c r="G15" s="19" t="s">
        <v>99</v>
      </c>
      <c r="H15" s="19">
        <v>200151</v>
      </c>
      <c r="I15" s="19">
        <v>1386</v>
      </c>
      <c r="J15" s="19">
        <v>12486036480</v>
      </c>
      <c r="K15" s="19" t="s">
        <v>179</v>
      </c>
      <c r="L15" s="19" t="s">
        <v>180</v>
      </c>
      <c r="M15" s="19" t="s">
        <v>181</v>
      </c>
      <c r="N15" s="19">
        <v>534</v>
      </c>
      <c r="O15" s="19" t="s">
        <v>70</v>
      </c>
      <c r="P15" s="19"/>
      <c r="Q15" s="19" t="s">
        <v>182</v>
      </c>
      <c r="R15" s="49" t="s">
        <v>183</v>
      </c>
      <c r="S15" t="s">
        <v>184</v>
      </c>
      <c r="T15" s="6">
        <v>700000000</v>
      </c>
      <c r="U15" s="45">
        <f>VLOOKUP(B15,realPrices!C:G,5,0)</f>
        <v>1210000000</v>
      </c>
      <c r="W15" t="str">
        <f t="shared" si="0"/>
        <v>405GLX XU7 CNG1386</v>
      </c>
      <c r="X15" t="e">
        <f>VLOOKUP(W15,Sheet10!D:F,2,0)*10000000</f>
        <v>#N/A</v>
      </c>
      <c r="Y15" t="s">
        <v>74</v>
      </c>
    </row>
    <row r="16" spans="1:26" x14ac:dyDescent="0.25">
      <c r="A16" s="21" t="s">
        <v>185</v>
      </c>
      <c r="B16" s="19" t="s">
        <v>186</v>
      </c>
      <c r="C16" s="19">
        <v>256</v>
      </c>
      <c r="D16" s="19" t="s">
        <v>178</v>
      </c>
      <c r="E16" s="19" t="s">
        <v>64</v>
      </c>
      <c r="F16" s="19" t="s">
        <v>98</v>
      </c>
      <c r="G16" s="19" t="s">
        <v>99</v>
      </c>
      <c r="H16" s="19">
        <v>181095</v>
      </c>
      <c r="I16" s="19">
        <v>1387</v>
      </c>
      <c r="J16" s="19">
        <v>12487204051</v>
      </c>
      <c r="K16" s="19" t="s">
        <v>187</v>
      </c>
      <c r="L16" s="19" t="s">
        <v>188</v>
      </c>
      <c r="M16" s="19" t="s">
        <v>140</v>
      </c>
      <c r="N16" s="19">
        <v>25602</v>
      </c>
      <c r="O16" s="19" t="s">
        <v>70</v>
      </c>
      <c r="P16" s="19"/>
      <c r="Q16" s="19" t="s">
        <v>141</v>
      </c>
      <c r="R16" s="49" t="s">
        <v>189</v>
      </c>
      <c r="S16" t="s">
        <v>190</v>
      </c>
      <c r="T16" s="6">
        <v>750000000</v>
      </c>
      <c r="U16" s="45">
        <f>VLOOKUP(B16,realPrices!C:G,5,0)</f>
        <v>1279999999</v>
      </c>
      <c r="W16" t="str">
        <f t="shared" si="0"/>
        <v>405 GLX XU71387</v>
      </c>
      <c r="X16" t="e">
        <f>VLOOKUP(W16,Sheet10!D:F,2,0)*10000000</f>
        <v>#N/A</v>
      </c>
      <c r="Y16" t="s">
        <v>74</v>
      </c>
      <c r="Z16"/>
    </row>
    <row r="17" spans="1:26" x14ac:dyDescent="0.25">
      <c r="A17" s="21" t="s">
        <v>191</v>
      </c>
      <c r="B17" s="19" t="s">
        <v>192</v>
      </c>
      <c r="C17" s="19">
        <v>285</v>
      </c>
      <c r="D17" s="19" t="s">
        <v>63</v>
      </c>
      <c r="E17" s="19" t="s">
        <v>64</v>
      </c>
      <c r="F17" s="19" t="s">
        <v>193</v>
      </c>
      <c r="G17" s="19" t="s">
        <v>194</v>
      </c>
      <c r="H17" s="19">
        <v>999999</v>
      </c>
      <c r="I17" s="19">
        <v>1400</v>
      </c>
      <c r="J17" s="19" t="s">
        <v>195</v>
      </c>
      <c r="K17" s="19" t="s">
        <v>196</v>
      </c>
      <c r="L17" s="19" t="s">
        <v>197</v>
      </c>
      <c r="M17" s="19" t="s">
        <v>198</v>
      </c>
      <c r="N17" s="19">
        <v>28520</v>
      </c>
      <c r="O17" s="19" t="s">
        <v>70</v>
      </c>
      <c r="P17" s="19"/>
      <c r="Q17" s="19" t="s">
        <v>199</v>
      </c>
      <c r="R17" s="49" t="s">
        <v>200</v>
      </c>
      <c r="S17" t="s">
        <v>201</v>
      </c>
      <c r="T17" s="6">
        <v>800000000</v>
      </c>
      <c r="U17" s="45">
        <f>VLOOKUP(B17,realPrices!C:G,5,0)</f>
        <v>2330000021</v>
      </c>
      <c r="W17" t="str">
        <f t="shared" si="0"/>
        <v>PARS TU51400</v>
      </c>
      <c r="X17">
        <f>VLOOKUP(W17,Sheet10!D:F,2,0)*10000000</f>
        <v>5100000000</v>
      </c>
      <c r="Y17" t="s">
        <v>74</v>
      </c>
      <c r="Z17"/>
    </row>
    <row r="18" spans="1:26" x14ac:dyDescent="0.25">
      <c r="A18" s="21" t="s">
        <v>202</v>
      </c>
      <c r="B18" s="19" t="s">
        <v>203</v>
      </c>
      <c r="C18" s="19">
        <v>272</v>
      </c>
      <c r="D18" s="19" t="s">
        <v>204</v>
      </c>
      <c r="E18" s="19" t="s">
        <v>78</v>
      </c>
      <c r="F18" s="19" t="s">
        <v>205</v>
      </c>
      <c r="G18" s="19" t="s">
        <v>206</v>
      </c>
      <c r="H18" s="19">
        <v>53198</v>
      </c>
      <c r="I18" s="19">
        <v>1395</v>
      </c>
      <c r="J18" s="19" t="s">
        <v>207</v>
      </c>
      <c r="K18" s="19" t="s">
        <v>208</v>
      </c>
      <c r="L18" s="19" t="s">
        <v>209</v>
      </c>
      <c r="M18" s="19" t="s">
        <v>181</v>
      </c>
      <c r="N18" s="19">
        <v>27228</v>
      </c>
      <c r="O18" s="19" t="s">
        <v>70</v>
      </c>
      <c r="P18" s="19"/>
      <c r="Q18" s="19" t="s">
        <v>210</v>
      </c>
      <c r="R18" s="49" t="s">
        <v>211</v>
      </c>
      <c r="S18" t="s">
        <v>212</v>
      </c>
      <c r="T18" s="6">
        <v>900000000</v>
      </c>
      <c r="U18" s="45">
        <f>VLOOKUP(B18,realPrices!C:G,5,0)</f>
        <v>1589758000</v>
      </c>
      <c r="W18" t="str">
        <f t="shared" si="0"/>
        <v>405GLX XU7 CNG1395</v>
      </c>
      <c r="X18" t="e">
        <f>VLOOKUP(W18,Sheet10!D:F,2,0)*10000000</f>
        <v>#N/A</v>
      </c>
      <c r="Y18" t="s">
        <v>114</v>
      </c>
      <c r="Z18"/>
    </row>
    <row r="19" spans="1:26" x14ac:dyDescent="0.25">
      <c r="A19" s="21" t="s">
        <v>213</v>
      </c>
      <c r="B19" s="19">
        <v>18901034</v>
      </c>
      <c r="C19" s="19">
        <v>274</v>
      </c>
      <c r="D19" s="19" t="s">
        <v>178</v>
      </c>
      <c r="E19" s="19" t="s">
        <v>64</v>
      </c>
      <c r="F19" s="19" t="s">
        <v>98</v>
      </c>
      <c r="G19" s="19" t="s">
        <v>107</v>
      </c>
      <c r="H19" s="19">
        <v>328695</v>
      </c>
      <c r="I19" s="19">
        <v>1385</v>
      </c>
      <c r="J19" s="19" t="s">
        <v>214</v>
      </c>
      <c r="K19" s="19" t="s">
        <v>215</v>
      </c>
      <c r="L19" s="19" t="s">
        <v>216</v>
      </c>
      <c r="M19" s="19" t="s">
        <v>217</v>
      </c>
      <c r="N19" s="19">
        <v>540</v>
      </c>
      <c r="O19" s="19" t="s">
        <v>70</v>
      </c>
      <c r="P19" s="19"/>
      <c r="Q19" s="19" t="s">
        <v>103</v>
      </c>
      <c r="R19" s="49" t="s">
        <v>218</v>
      </c>
      <c r="S19" t="s">
        <v>219</v>
      </c>
      <c r="T19" s="6">
        <v>1000000000</v>
      </c>
      <c r="U19" s="45">
        <f>VLOOKUP(B19,realPrices!C:G,5,0)</f>
        <v>2019999999</v>
      </c>
      <c r="W19" t="str">
        <f t="shared" si="0"/>
        <v>206SD TU51385</v>
      </c>
      <c r="X19" t="e">
        <f>VLOOKUP(W19,Sheet10!D:F,2,0)*10000000</f>
        <v>#N/A</v>
      </c>
      <c r="Y19" t="s">
        <v>114</v>
      </c>
    </row>
    <row r="20" spans="1:26" x14ac:dyDescent="0.25">
      <c r="A20" s="21" t="s">
        <v>220</v>
      </c>
      <c r="B20" s="19" t="s">
        <v>221</v>
      </c>
      <c r="C20" s="19">
        <v>256</v>
      </c>
      <c r="D20" s="19" t="s">
        <v>178</v>
      </c>
      <c r="E20" s="19" t="s">
        <v>64</v>
      </c>
      <c r="F20" s="19" t="s">
        <v>98</v>
      </c>
      <c r="G20" s="19" t="s">
        <v>222</v>
      </c>
      <c r="H20" s="19">
        <v>100076</v>
      </c>
      <c r="I20" s="19">
        <v>1389</v>
      </c>
      <c r="J20" s="19">
        <v>12489204475</v>
      </c>
      <c r="K20" s="19" t="s">
        <v>223</v>
      </c>
      <c r="L20" s="19" t="s">
        <v>224</v>
      </c>
      <c r="M20" s="19" t="s">
        <v>140</v>
      </c>
      <c r="N20" s="19">
        <v>25610</v>
      </c>
      <c r="O20" s="19" t="s">
        <v>70</v>
      </c>
      <c r="P20" s="19"/>
      <c r="Q20" s="19" t="s">
        <v>225</v>
      </c>
      <c r="R20" s="49" t="s">
        <v>226</v>
      </c>
      <c r="S20" t="s">
        <v>227</v>
      </c>
      <c r="T20" s="6">
        <v>1050000000</v>
      </c>
      <c r="U20" s="45">
        <f>VLOOKUP(B20,realPrices!C:G,5,0)</f>
        <v>1810000019</v>
      </c>
      <c r="W20" t="str">
        <f t="shared" si="0"/>
        <v>405 GLX XU71389</v>
      </c>
      <c r="X20">
        <f>VLOOKUP(W20,Sheet10!D:F,2,0)*10000000</f>
        <v>1700000000</v>
      </c>
      <c r="Y20" t="s">
        <v>114</v>
      </c>
    </row>
    <row r="21" spans="1:26" x14ac:dyDescent="0.25">
      <c r="A21" s="21" t="s">
        <v>228</v>
      </c>
      <c r="B21" s="19" t="s">
        <v>229</v>
      </c>
      <c r="C21" s="19">
        <v>560</v>
      </c>
      <c r="D21" s="19" t="s">
        <v>230</v>
      </c>
      <c r="E21" s="19" t="s">
        <v>64</v>
      </c>
      <c r="F21" s="19" t="s">
        <v>98</v>
      </c>
      <c r="G21" s="19" t="s">
        <v>107</v>
      </c>
      <c r="H21" s="19">
        <v>37102</v>
      </c>
      <c r="I21" s="19">
        <v>1386</v>
      </c>
      <c r="J21" s="19" t="s">
        <v>231</v>
      </c>
      <c r="K21" s="19" t="s">
        <v>232</v>
      </c>
      <c r="L21" s="19" t="s">
        <v>233</v>
      </c>
      <c r="M21" s="19" t="s">
        <v>234</v>
      </c>
      <c r="N21" s="19">
        <v>56009</v>
      </c>
      <c r="O21" s="19" t="s">
        <v>70</v>
      </c>
      <c r="P21" s="19"/>
      <c r="Q21" s="19" t="s">
        <v>235</v>
      </c>
      <c r="R21" s="49" t="s">
        <v>236</v>
      </c>
      <c r="S21" t="s">
        <v>237</v>
      </c>
      <c r="T21" s="6">
        <v>1100000000</v>
      </c>
      <c r="U21" s="45">
        <f>VLOOKUP(B21,realPrices!C:G,5,0)</f>
        <v>2418888888</v>
      </c>
      <c r="W21" t="str">
        <f t="shared" si="0"/>
        <v>TONDAR 90 K4M1386</v>
      </c>
      <c r="X21">
        <f>VLOOKUP(W21,Sheet10!D:F,2,0)*10000000</f>
        <v>0</v>
      </c>
      <c r="Y21" t="s">
        <v>114</v>
      </c>
      <c r="Z21"/>
    </row>
    <row r="22" spans="1:26" x14ac:dyDescent="0.25">
      <c r="A22" s="21" t="s">
        <v>238</v>
      </c>
      <c r="B22" s="19" t="s">
        <v>239</v>
      </c>
      <c r="C22" s="19">
        <v>293</v>
      </c>
      <c r="D22" s="19" t="s">
        <v>240</v>
      </c>
      <c r="E22" s="19" t="s">
        <v>64</v>
      </c>
      <c r="F22" s="19" t="s">
        <v>98</v>
      </c>
      <c r="G22" s="19" t="s">
        <v>241</v>
      </c>
      <c r="H22" s="19">
        <v>82532</v>
      </c>
      <c r="I22" s="19">
        <v>1390</v>
      </c>
      <c r="J22" s="19">
        <v>12490071262</v>
      </c>
      <c r="K22" s="19" t="s">
        <v>242</v>
      </c>
      <c r="L22" s="19" t="s">
        <v>243</v>
      </c>
      <c r="M22" s="19" t="s">
        <v>244</v>
      </c>
      <c r="N22" s="19">
        <v>29318</v>
      </c>
      <c r="O22" s="19" t="s">
        <v>70</v>
      </c>
      <c r="P22" s="19"/>
      <c r="Q22" s="19" t="s">
        <v>245</v>
      </c>
      <c r="R22" s="49" t="s">
        <v>246</v>
      </c>
      <c r="S22" t="s">
        <v>247</v>
      </c>
      <c r="T22" s="6">
        <v>1100000000</v>
      </c>
      <c r="U22" s="45">
        <f>VLOOKUP(B22,realPrices!C:G,5,0)</f>
        <v>1917000000</v>
      </c>
      <c r="W22" t="str">
        <f t="shared" si="0"/>
        <v>LX XU71390</v>
      </c>
      <c r="X22">
        <f>VLOOKUP(W22,Sheet10!D:F,2,0)*10000000</f>
        <v>0</v>
      </c>
      <c r="Y22" t="s">
        <v>114</v>
      </c>
    </row>
    <row r="23" spans="1:26" x14ac:dyDescent="0.25">
      <c r="A23" s="21" t="s">
        <v>248</v>
      </c>
      <c r="B23" s="19" t="s">
        <v>249</v>
      </c>
      <c r="C23" s="19">
        <v>220</v>
      </c>
      <c r="D23" s="19" t="s">
        <v>63</v>
      </c>
      <c r="E23" s="19" t="s">
        <v>64</v>
      </c>
      <c r="F23" s="19" t="s">
        <v>98</v>
      </c>
      <c r="G23" s="19" t="s">
        <v>107</v>
      </c>
      <c r="H23" s="19">
        <v>89164</v>
      </c>
      <c r="I23" s="19">
        <v>1392</v>
      </c>
      <c r="J23" s="19" t="s">
        <v>250</v>
      </c>
      <c r="K23" s="19" t="s">
        <v>251</v>
      </c>
      <c r="L23" s="19" t="s">
        <v>252</v>
      </c>
      <c r="M23" s="19" t="s">
        <v>253</v>
      </c>
      <c r="N23" s="19">
        <v>22005</v>
      </c>
      <c r="O23" s="19" t="s">
        <v>70</v>
      </c>
      <c r="P23" s="19"/>
      <c r="Q23" s="19" t="s">
        <v>254</v>
      </c>
      <c r="R23" s="49" t="s">
        <v>255</v>
      </c>
      <c r="S23" t="s">
        <v>256</v>
      </c>
      <c r="T23" s="6">
        <v>1300000000</v>
      </c>
      <c r="U23" s="45">
        <f>VLOOKUP(B23,realPrices!C:G,5,0)</f>
        <v>2766000000</v>
      </c>
      <c r="W23" t="str">
        <f t="shared" si="0"/>
        <v>405 TU5 SLX1392</v>
      </c>
      <c r="X23" t="e">
        <f>VLOOKUP(W23,Sheet10!D:F,2,0)*10000000</f>
        <v>#N/A</v>
      </c>
      <c r="Y23" t="s">
        <v>114</v>
      </c>
    </row>
    <row r="24" spans="1:26" x14ac:dyDescent="0.25">
      <c r="A24" s="21" t="s">
        <v>257</v>
      </c>
      <c r="B24" s="19" t="s">
        <v>258</v>
      </c>
      <c r="C24" s="19">
        <v>275</v>
      </c>
      <c r="D24" s="19" t="s">
        <v>259</v>
      </c>
      <c r="E24" s="19" t="s">
        <v>64</v>
      </c>
      <c r="F24" s="19" t="s">
        <v>98</v>
      </c>
      <c r="G24" s="19" t="s">
        <v>260</v>
      </c>
      <c r="H24" s="19">
        <v>274640</v>
      </c>
      <c r="I24" s="19">
        <v>1390</v>
      </c>
      <c r="J24" s="19">
        <v>15290009184</v>
      </c>
      <c r="K24" s="19" t="s">
        <v>261</v>
      </c>
      <c r="L24" s="19" t="s">
        <v>262</v>
      </c>
      <c r="M24" s="19" t="s">
        <v>263</v>
      </c>
      <c r="N24" s="19">
        <v>27501</v>
      </c>
      <c r="O24" s="19" t="s">
        <v>70</v>
      </c>
      <c r="P24" s="19"/>
      <c r="Q24" s="19" t="s">
        <v>264</v>
      </c>
      <c r="R24" s="49" t="s">
        <v>265</v>
      </c>
      <c r="S24" t="s">
        <v>266</v>
      </c>
      <c r="T24" s="6">
        <v>1350000000</v>
      </c>
      <c r="U24" s="45">
        <f>VLOOKUP(B24,realPrices!C:G,5,0)</f>
        <v>2310000000</v>
      </c>
      <c r="W24" t="str">
        <f t="shared" si="0"/>
        <v>206SD TU5 A1390</v>
      </c>
      <c r="X24">
        <f>VLOOKUP(W24,Sheet10!D:F,2,0)*10000000</f>
        <v>3300000000</v>
      </c>
      <c r="Y24" t="s">
        <v>74</v>
      </c>
      <c r="Z24"/>
    </row>
    <row r="25" spans="1:26" x14ac:dyDescent="0.25">
      <c r="A25" s="21" t="s">
        <v>267</v>
      </c>
      <c r="B25" s="19" t="s">
        <v>268</v>
      </c>
      <c r="C25" s="19">
        <v>291</v>
      </c>
      <c r="D25" s="19" t="s">
        <v>63</v>
      </c>
      <c r="E25" s="19" t="s">
        <v>78</v>
      </c>
      <c r="F25" s="19" t="s">
        <v>98</v>
      </c>
      <c r="G25" s="19" t="s">
        <v>107</v>
      </c>
      <c r="H25" s="19">
        <v>40281</v>
      </c>
      <c r="I25" s="19">
        <v>1396</v>
      </c>
      <c r="J25" s="19" t="s">
        <v>269</v>
      </c>
      <c r="K25" s="19" t="s">
        <v>270</v>
      </c>
      <c r="L25" s="19" t="s">
        <v>271</v>
      </c>
      <c r="M25" s="19" t="s">
        <v>272</v>
      </c>
      <c r="N25" s="19">
        <v>29119</v>
      </c>
      <c r="O25" s="19" t="s">
        <v>70</v>
      </c>
      <c r="P25" s="19"/>
      <c r="Q25" s="19" t="s">
        <v>273</v>
      </c>
      <c r="R25" s="49" t="s">
        <v>274</v>
      </c>
      <c r="S25" t="s">
        <v>275</v>
      </c>
      <c r="T25" s="6">
        <v>1500000000</v>
      </c>
      <c r="U25" s="45">
        <f>VLOOKUP(B25,realPrices!C:G,5,0)</f>
        <v>2712200000</v>
      </c>
      <c r="W25" t="str">
        <f t="shared" si="0"/>
        <v>LX EF7 CNG1396</v>
      </c>
      <c r="X25" t="e">
        <f>VLOOKUP(W25,Sheet10!D:F,2,0)*10000000</f>
        <v>#N/A</v>
      </c>
      <c r="Y25" t="s">
        <v>74</v>
      </c>
      <c r="Z25"/>
    </row>
    <row r="26" spans="1:26" x14ac:dyDescent="0.25">
      <c r="A26" s="21" t="s">
        <v>276</v>
      </c>
      <c r="B26" s="19" t="s">
        <v>277</v>
      </c>
      <c r="C26" s="19">
        <v>272</v>
      </c>
      <c r="D26" s="19" t="s">
        <v>178</v>
      </c>
      <c r="E26" s="19" t="s">
        <v>78</v>
      </c>
      <c r="F26" s="19" t="s">
        <v>98</v>
      </c>
      <c r="G26" s="19" t="s">
        <v>278</v>
      </c>
      <c r="H26" s="19">
        <v>134556</v>
      </c>
      <c r="I26" s="19">
        <v>1392</v>
      </c>
      <c r="J26" s="19" t="s">
        <v>279</v>
      </c>
      <c r="K26" s="19" t="s">
        <v>280</v>
      </c>
      <c r="L26" s="19" t="s">
        <v>281</v>
      </c>
      <c r="M26" s="19" t="s">
        <v>181</v>
      </c>
      <c r="N26" s="19">
        <v>27212</v>
      </c>
      <c r="O26" s="19" t="s">
        <v>70</v>
      </c>
      <c r="P26" s="19"/>
      <c r="Q26" s="19" t="s">
        <v>282</v>
      </c>
      <c r="R26" s="49" t="s">
        <v>283</v>
      </c>
      <c r="S26" t="s">
        <v>284</v>
      </c>
      <c r="T26" s="6">
        <v>1500000000</v>
      </c>
      <c r="U26" s="45">
        <f>VLOOKUP(B26,realPrices!C:G,5,0)</f>
        <v>2499890000</v>
      </c>
      <c r="W26" t="str">
        <f t="shared" si="0"/>
        <v>405GLX XU7 CNG1392</v>
      </c>
      <c r="X26">
        <f>VLOOKUP(W26,Sheet10!D:F,2,0)*10000000</f>
        <v>2200000000</v>
      </c>
      <c r="Y26" t="s">
        <v>114</v>
      </c>
      <c r="Z26"/>
    </row>
    <row r="27" spans="1:26" x14ac:dyDescent="0.25">
      <c r="A27" s="21" t="s">
        <v>285</v>
      </c>
      <c r="B27" s="19" t="s">
        <v>286</v>
      </c>
      <c r="C27" s="19">
        <v>272</v>
      </c>
      <c r="D27" s="19" t="s">
        <v>240</v>
      </c>
      <c r="E27" s="19" t="s">
        <v>78</v>
      </c>
      <c r="F27" s="19" t="s">
        <v>98</v>
      </c>
      <c r="G27" s="19" t="s">
        <v>287</v>
      </c>
      <c r="H27" s="19">
        <v>153981</v>
      </c>
      <c r="I27" s="19">
        <v>1393</v>
      </c>
      <c r="J27" s="19" t="s">
        <v>288</v>
      </c>
      <c r="K27" s="19" t="s">
        <v>289</v>
      </c>
      <c r="L27" s="19" t="s">
        <v>290</v>
      </c>
      <c r="M27" s="19" t="s">
        <v>181</v>
      </c>
      <c r="N27" s="19">
        <v>27222</v>
      </c>
      <c r="O27" s="19" t="s">
        <v>70</v>
      </c>
      <c r="P27" s="19"/>
      <c r="Q27" s="19" t="s">
        <v>291</v>
      </c>
      <c r="R27" s="49" t="s">
        <v>292</v>
      </c>
      <c r="S27" t="s">
        <v>293</v>
      </c>
      <c r="T27" s="6">
        <v>1550000000</v>
      </c>
      <c r="U27" s="45">
        <f>VLOOKUP(B27,realPrices!C:G,5,0)</f>
        <v>2431119000</v>
      </c>
      <c r="W27" t="str">
        <f t="shared" si="0"/>
        <v>405GLX XU7 CNG1393</v>
      </c>
      <c r="X27">
        <f>VLOOKUP(W27,Sheet10!D:F,2,0)*10000000</f>
        <v>2450000000</v>
      </c>
      <c r="Y27" t="s">
        <v>114</v>
      </c>
      <c r="Z27"/>
    </row>
    <row r="28" spans="1:26" x14ac:dyDescent="0.25">
      <c r="A28" s="21" t="s">
        <v>257</v>
      </c>
      <c r="B28" s="19" t="s">
        <v>258</v>
      </c>
      <c r="C28" s="19">
        <v>275</v>
      </c>
      <c r="D28" s="19" t="s">
        <v>259</v>
      </c>
      <c r="E28" s="19" t="s">
        <v>64</v>
      </c>
      <c r="F28" s="19" t="s">
        <v>98</v>
      </c>
      <c r="G28" s="19" t="s">
        <v>260</v>
      </c>
      <c r="H28" s="19">
        <v>274640</v>
      </c>
      <c r="I28" s="19">
        <v>1390</v>
      </c>
      <c r="J28" s="19">
        <v>15290009184</v>
      </c>
      <c r="K28" s="19" t="s">
        <v>294</v>
      </c>
      <c r="L28" s="19" t="s">
        <v>262</v>
      </c>
      <c r="M28" s="19" t="s">
        <v>263</v>
      </c>
      <c r="N28" s="19">
        <v>27501</v>
      </c>
      <c r="O28" s="19" t="s">
        <v>70</v>
      </c>
      <c r="P28" s="19"/>
      <c r="Q28" s="19" t="s">
        <v>264</v>
      </c>
      <c r="R28" s="49" t="s">
        <v>265</v>
      </c>
      <c r="S28" t="s">
        <v>295</v>
      </c>
      <c r="T28" s="6">
        <v>1580000000</v>
      </c>
      <c r="U28" s="45">
        <f>VLOOKUP(B28,realPrices!C:G,5,0)</f>
        <v>2310000000</v>
      </c>
      <c r="W28" t="str">
        <f t="shared" si="0"/>
        <v>206SD TU5 A1390</v>
      </c>
      <c r="X28">
        <f>VLOOKUP(W28,Sheet10!D:F,2,0)*10000000</f>
        <v>3300000000</v>
      </c>
      <c r="Y28" t="s">
        <v>114</v>
      </c>
    </row>
    <row r="29" spans="1:26" x14ac:dyDescent="0.25">
      <c r="A29" s="21" t="s">
        <v>296</v>
      </c>
      <c r="B29" s="19" t="s">
        <v>297</v>
      </c>
      <c r="C29" s="19">
        <v>723</v>
      </c>
      <c r="D29" s="19" t="s">
        <v>63</v>
      </c>
      <c r="E29" s="19" t="s">
        <v>64</v>
      </c>
      <c r="F29" s="19" t="s">
        <v>205</v>
      </c>
      <c r="G29" s="19" t="s">
        <v>298</v>
      </c>
      <c r="H29" s="19">
        <v>999999</v>
      </c>
      <c r="I29" s="19">
        <v>1396</v>
      </c>
      <c r="J29" s="19" t="s">
        <v>299</v>
      </c>
      <c r="K29" s="19" t="s">
        <v>300</v>
      </c>
      <c r="L29" s="19" t="s">
        <v>301</v>
      </c>
      <c r="M29" s="19" t="s">
        <v>302</v>
      </c>
      <c r="N29" s="19">
        <v>72301</v>
      </c>
      <c r="O29" s="19" t="s">
        <v>303</v>
      </c>
      <c r="P29" s="19"/>
      <c r="Q29" s="19" t="s">
        <v>304</v>
      </c>
      <c r="R29" s="49" t="s">
        <v>305</v>
      </c>
      <c r="S29" t="s">
        <v>306</v>
      </c>
      <c r="T29" s="6">
        <v>1600000000</v>
      </c>
      <c r="U29" s="45">
        <f>VLOOKUP(B29,realPrices!C:G,5,0)</f>
        <v>2106700000</v>
      </c>
      <c r="W29" t="str">
        <f t="shared" si="0"/>
        <v>H30 TU5 A1396</v>
      </c>
      <c r="X29" t="e">
        <f>VLOOKUP(W29,Sheet10!D:F,2,0)*10000000</f>
        <v>#N/A</v>
      </c>
      <c r="Y29" t="s">
        <v>74</v>
      </c>
    </row>
    <row r="30" spans="1:26" x14ac:dyDescent="0.25">
      <c r="A30" s="21" t="s">
        <v>307</v>
      </c>
      <c r="B30" s="19" t="s">
        <v>308</v>
      </c>
      <c r="C30" s="19">
        <v>282</v>
      </c>
      <c r="D30" s="19" t="s">
        <v>240</v>
      </c>
      <c r="E30" s="19" t="s">
        <v>64</v>
      </c>
      <c r="F30" s="19" t="s">
        <v>98</v>
      </c>
      <c r="G30" s="19" t="s">
        <v>107</v>
      </c>
      <c r="H30" s="19">
        <v>60760</v>
      </c>
      <c r="I30" s="19">
        <v>1392</v>
      </c>
      <c r="J30" s="19" t="s">
        <v>309</v>
      </c>
      <c r="K30" s="19" t="s">
        <v>310</v>
      </c>
      <c r="L30" s="19" t="s">
        <v>311</v>
      </c>
      <c r="M30" s="19" t="s">
        <v>312</v>
      </c>
      <c r="N30" s="19">
        <v>28213</v>
      </c>
      <c r="O30" s="19" t="s">
        <v>70</v>
      </c>
      <c r="P30" s="19"/>
      <c r="Q30" s="19" t="s">
        <v>313</v>
      </c>
      <c r="R30" s="49" t="s">
        <v>314</v>
      </c>
      <c r="S30" t="s">
        <v>315</v>
      </c>
      <c r="T30" s="6">
        <v>1600000000</v>
      </c>
      <c r="U30" s="45">
        <f>VLOOKUP(B30,realPrices!C:G,5,0)</f>
        <v>2999999999</v>
      </c>
      <c r="W30" t="str">
        <f t="shared" si="0"/>
        <v>PARS XU71392</v>
      </c>
      <c r="X30" t="e">
        <f>VLOOKUP(W30,Sheet10!D:F,2,0)*10000000</f>
        <v>#N/A</v>
      </c>
      <c r="Y30" t="s">
        <v>114</v>
      </c>
      <c r="Z30"/>
    </row>
    <row r="31" spans="1:26" x14ac:dyDescent="0.25">
      <c r="A31" s="21" t="s">
        <v>316</v>
      </c>
      <c r="B31" s="19" t="s">
        <v>317</v>
      </c>
      <c r="C31" s="19">
        <v>610</v>
      </c>
      <c r="D31" s="19" t="s">
        <v>63</v>
      </c>
      <c r="E31" s="19" t="s">
        <v>64</v>
      </c>
      <c r="F31" s="19" t="s">
        <v>318</v>
      </c>
      <c r="G31" s="19"/>
      <c r="H31" s="19">
        <v>3</v>
      </c>
      <c r="I31" s="19">
        <v>1401</v>
      </c>
      <c r="J31" s="19" t="s">
        <v>319</v>
      </c>
      <c r="K31" s="19" t="s">
        <v>320</v>
      </c>
      <c r="L31" s="19"/>
      <c r="M31" s="19" t="s">
        <v>321</v>
      </c>
      <c r="N31" s="19">
        <v>61015</v>
      </c>
      <c r="O31" s="19" t="s">
        <v>70</v>
      </c>
      <c r="P31" s="19"/>
      <c r="Q31" s="19" t="s">
        <v>322</v>
      </c>
      <c r="R31" s="49" t="s">
        <v>323</v>
      </c>
      <c r="S31" t="s">
        <v>324</v>
      </c>
      <c r="T31" s="6">
        <v>1600000000</v>
      </c>
      <c r="U31" s="45">
        <f>VLOOKUP(B31,realPrices!C:G,5,0)</f>
        <v>2736000000</v>
      </c>
      <c r="W31" t="str">
        <f t="shared" si="0"/>
        <v>TU51401</v>
      </c>
      <c r="X31">
        <f>VLOOKUP(W31,Sheet10!D:F,2,0)*10000000</f>
        <v>4450000000</v>
      </c>
      <c r="Y31" t="s">
        <v>74</v>
      </c>
      <c r="Z31"/>
    </row>
    <row r="32" spans="1:26" x14ac:dyDescent="0.25">
      <c r="A32" s="21" t="s">
        <v>325</v>
      </c>
      <c r="B32" s="19" t="s">
        <v>326</v>
      </c>
      <c r="C32" s="19">
        <v>260</v>
      </c>
      <c r="D32" s="19" t="s">
        <v>63</v>
      </c>
      <c r="E32" s="19" t="s">
        <v>64</v>
      </c>
      <c r="F32" s="19" t="s">
        <v>318</v>
      </c>
      <c r="G32" s="19"/>
      <c r="H32" s="19">
        <v>8</v>
      </c>
      <c r="I32" s="19">
        <v>1401</v>
      </c>
      <c r="J32" s="19" t="s">
        <v>327</v>
      </c>
      <c r="K32" s="19" t="s">
        <v>328</v>
      </c>
      <c r="L32" s="19"/>
      <c r="M32" s="19" t="s">
        <v>329</v>
      </c>
      <c r="N32" s="19">
        <v>26031</v>
      </c>
      <c r="O32" s="19" t="s">
        <v>303</v>
      </c>
      <c r="P32" s="19"/>
      <c r="Q32" s="19" t="s">
        <v>330</v>
      </c>
      <c r="R32" s="49" t="s">
        <v>331</v>
      </c>
      <c r="S32" t="s">
        <v>332</v>
      </c>
      <c r="T32" s="6">
        <v>1700000000</v>
      </c>
      <c r="U32" s="45">
        <f>VLOOKUP(B32,realPrices!C:G,5,0)</f>
        <v>2850000000</v>
      </c>
      <c r="W32" t="str">
        <f t="shared" si="0"/>
        <v>206TU31401</v>
      </c>
      <c r="X32" t="e">
        <f>VLOOKUP(W32,Sheet10!D:F,2,0)*10000000</f>
        <v>#N/A</v>
      </c>
      <c r="Y32" t="s">
        <v>114</v>
      </c>
      <c r="Z32"/>
    </row>
    <row r="33" spans="1:26" x14ac:dyDescent="0.25">
      <c r="A33" s="21" t="s">
        <v>333</v>
      </c>
      <c r="B33" s="19" t="s">
        <v>334</v>
      </c>
      <c r="C33" s="19">
        <v>293</v>
      </c>
      <c r="D33" s="19" t="s">
        <v>63</v>
      </c>
      <c r="E33" s="19" t="s">
        <v>64</v>
      </c>
      <c r="F33" s="19" t="s">
        <v>98</v>
      </c>
      <c r="G33" s="19" t="s">
        <v>335</v>
      </c>
      <c r="H33" s="19">
        <v>165265</v>
      </c>
      <c r="I33" s="19">
        <v>1392</v>
      </c>
      <c r="J33" s="19" t="s">
        <v>336</v>
      </c>
      <c r="K33" s="19" t="s">
        <v>337</v>
      </c>
      <c r="L33" s="19" t="s">
        <v>338</v>
      </c>
      <c r="M33" s="19" t="s">
        <v>244</v>
      </c>
      <c r="N33" s="19">
        <v>29335</v>
      </c>
      <c r="O33" s="19" t="s">
        <v>70</v>
      </c>
      <c r="P33" s="19"/>
      <c r="Q33" s="19" t="s">
        <v>339</v>
      </c>
      <c r="R33" s="49" t="s">
        <v>340</v>
      </c>
      <c r="S33" t="s">
        <v>341</v>
      </c>
      <c r="T33" s="6">
        <v>1700000000</v>
      </c>
      <c r="U33" s="45">
        <f>VLOOKUP(B33,realPrices!C:G,5,0)</f>
        <v>2140596399</v>
      </c>
      <c r="W33" t="str">
        <f t="shared" si="0"/>
        <v>LX XU71392</v>
      </c>
      <c r="X33" t="e">
        <f>VLOOKUP(W33,Sheet10!D:F,2,0)*10000000</f>
        <v>#N/A</v>
      </c>
      <c r="Y33" t="s">
        <v>114</v>
      </c>
      <c r="Z33"/>
    </row>
    <row r="34" spans="1:26" x14ac:dyDescent="0.25">
      <c r="A34" s="21" t="s">
        <v>316</v>
      </c>
      <c r="B34" s="19" t="s">
        <v>342</v>
      </c>
      <c r="C34" s="19">
        <v>610</v>
      </c>
      <c r="D34" s="19" t="s">
        <v>63</v>
      </c>
      <c r="E34" s="19" t="s">
        <v>64</v>
      </c>
      <c r="F34" s="19" t="s">
        <v>318</v>
      </c>
      <c r="G34" s="19"/>
      <c r="H34" s="19">
        <v>59</v>
      </c>
      <c r="I34" s="19">
        <v>1401</v>
      </c>
      <c r="J34" s="19" t="s">
        <v>343</v>
      </c>
      <c r="K34" s="19" t="s">
        <v>344</v>
      </c>
      <c r="L34" s="19"/>
      <c r="M34" s="19" t="s">
        <v>321</v>
      </c>
      <c r="N34" s="19">
        <v>61015</v>
      </c>
      <c r="O34" s="19" t="s">
        <v>70</v>
      </c>
      <c r="P34" s="19"/>
      <c r="Q34" s="19" t="s">
        <v>322</v>
      </c>
      <c r="R34" s="49" t="s">
        <v>345</v>
      </c>
      <c r="S34" t="s">
        <v>346</v>
      </c>
      <c r="T34" s="6">
        <v>1700000000</v>
      </c>
      <c r="U34" s="45">
        <f>VLOOKUP(B34,realPrices!C:G,5,0)</f>
        <v>2751414141</v>
      </c>
      <c r="W34" t="str">
        <f t="shared" si="0"/>
        <v>TU51401</v>
      </c>
      <c r="X34">
        <f>VLOOKUP(W34,Sheet10!D:F,2,0)*10000000</f>
        <v>4450000000</v>
      </c>
      <c r="Y34" t="s">
        <v>74</v>
      </c>
      <c r="Z34"/>
    </row>
    <row r="35" spans="1:26" x14ac:dyDescent="0.25">
      <c r="A35" s="21" t="s">
        <v>325</v>
      </c>
      <c r="B35" s="19" t="s">
        <v>347</v>
      </c>
      <c r="C35" s="19">
        <v>260</v>
      </c>
      <c r="D35" s="19" t="s">
        <v>63</v>
      </c>
      <c r="E35" s="19" t="s">
        <v>64</v>
      </c>
      <c r="F35" s="19" t="s">
        <v>318</v>
      </c>
      <c r="G35" s="19"/>
      <c r="H35" s="19">
        <v>8</v>
      </c>
      <c r="I35" s="19">
        <v>1401</v>
      </c>
      <c r="J35" s="19" t="s">
        <v>348</v>
      </c>
      <c r="K35" s="19" t="s">
        <v>349</v>
      </c>
      <c r="L35" s="19"/>
      <c r="M35" s="19" t="s">
        <v>329</v>
      </c>
      <c r="N35" s="19">
        <v>26031</v>
      </c>
      <c r="O35" s="19" t="s">
        <v>303</v>
      </c>
      <c r="P35" s="19"/>
      <c r="Q35" s="19" t="s">
        <v>330</v>
      </c>
      <c r="R35" s="49" t="s">
        <v>350</v>
      </c>
      <c r="S35" t="s">
        <v>351</v>
      </c>
      <c r="T35" s="6">
        <v>1750000000</v>
      </c>
      <c r="U35" s="45">
        <f>VLOOKUP(B35,realPrices!C:G,5,0)</f>
        <v>2490000000</v>
      </c>
      <c r="W35" t="str">
        <f t="shared" si="0"/>
        <v>206TU31401</v>
      </c>
      <c r="X35" t="e">
        <f>VLOOKUP(W35,Sheet10!D:F,2,0)*10000000</f>
        <v>#N/A</v>
      </c>
      <c r="Y35" t="s">
        <v>114</v>
      </c>
    </row>
    <row r="36" spans="1:26" x14ac:dyDescent="0.25">
      <c r="A36" s="21" t="s">
        <v>352</v>
      </c>
      <c r="B36" s="19" t="s">
        <v>353</v>
      </c>
      <c r="C36" s="19">
        <v>256</v>
      </c>
      <c r="D36" s="19" t="s">
        <v>178</v>
      </c>
      <c r="E36" s="19" t="s">
        <v>64</v>
      </c>
      <c r="F36" s="19" t="s">
        <v>98</v>
      </c>
      <c r="G36" s="19" t="s">
        <v>222</v>
      </c>
      <c r="H36" s="19">
        <v>220151</v>
      </c>
      <c r="I36" s="19">
        <v>1396</v>
      </c>
      <c r="J36" s="19" t="s">
        <v>354</v>
      </c>
      <c r="K36" s="19" t="s">
        <v>355</v>
      </c>
      <c r="L36" s="19" t="s">
        <v>356</v>
      </c>
      <c r="M36" s="19" t="s">
        <v>140</v>
      </c>
      <c r="N36" s="19">
        <v>25634</v>
      </c>
      <c r="O36" s="19" t="s">
        <v>70</v>
      </c>
      <c r="P36" s="19"/>
      <c r="Q36" s="19" t="s">
        <v>357</v>
      </c>
      <c r="R36" s="49" t="s">
        <v>358</v>
      </c>
      <c r="S36" t="s">
        <v>359</v>
      </c>
      <c r="T36" s="6">
        <v>1750000000</v>
      </c>
      <c r="U36" s="45">
        <f>VLOOKUP(B36,realPrices!C:G,5,0)</f>
        <v>2625500001</v>
      </c>
      <c r="W36" t="str">
        <f t="shared" si="0"/>
        <v>405 GLX XU71396</v>
      </c>
      <c r="X36" t="e">
        <f>VLOOKUP(W36,Sheet10!D:F,2,0)*10000000</f>
        <v>#N/A</v>
      </c>
      <c r="Y36" t="s">
        <v>114</v>
      </c>
    </row>
    <row r="37" spans="1:26" x14ac:dyDescent="0.25">
      <c r="A37" s="21" t="s">
        <v>360</v>
      </c>
      <c r="B37" s="19" t="s">
        <v>361</v>
      </c>
      <c r="C37" s="19">
        <v>575</v>
      </c>
      <c r="D37" s="19" t="s">
        <v>259</v>
      </c>
      <c r="E37" s="19" t="s">
        <v>64</v>
      </c>
      <c r="F37" s="19" t="s">
        <v>362</v>
      </c>
      <c r="G37" s="19" t="s">
        <v>363</v>
      </c>
      <c r="H37" s="19">
        <v>1135</v>
      </c>
      <c r="I37" s="19">
        <v>1398</v>
      </c>
      <c r="J37" s="19" t="s">
        <v>364</v>
      </c>
      <c r="K37" s="19" t="s">
        <v>365</v>
      </c>
      <c r="L37" s="19" t="s">
        <v>366</v>
      </c>
      <c r="M37" s="19" t="s">
        <v>367</v>
      </c>
      <c r="N37" s="19">
        <v>57518</v>
      </c>
      <c r="O37" s="19" t="s">
        <v>70</v>
      </c>
      <c r="P37" s="19"/>
      <c r="Q37" s="19" t="s">
        <v>368</v>
      </c>
      <c r="R37" s="49" t="s">
        <v>369</v>
      </c>
      <c r="S37" t="s">
        <v>370</v>
      </c>
      <c r="T37" s="6">
        <v>1800000000</v>
      </c>
      <c r="U37" s="45">
        <f>VLOOKUP(B37,realPrices!C:G,5,0)</f>
        <v>2872310000</v>
      </c>
      <c r="W37" t="str">
        <f t="shared" si="0"/>
        <v>SOREN EF71398</v>
      </c>
      <c r="X37">
        <f>VLOOKUP(W37,Sheet10!D:F,2,0)*10000000</f>
        <v>3800000000</v>
      </c>
      <c r="Y37" t="s">
        <v>74</v>
      </c>
    </row>
    <row r="38" spans="1:26" x14ac:dyDescent="0.25">
      <c r="A38" s="21" t="s">
        <v>325</v>
      </c>
      <c r="B38" s="19" t="s">
        <v>371</v>
      </c>
      <c r="C38" s="19">
        <v>260</v>
      </c>
      <c r="D38" s="19" t="s">
        <v>63</v>
      </c>
      <c r="E38" s="19" t="s">
        <v>64</v>
      </c>
      <c r="F38" s="19" t="s">
        <v>318</v>
      </c>
      <c r="G38" s="19"/>
      <c r="H38" s="19">
        <v>5</v>
      </c>
      <c r="I38" s="19">
        <v>1401</v>
      </c>
      <c r="J38" s="19" t="s">
        <v>372</v>
      </c>
      <c r="K38" s="19" t="s">
        <v>373</v>
      </c>
      <c r="L38" s="19"/>
      <c r="M38" s="19" t="s">
        <v>329</v>
      </c>
      <c r="N38" s="19">
        <v>26031</v>
      </c>
      <c r="O38" s="19" t="s">
        <v>303</v>
      </c>
      <c r="P38" s="19"/>
      <c r="Q38" s="19" t="s">
        <v>330</v>
      </c>
      <c r="R38" s="49" t="s">
        <v>374</v>
      </c>
      <c r="S38" t="s">
        <v>375</v>
      </c>
      <c r="T38" s="6">
        <v>1800000000</v>
      </c>
      <c r="U38" s="45">
        <f>VLOOKUP(B38,realPrices!C:G,5,0)</f>
        <v>2774563000</v>
      </c>
      <c r="W38" t="str">
        <f t="shared" si="0"/>
        <v>206TU31401</v>
      </c>
      <c r="X38" t="e">
        <f>VLOOKUP(W38,Sheet10!D:F,2,0)*10000000</f>
        <v>#N/A</v>
      </c>
      <c r="Y38" t="s">
        <v>114</v>
      </c>
    </row>
    <row r="39" spans="1:26" x14ac:dyDescent="0.25">
      <c r="A39" s="21" t="s">
        <v>376</v>
      </c>
      <c r="B39" s="19" t="s">
        <v>377</v>
      </c>
      <c r="C39" s="19">
        <v>164</v>
      </c>
      <c r="D39" s="19" t="s">
        <v>63</v>
      </c>
      <c r="E39" s="19" t="s">
        <v>78</v>
      </c>
      <c r="F39" s="19" t="s">
        <v>362</v>
      </c>
      <c r="G39" s="19"/>
      <c r="H39" s="19">
        <v>26</v>
      </c>
      <c r="I39" s="19">
        <v>1399</v>
      </c>
      <c r="J39" s="19" t="s">
        <v>378</v>
      </c>
      <c r="K39" s="19" t="s">
        <v>379</v>
      </c>
      <c r="L39" s="19" t="s">
        <v>380</v>
      </c>
      <c r="M39" s="19" t="s">
        <v>82</v>
      </c>
      <c r="N39" s="19">
        <v>16404</v>
      </c>
      <c r="O39" s="19" t="s">
        <v>83</v>
      </c>
      <c r="P39" s="19"/>
      <c r="Q39" s="19" t="s">
        <v>381</v>
      </c>
      <c r="R39" s="49" t="s">
        <v>382</v>
      </c>
      <c r="S39" t="s">
        <v>383</v>
      </c>
      <c r="T39" s="6">
        <v>1800000000</v>
      </c>
      <c r="U39" s="45">
        <f>VLOOKUP(B39,realPrices!C:G,5,0)</f>
        <v>2065000000</v>
      </c>
      <c r="W39" t="str">
        <f t="shared" si="0"/>
        <v>PU1 OHVG CNG1399</v>
      </c>
      <c r="X39">
        <f>VLOOKUP(W39,Sheet10!D:F,2,0)*10000000</f>
        <v>2830000000</v>
      </c>
      <c r="Y39" t="s">
        <v>74</v>
      </c>
    </row>
    <row r="40" spans="1:26" x14ac:dyDescent="0.25">
      <c r="A40" s="21" t="s">
        <v>384</v>
      </c>
      <c r="B40" s="19" t="s">
        <v>385</v>
      </c>
      <c r="C40" s="19">
        <v>575</v>
      </c>
      <c r="D40" s="19" t="s">
        <v>63</v>
      </c>
      <c r="E40" s="19" t="s">
        <v>64</v>
      </c>
      <c r="F40" s="19" t="s">
        <v>362</v>
      </c>
      <c r="G40" s="19"/>
      <c r="H40" s="19">
        <v>3081</v>
      </c>
      <c r="I40" s="19">
        <v>1398</v>
      </c>
      <c r="J40" s="19" t="s">
        <v>386</v>
      </c>
      <c r="K40" s="19" t="s">
        <v>387</v>
      </c>
      <c r="L40" s="19" t="s">
        <v>388</v>
      </c>
      <c r="M40" s="19" t="s">
        <v>367</v>
      </c>
      <c r="N40" s="19">
        <v>57518</v>
      </c>
      <c r="O40" s="19" t="s">
        <v>70</v>
      </c>
      <c r="P40" s="19"/>
      <c r="Q40" s="19" t="s">
        <v>368</v>
      </c>
      <c r="R40" s="49" t="s">
        <v>389</v>
      </c>
      <c r="S40" t="s">
        <v>390</v>
      </c>
      <c r="T40" s="6">
        <v>1800000000</v>
      </c>
      <c r="U40" s="45">
        <f>VLOOKUP(B40,realPrices!C:G,5,0)</f>
        <v>2580000000</v>
      </c>
      <c r="W40" t="str">
        <f t="shared" si="0"/>
        <v>SOREN EF71398</v>
      </c>
      <c r="X40">
        <f>VLOOKUP(W40,Sheet10!D:F,2,0)*10000000</f>
        <v>3800000000</v>
      </c>
      <c r="Y40" t="s">
        <v>74</v>
      </c>
    </row>
    <row r="41" spans="1:26" x14ac:dyDescent="0.25">
      <c r="A41" s="21" t="s">
        <v>316</v>
      </c>
      <c r="B41" s="19" t="s">
        <v>391</v>
      </c>
      <c r="C41" s="19">
        <v>610</v>
      </c>
      <c r="D41" s="19" t="s">
        <v>63</v>
      </c>
      <c r="E41" s="19" t="s">
        <v>64</v>
      </c>
      <c r="F41" s="19" t="s">
        <v>318</v>
      </c>
      <c r="G41" s="19"/>
      <c r="H41" s="19">
        <v>20</v>
      </c>
      <c r="I41" s="19">
        <v>1401</v>
      </c>
      <c r="J41" s="19" t="s">
        <v>392</v>
      </c>
      <c r="K41" s="19" t="s">
        <v>393</v>
      </c>
      <c r="L41" s="19"/>
      <c r="M41" s="19" t="s">
        <v>321</v>
      </c>
      <c r="N41" s="19">
        <v>61015</v>
      </c>
      <c r="O41" s="19" t="s">
        <v>70</v>
      </c>
      <c r="P41" s="19"/>
      <c r="Q41" s="19" t="s">
        <v>322</v>
      </c>
      <c r="R41" s="49" t="s">
        <v>394</v>
      </c>
      <c r="S41" t="s">
        <v>395</v>
      </c>
      <c r="T41" s="6">
        <v>1800000000</v>
      </c>
      <c r="U41" s="45">
        <f>VLOOKUP(B41,realPrices!C:G,5,0)</f>
        <v>2811111111</v>
      </c>
      <c r="W41" t="str">
        <f t="shared" si="0"/>
        <v>TU51401</v>
      </c>
      <c r="X41">
        <f>VLOOKUP(W41,Sheet10!D:F,2,0)*10000000</f>
        <v>4450000000</v>
      </c>
      <c r="Y41" t="s">
        <v>74</v>
      </c>
    </row>
    <row r="42" spans="1:26" x14ac:dyDescent="0.25">
      <c r="A42" s="21" t="s">
        <v>396</v>
      </c>
      <c r="B42" s="19" t="s">
        <v>397</v>
      </c>
      <c r="C42" s="19">
        <v>351</v>
      </c>
      <c r="D42" s="19" t="s">
        <v>259</v>
      </c>
      <c r="E42" s="19" t="s">
        <v>64</v>
      </c>
      <c r="F42" s="19" t="s">
        <v>318</v>
      </c>
      <c r="G42" s="19"/>
      <c r="H42" s="19">
        <v>100</v>
      </c>
      <c r="I42" s="19">
        <v>1401</v>
      </c>
      <c r="J42" s="19" t="s">
        <v>398</v>
      </c>
      <c r="K42" s="19" t="s">
        <v>399</v>
      </c>
      <c r="L42" s="19"/>
      <c r="M42" s="19" t="s">
        <v>400</v>
      </c>
      <c r="N42" s="19">
        <v>35101</v>
      </c>
      <c r="O42" s="19" t="s">
        <v>70</v>
      </c>
      <c r="P42" s="19"/>
      <c r="Q42" s="19" t="s">
        <v>401</v>
      </c>
      <c r="R42" s="49" t="s">
        <v>402</v>
      </c>
      <c r="S42" t="s">
        <v>403</v>
      </c>
      <c r="T42" s="6">
        <v>1800000000</v>
      </c>
      <c r="U42" s="45">
        <f>VLOOKUP(B42,realPrices!C:G,5,0)</f>
        <v>2633999999</v>
      </c>
      <c r="W42" t="str">
        <f t="shared" si="0"/>
        <v>PARS XU7 P1401</v>
      </c>
      <c r="X42">
        <f>VLOOKUP(W42,Sheet10!D:F,2,0)*10000000</f>
        <v>4500000000</v>
      </c>
      <c r="Y42" t="s">
        <v>74</v>
      </c>
    </row>
    <row r="43" spans="1:26" x14ac:dyDescent="0.25">
      <c r="A43" s="21" t="s">
        <v>404</v>
      </c>
      <c r="B43" s="19" t="s">
        <v>405</v>
      </c>
      <c r="C43" s="19">
        <v>701</v>
      </c>
      <c r="D43" s="19" t="s">
        <v>63</v>
      </c>
      <c r="E43" s="19" t="s">
        <v>64</v>
      </c>
      <c r="F43" s="19" t="s">
        <v>318</v>
      </c>
      <c r="G43" s="19"/>
      <c r="H43" s="19">
        <v>100</v>
      </c>
      <c r="I43" s="19">
        <v>1401</v>
      </c>
      <c r="J43" s="19" t="s">
        <v>406</v>
      </c>
      <c r="K43" s="19" t="s">
        <v>407</v>
      </c>
      <c r="L43" s="19"/>
      <c r="M43" s="19" t="s">
        <v>408</v>
      </c>
      <c r="N43" s="19">
        <v>70117</v>
      </c>
      <c r="O43" s="19" t="s">
        <v>70</v>
      </c>
      <c r="P43" s="19"/>
      <c r="Q43" s="19" t="s">
        <v>409</v>
      </c>
      <c r="R43" s="49" t="s">
        <v>410</v>
      </c>
      <c r="S43" t="s">
        <v>411</v>
      </c>
      <c r="T43" s="6">
        <v>1800000000</v>
      </c>
      <c r="U43" s="45">
        <f>VLOOKUP(B43,realPrices!C:G,5,0)</f>
        <v>2736000000</v>
      </c>
      <c r="W43" t="str">
        <f t="shared" si="0"/>
        <v>DENA EF71401</v>
      </c>
      <c r="X43" t="e">
        <f>VLOOKUP(W43,Sheet10!D:F,2,0)*10000000</f>
        <v>#N/A</v>
      </c>
      <c r="Y43" t="s">
        <v>74</v>
      </c>
    </row>
    <row r="44" spans="1:26" x14ac:dyDescent="0.25">
      <c r="A44" s="21" t="s">
        <v>376</v>
      </c>
      <c r="B44" s="19" t="s">
        <v>412</v>
      </c>
      <c r="C44" s="19">
        <v>164</v>
      </c>
      <c r="D44" s="19" t="s">
        <v>63</v>
      </c>
      <c r="E44" s="19" t="s">
        <v>78</v>
      </c>
      <c r="F44" s="19" t="s">
        <v>362</v>
      </c>
      <c r="G44" s="19" t="s">
        <v>363</v>
      </c>
      <c r="H44" s="19">
        <v>24</v>
      </c>
      <c r="I44" s="19">
        <v>1399</v>
      </c>
      <c r="J44" s="19" t="s">
        <v>413</v>
      </c>
      <c r="K44" s="19" t="s">
        <v>414</v>
      </c>
      <c r="L44" s="19" t="s">
        <v>415</v>
      </c>
      <c r="M44" s="19" t="s">
        <v>82</v>
      </c>
      <c r="N44" s="19">
        <v>16404</v>
      </c>
      <c r="O44" s="19" t="s">
        <v>83</v>
      </c>
      <c r="P44" s="19"/>
      <c r="Q44" s="19" t="s">
        <v>381</v>
      </c>
      <c r="R44" s="49" t="s">
        <v>416</v>
      </c>
      <c r="S44" t="s">
        <v>417</v>
      </c>
      <c r="T44" s="6">
        <v>1900000000</v>
      </c>
      <c r="U44" s="45">
        <f>VLOOKUP(B44,realPrices!C:G,5,0)</f>
        <v>2300000009</v>
      </c>
      <c r="W44" t="str">
        <f t="shared" si="0"/>
        <v>PU1 OHVG CNG1399</v>
      </c>
      <c r="X44">
        <f>VLOOKUP(W44,Sheet10!D:F,2,0)*10000000</f>
        <v>2830000000</v>
      </c>
      <c r="Y44" t="s">
        <v>114</v>
      </c>
      <c r="Z44"/>
    </row>
    <row r="45" spans="1:26" x14ac:dyDescent="0.25">
      <c r="A45" s="21" t="s">
        <v>418</v>
      </c>
      <c r="B45" s="19" t="s">
        <v>419</v>
      </c>
      <c r="C45" s="19">
        <v>291</v>
      </c>
      <c r="D45" s="19" t="s">
        <v>63</v>
      </c>
      <c r="E45" s="19" t="s">
        <v>78</v>
      </c>
      <c r="F45" s="19" t="s">
        <v>420</v>
      </c>
      <c r="G45" s="19" t="s">
        <v>421</v>
      </c>
      <c r="H45" s="19">
        <v>133162</v>
      </c>
      <c r="I45" s="19">
        <v>1397</v>
      </c>
      <c r="J45" s="19" t="s">
        <v>422</v>
      </c>
      <c r="K45" s="19" t="s">
        <v>423</v>
      </c>
      <c r="L45" s="19" t="s">
        <v>424</v>
      </c>
      <c r="M45" s="19" t="s">
        <v>272</v>
      </c>
      <c r="N45" s="19">
        <v>29116</v>
      </c>
      <c r="O45" s="19" t="s">
        <v>70</v>
      </c>
      <c r="P45" s="19"/>
      <c r="Q45" s="19" t="s">
        <v>425</v>
      </c>
      <c r="R45" s="49" t="s">
        <v>426</v>
      </c>
      <c r="S45" t="s">
        <v>427</v>
      </c>
      <c r="T45" s="6">
        <v>1900000000</v>
      </c>
      <c r="U45" s="45">
        <f>VLOOKUP(B45,realPrices!C:G,5,0)</f>
        <v>2560000000</v>
      </c>
      <c r="W45" t="str">
        <f t="shared" si="0"/>
        <v>LX EF7 CNG1397</v>
      </c>
      <c r="X45" t="e">
        <f>VLOOKUP(W45,Sheet10!D:F,2,0)*10000000</f>
        <v>#N/A</v>
      </c>
      <c r="Y45" t="s">
        <v>74</v>
      </c>
    </row>
    <row r="46" spans="1:26" x14ac:dyDescent="0.25">
      <c r="A46" s="21" t="s">
        <v>325</v>
      </c>
      <c r="B46" s="19" t="s">
        <v>428</v>
      </c>
      <c r="C46" s="19">
        <v>260</v>
      </c>
      <c r="D46" s="19" t="s">
        <v>63</v>
      </c>
      <c r="E46" s="19" t="s">
        <v>64</v>
      </c>
      <c r="F46" s="19" t="s">
        <v>318</v>
      </c>
      <c r="G46" s="19"/>
      <c r="H46" s="19">
        <v>100</v>
      </c>
      <c r="I46" s="19">
        <v>1401</v>
      </c>
      <c r="J46" s="19" t="s">
        <v>429</v>
      </c>
      <c r="K46" s="19" t="s">
        <v>430</v>
      </c>
      <c r="L46" s="19"/>
      <c r="M46" s="19" t="s">
        <v>329</v>
      </c>
      <c r="N46" s="19">
        <v>26031</v>
      </c>
      <c r="O46" s="19" t="s">
        <v>303</v>
      </c>
      <c r="P46" s="19"/>
      <c r="Q46" s="19" t="s">
        <v>330</v>
      </c>
      <c r="R46" s="49" t="s">
        <v>431</v>
      </c>
      <c r="S46" t="s">
        <v>432</v>
      </c>
      <c r="T46" s="6">
        <v>1900000000</v>
      </c>
      <c r="U46" s="45">
        <f>VLOOKUP(B46,realPrices!C:G,5,0)</f>
        <v>2655555500</v>
      </c>
      <c r="W46" t="str">
        <f t="shared" si="0"/>
        <v>206TU31401</v>
      </c>
      <c r="X46" t="e">
        <f>VLOOKUP(W46,Sheet10!D:F,2,0)*10000000</f>
        <v>#N/A</v>
      </c>
      <c r="Y46" t="s">
        <v>74</v>
      </c>
    </row>
    <row r="47" spans="1:26" x14ac:dyDescent="0.25">
      <c r="A47" s="21" t="s">
        <v>376</v>
      </c>
      <c r="B47" s="19" t="s">
        <v>433</v>
      </c>
      <c r="C47" s="19">
        <v>164</v>
      </c>
      <c r="D47" s="19" t="s">
        <v>63</v>
      </c>
      <c r="E47" s="19" t="s">
        <v>78</v>
      </c>
      <c r="F47" s="19" t="s">
        <v>362</v>
      </c>
      <c r="G47" s="19" t="s">
        <v>363</v>
      </c>
      <c r="H47" s="19">
        <v>25</v>
      </c>
      <c r="I47" s="19">
        <v>1399</v>
      </c>
      <c r="J47" s="19" t="s">
        <v>434</v>
      </c>
      <c r="K47" s="19" t="s">
        <v>435</v>
      </c>
      <c r="L47" s="19" t="s">
        <v>436</v>
      </c>
      <c r="M47" s="19" t="s">
        <v>82</v>
      </c>
      <c r="N47" s="19">
        <v>16404</v>
      </c>
      <c r="O47" s="19" t="s">
        <v>83</v>
      </c>
      <c r="P47" s="19"/>
      <c r="Q47" s="19" t="s">
        <v>381</v>
      </c>
      <c r="R47" s="49" t="s">
        <v>437</v>
      </c>
      <c r="S47" t="s">
        <v>438</v>
      </c>
      <c r="T47" s="6">
        <v>1950000000</v>
      </c>
      <c r="U47" s="45">
        <f>VLOOKUP(B47,realPrices!C:G,5,0)</f>
        <v>2300000000</v>
      </c>
      <c r="W47" t="str">
        <f t="shared" si="0"/>
        <v>PU1 OHVG CNG1399</v>
      </c>
      <c r="X47">
        <f>VLOOKUP(W47,Sheet10!D:F,2,0)*10000000</f>
        <v>2830000000</v>
      </c>
      <c r="Y47" t="s">
        <v>114</v>
      </c>
    </row>
    <row r="48" spans="1:26" x14ac:dyDescent="0.25">
      <c r="A48" s="21" t="s">
        <v>376</v>
      </c>
      <c r="B48" s="19" t="s">
        <v>439</v>
      </c>
      <c r="C48" s="19">
        <v>164</v>
      </c>
      <c r="D48" s="19" t="s">
        <v>63</v>
      </c>
      <c r="E48" s="19" t="s">
        <v>78</v>
      </c>
      <c r="F48" s="19" t="s">
        <v>362</v>
      </c>
      <c r="G48" s="19" t="s">
        <v>363</v>
      </c>
      <c r="H48" s="19">
        <v>25</v>
      </c>
      <c r="I48" s="19">
        <v>1399</v>
      </c>
      <c r="J48" s="19" t="s">
        <v>440</v>
      </c>
      <c r="K48" s="19" t="s">
        <v>441</v>
      </c>
      <c r="L48" s="19" t="s">
        <v>442</v>
      </c>
      <c r="M48" s="19" t="s">
        <v>82</v>
      </c>
      <c r="N48" s="19">
        <v>16404</v>
      </c>
      <c r="O48" s="19" t="s">
        <v>83</v>
      </c>
      <c r="P48" s="19"/>
      <c r="Q48" s="19" t="s">
        <v>381</v>
      </c>
      <c r="R48" s="49" t="s">
        <v>443</v>
      </c>
      <c r="S48" t="s">
        <v>444</v>
      </c>
      <c r="T48" s="6">
        <v>1950000000</v>
      </c>
      <c r="U48" s="45">
        <f>VLOOKUP(B48,realPrices!C:G,5,0)</f>
        <v>2355000000</v>
      </c>
      <c r="W48" t="str">
        <f t="shared" si="0"/>
        <v>PU1 OHVG CNG1399</v>
      </c>
      <c r="X48">
        <f>VLOOKUP(W48,Sheet10!D:F,2,0)*10000000</f>
        <v>2830000000</v>
      </c>
      <c r="Y48" t="s">
        <v>114</v>
      </c>
      <c r="Z48"/>
    </row>
    <row r="49" spans="1:26" x14ac:dyDescent="0.25">
      <c r="A49" s="21" t="s">
        <v>376</v>
      </c>
      <c r="B49" s="19" t="s">
        <v>445</v>
      </c>
      <c r="C49" s="19">
        <v>164</v>
      </c>
      <c r="D49" s="19" t="s">
        <v>63</v>
      </c>
      <c r="E49" s="19" t="s">
        <v>78</v>
      </c>
      <c r="F49" s="19" t="s">
        <v>362</v>
      </c>
      <c r="G49" s="19" t="s">
        <v>363</v>
      </c>
      <c r="H49" s="19">
        <v>5</v>
      </c>
      <c r="I49" s="19">
        <v>1399</v>
      </c>
      <c r="J49" s="19" t="s">
        <v>446</v>
      </c>
      <c r="K49" s="19" t="s">
        <v>447</v>
      </c>
      <c r="L49" s="19" t="s">
        <v>448</v>
      </c>
      <c r="M49" s="19" t="s">
        <v>82</v>
      </c>
      <c r="N49" s="19">
        <v>16404</v>
      </c>
      <c r="O49" s="19" t="s">
        <v>83</v>
      </c>
      <c r="P49" s="19"/>
      <c r="Q49" s="19" t="s">
        <v>381</v>
      </c>
      <c r="R49" s="49" t="s">
        <v>449</v>
      </c>
      <c r="S49" t="s">
        <v>450</v>
      </c>
      <c r="T49" s="6">
        <v>1950000000</v>
      </c>
      <c r="U49" s="45">
        <f>VLOOKUP(B49,realPrices!C:G,5,0)</f>
        <v>2456000000</v>
      </c>
      <c r="W49" t="str">
        <f t="shared" si="0"/>
        <v>PU1 OHVG CNG1399</v>
      </c>
      <c r="X49">
        <f>VLOOKUP(W49,Sheet10!D:F,2,0)*10000000</f>
        <v>2830000000</v>
      </c>
      <c r="Y49" t="s">
        <v>114</v>
      </c>
    </row>
    <row r="50" spans="1:26" x14ac:dyDescent="0.25">
      <c r="A50" s="21" t="s">
        <v>376</v>
      </c>
      <c r="B50" s="19" t="s">
        <v>451</v>
      </c>
      <c r="C50" s="19">
        <v>164</v>
      </c>
      <c r="D50" s="19" t="s">
        <v>63</v>
      </c>
      <c r="E50" s="19" t="s">
        <v>78</v>
      </c>
      <c r="F50" s="19" t="s">
        <v>362</v>
      </c>
      <c r="G50" s="19" t="s">
        <v>363</v>
      </c>
      <c r="H50" s="19">
        <v>10</v>
      </c>
      <c r="I50" s="19">
        <v>1399</v>
      </c>
      <c r="J50" s="19" t="s">
        <v>452</v>
      </c>
      <c r="K50" s="19" t="s">
        <v>447</v>
      </c>
      <c r="L50" s="19" t="s">
        <v>453</v>
      </c>
      <c r="M50" s="19" t="s">
        <v>82</v>
      </c>
      <c r="N50" s="19">
        <v>16404</v>
      </c>
      <c r="O50" s="19" t="s">
        <v>83</v>
      </c>
      <c r="P50" s="19"/>
      <c r="Q50" s="19" t="s">
        <v>381</v>
      </c>
      <c r="R50" s="49" t="s">
        <v>454</v>
      </c>
      <c r="S50" t="s">
        <v>455</v>
      </c>
      <c r="T50" s="6">
        <v>1950000000</v>
      </c>
      <c r="U50" s="45">
        <f>VLOOKUP(B50,realPrices!C:G,5,0)</f>
        <v>2550999999</v>
      </c>
      <c r="W50" t="str">
        <f t="shared" si="0"/>
        <v>PU1 OHVG CNG1399</v>
      </c>
      <c r="X50">
        <f>VLOOKUP(W50,Sheet10!D:F,2,0)*10000000</f>
        <v>2830000000</v>
      </c>
      <c r="Y50" t="s">
        <v>114</v>
      </c>
    </row>
    <row r="51" spans="1:26" x14ac:dyDescent="0.25">
      <c r="A51" s="21" t="s">
        <v>376</v>
      </c>
      <c r="B51" s="19" t="s">
        <v>456</v>
      </c>
      <c r="C51" s="19">
        <v>164</v>
      </c>
      <c r="D51" s="19" t="s">
        <v>63</v>
      </c>
      <c r="E51" s="19" t="s">
        <v>78</v>
      </c>
      <c r="F51" s="19" t="s">
        <v>362</v>
      </c>
      <c r="G51" s="19" t="s">
        <v>363</v>
      </c>
      <c r="H51" s="19">
        <v>15</v>
      </c>
      <c r="I51" s="19">
        <v>1399</v>
      </c>
      <c r="J51" s="19" t="s">
        <v>457</v>
      </c>
      <c r="K51" s="19" t="s">
        <v>458</v>
      </c>
      <c r="L51" s="19" t="s">
        <v>459</v>
      </c>
      <c r="M51" s="19" t="s">
        <v>82</v>
      </c>
      <c r="N51" s="19">
        <v>16404</v>
      </c>
      <c r="O51" s="19" t="s">
        <v>83</v>
      </c>
      <c r="P51" s="19"/>
      <c r="Q51" s="19" t="s">
        <v>381</v>
      </c>
      <c r="R51" s="49" t="s">
        <v>460</v>
      </c>
      <c r="S51" t="s">
        <v>461</v>
      </c>
      <c r="T51" s="6">
        <v>1950000000</v>
      </c>
      <c r="U51" s="45">
        <f>VLOOKUP(B51,realPrices!C:G,5,0)</f>
        <v>2495222000</v>
      </c>
      <c r="W51" t="str">
        <f t="shared" si="0"/>
        <v>PU1 OHVG CNG1399</v>
      </c>
      <c r="X51">
        <f>VLOOKUP(W51,Sheet10!D:F,2,0)*10000000</f>
        <v>2830000000</v>
      </c>
      <c r="Y51" t="s">
        <v>114</v>
      </c>
      <c r="Z51"/>
    </row>
    <row r="52" spans="1:26" x14ac:dyDescent="0.25">
      <c r="A52" s="21" t="s">
        <v>376</v>
      </c>
      <c r="B52" s="19" t="s">
        <v>462</v>
      </c>
      <c r="C52" s="19">
        <v>164</v>
      </c>
      <c r="D52" s="19" t="s">
        <v>63</v>
      </c>
      <c r="E52" s="19" t="s">
        <v>78</v>
      </c>
      <c r="F52" s="19" t="s">
        <v>362</v>
      </c>
      <c r="G52" s="19" t="s">
        <v>363</v>
      </c>
      <c r="H52" s="19">
        <v>12</v>
      </c>
      <c r="I52" s="19">
        <v>1399</v>
      </c>
      <c r="J52" s="19" t="s">
        <v>463</v>
      </c>
      <c r="K52" s="19" t="s">
        <v>458</v>
      </c>
      <c r="L52" s="19" t="s">
        <v>464</v>
      </c>
      <c r="M52" s="19" t="s">
        <v>82</v>
      </c>
      <c r="N52" s="19">
        <v>16404</v>
      </c>
      <c r="O52" s="19" t="s">
        <v>83</v>
      </c>
      <c r="P52" s="19"/>
      <c r="Q52" s="19" t="s">
        <v>381</v>
      </c>
      <c r="R52" s="49" t="s">
        <v>465</v>
      </c>
      <c r="S52" t="s">
        <v>466</v>
      </c>
      <c r="T52" s="6">
        <v>1950000000</v>
      </c>
      <c r="U52" s="45">
        <f>VLOOKUP(B52,realPrices!C:G,5,0)</f>
        <v>2376777777</v>
      </c>
      <c r="W52" t="str">
        <f t="shared" si="0"/>
        <v>PU1 OHVG CNG1399</v>
      </c>
      <c r="X52">
        <f>VLOOKUP(W52,Sheet10!D:F,2,0)*10000000</f>
        <v>2830000000</v>
      </c>
      <c r="Y52" t="s">
        <v>114</v>
      </c>
      <c r="Z52"/>
    </row>
    <row r="53" spans="1:26" x14ac:dyDescent="0.25">
      <c r="A53" s="21" t="s">
        <v>376</v>
      </c>
      <c r="B53" s="19" t="s">
        <v>467</v>
      </c>
      <c r="C53" s="19">
        <v>164</v>
      </c>
      <c r="D53" s="19" t="s">
        <v>63</v>
      </c>
      <c r="E53" s="19" t="s">
        <v>78</v>
      </c>
      <c r="F53" s="19" t="s">
        <v>362</v>
      </c>
      <c r="G53" s="19"/>
      <c r="H53" s="19">
        <v>38</v>
      </c>
      <c r="I53" s="19">
        <v>1399</v>
      </c>
      <c r="J53" s="19" t="s">
        <v>468</v>
      </c>
      <c r="K53" s="19" t="s">
        <v>469</v>
      </c>
      <c r="L53" s="19" t="s">
        <v>470</v>
      </c>
      <c r="M53" s="19" t="s">
        <v>82</v>
      </c>
      <c r="N53" s="19">
        <v>16404</v>
      </c>
      <c r="O53" s="19" t="s">
        <v>83</v>
      </c>
      <c r="P53" s="19"/>
      <c r="Q53" s="19" t="s">
        <v>381</v>
      </c>
      <c r="R53" s="49" t="s">
        <v>471</v>
      </c>
      <c r="S53" t="s">
        <v>472</v>
      </c>
      <c r="T53" s="6">
        <v>1950000000</v>
      </c>
      <c r="U53" s="45">
        <f>VLOOKUP(B53,realPrices!C:G,5,0)</f>
        <v>2072000000</v>
      </c>
      <c r="W53" t="str">
        <f t="shared" si="0"/>
        <v>PU1 OHVG CNG1399</v>
      </c>
      <c r="X53">
        <f>VLOOKUP(W53,Sheet10!D:F,2,0)*10000000</f>
        <v>2830000000</v>
      </c>
      <c r="Y53" t="s">
        <v>74</v>
      </c>
    </row>
    <row r="54" spans="1:26" x14ac:dyDescent="0.25">
      <c r="A54" s="21" t="s">
        <v>376</v>
      </c>
      <c r="B54" s="19" t="s">
        <v>473</v>
      </c>
      <c r="C54" s="19">
        <v>164</v>
      </c>
      <c r="D54" s="19" t="s">
        <v>63</v>
      </c>
      <c r="E54" s="19" t="s">
        <v>78</v>
      </c>
      <c r="F54" s="19" t="s">
        <v>362</v>
      </c>
      <c r="G54" s="19"/>
      <c r="H54" s="19">
        <v>45</v>
      </c>
      <c r="I54" s="19">
        <v>1399</v>
      </c>
      <c r="J54" s="19" t="s">
        <v>474</v>
      </c>
      <c r="K54" s="19" t="s">
        <v>475</v>
      </c>
      <c r="L54" s="19" t="s">
        <v>476</v>
      </c>
      <c r="M54" s="19" t="s">
        <v>82</v>
      </c>
      <c r="N54" s="19">
        <v>16404</v>
      </c>
      <c r="O54" s="19" t="s">
        <v>83</v>
      </c>
      <c r="P54" s="19"/>
      <c r="Q54" s="19" t="s">
        <v>381</v>
      </c>
      <c r="R54" s="49" t="s">
        <v>477</v>
      </c>
      <c r="S54" t="s">
        <v>478</v>
      </c>
      <c r="T54" s="6">
        <v>1950000000</v>
      </c>
      <c r="U54" s="45">
        <f>VLOOKUP(B54,realPrices!C:G,5,0)</f>
        <v>2120055110</v>
      </c>
      <c r="W54" t="str">
        <f t="shared" si="0"/>
        <v>PU1 OHVG CNG1399</v>
      </c>
      <c r="X54">
        <f>VLOOKUP(W54,Sheet10!D:F,2,0)*10000000</f>
        <v>2830000000</v>
      </c>
      <c r="Y54" t="s">
        <v>74</v>
      </c>
      <c r="Z54"/>
    </row>
    <row r="55" spans="1:26" x14ac:dyDescent="0.25">
      <c r="A55" s="21" t="s">
        <v>376</v>
      </c>
      <c r="B55" s="19" t="s">
        <v>479</v>
      </c>
      <c r="C55" s="19">
        <v>164</v>
      </c>
      <c r="D55" s="19" t="s">
        <v>63</v>
      </c>
      <c r="E55" s="19" t="s">
        <v>78</v>
      </c>
      <c r="F55" s="19" t="s">
        <v>362</v>
      </c>
      <c r="G55" s="19"/>
      <c r="H55" s="19">
        <v>42</v>
      </c>
      <c r="I55" s="19">
        <v>1399</v>
      </c>
      <c r="J55" s="19" t="s">
        <v>480</v>
      </c>
      <c r="K55" s="19" t="s">
        <v>475</v>
      </c>
      <c r="L55" s="19" t="s">
        <v>481</v>
      </c>
      <c r="M55" s="19" t="s">
        <v>82</v>
      </c>
      <c r="N55" s="19">
        <v>16404</v>
      </c>
      <c r="O55" s="19" t="s">
        <v>83</v>
      </c>
      <c r="P55" s="19"/>
      <c r="Q55" s="19" t="s">
        <v>381</v>
      </c>
      <c r="R55" s="49" t="s">
        <v>482</v>
      </c>
      <c r="S55" t="s">
        <v>483</v>
      </c>
      <c r="T55" s="6">
        <v>1950000000</v>
      </c>
      <c r="U55" s="45">
        <f>VLOOKUP(B55,realPrices!C:G,5,0)</f>
        <v>2188660000</v>
      </c>
      <c r="W55" t="str">
        <f t="shared" si="0"/>
        <v>PU1 OHVG CNG1399</v>
      </c>
      <c r="X55">
        <f>VLOOKUP(W55,Sheet10!D:F,2,0)*10000000</f>
        <v>2830000000</v>
      </c>
      <c r="Y55" t="s">
        <v>74</v>
      </c>
    </row>
    <row r="56" spans="1:26" x14ac:dyDescent="0.25">
      <c r="A56" s="21" t="s">
        <v>376</v>
      </c>
      <c r="B56" s="19" t="s">
        <v>484</v>
      </c>
      <c r="C56" s="19">
        <v>164</v>
      </c>
      <c r="D56" s="19" t="s">
        <v>63</v>
      </c>
      <c r="E56" s="19" t="s">
        <v>78</v>
      </c>
      <c r="F56" s="19" t="s">
        <v>362</v>
      </c>
      <c r="G56" s="19"/>
      <c r="H56" s="19">
        <v>41</v>
      </c>
      <c r="I56" s="19">
        <v>1399</v>
      </c>
      <c r="J56" s="19" t="s">
        <v>485</v>
      </c>
      <c r="K56" s="19" t="s">
        <v>486</v>
      </c>
      <c r="L56" s="19" t="s">
        <v>487</v>
      </c>
      <c r="M56" s="19" t="s">
        <v>82</v>
      </c>
      <c r="N56" s="19">
        <v>16404</v>
      </c>
      <c r="O56" s="19" t="s">
        <v>83</v>
      </c>
      <c r="P56" s="19"/>
      <c r="Q56" s="19" t="s">
        <v>381</v>
      </c>
      <c r="R56" s="49" t="s">
        <v>488</v>
      </c>
      <c r="S56" t="s">
        <v>489</v>
      </c>
      <c r="T56" s="6">
        <v>1950000000</v>
      </c>
      <c r="U56" s="45">
        <f>VLOOKUP(B56,realPrices!C:G,5,0)</f>
        <v>2389451545</v>
      </c>
      <c r="W56" t="str">
        <f t="shared" si="0"/>
        <v>PU1 OHVG CNG1399</v>
      </c>
      <c r="X56">
        <f>VLOOKUP(W56,Sheet10!D:F,2,0)*10000000</f>
        <v>2830000000</v>
      </c>
      <c r="Y56" t="s">
        <v>74</v>
      </c>
      <c r="Z56"/>
    </row>
    <row r="57" spans="1:26" x14ac:dyDescent="0.25">
      <c r="A57" s="21" t="s">
        <v>325</v>
      </c>
      <c r="B57" s="19" t="s">
        <v>490</v>
      </c>
      <c r="C57" s="19">
        <v>260</v>
      </c>
      <c r="D57" s="19" t="s">
        <v>63</v>
      </c>
      <c r="E57" s="19" t="s">
        <v>64</v>
      </c>
      <c r="F57" s="19" t="s">
        <v>491</v>
      </c>
      <c r="G57" s="19"/>
      <c r="H57" s="19">
        <v>100</v>
      </c>
      <c r="I57" s="19">
        <v>1401</v>
      </c>
      <c r="J57" s="19" t="s">
        <v>492</v>
      </c>
      <c r="K57" s="19" t="s">
        <v>493</v>
      </c>
      <c r="L57" s="19"/>
      <c r="M57" s="19" t="s">
        <v>329</v>
      </c>
      <c r="N57" s="19">
        <v>26031</v>
      </c>
      <c r="O57" s="19" t="s">
        <v>303</v>
      </c>
      <c r="P57" s="19"/>
      <c r="Q57" s="19" t="s">
        <v>330</v>
      </c>
      <c r="R57" s="49" t="s">
        <v>494</v>
      </c>
      <c r="S57" t="s">
        <v>495</v>
      </c>
      <c r="T57" s="6">
        <v>1950000000</v>
      </c>
      <c r="U57" s="45">
        <f>VLOOKUP(B57,realPrices!C:G,5,0)</f>
        <v>2913333333</v>
      </c>
      <c r="W57" t="str">
        <f t="shared" si="0"/>
        <v>206TU31401</v>
      </c>
      <c r="X57" t="e">
        <f>VLOOKUP(W57,Sheet10!D:F,2,0)*10000000</f>
        <v>#N/A</v>
      </c>
      <c r="Y57" t="s">
        <v>74</v>
      </c>
    </row>
    <row r="58" spans="1:26" x14ac:dyDescent="0.25">
      <c r="A58" s="21" t="s">
        <v>376</v>
      </c>
      <c r="B58" s="19" t="s">
        <v>496</v>
      </c>
      <c r="C58" s="19">
        <v>164</v>
      </c>
      <c r="D58" s="19" t="s">
        <v>63</v>
      </c>
      <c r="E58" s="19" t="s">
        <v>78</v>
      </c>
      <c r="F58" s="19" t="s">
        <v>362</v>
      </c>
      <c r="G58" s="19"/>
      <c r="H58" s="19">
        <v>37</v>
      </c>
      <c r="I58" s="19">
        <v>1399</v>
      </c>
      <c r="J58" s="19" t="s">
        <v>497</v>
      </c>
      <c r="K58" s="19" t="s">
        <v>498</v>
      </c>
      <c r="L58" s="19" t="s">
        <v>499</v>
      </c>
      <c r="M58" s="19" t="s">
        <v>82</v>
      </c>
      <c r="N58" s="19">
        <v>16404</v>
      </c>
      <c r="O58" s="19" t="s">
        <v>83</v>
      </c>
      <c r="P58" s="19"/>
      <c r="Q58" s="19" t="s">
        <v>381</v>
      </c>
      <c r="R58" s="49" t="s">
        <v>500</v>
      </c>
      <c r="S58" t="s">
        <v>501</v>
      </c>
      <c r="T58" s="6">
        <v>1960000000</v>
      </c>
      <c r="U58" s="45">
        <f>VLOOKUP(B58,realPrices!C:G,5,0)</f>
        <v>2111111111</v>
      </c>
      <c r="W58" t="str">
        <f t="shared" si="0"/>
        <v>PU1 OHVG CNG1399</v>
      </c>
      <c r="X58">
        <f>VLOOKUP(W58,Sheet10!D:F,2,0)*10000000</f>
        <v>2830000000</v>
      </c>
      <c r="Y58" t="s">
        <v>74</v>
      </c>
      <c r="Z58"/>
    </row>
    <row r="59" spans="1:26" x14ac:dyDescent="0.25">
      <c r="A59" s="21" t="s">
        <v>376</v>
      </c>
      <c r="B59" s="19" t="s">
        <v>502</v>
      </c>
      <c r="C59" s="19">
        <v>164</v>
      </c>
      <c r="D59" s="19" t="s">
        <v>63</v>
      </c>
      <c r="E59" s="19" t="s">
        <v>78</v>
      </c>
      <c r="F59" s="19" t="s">
        <v>362</v>
      </c>
      <c r="G59" s="19"/>
      <c r="H59" s="19">
        <v>22</v>
      </c>
      <c r="I59" s="19">
        <v>1399</v>
      </c>
      <c r="J59" s="19" t="s">
        <v>503</v>
      </c>
      <c r="K59" s="19" t="s">
        <v>504</v>
      </c>
      <c r="L59" s="19" t="s">
        <v>505</v>
      </c>
      <c r="M59" s="19" t="s">
        <v>82</v>
      </c>
      <c r="N59" s="19">
        <v>16404</v>
      </c>
      <c r="O59" s="19" t="s">
        <v>83</v>
      </c>
      <c r="P59" s="19"/>
      <c r="Q59" s="19" t="s">
        <v>381</v>
      </c>
      <c r="R59" s="49" t="s">
        <v>506</v>
      </c>
      <c r="S59" t="s">
        <v>507</v>
      </c>
      <c r="T59" s="6">
        <v>1970000000</v>
      </c>
      <c r="U59" s="45">
        <f>VLOOKUP(B59,realPrices!C:G,5,0)</f>
        <v>2121650000</v>
      </c>
      <c r="W59" t="str">
        <f t="shared" si="0"/>
        <v>PU1 OHVG CNG1399</v>
      </c>
      <c r="X59">
        <f>VLOOKUP(W59,Sheet10!D:F,2,0)*10000000</f>
        <v>2830000000</v>
      </c>
      <c r="Y59" t="s">
        <v>74</v>
      </c>
    </row>
    <row r="60" spans="1:26" x14ac:dyDescent="0.25">
      <c r="A60" s="21" t="s">
        <v>376</v>
      </c>
      <c r="B60" s="19" t="s">
        <v>508</v>
      </c>
      <c r="C60" s="19">
        <v>164</v>
      </c>
      <c r="D60" s="19" t="s">
        <v>63</v>
      </c>
      <c r="E60" s="19" t="s">
        <v>78</v>
      </c>
      <c r="F60" s="19" t="s">
        <v>362</v>
      </c>
      <c r="G60" s="19"/>
      <c r="H60" s="19">
        <v>39</v>
      </c>
      <c r="I60" s="19">
        <v>1399</v>
      </c>
      <c r="J60" s="19" t="s">
        <v>509</v>
      </c>
      <c r="K60" s="19" t="s">
        <v>510</v>
      </c>
      <c r="L60" t="s">
        <v>511</v>
      </c>
      <c r="M60" s="19" t="s">
        <v>82</v>
      </c>
      <c r="N60" s="19">
        <v>16404</v>
      </c>
      <c r="O60" s="19" t="s">
        <v>83</v>
      </c>
      <c r="P60" s="19"/>
      <c r="Q60" s="19" t="s">
        <v>381</v>
      </c>
      <c r="R60" s="49" t="s">
        <v>512</v>
      </c>
      <c r="S60" t="s">
        <v>513</v>
      </c>
      <c r="T60" s="6">
        <v>1970000000</v>
      </c>
      <c r="U60" s="45">
        <f>VLOOKUP(B60,realPrices!C:G,5,0)</f>
        <v>2110000000</v>
      </c>
      <c r="W60" t="str">
        <f t="shared" si="0"/>
        <v>PU1 OHVG CNG1399</v>
      </c>
      <c r="X60">
        <f>VLOOKUP(W60,Sheet10!D:F,2,0)*10000000</f>
        <v>2830000000</v>
      </c>
      <c r="Y60" t="s">
        <v>74</v>
      </c>
    </row>
    <row r="61" spans="1:26" x14ac:dyDescent="0.25">
      <c r="A61" s="21" t="s">
        <v>376</v>
      </c>
      <c r="B61" s="19" t="s">
        <v>514</v>
      </c>
      <c r="C61" s="19">
        <v>164</v>
      </c>
      <c r="D61" s="19" t="s">
        <v>63</v>
      </c>
      <c r="E61" s="19" t="s">
        <v>78</v>
      </c>
      <c r="F61" s="19" t="s">
        <v>362</v>
      </c>
      <c r="G61" s="19"/>
      <c r="H61" s="19">
        <v>39</v>
      </c>
      <c r="I61" s="19">
        <v>1399</v>
      </c>
      <c r="J61" s="19" t="s">
        <v>515</v>
      </c>
      <c r="K61" s="19" t="s">
        <v>516</v>
      </c>
      <c r="L61" s="19" t="s">
        <v>517</v>
      </c>
      <c r="M61" s="19" t="s">
        <v>82</v>
      </c>
      <c r="N61" s="19">
        <v>16404</v>
      </c>
      <c r="O61" s="19" t="s">
        <v>83</v>
      </c>
      <c r="P61" s="19"/>
      <c r="Q61" s="19" t="s">
        <v>381</v>
      </c>
      <c r="R61" s="49" t="s">
        <v>518</v>
      </c>
      <c r="S61" t="s">
        <v>519</v>
      </c>
      <c r="T61" s="6">
        <v>1970000000</v>
      </c>
      <c r="U61" s="45">
        <f>VLOOKUP(B61,realPrices!C:G,5,0)</f>
        <v>2200000000</v>
      </c>
      <c r="W61" t="str">
        <f t="shared" si="0"/>
        <v>PU1 OHVG CNG1399</v>
      </c>
      <c r="X61">
        <f>VLOOKUP(W61,Sheet10!D:F,2,0)*10000000</f>
        <v>2830000000</v>
      </c>
      <c r="Y61" t="s">
        <v>74</v>
      </c>
    </row>
    <row r="62" spans="1:26" x14ac:dyDescent="0.25">
      <c r="A62" s="21" t="s">
        <v>376</v>
      </c>
      <c r="B62" s="19" t="s">
        <v>520</v>
      </c>
      <c r="C62" s="19">
        <v>164</v>
      </c>
      <c r="D62" s="19" t="s">
        <v>63</v>
      </c>
      <c r="E62" s="19" t="s">
        <v>78</v>
      </c>
      <c r="F62" s="19" t="s">
        <v>362</v>
      </c>
      <c r="G62" s="19"/>
      <c r="H62" s="19">
        <v>41</v>
      </c>
      <c r="I62" s="19">
        <v>1399</v>
      </c>
      <c r="J62" s="19" t="s">
        <v>521</v>
      </c>
      <c r="K62" s="19" t="s">
        <v>522</v>
      </c>
      <c r="L62" s="19" t="s">
        <v>523</v>
      </c>
      <c r="M62" s="19" t="s">
        <v>82</v>
      </c>
      <c r="N62" s="19">
        <v>16404</v>
      </c>
      <c r="O62" s="19" t="s">
        <v>83</v>
      </c>
      <c r="P62" s="19"/>
      <c r="Q62" s="19" t="s">
        <v>381</v>
      </c>
      <c r="R62" s="49" t="s">
        <v>524</v>
      </c>
      <c r="S62" t="s">
        <v>525</v>
      </c>
      <c r="T62" s="6">
        <v>1970000000</v>
      </c>
      <c r="U62" s="45">
        <f>VLOOKUP(B62,realPrices!C:G,5,0)</f>
        <v>2109999000</v>
      </c>
      <c r="W62" t="str">
        <f t="shared" si="0"/>
        <v>PU1 OHVG CNG1399</v>
      </c>
      <c r="X62">
        <f>VLOOKUP(W62,Sheet10!D:F,2,0)*10000000</f>
        <v>2830000000</v>
      </c>
      <c r="Y62" t="s">
        <v>74</v>
      </c>
    </row>
    <row r="63" spans="1:26" x14ac:dyDescent="0.25">
      <c r="A63" s="21" t="s">
        <v>376</v>
      </c>
      <c r="B63" s="19" t="s">
        <v>526</v>
      </c>
      <c r="C63" s="19">
        <v>164</v>
      </c>
      <c r="D63" s="19" t="s">
        <v>63</v>
      </c>
      <c r="E63" s="19" t="s">
        <v>78</v>
      </c>
      <c r="F63" s="19" t="s">
        <v>362</v>
      </c>
      <c r="G63" s="19"/>
      <c r="H63" s="19">
        <v>32</v>
      </c>
      <c r="I63" s="19">
        <v>1399</v>
      </c>
      <c r="J63" s="19" t="s">
        <v>527</v>
      </c>
      <c r="K63" s="19" t="s">
        <v>528</v>
      </c>
      <c r="L63" s="19" t="s">
        <v>529</v>
      </c>
      <c r="M63" s="19" t="s">
        <v>82</v>
      </c>
      <c r="N63" s="19">
        <v>16404</v>
      </c>
      <c r="O63" s="19" t="s">
        <v>83</v>
      </c>
      <c r="P63" s="19"/>
      <c r="Q63" s="19" t="s">
        <v>381</v>
      </c>
      <c r="R63" s="49" t="s">
        <v>530</v>
      </c>
      <c r="S63" t="s">
        <v>531</v>
      </c>
      <c r="T63" s="6">
        <v>1980000000</v>
      </c>
      <c r="U63" s="45">
        <f>VLOOKUP(B63,realPrices!C:G,5,0)</f>
        <v>2124853699</v>
      </c>
      <c r="W63" t="str">
        <f t="shared" si="0"/>
        <v>PU1 OHVG CNG1399</v>
      </c>
      <c r="X63">
        <f>VLOOKUP(W63,Sheet10!D:F,2,0)*10000000</f>
        <v>2830000000</v>
      </c>
      <c r="Y63" t="s">
        <v>74</v>
      </c>
    </row>
    <row r="64" spans="1:26" x14ac:dyDescent="0.25">
      <c r="A64" t="s">
        <v>376</v>
      </c>
      <c r="B64" t="s">
        <v>532</v>
      </c>
      <c r="C64">
        <v>164</v>
      </c>
      <c r="D64" t="s">
        <v>63</v>
      </c>
      <c r="E64" t="s">
        <v>78</v>
      </c>
      <c r="F64" t="s">
        <v>362</v>
      </c>
      <c r="H64">
        <v>31</v>
      </c>
      <c r="I64">
        <v>1399</v>
      </c>
      <c r="J64" t="s">
        <v>533</v>
      </c>
      <c r="K64" t="s">
        <v>534</v>
      </c>
      <c r="L64" t="s">
        <v>535</v>
      </c>
      <c r="M64" t="s">
        <v>82</v>
      </c>
      <c r="N64">
        <v>16404</v>
      </c>
      <c r="O64" t="s">
        <v>83</v>
      </c>
      <c r="Q64" t="s">
        <v>381</v>
      </c>
      <c r="R64" t="s">
        <v>536</v>
      </c>
      <c r="S64" t="s">
        <v>537</v>
      </c>
      <c r="T64" s="6">
        <v>1980000000</v>
      </c>
      <c r="U64" s="45">
        <f>VLOOKUP(B64,realPrices!C:G,5,0)</f>
        <v>2113000000</v>
      </c>
      <c r="W64" t="str">
        <f t="shared" si="0"/>
        <v>PU1 OHVG CNG1399</v>
      </c>
      <c r="X64">
        <f>VLOOKUP(W64,Sheet10!D:F,2,0)*10000000</f>
        <v>2830000000</v>
      </c>
      <c r="Y64" t="s">
        <v>74</v>
      </c>
      <c r="Z64"/>
    </row>
    <row r="65" spans="1:26" x14ac:dyDescent="0.25">
      <c r="A65" t="s">
        <v>376</v>
      </c>
      <c r="B65" t="s">
        <v>538</v>
      </c>
      <c r="C65">
        <v>164</v>
      </c>
      <c r="D65" t="s">
        <v>63</v>
      </c>
      <c r="E65" t="s">
        <v>78</v>
      </c>
      <c r="F65" t="s">
        <v>362</v>
      </c>
      <c r="H65">
        <v>31</v>
      </c>
      <c r="I65">
        <v>1399</v>
      </c>
      <c r="J65" t="s">
        <v>539</v>
      </c>
      <c r="K65" t="s">
        <v>540</v>
      </c>
      <c r="L65" t="s">
        <v>541</v>
      </c>
      <c r="M65" t="s">
        <v>82</v>
      </c>
      <c r="N65">
        <v>16404</v>
      </c>
      <c r="O65" t="s">
        <v>83</v>
      </c>
      <c r="Q65" t="s">
        <v>381</v>
      </c>
      <c r="R65" t="s">
        <v>542</v>
      </c>
      <c r="S65" t="s">
        <v>543</v>
      </c>
      <c r="T65" s="6">
        <v>1980000000</v>
      </c>
      <c r="U65" s="45">
        <f>VLOOKUP(B65,realPrices!C:G,5,0)</f>
        <v>2144444444</v>
      </c>
      <c r="W65" t="str">
        <f t="shared" si="0"/>
        <v>PU1 OHVG CNG1399</v>
      </c>
      <c r="X65">
        <f>VLOOKUP(W65,Sheet10!D:F,2,0)*10000000</f>
        <v>2830000000</v>
      </c>
      <c r="Y65" t="s">
        <v>74</v>
      </c>
      <c r="Z65"/>
    </row>
    <row r="66" spans="1:26" x14ac:dyDescent="0.25">
      <c r="A66" t="s">
        <v>376</v>
      </c>
      <c r="B66" t="s">
        <v>544</v>
      </c>
      <c r="C66">
        <v>164</v>
      </c>
      <c r="D66" t="s">
        <v>63</v>
      </c>
      <c r="E66" t="s">
        <v>78</v>
      </c>
      <c r="F66" t="s">
        <v>362</v>
      </c>
      <c r="H66">
        <v>40</v>
      </c>
      <c r="I66">
        <v>1399</v>
      </c>
      <c r="J66" t="s">
        <v>545</v>
      </c>
      <c r="K66" t="s">
        <v>546</v>
      </c>
      <c r="L66" t="s">
        <v>547</v>
      </c>
      <c r="M66" t="s">
        <v>82</v>
      </c>
      <c r="N66">
        <v>16404</v>
      </c>
      <c r="O66" t="s">
        <v>83</v>
      </c>
      <c r="Q66" t="s">
        <v>381</v>
      </c>
      <c r="R66" t="s">
        <v>548</v>
      </c>
      <c r="S66" t="s">
        <v>549</v>
      </c>
      <c r="T66" s="6">
        <v>1980000000</v>
      </c>
      <c r="U66" s="45">
        <f>VLOOKUP(B66,realPrices!C:G,5,0)</f>
        <v>2215000000</v>
      </c>
      <c r="W66" t="str">
        <f t="shared" ref="W66:W129" si="1">M66&amp;I66</f>
        <v>PU1 OHVG CNG1399</v>
      </c>
      <c r="X66">
        <f>VLOOKUP(W66,Sheet10!D:F,2,0)*10000000</f>
        <v>2830000000</v>
      </c>
      <c r="Y66" t="s">
        <v>74</v>
      </c>
    </row>
    <row r="67" spans="1:26" x14ac:dyDescent="0.25">
      <c r="A67" t="s">
        <v>376</v>
      </c>
      <c r="B67" t="s">
        <v>550</v>
      </c>
      <c r="C67">
        <v>164</v>
      </c>
      <c r="D67" t="s">
        <v>63</v>
      </c>
      <c r="E67" t="s">
        <v>78</v>
      </c>
      <c r="F67" t="s">
        <v>362</v>
      </c>
      <c r="H67">
        <v>38</v>
      </c>
      <c r="I67">
        <v>1399</v>
      </c>
      <c r="J67" t="s">
        <v>551</v>
      </c>
      <c r="K67" t="s">
        <v>540</v>
      </c>
      <c r="L67" t="s">
        <v>552</v>
      </c>
      <c r="M67" t="s">
        <v>82</v>
      </c>
      <c r="N67">
        <v>16404</v>
      </c>
      <c r="O67" t="s">
        <v>83</v>
      </c>
      <c r="Q67" t="s">
        <v>381</v>
      </c>
      <c r="R67" t="s">
        <v>553</v>
      </c>
      <c r="S67" t="s">
        <v>554</v>
      </c>
      <c r="T67" s="6">
        <v>1980000000</v>
      </c>
      <c r="U67" s="45">
        <f>VLOOKUP(B67,realPrices!C:G,5,0)</f>
        <v>2171000000</v>
      </c>
      <c r="W67" t="str">
        <f t="shared" si="1"/>
        <v>PU1 OHVG CNG1399</v>
      </c>
      <c r="X67">
        <f>VLOOKUP(W67,Sheet10!D:F,2,0)*10000000</f>
        <v>2830000000</v>
      </c>
      <c r="Y67" t="s">
        <v>74</v>
      </c>
      <c r="Z67"/>
    </row>
    <row r="68" spans="1:26" x14ac:dyDescent="0.25">
      <c r="A68" t="s">
        <v>376</v>
      </c>
      <c r="B68" t="s">
        <v>555</v>
      </c>
      <c r="C68">
        <v>164</v>
      </c>
      <c r="D68" t="s">
        <v>63</v>
      </c>
      <c r="E68" t="s">
        <v>78</v>
      </c>
      <c r="F68" t="s">
        <v>362</v>
      </c>
      <c r="H68">
        <v>42</v>
      </c>
      <c r="I68">
        <v>1399</v>
      </c>
      <c r="J68" t="s">
        <v>556</v>
      </c>
      <c r="K68" t="s">
        <v>557</v>
      </c>
      <c r="L68" t="s">
        <v>558</v>
      </c>
      <c r="M68" t="s">
        <v>82</v>
      </c>
      <c r="N68">
        <v>16404</v>
      </c>
      <c r="O68" t="s">
        <v>83</v>
      </c>
      <c r="Q68" t="s">
        <v>381</v>
      </c>
      <c r="R68" t="s">
        <v>559</v>
      </c>
      <c r="S68" t="s">
        <v>560</v>
      </c>
      <c r="T68" s="6">
        <v>1980000000</v>
      </c>
      <c r="U68" s="45">
        <f>VLOOKUP(B68,realPrices!C:G,5,0)</f>
        <v>2067990000</v>
      </c>
      <c r="W68" t="str">
        <f t="shared" si="1"/>
        <v>PU1 OHVG CNG1399</v>
      </c>
      <c r="X68">
        <f>VLOOKUP(W68,Sheet10!D:F,2,0)*10000000</f>
        <v>2830000000</v>
      </c>
      <c r="Y68" t="s">
        <v>74</v>
      </c>
      <c r="Z68"/>
    </row>
    <row r="69" spans="1:26" x14ac:dyDescent="0.25">
      <c r="A69" t="s">
        <v>376</v>
      </c>
      <c r="B69" t="s">
        <v>561</v>
      </c>
      <c r="C69">
        <v>164</v>
      </c>
      <c r="D69" t="s">
        <v>63</v>
      </c>
      <c r="E69" t="s">
        <v>78</v>
      </c>
      <c r="F69" t="s">
        <v>362</v>
      </c>
      <c r="H69">
        <v>47</v>
      </c>
      <c r="I69">
        <v>1399</v>
      </c>
      <c r="J69" t="s">
        <v>562</v>
      </c>
      <c r="K69" t="s">
        <v>563</v>
      </c>
      <c r="L69" t="s">
        <v>564</v>
      </c>
      <c r="M69" t="s">
        <v>82</v>
      </c>
      <c r="N69">
        <v>16404</v>
      </c>
      <c r="O69" t="s">
        <v>83</v>
      </c>
      <c r="Q69" t="s">
        <v>381</v>
      </c>
      <c r="R69" t="s">
        <v>565</v>
      </c>
      <c r="S69" t="s">
        <v>566</v>
      </c>
      <c r="T69" s="6">
        <v>1980000000</v>
      </c>
      <c r="U69" s="45">
        <f>VLOOKUP(B69,realPrices!C:G,5,0)</f>
        <v>2122999999</v>
      </c>
      <c r="W69" t="str">
        <f t="shared" si="1"/>
        <v>PU1 OHVG CNG1399</v>
      </c>
      <c r="X69">
        <f>VLOOKUP(W69,Sheet10!D:F,2,0)*10000000</f>
        <v>2830000000</v>
      </c>
      <c r="Y69" t="s">
        <v>74</v>
      </c>
      <c r="Z69"/>
    </row>
    <row r="70" spans="1:26" x14ac:dyDescent="0.25">
      <c r="A70" t="s">
        <v>376</v>
      </c>
      <c r="B70" t="s">
        <v>567</v>
      </c>
      <c r="C70">
        <v>164</v>
      </c>
      <c r="D70" t="s">
        <v>63</v>
      </c>
      <c r="E70" t="s">
        <v>78</v>
      </c>
      <c r="F70" t="s">
        <v>362</v>
      </c>
      <c r="H70">
        <v>45</v>
      </c>
      <c r="I70">
        <v>1399</v>
      </c>
      <c r="J70" t="s">
        <v>568</v>
      </c>
      <c r="K70" t="s">
        <v>569</v>
      </c>
      <c r="L70" t="s">
        <v>570</v>
      </c>
      <c r="M70" t="s">
        <v>82</v>
      </c>
      <c r="N70">
        <v>16404</v>
      </c>
      <c r="O70" t="s">
        <v>83</v>
      </c>
      <c r="Q70" t="s">
        <v>381</v>
      </c>
      <c r="R70" t="s">
        <v>571</v>
      </c>
      <c r="S70" t="s">
        <v>572</v>
      </c>
      <c r="T70" s="6">
        <v>1980000000</v>
      </c>
      <c r="U70" s="45">
        <f>VLOOKUP(B70,realPrices!C:G,5,0)</f>
        <v>2212000000</v>
      </c>
      <c r="W70" t="str">
        <f t="shared" si="1"/>
        <v>PU1 OHVG CNG1399</v>
      </c>
      <c r="X70">
        <f>VLOOKUP(W70,Sheet10!D:F,2,0)*10000000</f>
        <v>2830000000</v>
      </c>
      <c r="Y70" t="s">
        <v>74</v>
      </c>
    </row>
    <row r="71" spans="1:26" x14ac:dyDescent="0.25">
      <c r="A71" t="s">
        <v>376</v>
      </c>
      <c r="B71" t="s">
        <v>573</v>
      </c>
      <c r="C71">
        <v>164</v>
      </c>
      <c r="D71" t="s">
        <v>63</v>
      </c>
      <c r="E71" t="s">
        <v>78</v>
      </c>
      <c r="F71" t="s">
        <v>362</v>
      </c>
      <c r="H71">
        <v>45</v>
      </c>
      <c r="I71">
        <v>1399</v>
      </c>
      <c r="J71" t="s">
        <v>574</v>
      </c>
      <c r="K71" t="s">
        <v>575</v>
      </c>
      <c r="L71" t="s">
        <v>576</v>
      </c>
      <c r="M71" t="s">
        <v>82</v>
      </c>
      <c r="N71">
        <v>16404</v>
      </c>
      <c r="O71" t="s">
        <v>83</v>
      </c>
      <c r="Q71" t="s">
        <v>381</v>
      </c>
      <c r="R71" t="s">
        <v>577</v>
      </c>
      <c r="S71" t="s">
        <v>578</v>
      </c>
      <c r="T71" s="6">
        <v>1980000000</v>
      </c>
      <c r="U71" s="45">
        <f>VLOOKUP(B71,realPrices!C:G,5,0)</f>
        <v>2100000000</v>
      </c>
      <c r="W71" t="str">
        <f t="shared" si="1"/>
        <v>PU1 OHVG CNG1399</v>
      </c>
      <c r="X71">
        <f>VLOOKUP(W71,Sheet10!D:F,2,0)*10000000</f>
        <v>2830000000</v>
      </c>
      <c r="Y71" t="s">
        <v>74</v>
      </c>
    </row>
    <row r="72" spans="1:26" x14ac:dyDescent="0.25">
      <c r="A72" t="s">
        <v>376</v>
      </c>
      <c r="B72" t="s">
        <v>579</v>
      </c>
      <c r="C72">
        <v>164</v>
      </c>
      <c r="D72" t="s">
        <v>63</v>
      </c>
      <c r="E72" t="s">
        <v>78</v>
      </c>
      <c r="F72" t="s">
        <v>362</v>
      </c>
      <c r="H72">
        <v>43</v>
      </c>
      <c r="I72">
        <v>1399</v>
      </c>
      <c r="J72" t="s">
        <v>580</v>
      </c>
      <c r="K72" t="s">
        <v>581</v>
      </c>
      <c r="L72" t="s">
        <v>582</v>
      </c>
      <c r="M72" t="s">
        <v>82</v>
      </c>
      <c r="N72">
        <v>16404</v>
      </c>
      <c r="O72" t="s">
        <v>83</v>
      </c>
      <c r="Q72" t="s">
        <v>381</v>
      </c>
      <c r="R72" t="s">
        <v>583</v>
      </c>
      <c r="S72" t="s">
        <v>584</v>
      </c>
      <c r="T72" s="6">
        <v>1980000000</v>
      </c>
      <c r="U72" s="45">
        <f>VLOOKUP(B72,realPrices!C:G,5,0)</f>
        <v>2035500000</v>
      </c>
      <c r="W72" t="str">
        <f t="shared" si="1"/>
        <v>PU1 OHVG CNG1399</v>
      </c>
      <c r="X72">
        <f>VLOOKUP(W72,Sheet10!D:F,2,0)*10000000</f>
        <v>2830000000</v>
      </c>
      <c r="Y72" t="s">
        <v>74</v>
      </c>
    </row>
    <row r="73" spans="1:26" x14ac:dyDescent="0.25">
      <c r="A73" t="s">
        <v>376</v>
      </c>
      <c r="B73" t="s">
        <v>585</v>
      </c>
      <c r="C73">
        <v>164</v>
      </c>
      <c r="D73" t="s">
        <v>63</v>
      </c>
      <c r="E73" t="s">
        <v>78</v>
      </c>
      <c r="F73" t="s">
        <v>362</v>
      </c>
      <c r="H73">
        <v>55</v>
      </c>
      <c r="I73">
        <v>1399</v>
      </c>
      <c r="J73" t="s">
        <v>586</v>
      </c>
      <c r="K73" t="s">
        <v>522</v>
      </c>
      <c r="L73" t="s">
        <v>587</v>
      </c>
      <c r="M73" t="s">
        <v>82</v>
      </c>
      <c r="N73">
        <v>16404</v>
      </c>
      <c r="O73" t="s">
        <v>83</v>
      </c>
      <c r="Q73" t="s">
        <v>381</v>
      </c>
      <c r="R73" t="s">
        <v>588</v>
      </c>
      <c r="S73" t="s">
        <v>589</v>
      </c>
      <c r="T73" s="6">
        <v>1980000000</v>
      </c>
      <c r="U73" s="45">
        <f>VLOOKUP(B73,realPrices!C:G,5,0)</f>
        <v>2169999999</v>
      </c>
      <c r="W73" t="str">
        <f t="shared" si="1"/>
        <v>PU1 OHVG CNG1399</v>
      </c>
      <c r="X73">
        <f>VLOOKUP(W73,Sheet10!D:F,2,0)*10000000</f>
        <v>2830000000</v>
      </c>
      <c r="Y73" t="s">
        <v>74</v>
      </c>
      <c r="Z73"/>
    </row>
    <row r="74" spans="1:26" x14ac:dyDescent="0.25">
      <c r="A74" t="s">
        <v>376</v>
      </c>
      <c r="B74" t="s">
        <v>590</v>
      </c>
      <c r="C74">
        <v>164</v>
      </c>
      <c r="D74" t="s">
        <v>63</v>
      </c>
      <c r="E74" t="s">
        <v>78</v>
      </c>
      <c r="F74" t="s">
        <v>362</v>
      </c>
      <c r="H74">
        <v>36</v>
      </c>
      <c r="I74">
        <v>1399</v>
      </c>
      <c r="J74" t="s">
        <v>591</v>
      </c>
      <c r="K74" t="s">
        <v>592</v>
      </c>
      <c r="L74" t="s">
        <v>593</v>
      </c>
      <c r="M74" t="s">
        <v>82</v>
      </c>
      <c r="N74">
        <v>16404</v>
      </c>
      <c r="O74" t="s">
        <v>83</v>
      </c>
      <c r="Q74" t="s">
        <v>381</v>
      </c>
      <c r="R74" t="s">
        <v>594</v>
      </c>
      <c r="S74" t="s">
        <v>595</v>
      </c>
      <c r="T74" s="6">
        <v>1985000000</v>
      </c>
      <c r="U74" s="45">
        <f>VLOOKUP(B74,realPrices!C:G,5,0)</f>
        <v>2132141314</v>
      </c>
      <c r="W74" t="str">
        <f t="shared" si="1"/>
        <v>PU1 OHVG CNG1399</v>
      </c>
      <c r="X74">
        <f>VLOOKUP(W74,Sheet10!D:F,2,0)*10000000</f>
        <v>2830000000</v>
      </c>
      <c r="Y74" t="s">
        <v>74</v>
      </c>
    </row>
    <row r="75" spans="1:26" x14ac:dyDescent="0.25">
      <c r="A75" t="s">
        <v>376</v>
      </c>
      <c r="B75" t="s">
        <v>596</v>
      </c>
      <c r="C75">
        <v>164</v>
      </c>
      <c r="D75" t="s">
        <v>63</v>
      </c>
      <c r="E75" t="s">
        <v>78</v>
      </c>
      <c r="F75" t="s">
        <v>362</v>
      </c>
      <c r="G75" t="s">
        <v>597</v>
      </c>
      <c r="H75">
        <v>30</v>
      </c>
      <c r="I75">
        <v>1399</v>
      </c>
      <c r="J75" t="s">
        <v>598</v>
      </c>
      <c r="K75" t="s">
        <v>599</v>
      </c>
      <c r="L75" t="s">
        <v>600</v>
      </c>
      <c r="M75" t="s">
        <v>82</v>
      </c>
      <c r="N75">
        <v>16404</v>
      </c>
      <c r="O75" t="s">
        <v>83</v>
      </c>
      <c r="Q75" t="s">
        <v>381</v>
      </c>
      <c r="R75" t="s">
        <v>601</v>
      </c>
      <c r="S75" t="s">
        <v>602</v>
      </c>
      <c r="T75" s="6">
        <v>2000000000</v>
      </c>
      <c r="U75" s="45">
        <f>VLOOKUP(B75,realPrices!C:G,5,0)</f>
        <v>2088999990</v>
      </c>
      <c r="W75" t="str">
        <f t="shared" si="1"/>
        <v>PU1 OHVG CNG1399</v>
      </c>
      <c r="X75">
        <f>VLOOKUP(W75,Sheet10!D:F,2,0)*10000000</f>
        <v>2830000000</v>
      </c>
      <c r="Y75" t="s">
        <v>74</v>
      </c>
    </row>
    <row r="76" spans="1:26" x14ac:dyDescent="0.25">
      <c r="A76" t="s">
        <v>376</v>
      </c>
      <c r="B76" t="s">
        <v>603</v>
      </c>
      <c r="C76">
        <v>164</v>
      </c>
      <c r="D76" t="s">
        <v>63</v>
      </c>
      <c r="E76" t="s">
        <v>78</v>
      </c>
      <c r="F76" t="s">
        <v>362</v>
      </c>
      <c r="G76" t="s">
        <v>363</v>
      </c>
      <c r="H76">
        <v>34</v>
      </c>
      <c r="I76">
        <v>1399</v>
      </c>
      <c r="J76" t="s">
        <v>604</v>
      </c>
      <c r="K76" t="s">
        <v>605</v>
      </c>
      <c r="L76" t="s">
        <v>606</v>
      </c>
      <c r="M76" t="s">
        <v>82</v>
      </c>
      <c r="N76">
        <v>16404</v>
      </c>
      <c r="O76" t="s">
        <v>83</v>
      </c>
      <c r="Q76" t="s">
        <v>381</v>
      </c>
      <c r="R76" t="s">
        <v>607</v>
      </c>
      <c r="S76" t="s">
        <v>608</v>
      </c>
      <c r="T76" s="6">
        <v>2000000000</v>
      </c>
      <c r="U76" s="45">
        <f>VLOOKUP(B76,realPrices!C:G,5,0)</f>
        <v>2310000110</v>
      </c>
      <c r="W76" t="str">
        <f t="shared" si="1"/>
        <v>PU1 OHVG CNG1399</v>
      </c>
      <c r="X76">
        <f>VLOOKUP(W76,Sheet10!D:F,2,0)*10000000</f>
        <v>2830000000</v>
      </c>
      <c r="Y76" t="s">
        <v>114</v>
      </c>
      <c r="Z76"/>
    </row>
    <row r="77" spans="1:26" x14ac:dyDescent="0.25">
      <c r="A77" t="s">
        <v>376</v>
      </c>
      <c r="B77" t="s">
        <v>609</v>
      </c>
      <c r="C77">
        <v>164</v>
      </c>
      <c r="D77" t="s">
        <v>63</v>
      </c>
      <c r="E77" t="s">
        <v>78</v>
      </c>
      <c r="F77" t="s">
        <v>362</v>
      </c>
      <c r="G77" t="s">
        <v>597</v>
      </c>
      <c r="H77">
        <v>43</v>
      </c>
      <c r="I77">
        <v>1399</v>
      </c>
      <c r="J77" t="s">
        <v>610</v>
      </c>
      <c r="K77" t="s">
        <v>599</v>
      </c>
      <c r="L77" t="s">
        <v>611</v>
      </c>
      <c r="M77" t="s">
        <v>82</v>
      </c>
      <c r="N77">
        <v>16404</v>
      </c>
      <c r="O77" t="s">
        <v>83</v>
      </c>
      <c r="Q77" t="s">
        <v>381</v>
      </c>
      <c r="R77" t="s">
        <v>612</v>
      </c>
      <c r="S77" t="s">
        <v>613</v>
      </c>
      <c r="T77" s="6">
        <v>2000000000</v>
      </c>
      <c r="U77" s="45">
        <f>VLOOKUP(B77,realPrices!C:G,5,0)</f>
        <v>2222000000</v>
      </c>
      <c r="W77" t="str">
        <f t="shared" si="1"/>
        <v>PU1 OHVG CNG1399</v>
      </c>
      <c r="X77">
        <f>VLOOKUP(W77,Sheet10!D:F,2,0)*10000000</f>
        <v>2830000000</v>
      </c>
      <c r="Y77" t="s">
        <v>74</v>
      </c>
    </row>
    <row r="78" spans="1:26" x14ac:dyDescent="0.25">
      <c r="A78" t="s">
        <v>614</v>
      </c>
      <c r="B78" t="s">
        <v>615</v>
      </c>
      <c r="C78">
        <v>575</v>
      </c>
      <c r="D78" t="s">
        <v>77</v>
      </c>
      <c r="E78" t="s">
        <v>64</v>
      </c>
      <c r="F78" t="s">
        <v>362</v>
      </c>
      <c r="G78" t="s">
        <v>363</v>
      </c>
      <c r="H78">
        <v>9612</v>
      </c>
      <c r="I78">
        <v>1399</v>
      </c>
      <c r="J78" t="s">
        <v>616</v>
      </c>
      <c r="K78" t="s">
        <v>617</v>
      </c>
      <c r="L78" t="s">
        <v>618</v>
      </c>
      <c r="M78" t="s">
        <v>367</v>
      </c>
      <c r="N78">
        <v>57518</v>
      </c>
      <c r="O78" t="s">
        <v>70</v>
      </c>
      <c r="Q78" t="s">
        <v>368</v>
      </c>
      <c r="R78" t="s">
        <v>619</v>
      </c>
      <c r="S78" t="s">
        <v>620</v>
      </c>
      <c r="T78" s="6">
        <v>2000000000</v>
      </c>
      <c r="U78" s="45">
        <f>VLOOKUP(B78,realPrices!C:G,5,0)</f>
        <v>2717777777</v>
      </c>
      <c r="W78" t="str">
        <f t="shared" si="1"/>
        <v>SOREN EF71399</v>
      </c>
      <c r="X78">
        <f>VLOOKUP(W78,Sheet10!D:F,2,0)*10000000</f>
        <v>4000000000</v>
      </c>
      <c r="Y78" t="s">
        <v>74</v>
      </c>
      <c r="Z78"/>
    </row>
    <row r="79" spans="1:26" x14ac:dyDescent="0.25">
      <c r="A79" t="s">
        <v>621</v>
      </c>
      <c r="B79" t="s">
        <v>622</v>
      </c>
      <c r="C79">
        <v>701</v>
      </c>
      <c r="D79" t="s">
        <v>178</v>
      </c>
      <c r="E79" t="s">
        <v>64</v>
      </c>
      <c r="F79" t="s">
        <v>98</v>
      </c>
      <c r="G79" t="s">
        <v>623</v>
      </c>
      <c r="H79">
        <v>999999</v>
      </c>
      <c r="I79">
        <v>1394</v>
      </c>
      <c r="J79" t="s">
        <v>624</v>
      </c>
      <c r="K79" t="s">
        <v>625</v>
      </c>
      <c r="L79" t="s">
        <v>626</v>
      </c>
      <c r="M79" t="s">
        <v>408</v>
      </c>
      <c r="N79">
        <v>70101</v>
      </c>
      <c r="O79" t="s">
        <v>70</v>
      </c>
      <c r="Q79" t="s">
        <v>627</v>
      </c>
      <c r="R79" t="s">
        <v>628</v>
      </c>
      <c r="S79" t="s">
        <v>629</v>
      </c>
      <c r="T79" s="6">
        <v>2000000000</v>
      </c>
      <c r="U79" s="45">
        <f>VLOOKUP(B79,realPrices!C:G,5,0)</f>
        <v>2610000000</v>
      </c>
      <c r="W79" t="str">
        <f t="shared" si="1"/>
        <v>DENA EF71394</v>
      </c>
      <c r="X79" t="e">
        <f>VLOOKUP(W79,Sheet10!D:F,2,0)*10000000</f>
        <v>#N/A</v>
      </c>
      <c r="Y79" t="s">
        <v>74</v>
      </c>
      <c r="Z79"/>
    </row>
    <row r="80" spans="1:26" x14ac:dyDescent="0.25">
      <c r="A80" t="s">
        <v>376</v>
      </c>
      <c r="B80" t="s">
        <v>630</v>
      </c>
      <c r="C80">
        <v>164</v>
      </c>
      <c r="D80" t="s">
        <v>63</v>
      </c>
      <c r="E80" t="s">
        <v>78</v>
      </c>
      <c r="F80" t="s">
        <v>362</v>
      </c>
      <c r="G80" t="s">
        <v>363</v>
      </c>
      <c r="H80">
        <v>28</v>
      </c>
      <c r="I80">
        <v>1399</v>
      </c>
      <c r="J80" t="s">
        <v>631</v>
      </c>
      <c r="K80" t="s">
        <v>599</v>
      </c>
      <c r="L80" t="s">
        <v>632</v>
      </c>
      <c r="M80" t="s">
        <v>82</v>
      </c>
      <c r="N80">
        <v>16404</v>
      </c>
      <c r="O80" t="s">
        <v>83</v>
      </c>
      <c r="Q80" t="s">
        <v>381</v>
      </c>
      <c r="R80" t="s">
        <v>633</v>
      </c>
      <c r="S80" t="s">
        <v>634</v>
      </c>
      <c r="T80" s="6">
        <v>2000000000</v>
      </c>
      <c r="U80" s="45">
        <f>VLOOKUP(B80,realPrices!C:G,5,0)</f>
        <v>2166999000</v>
      </c>
      <c r="W80" t="str">
        <f t="shared" si="1"/>
        <v>PU1 OHVG CNG1399</v>
      </c>
      <c r="X80">
        <f>VLOOKUP(W80,Sheet10!D:F,2,0)*10000000</f>
        <v>2830000000</v>
      </c>
      <c r="Y80" t="s">
        <v>74</v>
      </c>
    </row>
    <row r="81" spans="1:26" x14ac:dyDescent="0.25">
      <c r="A81" t="s">
        <v>376</v>
      </c>
      <c r="B81" t="s">
        <v>635</v>
      </c>
      <c r="C81">
        <v>164</v>
      </c>
      <c r="D81" t="s">
        <v>63</v>
      </c>
      <c r="E81" t="s">
        <v>78</v>
      </c>
      <c r="F81" t="s">
        <v>362</v>
      </c>
      <c r="G81" t="s">
        <v>363</v>
      </c>
      <c r="H81">
        <v>34</v>
      </c>
      <c r="I81">
        <v>1399</v>
      </c>
      <c r="J81" t="s">
        <v>636</v>
      </c>
      <c r="K81" t="s">
        <v>599</v>
      </c>
      <c r="L81" t="s">
        <v>637</v>
      </c>
      <c r="M81" t="s">
        <v>82</v>
      </c>
      <c r="N81">
        <v>16404</v>
      </c>
      <c r="O81" t="s">
        <v>83</v>
      </c>
      <c r="Q81" t="s">
        <v>381</v>
      </c>
      <c r="R81" t="s">
        <v>638</v>
      </c>
      <c r="S81" t="s">
        <v>639</v>
      </c>
      <c r="T81" s="6">
        <v>2000000000</v>
      </c>
      <c r="U81" s="45">
        <f>VLOOKUP(B81,realPrices!C:G,5,0)</f>
        <v>2155111111</v>
      </c>
      <c r="W81" t="str">
        <f t="shared" si="1"/>
        <v>PU1 OHVG CNG1399</v>
      </c>
      <c r="X81">
        <f>VLOOKUP(W81,Sheet10!D:F,2,0)*10000000</f>
        <v>2830000000</v>
      </c>
      <c r="Y81" t="s">
        <v>74</v>
      </c>
      <c r="Z81"/>
    </row>
    <row r="82" spans="1:26" x14ac:dyDescent="0.25">
      <c r="A82" t="s">
        <v>376</v>
      </c>
      <c r="B82" t="s">
        <v>640</v>
      </c>
      <c r="C82">
        <v>164</v>
      </c>
      <c r="D82" t="s">
        <v>63</v>
      </c>
      <c r="E82" t="s">
        <v>78</v>
      </c>
      <c r="F82" t="s">
        <v>362</v>
      </c>
      <c r="G82" t="s">
        <v>363</v>
      </c>
      <c r="H82">
        <v>50</v>
      </c>
      <c r="I82">
        <v>1399</v>
      </c>
      <c r="J82" t="s">
        <v>641</v>
      </c>
      <c r="K82" t="s">
        <v>599</v>
      </c>
      <c r="L82" t="s">
        <v>642</v>
      </c>
      <c r="M82" t="s">
        <v>82</v>
      </c>
      <c r="N82">
        <v>16404</v>
      </c>
      <c r="O82" t="s">
        <v>83</v>
      </c>
      <c r="Q82" t="s">
        <v>381</v>
      </c>
      <c r="R82" t="s">
        <v>643</v>
      </c>
      <c r="S82" t="s">
        <v>644</v>
      </c>
      <c r="T82" s="6">
        <v>2000000000</v>
      </c>
      <c r="U82" s="45">
        <f>VLOOKUP(B82,realPrices!C:G,5,0)</f>
        <v>2246750000</v>
      </c>
      <c r="W82" t="str">
        <f t="shared" si="1"/>
        <v>PU1 OHVG CNG1399</v>
      </c>
      <c r="X82">
        <f>VLOOKUP(W82,Sheet10!D:F,2,0)*10000000</f>
        <v>2830000000</v>
      </c>
      <c r="Y82" t="s">
        <v>74</v>
      </c>
      <c r="Z82"/>
    </row>
    <row r="83" spans="1:26" x14ac:dyDescent="0.25">
      <c r="A83" t="s">
        <v>191</v>
      </c>
      <c r="B83" t="s">
        <v>645</v>
      </c>
      <c r="C83">
        <v>285</v>
      </c>
      <c r="D83" t="s">
        <v>63</v>
      </c>
      <c r="E83" t="s">
        <v>64</v>
      </c>
      <c r="F83" t="s">
        <v>193</v>
      </c>
      <c r="G83" t="s">
        <v>206</v>
      </c>
      <c r="H83">
        <v>999999</v>
      </c>
      <c r="I83">
        <v>1399</v>
      </c>
      <c r="J83" t="s">
        <v>646</v>
      </c>
      <c r="K83" t="s">
        <v>647</v>
      </c>
      <c r="L83" t="s">
        <v>648</v>
      </c>
      <c r="M83" t="s">
        <v>198</v>
      </c>
      <c r="N83">
        <v>28520</v>
      </c>
      <c r="O83" t="s">
        <v>70</v>
      </c>
      <c r="Q83" t="s">
        <v>199</v>
      </c>
      <c r="R83" t="s">
        <v>649</v>
      </c>
      <c r="S83" t="s">
        <v>650</v>
      </c>
      <c r="T83" s="6">
        <v>2000000000</v>
      </c>
      <c r="U83" s="45">
        <f>VLOOKUP(B83,realPrices!C:G,5,0)</f>
        <v>2750000000</v>
      </c>
      <c r="W83" t="str">
        <f t="shared" si="1"/>
        <v>PARS TU51399</v>
      </c>
      <c r="X83">
        <f>VLOOKUP(W83,Sheet10!D:F,2,0)*10000000</f>
        <v>4950000000</v>
      </c>
      <c r="Y83" t="s">
        <v>114</v>
      </c>
    </row>
    <row r="84" spans="1:26" x14ac:dyDescent="0.25">
      <c r="A84" t="s">
        <v>376</v>
      </c>
      <c r="B84" t="s">
        <v>651</v>
      </c>
      <c r="C84">
        <v>164</v>
      </c>
      <c r="D84" t="s">
        <v>63</v>
      </c>
      <c r="E84" t="s">
        <v>78</v>
      </c>
      <c r="F84" t="s">
        <v>362</v>
      </c>
      <c r="G84" t="s">
        <v>363</v>
      </c>
      <c r="H84">
        <v>32</v>
      </c>
      <c r="I84">
        <v>1399</v>
      </c>
      <c r="J84" t="s">
        <v>652</v>
      </c>
      <c r="K84" t="s">
        <v>599</v>
      </c>
      <c r="L84" t="s">
        <v>653</v>
      </c>
      <c r="M84" t="s">
        <v>82</v>
      </c>
      <c r="N84">
        <v>16404</v>
      </c>
      <c r="O84" t="s">
        <v>83</v>
      </c>
      <c r="Q84" t="s">
        <v>381</v>
      </c>
      <c r="R84" t="s">
        <v>654</v>
      </c>
      <c r="S84" t="s">
        <v>655</v>
      </c>
      <c r="T84" s="6">
        <v>2000000000</v>
      </c>
      <c r="U84" s="45">
        <f>VLOOKUP(B84,realPrices!C:G,5,0)</f>
        <v>2333333333</v>
      </c>
      <c r="W84" t="str">
        <f t="shared" si="1"/>
        <v>PU1 OHVG CNG1399</v>
      </c>
      <c r="X84">
        <f>VLOOKUP(W84,Sheet10!D:F,2,0)*10000000</f>
        <v>2830000000</v>
      </c>
      <c r="Y84" t="s">
        <v>74</v>
      </c>
      <c r="Z84"/>
    </row>
    <row r="85" spans="1:26" x14ac:dyDescent="0.25">
      <c r="A85" t="s">
        <v>376</v>
      </c>
      <c r="B85" t="s">
        <v>656</v>
      </c>
      <c r="C85">
        <v>164</v>
      </c>
      <c r="D85" t="s">
        <v>63</v>
      </c>
      <c r="E85" t="s">
        <v>78</v>
      </c>
      <c r="F85" t="s">
        <v>362</v>
      </c>
      <c r="G85" t="s">
        <v>363</v>
      </c>
      <c r="H85">
        <v>27</v>
      </c>
      <c r="I85">
        <v>1399</v>
      </c>
      <c r="J85" t="s">
        <v>657</v>
      </c>
      <c r="K85" t="s">
        <v>599</v>
      </c>
      <c r="L85" t="s">
        <v>658</v>
      </c>
      <c r="M85" t="s">
        <v>82</v>
      </c>
      <c r="N85">
        <v>16404</v>
      </c>
      <c r="O85" t="s">
        <v>83</v>
      </c>
      <c r="Q85" t="s">
        <v>381</v>
      </c>
      <c r="R85" t="s">
        <v>659</v>
      </c>
      <c r="S85" t="s">
        <v>660</v>
      </c>
      <c r="T85" s="6">
        <v>2000000000</v>
      </c>
      <c r="U85" s="45">
        <f>VLOOKUP(B85,realPrices!C:G,5,0)</f>
        <v>2161110000</v>
      </c>
      <c r="W85" t="str">
        <f t="shared" si="1"/>
        <v>PU1 OHVG CNG1399</v>
      </c>
      <c r="X85">
        <f>VLOOKUP(W85,Sheet10!D:F,2,0)*10000000</f>
        <v>2830000000</v>
      </c>
      <c r="Y85" t="s">
        <v>74</v>
      </c>
    </row>
    <row r="86" spans="1:26" x14ac:dyDescent="0.25">
      <c r="A86" t="s">
        <v>661</v>
      </c>
      <c r="B86" t="s">
        <v>662</v>
      </c>
      <c r="C86">
        <v>256</v>
      </c>
      <c r="D86" t="s">
        <v>178</v>
      </c>
      <c r="E86" t="s">
        <v>64</v>
      </c>
      <c r="F86" t="s">
        <v>362</v>
      </c>
      <c r="G86" t="s">
        <v>363</v>
      </c>
      <c r="H86">
        <v>12</v>
      </c>
      <c r="I86">
        <v>1398</v>
      </c>
      <c r="J86" t="s">
        <v>663</v>
      </c>
      <c r="K86" t="s">
        <v>664</v>
      </c>
      <c r="L86" t="s">
        <v>665</v>
      </c>
      <c r="M86" t="s">
        <v>140</v>
      </c>
      <c r="N86">
        <v>25637</v>
      </c>
      <c r="O86" t="s">
        <v>70</v>
      </c>
      <c r="Q86" t="s">
        <v>666</v>
      </c>
      <c r="R86" t="s">
        <v>667</v>
      </c>
      <c r="S86" t="s">
        <v>668</v>
      </c>
      <c r="T86" s="6">
        <v>2000000000</v>
      </c>
      <c r="U86" s="45">
        <f>VLOOKUP(B86,realPrices!C:G,5,0)</f>
        <v>3459000000</v>
      </c>
      <c r="W86" t="str">
        <f t="shared" si="1"/>
        <v>405 GLX XU71398</v>
      </c>
      <c r="X86" t="e">
        <f>VLOOKUP(W86,Sheet10!D:F,2,0)*10000000</f>
        <v>#N/A</v>
      </c>
      <c r="Y86" t="s">
        <v>114</v>
      </c>
    </row>
    <row r="87" spans="1:26" x14ac:dyDescent="0.25">
      <c r="A87" t="s">
        <v>376</v>
      </c>
      <c r="B87" t="s">
        <v>669</v>
      </c>
      <c r="C87">
        <v>164</v>
      </c>
      <c r="D87" t="s">
        <v>63</v>
      </c>
      <c r="E87" t="s">
        <v>78</v>
      </c>
      <c r="F87" t="s">
        <v>362</v>
      </c>
      <c r="G87" t="s">
        <v>363</v>
      </c>
      <c r="H87">
        <v>30</v>
      </c>
      <c r="I87">
        <v>1399</v>
      </c>
      <c r="J87" t="s">
        <v>670</v>
      </c>
      <c r="K87" t="s">
        <v>599</v>
      </c>
      <c r="L87" t="s">
        <v>671</v>
      </c>
      <c r="M87" t="s">
        <v>82</v>
      </c>
      <c r="N87">
        <v>16404</v>
      </c>
      <c r="O87" t="s">
        <v>83</v>
      </c>
      <c r="Q87" t="s">
        <v>381</v>
      </c>
      <c r="R87" t="s">
        <v>672</v>
      </c>
      <c r="S87" t="s">
        <v>673</v>
      </c>
      <c r="T87" s="6">
        <v>2000000000</v>
      </c>
      <c r="U87" s="45">
        <f>VLOOKUP(B87,realPrices!C:G,5,0)</f>
        <v>2150000000</v>
      </c>
      <c r="W87" t="str">
        <f t="shared" si="1"/>
        <v>PU1 OHVG CNG1399</v>
      </c>
      <c r="X87">
        <f>VLOOKUP(W87,Sheet10!D:F,2,0)*10000000</f>
        <v>2830000000</v>
      </c>
      <c r="Y87" t="s">
        <v>74</v>
      </c>
      <c r="Z87"/>
    </row>
    <row r="88" spans="1:26" x14ac:dyDescent="0.25">
      <c r="A88" t="s">
        <v>376</v>
      </c>
      <c r="B88" t="s">
        <v>674</v>
      </c>
      <c r="C88">
        <v>164</v>
      </c>
      <c r="D88" t="s">
        <v>63</v>
      </c>
      <c r="E88" t="s">
        <v>78</v>
      </c>
      <c r="F88" t="s">
        <v>362</v>
      </c>
      <c r="G88" t="s">
        <v>363</v>
      </c>
      <c r="H88">
        <v>45</v>
      </c>
      <c r="I88">
        <v>1399</v>
      </c>
      <c r="J88" t="s">
        <v>675</v>
      </c>
      <c r="K88" t="s">
        <v>599</v>
      </c>
      <c r="L88" t="s">
        <v>676</v>
      </c>
      <c r="M88" t="s">
        <v>82</v>
      </c>
      <c r="N88">
        <v>16404</v>
      </c>
      <c r="O88" t="s">
        <v>83</v>
      </c>
      <c r="Q88" t="s">
        <v>381</v>
      </c>
      <c r="R88" t="s">
        <v>677</v>
      </c>
      <c r="S88" t="s">
        <v>678</v>
      </c>
      <c r="T88" s="6">
        <v>2000000000</v>
      </c>
      <c r="U88" s="45">
        <f>VLOOKUP(B88,realPrices!C:G,5,0)</f>
        <v>2111999999</v>
      </c>
      <c r="W88" t="str">
        <f t="shared" si="1"/>
        <v>PU1 OHVG CNG1399</v>
      </c>
      <c r="X88">
        <f>VLOOKUP(W88,Sheet10!D:F,2,0)*10000000</f>
        <v>2830000000</v>
      </c>
      <c r="Y88" t="s">
        <v>74</v>
      </c>
    </row>
    <row r="89" spans="1:26" x14ac:dyDescent="0.25">
      <c r="A89" t="s">
        <v>376</v>
      </c>
      <c r="B89" t="s">
        <v>679</v>
      </c>
      <c r="C89">
        <v>164</v>
      </c>
      <c r="D89" t="s">
        <v>63</v>
      </c>
      <c r="E89" t="s">
        <v>78</v>
      </c>
      <c r="F89" t="s">
        <v>362</v>
      </c>
      <c r="G89" t="s">
        <v>363</v>
      </c>
      <c r="H89">
        <v>33</v>
      </c>
      <c r="I89">
        <v>1399</v>
      </c>
      <c r="J89" t="s">
        <v>680</v>
      </c>
      <c r="K89" t="s">
        <v>599</v>
      </c>
      <c r="L89" t="s">
        <v>681</v>
      </c>
      <c r="M89" t="s">
        <v>82</v>
      </c>
      <c r="N89">
        <v>16404</v>
      </c>
      <c r="O89" t="s">
        <v>83</v>
      </c>
      <c r="Q89" t="s">
        <v>381</v>
      </c>
      <c r="R89" t="s">
        <v>682</v>
      </c>
      <c r="S89" t="s">
        <v>683</v>
      </c>
      <c r="T89" s="6">
        <v>2000000000</v>
      </c>
      <c r="U89" s="45">
        <f>VLOOKUP(B89,realPrices!C:G,5,0)</f>
        <v>2217770000</v>
      </c>
      <c r="W89" t="str">
        <f t="shared" si="1"/>
        <v>PU1 OHVG CNG1399</v>
      </c>
      <c r="X89">
        <f>VLOOKUP(W89,Sheet10!D:F,2,0)*10000000</f>
        <v>2830000000</v>
      </c>
      <c r="Y89" t="s">
        <v>74</v>
      </c>
    </row>
    <row r="90" spans="1:26" x14ac:dyDescent="0.25">
      <c r="A90" t="s">
        <v>376</v>
      </c>
      <c r="B90" t="s">
        <v>684</v>
      </c>
      <c r="C90">
        <v>164</v>
      </c>
      <c r="D90" t="s">
        <v>63</v>
      </c>
      <c r="E90" t="s">
        <v>78</v>
      </c>
      <c r="F90" t="s">
        <v>362</v>
      </c>
      <c r="G90" t="s">
        <v>363</v>
      </c>
      <c r="H90">
        <v>48</v>
      </c>
      <c r="I90">
        <v>1399</v>
      </c>
      <c r="J90" t="s">
        <v>685</v>
      </c>
      <c r="K90" t="s">
        <v>599</v>
      </c>
      <c r="L90" t="s">
        <v>686</v>
      </c>
      <c r="M90" t="s">
        <v>82</v>
      </c>
      <c r="N90">
        <v>16404</v>
      </c>
      <c r="O90" t="s">
        <v>83</v>
      </c>
      <c r="Q90" t="s">
        <v>381</v>
      </c>
      <c r="R90" t="s">
        <v>687</v>
      </c>
      <c r="S90" t="s">
        <v>688</v>
      </c>
      <c r="T90" s="6">
        <v>2000000000</v>
      </c>
      <c r="U90" s="45">
        <f>VLOOKUP(B90,realPrices!C:G,5,0)</f>
        <v>2217770000</v>
      </c>
      <c r="W90" t="str">
        <f t="shared" si="1"/>
        <v>PU1 OHVG CNG1399</v>
      </c>
      <c r="X90">
        <f>VLOOKUP(W90,Sheet10!D:F,2,0)*10000000</f>
        <v>2830000000</v>
      </c>
      <c r="Y90" t="s">
        <v>74</v>
      </c>
      <c r="Z90"/>
    </row>
    <row r="91" spans="1:26" x14ac:dyDescent="0.25">
      <c r="A91" t="s">
        <v>376</v>
      </c>
      <c r="B91" t="s">
        <v>689</v>
      </c>
      <c r="C91">
        <v>164</v>
      </c>
      <c r="D91" t="s">
        <v>63</v>
      </c>
      <c r="E91" t="s">
        <v>78</v>
      </c>
      <c r="F91" t="s">
        <v>362</v>
      </c>
      <c r="G91" t="s">
        <v>363</v>
      </c>
      <c r="H91">
        <v>37</v>
      </c>
      <c r="I91">
        <v>1399</v>
      </c>
      <c r="J91" t="s">
        <v>690</v>
      </c>
      <c r="K91" t="s">
        <v>599</v>
      </c>
      <c r="L91" t="s">
        <v>691</v>
      </c>
      <c r="M91" t="s">
        <v>82</v>
      </c>
      <c r="N91">
        <v>16404</v>
      </c>
      <c r="O91" t="s">
        <v>83</v>
      </c>
      <c r="Q91" t="s">
        <v>381</v>
      </c>
      <c r="R91" t="s">
        <v>692</v>
      </c>
      <c r="S91" t="s">
        <v>693</v>
      </c>
      <c r="T91" s="6">
        <v>2000000000</v>
      </c>
      <c r="U91" s="45">
        <f>VLOOKUP(B91,realPrices!C:G,5,0)</f>
        <v>2225350000</v>
      </c>
      <c r="W91" t="str">
        <f t="shared" si="1"/>
        <v>PU1 OHVG CNG1399</v>
      </c>
      <c r="X91">
        <f>VLOOKUP(W91,Sheet10!D:F,2,0)*10000000</f>
        <v>2830000000</v>
      </c>
      <c r="Y91" t="s">
        <v>74</v>
      </c>
      <c r="Z91"/>
    </row>
    <row r="92" spans="1:26" x14ac:dyDescent="0.25">
      <c r="A92" t="s">
        <v>376</v>
      </c>
      <c r="B92" t="s">
        <v>694</v>
      </c>
      <c r="C92">
        <v>164</v>
      </c>
      <c r="D92" t="s">
        <v>63</v>
      </c>
      <c r="E92" t="s">
        <v>78</v>
      </c>
      <c r="F92" t="s">
        <v>362</v>
      </c>
      <c r="G92" t="s">
        <v>363</v>
      </c>
      <c r="H92">
        <v>37</v>
      </c>
      <c r="I92">
        <v>1399</v>
      </c>
      <c r="J92" t="s">
        <v>695</v>
      </c>
      <c r="K92" t="s">
        <v>599</v>
      </c>
      <c r="L92" t="s">
        <v>696</v>
      </c>
      <c r="M92" t="s">
        <v>82</v>
      </c>
      <c r="N92">
        <v>16404</v>
      </c>
      <c r="O92" t="s">
        <v>83</v>
      </c>
      <c r="Q92" t="s">
        <v>381</v>
      </c>
      <c r="R92" t="s">
        <v>697</v>
      </c>
      <c r="S92" t="s">
        <v>698</v>
      </c>
      <c r="T92" s="6">
        <v>2000000000</v>
      </c>
      <c r="U92" s="45">
        <f>VLOOKUP(B92,realPrices!C:G,5,0)</f>
        <v>2153000000</v>
      </c>
      <c r="W92" t="str">
        <f t="shared" si="1"/>
        <v>PU1 OHVG CNG1399</v>
      </c>
      <c r="X92">
        <f>VLOOKUP(W92,Sheet10!D:F,2,0)*10000000</f>
        <v>2830000000</v>
      </c>
      <c r="Y92" t="s">
        <v>74</v>
      </c>
      <c r="Z92"/>
    </row>
    <row r="93" spans="1:26" x14ac:dyDescent="0.25">
      <c r="A93" t="s">
        <v>376</v>
      </c>
      <c r="B93" t="s">
        <v>699</v>
      </c>
      <c r="C93">
        <v>164</v>
      </c>
      <c r="D93" t="s">
        <v>63</v>
      </c>
      <c r="E93" t="s">
        <v>78</v>
      </c>
      <c r="F93" t="s">
        <v>362</v>
      </c>
      <c r="G93" t="s">
        <v>363</v>
      </c>
      <c r="H93">
        <v>40</v>
      </c>
      <c r="I93">
        <v>1399</v>
      </c>
      <c r="J93" t="s">
        <v>700</v>
      </c>
      <c r="K93" t="s">
        <v>599</v>
      </c>
      <c r="L93" t="s">
        <v>701</v>
      </c>
      <c r="M93" t="s">
        <v>82</v>
      </c>
      <c r="N93">
        <v>16404</v>
      </c>
      <c r="O93" t="s">
        <v>83</v>
      </c>
      <c r="Q93" t="s">
        <v>381</v>
      </c>
      <c r="R93" t="s">
        <v>702</v>
      </c>
      <c r="S93" t="s">
        <v>703</v>
      </c>
      <c r="T93" s="6">
        <v>2000000000</v>
      </c>
      <c r="U93" s="45">
        <f>VLOOKUP(B93,realPrices!C:G,5,0)</f>
        <v>2167689229</v>
      </c>
      <c r="W93" t="str">
        <f t="shared" si="1"/>
        <v>PU1 OHVG CNG1399</v>
      </c>
      <c r="X93">
        <f>VLOOKUP(W93,Sheet10!D:F,2,0)*10000000</f>
        <v>2830000000</v>
      </c>
      <c r="Y93" t="s">
        <v>74</v>
      </c>
    </row>
    <row r="94" spans="1:26" x14ac:dyDescent="0.25">
      <c r="A94" t="s">
        <v>376</v>
      </c>
      <c r="B94" t="s">
        <v>704</v>
      </c>
      <c r="C94">
        <v>164</v>
      </c>
      <c r="D94" t="s">
        <v>63</v>
      </c>
      <c r="E94" t="s">
        <v>78</v>
      </c>
      <c r="F94" t="s">
        <v>362</v>
      </c>
      <c r="G94" t="s">
        <v>363</v>
      </c>
      <c r="H94">
        <v>35</v>
      </c>
      <c r="I94">
        <v>1399</v>
      </c>
      <c r="J94" t="s">
        <v>705</v>
      </c>
      <c r="K94" t="s">
        <v>599</v>
      </c>
      <c r="L94" t="s">
        <v>706</v>
      </c>
      <c r="M94" t="s">
        <v>82</v>
      </c>
      <c r="N94">
        <v>16404</v>
      </c>
      <c r="O94" t="s">
        <v>83</v>
      </c>
      <c r="Q94" t="s">
        <v>381</v>
      </c>
      <c r="R94" t="s">
        <v>707</v>
      </c>
      <c r="S94" t="s">
        <v>708</v>
      </c>
      <c r="T94" s="6">
        <v>2000000000</v>
      </c>
      <c r="U94" s="45">
        <f>VLOOKUP(B94,realPrices!C:G,5,0)</f>
        <v>2299999999</v>
      </c>
      <c r="W94" t="str">
        <f t="shared" si="1"/>
        <v>PU1 OHVG CNG1399</v>
      </c>
      <c r="X94">
        <f>VLOOKUP(W94,Sheet10!D:F,2,0)*10000000</f>
        <v>2830000000</v>
      </c>
      <c r="Y94" t="s">
        <v>74</v>
      </c>
    </row>
    <row r="95" spans="1:26" x14ac:dyDescent="0.25">
      <c r="A95" t="s">
        <v>709</v>
      </c>
      <c r="B95" t="s">
        <v>710</v>
      </c>
      <c r="C95">
        <v>291</v>
      </c>
      <c r="D95" t="s">
        <v>63</v>
      </c>
      <c r="E95" t="s">
        <v>78</v>
      </c>
      <c r="F95" t="s">
        <v>98</v>
      </c>
      <c r="G95" t="s">
        <v>711</v>
      </c>
      <c r="H95">
        <v>151291</v>
      </c>
      <c r="I95">
        <v>1394</v>
      </c>
      <c r="J95" t="s">
        <v>712</v>
      </c>
      <c r="K95" t="s">
        <v>713</v>
      </c>
      <c r="L95" t="s">
        <v>714</v>
      </c>
      <c r="M95" t="s">
        <v>272</v>
      </c>
      <c r="N95">
        <v>29111</v>
      </c>
      <c r="O95" t="s">
        <v>70</v>
      </c>
      <c r="Q95" t="s">
        <v>715</v>
      </c>
      <c r="R95" t="s">
        <v>716</v>
      </c>
      <c r="S95" t="s">
        <v>717</v>
      </c>
      <c r="T95" s="6">
        <v>2000000000</v>
      </c>
      <c r="U95" s="45">
        <f>VLOOKUP(B95,realPrices!C:G,5,0)</f>
        <v>2586120000</v>
      </c>
      <c r="W95" t="str">
        <f t="shared" si="1"/>
        <v>LX EF7 CNG1394</v>
      </c>
      <c r="X95" t="e">
        <f>VLOOKUP(W95,Sheet10!D:F,2,0)*10000000</f>
        <v>#N/A</v>
      </c>
      <c r="Y95" t="s">
        <v>114</v>
      </c>
    </row>
    <row r="96" spans="1:26" x14ac:dyDescent="0.25">
      <c r="A96" t="s">
        <v>376</v>
      </c>
      <c r="B96" t="s">
        <v>718</v>
      </c>
      <c r="C96">
        <v>164</v>
      </c>
      <c r="D96" t="s">
        <v>63</v>
      </c>
      <c r="E96" t="s">
        <v>78</v>
      </c>
      <c r="F96" t="s">
        <v>362</v>
      </c>
      <c r="G96" t="s">
        <v>363</v>
      </c>
      <c r="H96">
        <v>33</v>
      </c>
      <c r="I96">
        <v>1399</v>
      </c>
      <c r="J96" t="s">
        <v>719</v>
      </c>
      <c r="K96" t="s">
        <v>599</v>
      </c>
      <c r="L96" t="s">
        <v>720</v>
      </c>
      <c r="M96" t="s">
        <v>82</v>
      </c>
      <c r="N96">
        <v>16404</v>
      </c>
      <c r="O96" t="s">
        <v>83</v>
      </c>
      <c r="Q96" t="s">
        <v>381</v>
      </c>
      <c r="R96" t="s">
        <v>721</v>
      </c>
      <c r="S96" t="s">
        <v>722</v>
      </c>
      <c r="T96" s="6">
        <v>2000000000</v>
      </c>
      <c r="U96" s="45">
        <f>VLOOKUP(B96,realPrices!C:G,5,0)</f>
        <v>2144444444</v>
      </c>
      <c r="W96" t="str">
        <f t="shared" si="1"/>
        <v>PU1 OHVG CNG1399</v>
      </c>
      <c r="X96">
        <f>VLOOKUP(W96,Sheet10!D:F,2,0)*10000000</f>
        <v>2830000000</v>
      </c>
      <c r="Y96" t="s">
        <v>74</v>
      </c>
      <c r="Z96"/>
    </row>
    <row r="97" spans="1:26" x14ac:dyDescent="0.25">
      <c r="A97" t="s">
        <v>376</v>
      </c>
      <c r="B97" t="s">
        <v>723</v>
      </c>
      <c r="C97">
        <v>164</v>
      </c>
      <c r="D97" t="s">
        <v>63</v>
      </c>
      <c r="E97" t="s">
        <v>78</v>
      </c>
      <c r="F97" t="s">
        <v>362</v>
      </c>
      <c r="G97" t="s">
        <v>363</v>
      </c>
      <c r="H97">
        <v>29</v>
      </c>
      <c r="I97">
        <v>1399</v>
      </c>
      <c r="J97" t="s">
        <v>724</v>
      </c>
      <c r="K97" t="s">
        <v>599</v>
      </c>
      <c r="L97" t="s">
        <v>725</v>
      </c>
      <c r="M97" t="s">
        <v>82</v>
      </c>
      <c r="N97">
        <v>16404</v>
      </c>
      <c r="O97" t="s">
        <v>83</v>
      </c>
      <c r="Q97" t="s">
        <v>381</v>
      </c>
      <c r="R97" t="s">
        <v>726</v>
      </c>
      <c r="S97" t="s">
        <v>727</v>
      </c>
      <c r="T97" s="6">
        <v>2000000000</v>
      </c>
      <c r="U97" s="45">
        <f>VLOOKUP(B97,realPrices!C:G,5,0)</f>
        <v>2171111111</v>
      </c>
      <c r="W97" t="str">
        <f t="shared" si="1"/>
        <v>PU1 OHVG CNG1399</v>
      </c>
      <c r="X97">
        <f>VLOOKUP(W97,Sheet10!D:F,2,0)*10000000</f>
        <v>2830000000</v>
      </c>
      <c r="Y97" t="s">
        <v>74</v>
      </c>
    </row>
    <row r="98" spans="1:26" x14ac:dyDescent="0.25">
      <c r="A98" t="s">
        <v>376</v>
      </c>
      <c r="B98" t="s">
        <v>728</v>
      </c>
      <c r="C98">
        <v>164</v>
      </c>
      <c r="D98" t="s">
        <v>63</v>
      </c>
      <c r="E98" t="s">
        <v>78</v>
      </c>
      <c r="F98" t="s">
        <v>362</v>
      </c>
      <c r="G98" t="s">
        <v>363</v>
      </c>
      <c r="H98">
        <v>35</v>
      </c>
      <c r="I98">
        <v>1399</v>
      </c>
      <c r="J98" t="s">
        <v>729</v>
      </c>
      <c r="K98" t="s">
        <v>599</v>
      </c>
      <c r="L98" t="s">
        <v>730</v>
      </c>
      <c r="M98" t="s">
        <v>82</v>
      </c>
      <c r="N98">
        <v>16404</v>
      </c>
      <c r="O98" t="s">
        <v>83</v>
      </c>
      <c r="Q98" t="s">
        <v>381</v>
      </c>
      <c r="R98" t="s">
        <v>731</v>
      </c>
      <c r="S98" t="s">
        <v>732</v>
      </c>
      <c r="T98" s="6">
        <v>2000000000</v>
      </c>
      <c r="U98" s="45">
        <f>VLOOKUP(B98,realPrices!C:G,5,0)</f>
        <v>2126500000</v>
      </c>
      <c r="W98" t="str">
        <f t="shared" si="1"/>
        <v>PU1 OHVG CNG1399</v>
      </c>
      <c r="X98">
        <f>VLOOKUP(W98,Sheet10!D:F,2,0)*10000000</f>
        <v>2830000000</v>
      </c>
      <c r="Y98" t="s">
        <v>74</v>
      </c>
      <c r="Z98"/>
    </row>
    <row r="99" spans="1:26" x14ac:dyDescent="0.25">
      <c r="A99" t="s">
        <v>376</v>
      </c>
      <c r="B99" t="s">
        <v>733</v>
      </c>
      <c r="C99">
        <v>164</v>
      </c>
      <c r="D99" t="s">
        <v>63</v>
      </c>
      <c r="E99" t="s">
        <v>78</v>
      </c>
      <c r="F99" t="s">
        <v>362</v>
      </c>
      <c r="G99" t="s">
        <v>363</v>
      </c>
      <c r="H99">
        <v>45</v>
      </c>
      <c r="I99">
        <v>1399</v>
      </c>
      <c r="J99" t="s">
        <v>734</v>
      </c>
      <c r="K99" t="s">
        <v>599</v>
      </c>
      <c r="L99" t="s">
        <v>735</v>
      </c>
      <c r="M99" t="s">
        <v>82</v>
      </c>
      <c r="N99">
        <v>16404</v>
      </c>
      <c r="O99" t="s">
        <v>83</v>
      </c>
      <c r="Q99" t="s">
        <v>381</v>
      </c>
      <c r="R99" t="s">
        <v>736</v>
      </c>
      <c r="S99" t="s">
        <v>737</v>
      </c>
      <c r="T99" s="6">
        <v>2000000000</v>
      </c>
      <c r="U99" s="45">
        <f>VLOOKUP(B99,realPrices!C:G,5,0)</f>
        <v>2200000000</v>
      </c>
      <c r="W99" t="str">
        <f t="shared" si="1"/>
        <v>PU1 OHVG CNG1399</v>
      </c>
      <c r="X99">
        <f>VLOOKUP(W99,Sheet10!D:F,2,0)*10000000</f>
        <v>2830000000</v>
      </c>
      <c r="Y99" t="s">
        <v>74</v>
      </c>
    </row>
    <row r="100" spans="1:26" x14ac:dyDescent="0.25">
      <c r="A100" t="s">
        <v>376</v>
      </c>
      <c r="B100" t="s">
        <v>738</v>
      </c>
      <c r="C100">
        <v>164</v>
      </c>
      <c r="D100" t="s">
        <v>63</v>
      </c>
      <c r="E100" t="s">
        <v>78</v>
      </c>
      <c r="F100" t="s">
        <v>362</v>
      </c>
      <c r="G100" t="s">
        <v>363</v>
      </c>
      <c r="H100">
        <v>33</v>
      </c>
      <c r="I100">
        <v>1399</v>
      </c>
      <c r="J100" t="s">
        <v>739</v>
      </c>
      <c r="K100" t="s">
        <v>599</v>
      </c>
      <c r="L100" t="s">
        <v>740</v>
      </c>
      <c r="M100" t="s">
        <v>82</v>
      </c>
      <c r="N100">
        <v>16404</v>
      </c>
      <c r="O100" t="s">
        <v>83</v>
      </c>
      <c r="Q100" t="s">
        <v>381</v>
      </c>
      <c r="R100" t="s">
        <v>741</v>
      </c>
      <c r="S100" t="s">
        <v>742</v>
      </c>
      <c r="T100" s="6">
        <v>2000000000</v>
      </c>
      <c r="U100" s="45">
        <f>VLOOKUP(B100,realPrices!C:G,5,0)</f>
        <v>2179899999</v>
      </c>
      <c r="W100" t="str">
        <f t="shared" si="1"/>
        <v>PU1 OHVG CNG1399</v>
      </c>
      <c r="X100">
        <f>VLOOKUP(W100,Sheet10!D:F,2,0)*10000000</f>
        <v>2830000000</v>
      </c>
      <c r="Y100" t="s">
        <v>74</v>
      </c>
    </row>
    <row r="101" spans="1:26" x14ac:dyDescent="0.25">
      <c r="A101" t="s">
        <v>376</v>
      </c>
      <c r="B101" t="s">
        <v>743</v>
      </c>
      <c r="C101">
        <v>164</v>
      </c>
      <c r="D101" t="s">
        <v>63</v>
      </c>
      <c r="E101" t="s">
        <v>78</v>
      </c>
      <c r="F101" t="s">
        <v>362</v>
      </c>
      <c r="G101" t="s">
        <v>363</v>
      </c>
      <c r="H101">
        <v>26</v>
      </c>
      <c r="I101">
        <v>1399</v>
      </c>
      <c r="J101" t="s">
        <v>744</v>
      </c>
      <c r="K101" t="s">
        <v>599</v>
      </c>
      <c r="L101" t="s">
        <v>745</v>
      </c>
      <c r="M101" t="s">
        <v>82</v>
      </c>
      <c r="N101">
        <v>16404</v>
      </c>
      <c r="O101" t="s">
        <v>83</v>
      </c>
      <c r="Q101" t="s">
        <v>381</v>
      </c>
      <c r="R101" t="s">
        <v>746</v>
      </c>
      <c r="S101" t="s">
        <v>747</v>
      </c>
      <c r="T101" s="6">
        <v>2000000000</v>
      </c>
      <c r="U101" s="45">
        <f>VLOOKUP(B101,realPrices!C:G,5,0)</f>
        <v>2160000000</v>
      </c>
      <c r="W101" t="str">
        <f t="shared" si="1"/>
        <v>PU1 OHVG CNG1399</v>
      </c>
      <c r="X101">
        <f>VLOOKUP(W101,Sheet10!D:F,2,0)*10000000</f>
        <v>2830000000</v>
      </c>
      <c r="Y101" t="s">
        <v>74</v>
      </c>
    </row>
    <row r="102" spans="1:26" x14ac:dyDescent="0.25">
      <c r="A102" t="s">
        <v>376</v>
      </c>
      <c r="B102" t="s">
        <v>748</v>
      </c>
      <c r="C102">
        <v>164</v>
      </c>
      <c r="D102" t="s">
        <v>63</v>
      </c>
      <c r="E102" t="s">
        <v>78</v>
      </c>
      <c r="F102" t="s">
        <v>362</v>
      </c>
      <c r="G102" t="s">
        <v>363</v>
      </c>
      <c r="H102">
        <v>33</v>
      </c>
      <c r="I102">
        <v>1399</v>
      </c>
      <c r="J102" t="s">
        <v>749</v>
      </c>
      <c r="K102" t="s">
        <v>599</v>
      </c>
      <c r="L102" t="s">
        <v>750</v>
      </c>
      <c r="M102" t="s">
        <v>82</v>
      </c>
      <c r="N102">
        <v>16404</v>
      </c>
      <c r="O102" t="s">
        <v>83</v>
      </c>
      <c r="Q102" t="s">
        <v>381</v>
      </c>
      <c r="R102" t="s">
        <v>751</v>
      </c>
      <c r="S102" t="s">
        <v>752</v>
      </c>
      <c r="T102" s="6">
        <v>2000000000</v>
      </c>
      <c r="U102" s="45">
        <f>VLOOKUP(B102,realPrices!C:G,5,0)</f>
        <v>2148785000</v>
      </c>
      <c r="W102" t="str">
        <f t="shared" si="1"/>
        <v>PU1 OHVG CNG1399</v>
      </c>
      <c r="X102">
        <f>VLOOKUP(W102,Sheet10!D:F,2,0)*10000000</f>
        <v>2830000000</v>
      </c>
      <c r="Y102" t="s">
        <v>74</v>
      </c>
    </row>
    <row r="103" spans="1:26" x14ac:dyDescent="0.25">
      <c r="A103" t="s">
        <v>376</v>
      </c>
      <c r="B103" t="s">
        <v>753</v>
      </c>
      <c r="C103">
        <v>164</v>
      </c>
      <c r="D103" t="s">
        <v>63</v>
      </c>
      <c r="E103" t="s">
        <v>78</v>
      </c>
      <c r="F103" t="s">
        <v>362</v>
      </c>
      <c r="G103" t="s">
        <v>363</v>
      </c>
      <c r="H103">
        <v>31</v>
      </c>
      <c r="I103">
        <v>1399</v>
      </c>
      <c r="J103" t="s">
        <v>754</v>
      </c>
      <c r="K103" t="s">
        <v>599</v>
      </c>
      <c r="L103" t="s">
        <v>755</v>
      </c>
      <c r="M103" t="s">
        <v>82</v>
      </c>
      <c r="N103">
        <v>16404</v>
      </c>
      <c r="O103" t="s">
        <v>83</v>
      </c>
      <c r="Q103" t="s">
        <v>381</v>
      </c>
      <c r="R103" t="s">
        <v>756</v>
      </c>
      <c r="S103" t="s">
        <v>757</v>
      </c>
      <c r="T103" s="6">
        <v>2000000000</v>
      </c>
      <c r="U103" s="45">
        <f>VLOOKUP(B103,realPrices!C:G,5,0)</f>
        <v>2231210000</v>
      </c>
      <c r="W103" t="str">
        <f t="shared" si="1"/>
        <v>PU1 OHVG CNG1399</v>
      </c>
      <c r="X103">
        <f>VLOOKUP(W103,Sheet10!D:F,2,0)*10000000</f>
        <v>2830000000</v>
      </c>
      <c r="Y103" t="s">
        <v>74</v>
      </c>
    </row>
    <row r="104" spans="1:26" x14ac:dyDescent="0.25">
      <c r="A104" t="s">
        <v>376</v>
      </c>
      <c r="B104" t="s">
        <v>758</v>
      </c>
      <c r="C104">
        <v>164</v>
      </c>
      <c r="D104" t="s">
        <v>63</v>
      </c>
      <c r="E104" t="s">
        <v>78</v>
      </c>
      <c r="F104" t="s">
        <v>362</v>
      </c>
      <c r="G104" t="s">
        <v>363</v>
      </c>
      <c r="H104">
        <v>45</v>
      </c>
      <c r="I104">
        <v>1399</v>
      </c>
      <c r="J104" t="s">
        <v>759</v>
      </c>
      <c r="K104" t="s">
        <v>599</v>
      </c>
      <c r="L104" t="s">
        <v>760</v>
      </c>
      <c r="M104" t="s">
        <v>82</v>
      </c>
      <c r="N104">
        <v>16404</v>
      </c>
      <c r="O104" t="s">
        <v>83</v>
      </c>
      <c r="Q104" t="s">
        <v>381</v>
      </c>
      <c r="R104" t="s">
        <v>761</v>
      </c>
      <c r="S104" t="s">
        <v>762</v>
      </c>
      <c r="T104" s="6">
        <v>2000000000</v>
      </c>
      <c r="U104" s="45">
        <f>VLOOKUP(B104,realPrices!C:G,5,0)</f>
        <v>2224999999</v>
      </c>
      <c r="W104" t="str">
        <f t="shared" si="1"/>
        <v>PU1 OHVG CNG1399</v>
      </c>
      <c r="X104">
        <f>VLOOKUP(W104,Sheet10!D:F,2,0)*10000000</f>
        <v>2830000000</v>
      </c>
      <c r="Y104" t="s">
        <v>74</v>
      </c>
    </row>
    <row r="105" spans="1:26" x14ac:dyDescent="0.25">
      <c r="A105" t="s">
        <v>376</v>
      </c>
      <c r="B105" t="s">
        <v>763</v>
      </c>
      <c r="C105">
        <v>164</v>
      </c>
      <c r="D105" t="s">
        <v>63</v>
      </c>
      <c r="E105" t="s">
        <v>78</v>
      </c>
      <c r="F105" t="s">
        <v>362</v>
      </c>
      <c r="H105">
        <v>25</v>
      </c>
      <c r="I105">
        <v>1399</v>
      </c>
      <c r="J105" t="s">
        <v>764</v>
      </c>
      <c r="K105" t="s">
        <v>599</v>
      </c>
      <c r="L105" t="s">
        <v>765</v>
      </c>
      <c r="M105" t="s">
        <v>82</v>
      </c>
      <c r="N105">
        <v>16404</v>
      </c>
      <c r="O105" t="s">
        <v>83</v>
      </c>
      <c r="Q105" t="s">
        <v>381</v>
      </c>
      <c r="R105" t="s">
        <v>766</v>
      </c>
      <c r="S105" t="s">
        <v>767</v>
      </c>
      <c r="T105" s="6">
        <v>2000000000</v>
      </c>
      <c r="U105" s="45">
        <f>VLOOKUP(B105,realPrices!C:G,5,0)</f>
        <v>2038880000</v>
      </c>
      <c r="W105" t="str">
        <f t="shared" si="1"/>
        <v>PU1 OHVG CNG1399</v>
      </c>
      <c r="X105">
        <f>VLOOKUP(W105,Sheet10!D:F,2,0)*10000000</f>
        <v>2830000000</v>
      </c>
      <c r="Y105" t="s">
        <v>74</v>
      </c>
      <c r="Z105"/>
    </row>
    <row r="106" spans="1:26" x14ac:dyDescent="0.25">
      <c r="A106" t="s">
        <v>376</v>
      </c>
      <c r="B106" t="s">
        <v>768</v>
      </c>
      <c r="C106">
        <v>164</v>
      </c>
      <c r="D106" t="s">
        <v>63</v>
      </c>
      <c r="E106" t="s">
        <v>78</v>
      </c>
      <c r="F106" t="s">
        <v>362</v>
      </c>
      <c r="H106">
        <v>19</v>
      </c>
      <c r="I106">
        <v>1399</v>
      </c>
      <c r="J106" t="s">
        <v>769</v>
      </c>
      <c r="K106" t="s">
        <v>599</v>
      </c>
      <c r="L106" t="s">
        <v>770</v>
      </c>
      <c r="M106" t="s">
        <v>82</v>
      </c>
      <c r="N106">
        <v>16404</v>
      </c>
      <c r="O106" t="s">
        <v>83</v>
      </c>
      <c r="Q106" t="s">
        <v>381</v>
      </c>
      <c r="R106" t="s">
        <v>771</v>
      </c>
      <c r="S106" t="s">
        <v>772</v>
      </c>
      <c r="T106" s="6">
        <v>2000000000</v>
      </c>
      <c r="U106" s="45">
        <f>VLOOKUP(B106,realPrices!C:G,5,0)</f>
        <v>2260000000</v>
      </c>
      <c r="W106" t="str">
        <f t="shared" si="1"/>
        <v>PU1 OHVG CNG1399</v>
      </c>
      <c r="X106">
        <f>VLOOKUP(W106,Sheet10!D:F,2,0)*10000000</f>
        <v>2830000000</v>
      </c>
      <c r="Y106" t="s">
        <v>74</v>
      </c>
    </row>
    <row r="107" spans="1:26" x14ac:dyDescent="0.25">
      <c r="A107" t="s">
        <v>376</v>
      </c>
      <c r="B107" t="s">
        <v>773</v>
      </c>
      <c r="C107">
        <v>164</v>
      </c>
      <c r="D107" t="s">
        <v>63</v>
      </c>
      <c r="E107" t="s">
        <v>78</v>
      </c>
      <c r="F107" t="s">
        <v>362</v>
      </c>
      <c r="H107">
        <v>33</v>
      </c>
      <c r="I107">
        <v>1399</v>
      </c>
      <c r="J107" t="s">
        <v>774</v>
      </c>
      <c r="K107" t="s">
        <v>599</v>
      </c>
      <c r="L107" t="s">
        <v>775</v>
      </c>
      <c r="M107" t="s">
        <v>82</v>
      </c>
      <c r="N107">
        <v>16404</v>
      </c>
      <c r="O107" t="s">
        <v>83</v>
      </c>
      <c r="Q107" t="s">
        <v>381</v>
      </c>
      <c r="R107" t="s">
        <v>776</v>
      </c>
      <c r="S107" t="s">
        <v>777</v>
      </c>
      <c r="T107" s="6">
        <v>2000000000</v>
      </c>
      <c r="U107" s="45">
        <f>VLOOKUP(B107,realPrices!C:G,5,0)</f>
        <v>2111000000</v>
      </c>
      <c r="W107" t="str">
        <f t="shared" si="1"/>
        <v>PU1 OHVG CNG1399</v>
      </c>
      <c r="X107">
        <f>VLOOKUP(W107,Sheet10!D:F,2,0)*10000000</f>
        <v>2830000000</v>
      </c>
      <c r="Y107" t="s">
        <v>74</v>
      </c>
    </row>
    <row r="108" spans="1:26" x14ac:dyDescent="0.25">
      <c r="A108" t="s">
        <v>376</v>
      </c>
      <c r="B108" t="s">
        <v>778</v>
      </c>
      <c r="C108">
        <v>164</v>
      </c>
      <c r="D108" t="s">
        <v>63</v>
      </c>
      <c r="E108" t="s">
        <v>78</v>
      </c>
      <c r="F108" t="s">
        <v>362</v>
      </c>
      <c r="H108">
        <v>33</v>
      </c>
      <c r="I108">
        <v>1399</v>
      </c>
      <c r="J108" t="s">
        <v>779</v>
      </c>
      <c r="K108" t="s">
        <v>599</v>
      </c>
      <c r="L108" t="s">
        <v>780</v>
      </c>
      <c r="M108" t="s">
        <v>82</v>
      </c>
      <c r="N108">
        <v>16404</v>
      </c>
      <c r="O108" t="s">
        <v>83</v>
      </c>
      <c r="Q108" t="s">
        <v>381</v>
      </c>
      <c r="R108" t="s">
        <v>781</v>
      </c>
      <c r="S108" t="s">
        <v>782</v>
      </c>
      <c r="T108" s="6">
        <v>2000000000</v>
      </c>
      <c r="U108" s="45">
        <f>VLOOKUP(B108,realPrices!C:G,5,0)</f>
        <v>2125580000</v>
      </c>
      <c r="W108" t="str">
        <f t="shared" si="1"/>
        <v>PU1 OHVG CNG1399</v>
      </c>
      <c r="X108">
        <f>VLOOKUP(W108,Sheet10!D:F,2,0)*10000000</f>
        <v>2830000000</v>
      </c>
      <c r="Y108" t="s">
        <v>74</v>
      </c>
      <c r="Z108"/>
    </row>
    <row r="109" spans="1:26" x14ac:dyDescent="0.25">
      <c r="A109" t="s">
        <v>376</v>
      </c>
      <c r="B109" t="s">
        <v>783</v>
      </c>
      <c r="C109">
        <v>164</v>
      </c>
      <c r="D109" t="s">
        <v>63</v>
      </c>
      <c r="E109" t="s">
        <v>78</v>
      </c>
      <c r="F109" t="s">
        <v>362</v>
      </c>
      <c r="H109">
        <v>32</v>
      </c>
      <c r="I109">
        <v>1399</v>
      </c>
      <c r="J109" t="s">
        <v>784</v>
      </c>
      <c r="K109" t="s">
        <v>599</v>
      </c>
      <c r="L109" t="s">
        <v>785</v>
      </c>
      <c r="M109" t="s">
        <v>82</v>
      </c>
      <c r="N109">
        <v>16404</v>
      </c>
      <c r="O109" t="s">
        <v>83</v>
      </c>
      <c r="Q109" t="s">
        <v>381</v>
      </c>
      <c r="R109" t="s">
        <v>786</v>
      </c>
      <c r="S109" t="s">
        <v>787</v>
      </c>
      <c r="T109" s="6">
        <v>2000000000</v>
      </c>
      <c r="U109" s="45">
        <f>VLOOKUP(B109,realPrices!C:G,5,0)</f>
        <v>2157999000</v>
      </c>
      <c r="W109" t="str">
        <f t="shared" si="1"/>
        <v>PU1 OHVG CNG1399</v>
      </c>
      <c r="X109">
        <f>VLOOKUP(W109,Sheet10!D:F,2,0)*10000000</f>
        <v>2830000000</v>
      </c>
      <c r="Y109" t="s">
        <v>74</v>
      </c>
    </row>
    <row r="110" spans="1:26" x14ac:dyDescent="0.25">
      <c r="A110" t="s">
        <v>376</v>
      </c>
      <c r="B110" t="s">
        <v>788</v>
      </c>
      <c r="C110">
        <v>164</v>
      </c>
      <c r="D110" t="s">
        <v>63</v>
      </c>
      <c r="E110" t="s">
        <v>78</v>
      </c>
      <c r="F110" t="s">
        <v>362</v>
      </c>
      <c r="H110">
        <v>32</v>
      </c>
      <c r="I110">
        <v>1399</v>
      </c>
      <c r="J110" t="s">
        <v>789</v>
      </c>
      <c r="K110" t="s">
        <v>599</v>
      </c>
      <c r="L110" t="s">
        <v>790</v>
      </c>
      <c r="M110" t="s">
        <v>82</v>
      </c>
      <c r="N110">
        <v>16404</v>
      </c>
      <c r="O110" t="s">
        <v>83</v>
      </c>
      <c r="Q110" t="s">
        <v>381</v>
      </c>
      <c r="R110" t="s">
        <v>791</v>
      </c>
      <c r="S110" t="s">
        <v>792</v>
      </c>
      <c r="T110" s="6">
        <v>2000000000</v>
      </c>
      <c r="U110" s="45">
        <f>VLOOKUP(B110,realPrices!C:G,5,0)</f>
        <v>2178787877</v>
      </c>
      <c r="W110" t="str">
        <f t="shared" si="1"/>
        <v>PU1 OHVG CNG1399</v>
      </c>
      <c r="X110">
        <f>VLOOKUP(W110,Sheet10!D:F,2,0)*10000000</f>
        <v>2830000000</v>
      </c>
      <c r="Y110" t="s">
        <v>74</v>
      </c>
      <c r="Z110"/>
    </row>
    <row r="111" spans="1:26" x14ac:dyDescent="0.25">
      <c r="A111" t="s">
        <v>376</v>
      </c>
      <c r="B111" t="s">
        <v>793</v>
      </c>
      <c r="C111">
        <v>164</v>
      </c>
      <c r="D111" t="s">
        <v>63</v>
      </c>
      <c r="E111" t="s">
        <v>78</v>
      </c>
      <c r="F111" t="s">
        <v>362</v>
      </c>
      <c r="H111">
        <v>31</v>
      </c>
      <c r="I111">
        <v>1399</v>
      </c>
      <c r="J111" t="s">
        <v>794</v>
      </c>
      <c r="K111" t="s">
        <v>599</v>
      </c>
      <c r="L111" t="s">
        <v>795</v>
      </c>
      <c r="M111" t="s">
        <v>82</v>
      </c>
      <c r="N111">
        <v>16404</v>
      </c>
      <c r="O111" t="s">
        <v>83</v>
      </c>
      <c r="Q111" t="s">
        <v>381</v>
      </c>
      <c r="R111" t="s">
        <v>796</v>
      </c>
      <c r="S111" t="s">
        <v>797</v>
      </c>
      <c r="T111" s="6">
        <v>2000000000</v>
      </c>
      <c r="U111" s="45">
        <f>VLOOKUP(B111,realPrices!C:G,5,0)</f>
        <v>2141575170</v>
      </c>
      <c r="W111" t="str">
        <f t="shared" si="1"/>
        <v>PU1 OHVG CNG1399</v>
      </c>
      <c r="X111">
        <f>VLOOKUP(W111,Sheet10!D:F,2,0)*10000000</f>
        <v>2830000000</v>
      </c>
      <c r="Y111" t="s">
        <v>74</v>
      </c>
      <c r="Z111"/>
    </row>
    <row r="112" spans="1:26" x14ac:dyDescent="0.25">
      <c r="A112" t="s">
        <v>376</v>
      </c>
      <c r="B112" t="s">
        <v>798</v>
      </c>
      <c r="C112">
        <v>164</v>
      </c>
      <c r="D112" t="s">
        <v>63</v>
      </c>
      <c r="E112" t="s">
        <v>78</v>
      </c>
      <c r="F112" t="s">
        <v>362</v>
      </c>
      <c r="H112">
        <v>30</v>
      </c>
      <c r="I112">
        <v>1399</v>
      </c>
      <c r="J112" t="s">
        <v>799</v>
      </c>
      <c r="K112" t="s">
        <v>599</v>
      </c>
      <c r="L112" t="s">
        <v>800</v>
      </c>
      <c r="M112" t="s">
        <v>82</v>
      </c>
      <c r="N112">
        <v>16404</v>
      </c>
      <c r="O112" t="s">
        <v>83</v>
      </c>
      <c r="Q112" t="s">
        <v>381</v>
      </c>
      <c r="R112" t="s">
        <v>801</v>
      </c>
      <c r="S112" t="s">
        <v>444</v>
      </c>
      <c r="T112" s="6">
        <v>2000000000</v>
      </c>
      <c r="U112" s="45">
        <f>VLOOKUP(B112,realPrices!C:G,5,0)</f>
        <v>2211190000</v>
      </c>
      <c r="W112" t="str">
        <f t="shared" si="1"/>
        <v>PU1 OHVG CNG1399</v>
      </c>
      <c r="X112">
        <f>VLOOKUP(W112,Sheet10!D:F,2,0)*10000000</f>
        <v>2830000000</v>
      </c>
      <c r="Y112" t="s">
        <v>74</v>
      </c>
      <c r="Z112"/>
    </row>
    <row r="113" spans="1:26" x14ac:dyDescent="0.25">
      <c r="A113" t="s">
        <v>376</v>
      </c>
      <c r="B113" t="s">
        <v>802</v>
      </c>
      <c r="C113">
        <v>164</v>
      </c>
      <c r="D113" t="s">
        <v>63</v>
      </c>
      <c r="E113" t="s">
        <v>78</v>
      </c>
      <c r="F113" t="s">
        <v>362</v>
      </c>
      <c r="H113">
        <v>29</v>
      </c>
      <c r="I113">
        <v>1399</v>
      </c>
      <c r="J113" t="s">
        <v>803</v>
      </c>
      <c r="K113" t="s">
        <v>599</v>
      </c>
      <c r="L113" t="s">
        <v>804</v>
      </c>
      <c r="M113" t="s">
        <v>82</v>
      </c>
      <c r="N113">
        <v>16404</v>
      </c>
      <c r="O113" t="s">
        <v>83</v>
      </c>
      <c r="Q113" t="s">
        <v>381</v>
      </c>
      <c r="R113" t="s">
        <v>805</v>
      </c>
      <c r="S113" t="s">
        <v>806</v>
      </c>
      <c r="T113" s="6">
        <v>2000000000</v>
      </c>
      <c r="U113" s="45">
        <f>VLOOKUP(B113,realPrices!C:G,5,0)</f>
        <v>2180000000</v>
      </c>
      <c r="W113" t="str">
        <f t="shared" si="1"/>
        <v>PU1 OHVG CNG1399</v>
      </c>
      <c r="X113">
        <f>VLOOKUP(W113,Sheet10!D:F,2,0)*10000000</f>
        <v>2830000000</v>
      </c>
      <c r="Y113" t="s">
        <v>74</v>
      </c>
      <c r="Z113"/>
    </row>
    <row r="114" spans="1:26" x14ac:dyDescent="0.25">
      <c r="A114" t="s">
        <v>376</v>
      </c>
      <c r="B114" t="s">
        <v>807</v>
      </c>
      <c r="C114">
        <v>164</v>
      </c>
      <c r="D114" t="s">
        <v>63</v>
      </c>
      <c r="E114" t="s">
        <v>78</v>
      </c>
      <c r="F114" t="s">
        <v>362</v>
      </c>
      <c r="H114">
        <v>29</v>
      </c>
      <c r="I114">
        <v>1399</v>
      </c>
      <c r="J114" t="s">
        <v>808</v>
      </c>
      <c r="K114" t="s">
        <v>599</v>
      </c>
      <c r="L114" t="s">
        <v>809</v>
      </c>
      <c r="M114" t="s">
        <v>82</v>
      </c>
      <c r="N114">
        <v>16404</v>
      </c>
      <c r="O114" t="s">
        <v>83</v>
      </c>
      <c r="Q114" t="s">
        <v>381</v>
      </c>
      <c r="R114" t="s">
        <v>810</v>
      </c>
      <c r="S114" t="s">
        <v>811</v>
      </c>
      <c r="T114" s="6">
        <v>2000000000</v>
      </c>
      <c r="U114" s="45">
        <f>VLOOKUP(B114,realPrices!C:G,5,0)</f>
        <v>2323232323</v>
      </c>
      <c r="W114" t="str">
        <f t="shared" si="1"/>
        <v>PU1 OHVG CNG1399</v>
      </c>
      <c r="X114">
        <f>VLOOKUP(W114,Sheet10!D:F,2,0)*10000000</f>
        <v>2830000000</v>
      </c>
      <c r="Y114" t="s">
        <v>74</v>
      </c>
    </row>
    <row r="115" spans="1:26" x14ac:dyDescent="0.25">
      <c r="A115" t="s">
        <v>376</v>
      </c>
      <c r="B115" t="s">
        <v>812</v>
      </c>
      <c r="C115">
        <v>164</v>
      </c>
      <c r="D115" t="s">
        <v>63</v>
      </c>
      <c r="E115" t="s">
        <v>78</v>
      </c>
      <c r="F115" t="s">
        <v>362</v>
      </c>
      <c r="H115">
        <v>28</v>
      </c>
      <c r="I115">
        <v>1399</v>
      </c>
      <c r="J115" t="s">
        <v>813</v>
      </c>
      <c r="K115" t="s">
        <v>599</v>
      </c>
      <c r="L115" t="s">
        <v>814</v>
      </c>
      <c r="M115" t="s">
        <v>82</v>
      </c>
      <c r="N115">
        <v>16404</v>
      </c>
      <c r="O115" t="s">
        <v>83</v>
      </c>
      <c r="Q115" t="s">
        <v>381</v>
      </c>
      <c r="R115" t="s">
        <v>815</v>
      </c>
      <c r="S115" t="s">
        <v>816</v>
      </c>
      <c r="T115" s="6">
        <v>2000000000</v>
      </c>
      <c r="U115" s="45">
        <f>VLOOKUP(B115,realPrices!C:G,5,0)</f>
        <v>2090000000</v>
      </c>
      <c r="W115" t="str">
        <f t="shared" si="1"/>
        <v>PU1 OHVG CNG1399</v>
      </c>
      <c r="X115">
        <f>VLOOKUP(W115,Sheet10!D:F,2,0)*10000000</f>
        <v>2830000000</v>
      </c>
      <c r="Y115" t="s">
        <v>74</v>
      </c>
    </row>
    <row r="116" spans="1:26" x14ac:dyDescent="0.25">
      <c r="A116" t="s">
        <v>376</v>
      </c>
      <c r="B116" t="s">
        <v>817</v>
      </c>
      <c r="C116">
        <v>164</v>
      </c>
      <c r="D116" t="s">
        <v>63</v>
      </c>
      <c r="E116" t="s">
        <v>78</v>
      </c>
      <c r="F116" t="s">
        <v>362</v>
      </c>
      <c r="H116">
        <v>28</v>
      </c>
      <c r="I116">
        <v>1399</v>
      </c>
      <c r="J116" t="s">
        <v>818</v>
      </c>
      <c r="K116" t="s">
        <v>599</v>
      </c>
      <c r="L116" t="s">
        <v>819</v>
      </c>
      <c r="M116" t="s">
        <v>82</v>
      </c>
      <c r="N116">
        <v>16404</v>
      </c>
      <c r="O116" t="s">
        <v>83</v>
      </c>
      <c r="Q116" t="s">
        <v>381</v>
      </c>
      <c r="R116" t="s">
        <v>820</v>
      </c>
      <c r="S116" t="s">
        <v>821</v>
      </c>
      <c r="T116" s="6">
        <v>2000000000</v>
      </c>
      <c r="U116" s="45">
        <f>VLOOKUP(B116,realPrices!C:G,5,0)</f>
        <v>2234512515</v>
      </c>
      <c r="W116" t="str">
        <f t="shared" si="1"/>
        <v>PU1 OHVG CNG1399</v>
      </c>
      <c r="X116">
        <f>VLOOKUP(W116,Sheet10!D:F,2,0)*10000000</f>
        <v>2830000000</v>
      </c>
      <c r="Y116" t="s">
        <v>74</v>
      </c>
    </row>
    <row r="117" spans="1:26" x14ac:dyDescent="0.25">
      <c r="A117" t="s">
        <v>376</v>
      </c>
      <c r="B117" t="s">
        <v>822</v>
      </c>
      <c r="C117">
        <v>164</v>
      </c>
      <c r="D117" t="s">
        <v>63</v>
      </c>
      <c r="E117" t="s">
        <v>78</v>
      </c>
      <c r="F117" t="s">
        <v>362</v>
      </c>
      <c r="H117">
        <v>27</v>
      </c>
      <c r="I117">
        <v>1399</v>
      </c>
      <c r="J117" t="s">
        <v>823</v>
      </c>
      <c r="K117" t="s">
        <v>599</v>
      </c>
      <c r="L117" t="s">
        <v>824</v>
      </c>
      <c r="M117" t="s">
        <v>82</v>
      </c>
      <c r="N117">
        <v>16404</v>
      </c>
      <c r="O117" t="s">
        <v>83</v>
      </c>
      <c r="Q117" t="s">
        <v>381</v>
      </c>
      <c r="R117" t="s">
        <v>825</v>
      </c>
      <c r="S117" t="s">
        <v>826</v>
      </c>
      <c r="T117" s="6">
        <v>2000000000</v>
      </c>
      <c r="U117" s="45">
        <f>VLOOKUP(B117,realPrices!C:G,5,0)</f>
        <v>2115200000</v>
      </c>
      <c r="W117" t="str">
        <f t="shared" si="1"/>
        <v>PU1 OHVG CNG1399</v>
      </c>
      <c r="X117">
        <f>VLOOKUP(W117,Sheet10!D:F,2,0)*10000000</f>
        <v>2830000000</v>
      </c>
      <c r="Y117" t="s">
        <v>74</v>
      </c>
    </row>
    <row r="118" spans="1:26" x14ac:dyDescent="0.25">
      <c r="A118" t="s">
        <v>376</v>
      </c>
      <c r="B118" t="s">
        <v>827</v>
      </c>
      <c r="C118">
        <v>164</v>
      </c>
      <c r="D118" t="s">
        <v>63</v>
      </c>
      <c r="E118" t="s">
        <v>78</v>
      </c>
      <c r="F118" t="s">
        <v>362</v>
      </c>
      <c r="H118">
        <v>27</v>
      </c>
      <c r="I118">
        <v>1399</v>
      </c>
      <c r="J118" t="s">
        <v>828</v>
      </c>
      <c r="K118" t="s">
        <v>599</v>
      </c>
      <c r="L118" t="s">
        <v>829</v>
      </c>
      <c r="M118" t="s">
        <v>82</v>
      </c>
      <c r="N118">
        <v>16404</v>
      </c>
      <c r="O118" t="s">
        <v>83</v>
      </c>
      <c r="Q118" t="s">
        <v>381</v>
      </c>
      <c r="R118" t="s">
        <v>830</v>
      </c>
      <c r="S118" t="s">
        <v>831</v>
      </c>
      <c r="T118" s="6">
        <v>2000000000</v>
      </c>
      <c r="U118" s="45">
        <f>VLOOKUP(B118,realPrices!C:G,5,0)</f>
        <v>2160100000</v>
      </c>
      <c r="W118" t="str">
        <f t="shared" si="1"/>
        <v>PU1 OHVG CNG1399</v>
      </c>
      <c r="X118">
        <f>VLOOKUP(W118,Sheet10!D:F,2,0)*10000000</f>
        <v>2830000000</v>
      </c>
      <c r="Y118" t="s">
        <v>74</v>
      </c>
    </row>
    <row r="119" spans="1:26" x14ac:dyDescent="0.25">
      <c r="A119" t="s">
        <v>376</v>
      </c>
      <c r="B119" t="s">
        <v>832</v>
      </c>
      <c r="C119">
        <v>164</v>
      </c>
      <c r="D119" t="s">
        <v>63</v>
      </c>
      <c r="E119" t="s">
        <v>78</v>
      </c>
      <c r="F119" t="s">
        <v>362</v>
      </c>
      <c r="H119">
        <v>33</v>
      </c>
      <c r="I119">
        <v>1399</v>
      </c>
      <c r="J119" t="s">
        <v>833</v>
      </c>
      <c r="K119" t="s">
        <v>834</v>
      </c>
      <c r="L119" t="s">
        <v>835</v>
      </c>
      <c r="M119" t="s">
        <v>82</v>
      </c>
      <c r="N119">
        <v>16404</v>
      </c>
      <c r="O119" t="s">
        <v>83</v>
      </c>
      <c r="Q119" t="s">
        <v>381</v>
      </c>
      <c r="R119" t="s">
        <v>836</v>
      </c>
      <c r="S119" t="s">
        <v>837</v>
      </c>
      <c r="T119" s="6">
        <v>2000000000</v>
      </c>
      <c r="U119" s="45">
        <f>VLOOKUP(B119,realPrices!C:G,5,0)</f>
        <v>0</v>
      </c>
      <c r="W119" t="str">
        <f t="shared" si="1"/>
        <v>PU1 OHVG CNG1399</v>
      </c>
      <c r="X119">
        <f>VLOOKUP(W119,Sheet10!D:F,2,0)*10000000</f>
        <v>2830000000</v>
      </c>
      <c r="Y119" t="s">
        <v>74</v>
      </c>
    </row>
    <row r="120" spans="1:26" x14ac:dyDescent="0.25">
      <c r="A120" t="s">
        <v>376</v>
      </c>
      <c r="B120" t="s">
        <v>838</v>
      </c>
      <c r="C120">
        <v>164</v>
      </c>
      <c r="D120" t="s">
        <v>63</v>
      </c>
      <c r="E120" t="s">
        <v>78</v>
      </c>
      <c r="F120" t="s">
        <v>362</v>
      </c>
      <c r="H120">
        <v>33</v>
      </c>
      <c r="I120">
        <v>1399</v>
      </c>
      <c r="J120" t="s">
        <v>839</v>
      </c>
      <c r="K120" t="s">
        <v>599</v>
      </c>
      <c r="L120" t="s">
        <v>840</v>
      </c>
      <c r="M120" t="s">
        <v>82</v>
      </c>
      <c r="N120">
        <v>16404</v>
      </c>
      <c r="O120" t="s">
        <v>83</v>
      </c>
      <c r="Q120" t="s">
        <v>381</v>
      </c>
      <c r="R120" t="s">
        <v>841</v>
      </c>
      <c r="S120" t="s">
        <v>842</v>
      </c>
      <c r="T120" s="6">
        <v>2000000000</v>
      </c>
      <c r="U120" s="45">
        <f>VLOOKUP(B120,realPrices!C:G,5,0)</f>
        <v>2122000000</v>
      </c>
      <c r="W120" t="str">
        <f t="shared" si="1"/>
        <v>PU1 OHVG CNG1399</v>
      </c>
      <c r="X120">
        <f>VLOOKUP(W120,Sheet10!D:F,2,0)*10000000</f>
        <v>2830000000</v>
      </c>
      <c r="Y120" t="s">
        <v>74</v>
      </c>
      <c r="Z120"/>
    </row>
    <row r="121" spans="1:26" x14ac:dyDescent="0.25">
      <c r="A121" t="s">
        <v>376</v>
      </c>
      <c r="B121" t="s">
        <v>843</v>
      </c>
      <c r="C121">
        <v>164</v>
      </c>
      <c r="D121" t="s">
        <v>63</v>
      </c>
      <c r="E121" t="s">
        <v>78</v>
      </c>
      <c r="F121" t="s">
        <v>362</v>
      </c>
      <c r="H121">
        <v>32</v>
      </c>
      <c r="I121">
        <v>1399</v>
      </c>
      <c r="J121" t="s">
        <v>844</v>
      </c>
      <c r="K121" t="s">
        <v>599</v>
      </c>
      <c r="L121" t="s">
        <v>845</v>
      </c>
      <c r="M121" t="s">
        <v>82</v>
      </c>
      <c r="N121">
        <v>16404</v>
      </c>
      <c r="O121" t="s">
        <v>83</v>
      </c>
      <c r="Q121" t="s">
        <v>381</v>
      </c>
      <c r="R121" t="s">
        <v>846</v>
      </c>
      <c r="S121" t="s">
        <v>847</v>
      </c>
      <c r="T121" s="6">
        <v>2000000000</v>
      </c>
      <c r="U121" s="45">
        <f>VLOOKUP(B121,realPrices!C:G,5,0)</f>
        <v>2150000000</v>
      </c>
      <c r="W121" t="str">
        <f t="shared" si="1"/>
        <v>PU1 OHVG CNG1399</v>
      </c>
      <c r="X121">
        <f>VLOOKUP(W121,Sheet10!D:F,2,0)*10000000</f>
        <v>2830000000</v>
      </c>
      <c r="Y121" t="s">
        <v>74</v>
      </c>
    </row>
    <row r="122" spans="1:26" x14ac:dyDescent="0.25">
      <c r="A122" t="s">
        <v>376</v>
      </c>
      <c r="B122" t="s">
        <v>848</v>
      </c>
      <c r="C122">
        <v>164</v>
      </c>
      <c r="D122" t="s">
        <v>63</v>
      </c>
      <c r="E122" t="s">
        <v>78</v>
      </c>
      <c r="F122" t="s">
        <v>362</v>
      </c>
      <c r="H122">
        <v>32</v>
      </c>
      <c r="I122">
        <v>1399</v>
      </c>
      <c r="J122" t="s">
        <v>849</v>
      </c>
      <c r="K122" t="s">
        <v>850</v>
      </c>
      <c r="L122" t="s">
        <v>851</v>
      </c>
      <c r="M122" t="s">
        <v>82</v>
      </c>
      <c r="N122">
        <v>16404</v>
      </c>
      <c r="O122" t="s">
        <v>83</v>
      </c>
      <c r="Q122" t="s">
        <v>381</v>
      </c>
      <c r="R122" t="s">
        <v>852</v>
      </c>
      <c r="S122" t="s">
        <v>853</v>
      </c>
      <c r="T122" s="6">
        <v>2000000000</v>
      </c>
      <c r="U122" s="45">
        <f>VLOOKUP(B122,realPrices!C:G,5,0)</f>
        <v>2121650000</v>
      </c>
      <c r="W122" t="str">
        <f t="shared" si="1"/>
        <v>PU1 OHVG CNG1399</v>
      </c>
      <c r="X122">
        <f>VLOOKUP(W122,Sheet10!D:F,2,0)*10000000</f>
        <v>2830000000</v>
      </c>
      <c r="Y122" t="s">
        <v>74</v>
      </c>
    </row>
    <row r="123" spans="1:26" x14ac:dyDescent="0.25">
      <c r="A123" t="s">
        <v>376</v>
      </c>
      <c r="B123" t="s">
        <v>854</v>
      </c>
      <c r="C123">
        <v>164</v>
      </c>
      <c r="D123" t="s">
        <v>63</v>
      </c>
      <c r="E123" t="s">
        <v>78</v>
      </c>
      <c r="F123" t="s">
        <v>362</v>
      </c>
      <c r="H123">
        <v>32</v>
      </c>
      <c r="I123">
        <v>1399</v>
      </c>
      <c r="J123" t="s">
        <v>855</v>
      </c>
      <c r="K123" t="s">
        <v>599</v>
      </c>
      <c r="L123" t="s">
        <v>856</v>
      </c>
      <c r="M123" t="s">
        <v>82</v>
      </c>
      <c r="N123">
        <v>16404</v>
      </c>
      <c r="O123" t="s">
        <v>83</v>
      </c>
      <c r="Q123" t="s">
        <v>381</v>
      </c>
      <c r="R123" t="s">
        <v>857</v>
      </c>
      <c r="S123" t="s">
        <v>858</v>
      </c>
      <c r="T123" s="6">
        <v>2000000000</v>
      </c>
      <c r="U123" s="45">
        <f>VLOOKUP(B123,realPrices!C:G,5,0)</f>
        <v>2111000000</v>
      </c>
      <c r="W123" t="str">
        <f t="shared" si="1"/>
        <v>PU1 OHVG CNG1399</v>
      </c>
      <c r="X123">
        <f>VLOOKUP(W123,Sheet10!D:F,2,0)*10000000</f>
        <v>2830000000</v>
      </c>
      <c r="Y123" t="s">
        <v>74</v>
      </c>
    </row>
    <row r="124" spans="1:26" x14ac:dyDescent="0.25">
      <c r="A124" t="s">
        <v>376</v>
      </c>
      <c r="B124" t="s">
        <v>859</v>
      </c>
      <c r="C124">
        <v>164</v>
      </c>
      <c r="D124" t="s">
        <v>63</v>
      </c>
      <c r="E124" t="s">
        <v>78</v>
      </c>
      <c r="F124" t="s">
        <v>362</v>
      </c>
      <c r="H124">
        <v>31</v>
      </c>
      <c r="I124">
        <v>1399</v>
      </c>
      <c r="J124" t="s">
        <v>860</v>
      </c>
      <c r="K124" t="s">
        <v>599</v>
      </c>
      <c r="L124" t="s">
        <v>861</v>
      </c>
      <c r="M124" t="s">
        <v>82</v>
      </c>
      <c r="N124">
        <v>16404</v>
      </c>
      <c r="O124" t="s">
        <v>83</v>
      </c>
      <c r="Q124" t="s">
        <v>381</v>
      </c>
      <c r="R124" t="s">
        <v>862</v>
      </c>
      <c r="S124" t="s">
        <v>863</v>
      </c>
      <c r="T124" s="6">
        <v>2000000000</v>
      </c>
      <c r="U124" s="45">
        <f>VLOOKUP(B124,realPrices!C:G,5,0)</f>
        <v>2533333330</v>
      </c>
      <c r="W124" t="str">
        <f t="shared" si="1"/>
        <v>PU1 OHVG CNG1399</v>
      </c>
      <c r="X124">
        <f>VLOOKUP(W124,Sheet10!D:F,2,0)*10000000</f>
        <v>2830000000</v>
      </c>
      <c r="Y124" t="s">
        <v>74</v>
      </c>
    </row>
    <row r="125" spans="1:26" x14ac:dyDescent="0.25">
      <c r="A125" t="s">
        <v>376</v>
      </c>
      <c r="B125" t="s">
        <v>864</v>
      </c>
      <c r="C125">
        <v>164</v>
      </c>
      <c r="D125" t="s">
        <v>63</v>
      </c>
      <c r="E125" t="s">
        <v>78</v>
      </c>
      <c r="F125" t="s">
        <v>362</v>
      </c>
      <c r="H125">
        <v>31</v>
      </c>
      <c r="I125">
        <v>1399</v>
      </c>
      <c r="J125" t="s">
        <v>865</v>
      </c>
      <c r="K125" t="s">
        <v>599</v>
      </c>
      <c r="L125" t="s">
        <v>866</v>
      </c>
      <c r="M125" t="s">
        <v>82</v>
      </c>
      <c r="N125">
        <v>16404</v>
      </c>
      <c r="O125" t="s">
        <v>83</v>
      </c>
      <c r="Q125" t="s">
        <v>381</v>
      </c>
      <c r="R125" t="s">
        <v>867</v>
      </c>
      <c r="S125" t="s">
        <v>868</v>
      </c>
      <c r="T125" s="6">
        <v>2000000000</v>
      </c>
      <c r="U125" s="45">
        <f>VLOOKUP(B125,realPrices!C:G,5,0)</f>
        <v>2188888888</v>
      </c>
      <c r="W125" t="str">
        <f t="shared" si="1"/>
        <v>PU1 OHVG CNG1399</v>
      </c>
      <c r="X125">
        <f>VLOOKUP(W125,Sheet10!D:F,2,0)*10000000</f>
        <v>2830000000</v>
      </c>
      <c r="Y125" t="s">
        <v>74</v>
      </c>
      <c r="Z125"/>
    </row>
    <row r="126" spans="1:26" x14ac:dyDescent="0.25">
      <c r="A126" t="s">
        <v>376</v>
      </c>
      <c r="B126" t="s">
        <v>869</v>
      </c>
      <c r="C126">
        <v>164</v>
      </c>
      <c r="D126" t="s">
        <v>63</v>
      </c>
      <c r="E126" t="s">
        <v>78</v>
      </c>
      <c r="F126" t="s">
        <v>362</v>
      </c>
      <c r="H126">
        <v>31</v>
      </c>
      <c r="I126">
        <v>1399</v>
      </c>
      <c r="J126" t="s">
        <v>870</v>
      </c>
      <c r="K126" t="s">
        <v>599</v>
      </c>
      <c r="L126" t="s">
        <v>871</v>
      </c>
      <c r="M126" t="s">
        <v>82</v>
      </c>
      <c r="N126">
        <v>16404</v>
      </c>
      <c r="O126" t="s">
        <v>83</v>
      </c>
      <c r="Q126" t="s">
        <v>381</v>
      </c>
      <c r="R126" t="s">
        <v>872</v>
      </c>
      <c r="S126" t="s">
        <v>873</v>
      </c>
      <c r="T126" s="6">
        <v>2000000000</v>
      </c>
      <c r="U126" s="45">
        <f>VLOOKUP(B126,realPrices!C:G,5,0)</f>
        <v>2212000010</v>
      </c>
      <c r="W126" t="str">
        <f t="shared" si="1"/>
        <v>PU1 OHVG CNG1399</v>
      </c>
      <c r="X126">
        <f>VLOOKUP(W126,Sheet10!D:F,2,0)*10000000</f>
        <v>2830000000</v>
      </c>
      <c r="Y126" t="s">
        <v>74</v>
      </c>
    </row>
    <row r="127" spans="1:26" x14ac:dyDescent="0.25">
      <c r="A127" t="s">
        <v>376</v>
      </c>
      <c r="B127" t="s">
        <v>874</v>
      </c>
      <c r="C127">
        <v>164</v>
      </c>
      <c r="D127" t="s">
        <v>63</v>
      </c>
      <c r="E127" t="s">
        <v>78</v>
      </c>
      <c r="F127" t="s">
        <v>362</v>
      </c>
      <c r="H127">
        <v>31</v>
      </c>
      <c r="I127">
        <v>1399</v>
      </c>
      <c r="J127" t="s">
        <v>875</v>
      </c>
      <c r="K127" t="s">
        <v>599</v>
      </c>
      <c r="L127" t="s">
        <v>876</v>
      </c>
      <c r="M127" t="s">
        <v>82</v>
      </c>
      <c r="N127">
        <v>16404</v>
      </c>
      <c r="O127" t="s">
        <v>83</v>
      </c>
      <c r="Q127" t="s">
        <v>381</v>
      </c>
      <c r="R127" t="s">
        <v>877</v>
      </c>
      <c r="S127" t="s">
        <v>878</v>
      </c>
      <c r="T127" s="6">
        <v>2000000000</v>
      </c>
      <c r="U127" s="45">
        <f>VLOOKUP(B127,realPrices!C:G,5,0)</f>
        <v>2167999000</v>
      </c>
      <c r="W127" t="str">
        <f t="shared" si="1"/>
        <v>PU1 OHVG CNG1399</v>
      </c>
      <c r="X127">
        <f>VLOOKUP(W127,Sheet10!D:F,2,0)*10000000</f>
        <v>2830000000</v>
      </c>
      <c r="Y127" t="s">
        <v>74</v>
      </c>
      <c r="Z127"/>
    </row>
    <row r="128" spans="1:26" x14ac:dyDescent="0.25">
      <c r="A128" t="s">
        <v>376</v>
      </c>
      <c r="B128" t="s">
        <v>879</v>
      </c>
      <c r="C128">
        <v>164</v>
      </c>
      <c r="D128" t="s">
        <v>63</v>
      </c>
      <c r="E128" t="s">
        <v>78</v>
      </c>
      <c r="F128" t="s">
        <v>362</v>
      </c>
      <c r="H128">
        <v>30</v>
      </c>
      <c r="I128">
        <v>1399</v>
      </c>
      <c r="J128" t="s">
        <v>880</v>
      </c>
      <c r="K128" t="s">
        <v>881</v>
      </c>
      <c r="L128" t="s">
        <v>882</v>
      </c>
      <c r="M128" t="s">
        <v>82</v>
      </c>
      <c r="N128">
        <v>16404</v>
      </c>
      <c r="O128" t="s">
        <v>83</v>
      </c>
      <c r="Q128" t="s">
        <v>381</v>
      </c>
      <c r="R128" t="s">
        <v>883</v>
      </c>
      <c r="S128" t="s">
        <v>884</v>
      </c>
      <c r="T128" s="6">
        <v>2000000000</v>
      </c>
      <c r="U128" s="45">
        <f>VLOOKUP(B128,realPrices!C:G,5,0)</f>
        <v>2171131109</v>
      </c>
      <c r="W128" t="str">
        <f t="shared" si="1"/>
        <v>PU1 OHVG CNG1399</v>
      </c>
      <c r="X128">
        <f>VLOOKUP(W128,Sheet10!D:F,2,0)*10000000</f>
        <v>2830000000</v>
      </c>
      <c r="Y128" t="s">
        <v>74</v>
      </c>
      <c r="Z128"/>
    </row>
    <row r="129" spans="1:26" x14ac:dyDescent="0.25">
      <c r="A129" t="s">
        <v>376</v>
      </c>
      <c r="B129" t="s">
        <v>885</v>
      </c>
      <c r="C129">
        <v>164</v>
      </c>
      <c r="D129" t="s">
        <v>63</v>
      </c>
      <c r="E129" t="s">
        <v>78</v>
      </c>
      <c r="F129" t="s">
        <v>362</v>
      </c>
      <c r="H129">
        <v>30</v>
      </c>
      <c r="I129">
        <v>1399</v>
      </c>
      <c r="J129" t="s">
        <v>886</v>
      </c>
      <c r="K129" t="s">
        <v>599</v>
      </c>
      <c r="L129" t="s">
        <v>887</v>
      </c>
      <c r="M129" t="s">
        <v>82</v>
      </c>
      <c r="N129">
        <v>16404</v>
      </c>
      <c r="O129" t="s">
        <v>83</v>
      </c>
      <c r="Q129" t="s">
        <v>381</v>
      </c>
      <c r="R129" t="s">
        <v>888</v>
      </c>
      <c r="S129" t="s">
        <v>438</v>
      </c>
      <c r="T129" s="6">
        <v>2000000000</v>
      </c>
      <c r="U129" s="45">
        <f>VLOOKUP(B129,realPrices!C:G,5,0)</f>
        <v>2240000000</v>
      </c>
      <c r="W129" t="str">
        <f t="shared" si="1"/>
        <v>PU1 OHVG CNG1399</v>
      </c>
      <c r="X129">
        <f>VLOOKUP(W129,Sheet10!D:F,2,0)*10000000</f>
        <v>2830000000</v>
      </c>
      <c r="Y129" t="s">
        <v>74</v>
      </c>
      <c r="Z129"/>
    </row>
    <row r="130" spans="1:26" x14ac:dyDescent="0.25">
      <c r="A130" t="s">
        <v>376</v>
      </c>
      <c r="B130" t="s">
        <v>889</v>
      </c>
      <c r="C130">
        <v>164</v>
      </c>
      <c r="D130" t="s">
        <v>63</v>
      </c>
      <c r="E130" t="s">
        <v>78</v>
      </c>
      <c r="F130" t="s">
        <v>362</v>
      </c>
      <c r="H130">
        <v>29</v>
      </c>
      <c r="I130">
        <v>1399</v>
      </c>
      <c r="J130" t="s">
        <v>890</v>
      </c>
      <c r="K130" t="s">
        <v>599</v>
      </c>
      <c r="L130" t="s">
        <v>891</v>
      </c>
      <c r="M130" t="s">
        <v>82</v>
      </c>
      <c r="N130">
        <v>16404</v>
      </c>
      <c r="O130" t="s">
        <v>83</v>
      </c>
      <c r="Q130" t="s">
        <v>381</v>
      </c>
      <c r="R130" t="s">
        <v>892</v>
      </c>
      <c r="S130" t="s">
        <v>893</v>
      </c>
      <c r="T130" s="6">
        <v>2000000000</v>
      </c>
      <c r="U130" s="45">
        <f>VLOOKUP(B130,realPrices!C:G,5,0)</f>
        <v>2188888888</v>
      </c>
      <c r="W130" t="str">
        <f t="shared" ref="W130:W193" si="2">M130&amp;I130</f>
        <v>PU1 OHVG CNG1399</v>
      </c>
      <c r="X130">
        <f>VLOOKUP(W130,Sheet10!D:F,2,0)*10000000</f>
        <v>2830000000</v>
      </c>
      <c r="Y130" t="s">
        <v>74</v>
      </c>
      <c r="Z130"/>
    </row>
    <row r="131" spans="1:26" x14ac:dyDescent="0.25">
      <c r="A131" t="s">
        <v>376</v>
      </c>
      <c r="B131" t="s">
        <v>894</v>
      </c>
      <c r="C131">
        <v>164</v>
      </c>
      <c r="D131" t="s">
        <v>63</v>
      </c>
      <c r="E131" t="s">
        <v>78</v>
      </c>
      <c r="F131" t="s">
        <v>362</v>
      </c>
      <c r="H131">
        <v>29</v>
      </c>
      <c r="I131">
        <v>1399</v>
      </c>
      <c r="J131" t="s">
        <v>895</v>
      </c>
      <c r="K131" t="s">
        <v>599</v>
      </c>
      <c r="L131" t="s">
        <v>896</v>
      </c>
      <c r="M131" t="s">
        <v>82</v>
      </c>
      <c r="N131">
        <v>16404</v>
      </c>
      <c r="O131" t="s">
        <v>83</v>
      </c>
      <c r="Q131" t="s">
        <v>381</v>
      </c>
      <c r="R131" t="s">
        <v>897</v>
      </c>
      <c r="S131" t="s">
        <v>898</v>
      </c>
      <c r="T131" s="6">
        <v>2000000000</v>
      </c>
      <c r="U131" s="45">
        <f>VLOOKUP(B131,realPrices!C:G,5,0)</f>
        <v>2310000000</v>
      </c>
      <c r="W131" t="str">
        <f t="shared" si="2"/>
        <v>PU1 OHVG CNG1399</v>
      </c>
      <c r="X131">
        <f>VLOOKUP(W131,Sheet10!D:F,2,0)*10000000</f>
        <v>2830000000</v>
      </c>
      <c r="Y131" t="s">
        <v>74</v>
      </c>
    </row>
    <row r="132" spans="1:26" x14ac:dyDescent="0.25">
      <c r="A132" t="s">
        <v>376</v>
      </c>
      <c r="B132" t="s">
        <v>899</v>
      </c>
      <c r="C132">
        <v>164</v>
      </c>
      <c r="D132" t="s">
        <v>63</v>
      </c>
      <c r="E132" t="s">
        <v>78</v>
      </c>
      <c r="F132" t="s">
        <v>362</v>
      </c>
      <c r="H132">
        <v>28</v>
      </c>
      <c r="I132">
        <v>1399</v>
      </c>
      <c r="J132" t="s">
        <v>900</v>
      </c>
      <c r="K132" t="s">
        <v>599</v>
      </c>
      <c r="L132" t="s">
        <v>901</v>
      </c>
      <c r="M132" t="s">
        <v>82</v>
      </c>
      <c r="N132">
        <v>16404</v>
      </c>
      <c r="O132" t="s">
        <v>83</v>
      </c>
      <c r="Q132" t="s">
        <v>381</v>
      </c>
      <c r="R132" t="s">
        <v>902</v>
      </c>
      <c r="S132" t="s">
        <v>903</v>
      </c>
      <c r="T132" s="6">
        <v>2000000000</v>
      </c>
      <c r="U132" s="45">
        <f>VLOOKUP(B132,realPrices!C:G,5,0)</f>
        <v>2165345999</v>
      </c>
      <c r="W132" t="str">
        <f t="shared" si="2"/>
        <v>PU1 OHVG CNG1399</v>
      </c>
      <c r="X132">
        <f>VLOOKUP(W132,Sheet10!D:F,2,0)*10000000</f>
        <v>2830000000</v>
      </c>
      <c r="Y132" t="s">
        <v>74</v>
      </c>
      <c r="Z132"/>
    </row>
    <row r="133" spans="1:26" x14ac:dyDescent="0.25">
      <c r="A133" t="s">
        <v>376</v>
      </c>
      <c r="B133" t="s">
        <v>904</v>
      </c>
      <c r="C133">
        <v>164</v>
      </c>
      <c r="D133" t="s">
        <v>63</v>
      </c>
      <c r="E133" t="s">
        <v>78</v>
      </c>
      <c r="F133" t="s">
        <v>362</v>
      </c>
      <c r="H133">
        <v>28</v>
      </c>
      <c r="I133">
        <v>1399</v>
      </c>
      <c r="J133" t="s">
        <v>905</v>
      </c>
      <c r="K133" t="s">
        <v>599</v>
      </c>
      <c r="L133" t="s">
        <v>906</v>
      </c>
      <c r="M133" t="s">
        <v>82</v>
      </c>
      <c r="N133">
        <v>16404</v>
      </c>
      <c r="O133" t="s">
        <v>83</v>
      </c>
      <c r="Q133" t="s">
        <v>381</v>
      </c>
      <c r="R133" t="s">
        <v>907</v>
      </c>
      <c r="S133" t="s">
        <v>908</v>
      </c>
      <c r="T133" s="6">
        <v>2000000000</v>
      </c>
      <c r="U133" s="45">
        <f>VLOOKUP(B133,realPrices!C:G,5,0)</f>
        <v>2400000000</v>
      </c>
      <c r="W133" t="str">
        <f t="shared" si="2"/>
        <v>PU1 OHVG CNG1399</v>
      </c>
      <c r="X133">
        <f>VLOOKUP(W133,Sheet10!D:F,2,0)*10000000</f>
        <v>2830000000</v>
      </c>
      <c r="Y133" t="s">
        <v>74</v>
      </c>
      <c r="Z133"/>
    </row>
    <row r="134" spans="1:26" x14ac:dyDescent="0.25">
      <c r="A134" t="s">
        <v>376</v>
      </c>
      <c r="B134" t="s">
        <v>909</v>
      </c>
      <c r="C134">
        <v>164</v>
      </c>
      <c r="D134" t="s">
        <v>63</v>
      </c>
      <c r="E134" t="s">
        <v>78</v>
      </c>
      <c r="F134" t="s">
        <v>362</v>
      </c>
      <c r="H134">
        <v>27</v>
      </c>
      <c r="I134">
        <v>1399</v>
      </c>
      <c r="J134" t="s">
        <v>910</v>
      </c>
      <c r="K134" t="s">
        <v>599</v>
      </c>
      <c r="L134" t="s">
        <v>911</v>
      </c>
      <c r="M134" t="s">
        <v>82</v>
      </c>
      <c r="N134">
        <v>16404</v>
      </c>
      <c r="O134" t="s">
        <v>83</v>
      </c>
      <c r="Q134" t="s">
        <v>381</v>
      </c>
      <c r="R134" t="s">
        <v>912</v>
      </c>
      <c r="S134" t="s">
        <v>913</v>
      </c>
      <c r="T134" s="6">
        <v>2000000000</v>
      </c>
      <c r="U134" s="45">
        <f>VLOOKUP(B134,realPrices!C:G,5,0)</f>
        <v>2079863000</v>
      </c>
      <c r="W134" t="str">
        <f t="shared" si="2"/>
        <v>PU1 OHVG CNG1399</v>
      </c>
      <c r="X134">
        <f>VLOOKUP(W134,Sheet10!D:F,2,0)*10000000</f>
        <v>2830000000</v>
      </c>
      <c r="Y134" t="s">
        <v>74</v>
      </c>
    </row>
    <row r="135" spans="1:26" x14ac:dyDescent="0.25">
      <c r="A135" t="s">
        <v>376</v>
      </c>
      <c r="B135" t="s">
        <v>914</v>
      </c>
      <c r="C135">
        <v>164</v>
      </c>
      <c r="D135" t="s">
        <v>63</v>
      </c>
      <c r="E135" t="s">
        <v>78</v>
      </c>
      <c r="F135" t="s">
        <v>362</v>
      </c>
      <c r="H135">
        <v>26</v>
      </c>
      <c r="I135">
        <v>1399</v>
      </c>
      <c r="J135" t="s">
        <v>915</v>
      </c>
      <c r="K135" t="s">
        <v>599</v>
      </c>
      <c r="L135" t="s">
        <v>916</v>
      </c>
      <c r="M135" t="s">
        <v>82</v>
      </c>
      <c r="N135">
        <v>16404</v>
      </c>
      <c r="O135" t="s">
        <v>83</v>
      </c>
      <c r="Q135" t="s">
        <v>381</v>
      </c>
      <c r="R135" t="s">
        <v>917</v>
      </c>
      <c r="S135" t="s">
        <v>918</v>
      </c>
      <c r="T135" s="6">
        <v>2000000000</v>
      </c>
      <c r="U135" s="45">
        <f>VLOOKUP(B135,realPrices!C:G,5,0)</f>
        <v>2274777777</v>
      </c>
      <c r="W135" t="str">
        <f t="shared" si="2"/>
        <v>PU1 OHVG CNG1399</v>
      </c>
      <c r="X135">
        <f>VLOOKUP(W135,Sheet10!D:F,2,0)*10000000</f>
        <v>2830000000</v>
      </c>
      <c r="Y135" t="s">
        <v>74</v>
      </c>
      <c r="Z135"/>
    </row>
    <row r="136" spans="1:26" x14ac:dyDescent="0.25">
      <c r="A136" t="s">
        <v>376</v>
      </c>
      <c r="B136" t="s">
        <v>919</v>
      </c>
      <c r="C136">
        <v>164</v>
      </c>
      <c r="D136" t="s">
        <v>63</v>
      </c>
      <c r="E136" t="s">
        <v>78</v>
      </c>
      <c r="F136" t="s">
        <v>362</v>
      </c>
      <c r="H136">
        <v>40</v>
      </c>
      <c r="I136">
        <v>1399</v>
      </c>
      <c r="J136" t="s">
        <v>920</v>
      </c>
      <c r="K136" t="s">
        <v>599</v>
      </c>
      <c r="L136" t="s">
        <v>921</v>
      </c>
      <c r="M136" t="s">
        <v>82</v>
      </c>
      <c r="N136">
        <v>16404</v>
      </c>
      <c r="O136" t="s">
        <v>83</v>
      </c>
      <c r="Q136" t="s">
        <v>381</v>
      </c>
      <c r="R136" t="s">
        <v>922</v>
      </c>
      <c r="S136" t="s">
        <v>923</v>
      </c>
      <c r="T136" s="6">
        <v>2000000000</v>
      </c>
      <c r="U136" s="45">
        <f>VLOOKUP(B136,realPrices!C:G,5,0)</f>
        <v>2149896000</v>
      </c>
      <c r="W136" t="str">
        <f t="shared" si="2"/>
        <v>PU1 OHVG CNG1399</v>
      </c>
      <c r="X136">
        <f>VLOOKUP(W136,Sheet10!D:F,2,0)*10000000</f>
        <v>2830000000</v>
      </c>
      <c r="Y136" t="s">
        <v>74</v>
      </c>
      <c r="Z136"/>
    </row>
    <row r="137" spans="1:26" x14ac:dyDescent="0.25">
      <c r="A137" t="s">
        <v>376</v>
      </c>
      <c r="B137" t="s">
        <v>924</v>
      </c>
      <c r="C137">
        <v>164</v>
      </c>
      <c r="D137" t="s">
        <v>63</v>
      </c>
      <c r="E137" t="s">
        <v>78</v>
      </c>
      <c r="F137" t="s">
        <v>362</v>
      </c>
      <c r="H137">
        <v>40</v>
      </c>
      <c r="I137">
        <v>1399</v>
      </c>
      <c r="J137" t="s">
        <v>925</v>
      </c>
      <c r="K137" t="s">
        <v>599</v>
      </c>
      <c r="L137" t="s">
        <v>926</v>
      </c>
      <c r="M137" t="s">
        <v>82</v>
      </c>
      <c r="N137">
        <v>16404</v>
      </c>
      <c r="O137" t="s">
        <v>83</v>
      </c>
      <c r="Q137" t="s">
        <v>381</v>
      </c>
      <c r="R137" t="s">
        <v>927</v>
      </c>
      <c r="S137" t="s">
        <v>928</v>
      </c>
      <c r="T137" s="6">
        <v>2000000000</v>
      </c>
      <c r="U137" s="45">
        <f>VLOOKUP(B137,realPrices!C:G,5,0)</f>
        <v>2177777777</v>
      </c>
      <c r="W137" t="str">
        <f t="shared" si="2"/>
        <v>PU1 OHVG CNG1399</v>
      </c>
      <c r="X137">
        <f>VLOOKUP(W137,Sheet10!D:F,2,0)*10000000</f>
        <v>2830000000</v>
      </c>
      <c r="Y137" t="s">
        <v>74</v>
      </c>
      <c r="Z137"/>
    </row>
    <row r="138" spans="1:26" x14ac:dyDescent="0.25">
      <c r="A138" t="s">
        <v>376</v>
      </c>
      <c r="B138" t="s">
        <v>929</v>
      </c>
      <c r="C138">
        <v>164</v>
      </c>
      <c r="D138" t="s">
        <v>63</v>
      </c>
      <c r="E138" t="s">
        <v>78</v>
      </c>
      <c r="F138" t="s">
        <v>362</v>
      </c>
      <c r="H138">
        <v>39</v>
      </c>
      <c r="I138">
        <v>1399</v>
      </c>
      <c r="J138" t="s">
        <v>930</v>
      </c>
      <c r="K138" t="s">
        <v>599</v>
      </c>
      <c r="L138" t="s">
        <v>931</v>
      </c>
      <c r="M138" t="s">
        <v>82</v>
      </c>
      <c r="N138">
        <v>16404</v>
      </c>
      <c r="O138" t="s">
        <v>83</v>
      </c>
      <c r="Q138" t="s">
        <v>381</v>
      </c>
      <c r="R138" t="s">
        <v>932</v>
      </c>
      <c r="S138" t="s">
        <v>933</v>
      </c>
      <c r="T138" s="6">
        <v>2000000000</v>
      </c>
      <c r="U138" s="45">
        <f>VLOOKUP(B138,realPrices!C:G,5,0)</f>
        <v>2112222222</v>
      </c>
      <c r="W138" t="str">
        <f t="shared" si="2"/>
        <v>PU1 OHVG CNG1399</v>
      </c>
      <c r="X138">
        <f>VLOOKUP(W138,Sheet10!D:F,2,0)*10000000</f>
        <v>2830000000</v>
      </c>
      <c r="Y138" t="s">
        <v>74</v>
      </c>
    </row>
    <row r="139" spans="1:26" x14ac:dyDescent="0.25">
      <c r="A139" t="s">
        <v>376</v>
      </c>
      <c r="B139" t="s">
        <v>934</v>
      </c>
      <c r="C139">
        <v>164</v>
      </c>
      <c r="D139" t="s">
        <v>63</v>
      </c>
      <c r="E139" t="s">
        <v>78</v>
      </c>
      <c r="F139" t="s">
        <v>362</v>
      </c>
      <c r="H139">
        <v>39</v>
      </c>
      <c r="I139">
        <v>1399</v>
      </c>
      <c r="J139" t="s">
        <v>935</v>
      </c>
      <c r="K139" t="s">
        <v>599</v>
      </c>
      <c r="L139" t="s">
        <v>936</v>
      </c>
      <c r="M139" t="s">
        <v>82</v>
      </c>
      <c r="N139">
        <v>16404</v>
      </c>
      <c r="O139" t="s">
        <v>83</v>
      </c>
      <c r="Q139" t="s">
        <v>381</v>
      </c>
      <c r="R139" t="s">
        <v>937</v>
      </c>
      <c r="S139" t="s">
        <v>938</v>
      </c>
      <c r="T139" s="6">
        <v>2000000000</v>
      </c>
      <c r="U139" s="45">
        <f>VLOOKUP(B139,realPrices!C:G,5,0)</f>
        <v>2182220000</v>
      </c>
      <c r="W139" t="str">
        <f t="shared" si="2"/>
        <v>PU1 OHVG CNG1399</v>
      </c>
      <c r="X139">
        <f>VLOOKUP(W139,Sheet10!D:F,2,0)*10000000</f>
        <v>2830000000</v>
      </c>
      <c r="Y139" t="s">
        <v>74</v>
      </c>
    </row>
    <row r="140" spans="1:26" x14ac:dyDescent="0.25">
      <c r="A140" t="s">
        <v>376</v>
      </c>
      <c r="B140" t="s">
        <v>939</v>
      </c>
      <c r="C140">
        <v>164</v>
      </c>
      <c r="D140" t="s">
        <v>63</v>
      </c>
      <c r="E140" t="s">
        <v>78</v>
      </c>
      <c r="F140" t="s">
        <v>362</v>
      </c>
      <c r="H140">
        <v>39</v>
      </c>
      <c r="I140">
        <v>1399</v>
      </c>
      <c r="J140" t="s">
        <v>940</v>
      </c>
      <c r="K140" t="s">
        <v>599</v>
      </c>
      <c r="L140" t="s">
        <v>941</v>
      </c>
      <c r="M140" t="s">
        <v>82</v>
      </c>
      <c r="N140">
        <v>16404</v>
      </c>
      <c r="O140" t="s">
        <v>83</v>
      </c>
      <c r="Q140" t="s">
        <v>381</v>
      </c>
      <c r="R140" t="s">
        <v>942</v>
      </c>
      <c r="S140" t="s">
        <v>943</v>
      </c>
      <c r="T140" s="6">
        <v>2000000000</v>
      </c>
      <c r="U140" s="45">
        <f>VLOOKUP(B140,realPrices!C:G,5,0)</f>
        <v>2050000000</v>
      </c>
      <c r="W140" t="str">
        <f t="shared" si="2"/>
        <v>PU1 OHVG CNG1399</v>
      </c>
      <c r="X140">
        <f>VLOOKUP(W140,Sheet10!D:F,2,0)*10000000</f>
        <v>2830000000</v>
      </c>
      <c r="Y140" t="s">
        <v>74</v>
      </c>
    </row>
    <row r="141" spans="1:26" x14ac:dyDescent="0.25">
      <c r="A141" t="s">
        <v>376</v>
      </c>
      <c r="B141" t="s">
        <v>944</v>
      </c>
      <c r="C141">
        <v>164</v>
      </c>
      <c r="D141" t="s">
        <v>63</v>
      </c>
      <c r="E141" t="s">
        <v>78</v>
      </c>
      <c r="F141" t="s">
        <v>362</v>
      </c>
      <c r="H141">
        <v>39</v>
      </c>
      <c r="I141">
        <v>1399</v>
      </c>
      <c r="J141" t="s">
        <v>945</v>
      </c>
      <c r="K141" t="s">
        <v>599</v>
      </c>
      <c r="L141" t="s">
        <v>946</v>
      </c>
      <c r="M141" t="s">
        <v>82</v>
      </c>
      <c r="N141">
        <v>16404</v>
      </c>
      <c r="O141" t="s">
        <v>83</v>
      </c>
      <c r="Q141" t="s">
        <v>381</v>
      </c>
      <c r="R141" t="s">
        <v>947</v>
      </c>
      <c r="S141" t="s">
        <v>948</v>
      </c>
      <c r="T141" s="6">
        <v>2000000000</v>
      </c>
      <c r="U141" s="45">
        <f>VLOOKUP(B141,realPrices!C:G,5,0)</f>
        <v>2250000000</v>
      </c>
      <c r="W141" t="str">
        <f t="shared" si="2"/>
        <v>PU1 OHVG CNG1399</v>
      </c>
      <c r="X141">
        <f>VLOOKUP(W141,Sheet10!D:F,2,0)*10000000</f>
        <v>2830000000</v>
      </c>
      <c r="Y141" t="s">
        <v>74</v>
      </c>
    </row>
    <row r="142" spans="1:26" x14ac:dyDescent="0.25">
      <c r="A142" t="s">
        <v>376</v>
      </c>
      <c r="B142" t="s">
        <v>949</v>
      </c>
      <c r="C142">
        <v>164</v>
      </c>
      <c r="D142" t="s">
        <v>63</v>
      </c>
      <c r="E142" t="s">
        <v>78</v>
      </c>
      <c r="F142" t="s">
        <v>362</v>
      </c>
      <c r="H142">
        <v>39</v>
      </c>
      <c r="I142">
        <v>1399</v>
      </c>
      <c r="J142" t="s">
        <v>950</v>
      </c>
      <c r="K142" t="s">
        <v>599</v>
      </c>
      <c r="L142" t="s">
        <v>951</v>
      </c>
      <c r="M142" t="s">
        <v>82</v>
      </c>
      <c r="N142">
        <v>16404</v>
      </c>
      <c r="O142" t="s">
        <v>83</v>
      </c>
      <c r="Q142" t="s">
        <v>381</v>
      </c>
      <c r="R142" t="s">
        <v>952</v>
      </c>
      <c r="S142" t="s">
        <v>953</v>
      </c>
      <c r="T142" s="6">
        <v>2000000000</v>
      </c>
      <c r="U142" s="45">
        <f>VLOOKUP(B142,realPrices!C:G,5,0)</f>
        <v>2112000000</v>
      </c>
      <c r="W142" t="str">
        <f t="shared" si="2"/>
        <v>PU1 OHVG CNG1399</v>
      </c>
      <c r="X142">
        <f>VLOOKUP(W142,Sheet10!D:F,2,0)*10000000</f>
        <v>2830000000</v>
      </c>
      <c r="Y142" t="s">
        <v>74</v>
      </c>
    </row>
    <row r="143" spans="1:26" x14ac:dyDescent="0.25">
      <c r="A143" t="s">
        <v>376</v>
      </c>
      <c r="B143" t="s">
        <v>954</v>
      </c>
      <c r="C143">
        <v>164</v>
      </c>
      <c r="D143" t="s">
        <v>63</v>
      </c>
      <c r="E143" t="s">
        <v>78</v>
      </c>
      <c r="F143" t="s">
        <v>362</v>
      </c>
      <c r="H143">
        <v>38</v>
      </c>
      <c r="I143">
        <v>1399</v>
      </c>
      <c r="J143" t="s">
        <v>955</v>
      </c>
      <c r="K143" t="s">
        <v>599</v>
      </c>
      <c r="L143" t="s">
        <v>956</v>
      </c>
      <c r="M143" t="s">
        <v>82</v>
      </c>
      <c r="N143">
        <v>16404</v>
      </c>
      <c r="O143" t="s">
        <v>83</v>
      </c>
      <c r="Q143" t="s">
        <v>381</v>
      </c>
      <c r="R143" t="s">
        <v>957</v>
      </c>
      <c r="S143" t="s">
        <v>958</v>
      </c>
      <c r="T143" s="6">
        <v>2000000000</v>
      </c>
      <c r="U143" s="45">
        <f>VLOOKUP(B143,realPrices!C:G,5,0)</f>
        <v>2250000000</v>
      </c>
      <c r="W143" t="str">
        <f t="shared" si="2"/>
        <v>PU1 OHVG CNG1399</v>
      </c>
      <c r="X143">
        <f>VLOOKUP(W143,Sheet10!D:F,2,0)*10000000</f>
        <v>2830000000</v>
      </c>
      <c r="Y143" t="s">
        <v>74</v>
      </c>
    </row>
    <row r="144" spans="1:26" x14ac:dyDescent="0.25">
      <c r="A144" t="s">
        <v>376</v>
      </c>
      <c r="B144" t="s">
        <v>959</v>
      </c>
      <c r="C144">
        <v>164</v>
      </c>
      <c r="D144" t="s">
        <v>63</v>
      </c>
      <c r="E144" t="s">
        <v>78</v>
      </c>
      <c r="F144" t="s">
        <v>362</v>
      </c>
      <c r="H144">
        <v>38</v>
      </c>
      <c r="I144">
        <v>1399</v>
      </c>
      <c r="J144" t="s">
        <v>960</v>
      </c>
      <c r="K144" t="s">
        <v>599</v>
      </c>
      <c r="L144" t="s">
        <v>961</v>
      </c>
      <c r="M144" t="s">
        <v>82</v>
      </c>
      <c r="N144">
        <v>16404</v>
      </c>
      <c r="O144" t="s">
        <v>83</v>
      </c>
      <c r="Q144" t="s">
        <v>381</v>
      </c>
      <c r="R144" t="s">
        <v>962</v>
      </c>
      <c r="S144" t="s">
        <v>963</v>
      </c>
      <c r="T144" s="6">
        <v>2000000000</v>
      </c>
      <c r="U144" s="45">
        <f>VLOOKUP(B144,realPrices!C:G,5,0)</f>
        <v>2126666000</v>
      </c>
      <c r="W144" t="str">
        <f t="shared" si="2"/>
        <v>PU1 OHVG CNG1399</v>
      </c>
      <c r="X144">
        <f>VLOOKUP(W144,Sheet10!D:F,2,0)*10000000</f>
        <v>2830000000</v>
      </c>
      <c r="Y144" t="s">
        <v>74</v>
      </c>
      <c r="Z144"/>
    </row>
    <row r="145" spans="1:26" x14ac:dyDescent="0.25">
      <c r="A145" t="s">
        <v>376</v>
      </c>
      <c r="B145" t="s">
        <v>964</v>
      </c>
      <c r="C145">
        <v>164</v>
      </c>
      <c r="D145" t="s">
        <v>63</v>
      </c>
      <c r="E145" t="s">
        <v>78</v>
      </c>
      <c r="F145" t="s">
        <v>362</v>
      </c>
      <c r="H145">
        <v>38</v>
      </c>
      <c r="I145">
        <v>1399</v>
      </c>
      <c r="J145" t="s">
        <v>965</v>
      </c>
      <c r="K145" t="s">
        <v>599</v>
      </c>
      <c r="L145" t="s">
        <v>966</v>
      </c>
      <c r="M145" t="s">
        <v>82</v>
      </c>
      <c r="N145">
        <v>16404</v>
      </c>
      <c r="O145" t="s">
        <v>83</v>
      </c>
      <c r="Q145" t="s">
        <v>381</v>
      </c>
      <c r="R145" t="s">
        <v>967</v>
      </c>
      <c r="S145" t="s">
        <v>968</v>
      </c>
      <c r="T145" s="6">
        <v>2000000000</v>
      </c>
      <c r="U145" s="45">
        <f>VLOOKUP(B145,realPrices!C:G,5,0)</f>
        <v>2116900000</v>
      </c>
      <c r="W145" t="str">
        <f t="shared" si="2"/>
        <v>PU1 OHVG CNG1399</v>
      </c>
      <c r="X145">
        <f>VLOOKUP(W145,Sheet10!D:F,2,0)*10000000</f>
        <v>2830000000</v>
      </c>
      <c r="Y145" t="s">
        <v>74</v>
      </c>
    </row>
    <row r="146" spans="1:26" x14ac:dyDescent="0.25">
      <c r="A146" t="s">
        <v>376</v>
      </c>
      <c r="B146" t="s">
        <v>969</v>
      </c>
      <c r="C146">
        <v>164</v>
      </c>
      <c r="D146" t="s">
        <v>63</v>
      </c>
      <c r="E146" t="s">
        <v>78</v>
      </c>
      <c r="F146" t="s">
        <v>362</v>
      </c>
      <c r="H146">
        <v>37</v>
      </c>
      <c r="I146">
        <v>1399</v>
      </c>
      <c r="J146" t="s">
        <v>970</v>
      </c>
      <c r="K146" t="s">
        <v>971</v>
      </c>
      <c r="L146" t="s">
        <v>972</v>
      </c>
      <c r="M146" t="s">
        <v>82</v>
      </c>
      <c r="N146">
        <v>16404</v>
      </c>
      <c r="O146" t="s">
        <v>83</v>
      </c>
      <c r="Q146" t="s">
        <v>381</v>
      </c>
      <c r="R146" t="s">
        <v>973</v>
      </c>
      <c r="S146" t="s">
        <v>974</v>
      </c>
      <c r="T146" s="6">
        <v>2000000000</v>
      </c>
      <c r="U146" s="45">
        <f>VLOOKUP(B146,realPrices!C:G,5,0)</f>
        <v>2177440001</v>
      </c>
      <c r="W146" t="str">
        <f t="shared" si="2"/>
        <v>PU1 OHVG CNG1399</v>
      </c>
      <c r="X146">
        <f>VLOOKUP(W146,Sheet10!D:F,2,0)*10000000</f>
        <v>2830000000</v>
      </c>
      <c r="Y146" t="s">
        <v>74</v>
      </c>
    </row>
    <row r="147" spans="1:26" x14ac:dyDescent="0.25">
      <c r="A147" t="s">
        <v>376</v>
      </c>
      <c r="B147" t="s">
        <v>975</v>
      </c>
      <c r="C147">
        <v>164</v>
      </c>
      <c r="D147" t="s">
        <v>63</v>
      </c>
      <c r="E147" t="s">
        <v>78</v>
      </c>
      <c r="F147" t="s">
        <v>362</v>
      </c>
      <c r="H147">
        <v>37</v>
      </c>
      <c r="I147">
        <v>1399</v>
      </c>
      <c r="J147" t="s">
        <v>976</v>
      </c>
      <c r="K147" t="s">
        <v>599</v>
      </c>
      <c r="L147" t="s">
        <v>977</v>
      </c>
      <c r="M147" t="s">
        <v>82</v>
      </c>
      <c r="N147">
        <v>16404</v>
      </c>
      <c r="O147" t="s">
        <v>83</v>
      </c>
      <c r="Q147" t="s">
        <v>381</v>
      </c>
      <c r="R147" t="s">
        <v>978</v>
      </c>
      <c r="S147" t="s">
        <v>979</v>
      </c>
      <c r="T147" s="6">
        <v>2000000000</v>
      </c>
      <c r="U147" s="45">
        <f>VLOOKUP(B147,realPrices!C:G,5,0)</f>
        <v>2126666000</v>
      </c>
      <c r="W147" t="str">
        <f t="shared" si="2"/>
        <v>PU1 OHVG CNG1399</v>
      </c>
      <c r="X147">
        <f>VLOOKUP(W147,Sheet10!D:F,2,0)*10000000</f>
        <v>2830000000</v>
      </c>
      <c r="Y147" t="s">
        <v>74</v>
      </c>
    </row>
    <row r="148" spans="1:26" x14ac:dyDescent="0.25">
      <c r="A148" t="s">
        <v>376</v>
      </c>
      <c r="B148" t="s">
        <v>980</v>
      </c>
      <c r="C148">
        <v>164</v>
      </c>
      <c r="D148" t="s">
        <v>63</v>
      </c>
      <c r="E148" t="s">
        <v>78</v>
      </c>
      <c r="F148" t="s">
        <v>362</v>
      </c>
      <c r="H148">
        <v>37</v>
      </c>
      <c r="I148">
        <v>1399</v>
      </c>
      <c r="J148" t="s">
        <v>981</v>
      </c>
      <c r="K148" t="s">
        <v>599</v>
      </c>
      <c r="L148" t="s">
        <v>982</v>
      </c>
      <c r="M148" t="s">
        <v>82</v>
      </c>
      <c r="N148">
        <v>16404</v>
      </c>
      <c r="O148" t="s">
        <v>83</v>
      </c>
      <c r="Q148" t="s">
        <v>381</v>
      </c>
      <c r="R148" t="s">
        <v>983</v>
      </c>
      <c r="S148" t="s">
        <v>984</v>
      </c>
      <c r="T148" s="6">
        <v>2000000000</v>
      </c>
      <c r="U148" s="45">
        <f>VLOOKUP(B148,realPrices!C:G,5,0)</f>
        <v>2119999999</v>
      </c>
      <c r="W148" t="str">
        <f t="shared" si="2"/>
        <v>PU1 OHVG CNG1399</v>
      </c>
      <c r="X148">
        <f>VLOOKUP(W148,Sheet10!D:F,2,0)*10000000</f>
        <v>2830000000</v>
      </c>
      <c r="Y148" t="s">
        <v>74</v>
      </c>
    </row>
    <row r="149" spans="1:26" x14ac:dyDescent="0.25">
      <c r="A149" t="s">
        <v>376</v>
      </c>
      <c r="B149" t="s">
        <v>985</v>
      </c>
      <c r="C149">
        <v>164</v>
      </c>
      <c r="D149" t="s">
        <v>63</v>
      </c>
      <c r="E149" t="s">
        <v>78</v>
      </c>
      <c r="F149" t="s">
        <v>362</v>
      </c>
      <c r="H149">
        <v>37</v>
      </c>
      <c r="I149">
        <v>1399</v>
      </c>
      <c r="J149" t="s">
        <v>986</v>
      </c>
      <c r="K149" t="s">
        <v>599</v>
      </c>
      <c r="L149" t="s">
        <v>987</v>
      </c>
      <c r="M149" t="s">
        <v>82</v>
      </c>
      <c r="N149">
        <v>16404</v>
      </c>
      <c r="O149" t="s">
        <v>83</v>
      </c>
      <c r="Q149" t="s">
        <v>381</v>
      </c>
      <c r="R149" t="s">
        <v>988</v>
      </c>
      <c r="S149" t="s">
        <v>989</v>
      </c>
      <c r="T149" s="6">
        <v>2000000000</v>
      </c>
      <c r="U149" s="45">
        <f>VLOOKUP(B149,realPrices!C:G,5,0)</f>
        <v>2157800000</v>
      </c>
      <c r="W149" t="str">
        <f t="shared" si="2"/>
        <v>PU1 OHVG CNG1399</v>
      </c>
      <c r="X149">
        <f>VLOOKUP(W149,Sheet10!D:F,2,0)*10000000</f>
        <v>2830000000</v>
      </c>
      <c r="Y149" t="s">
        <v>74</v>
      </c>
      <c r="Z149"/>
    </row>
    <row r="150" spans="1:26" x14ac:dyDescent="0.25">
      <c r="A150" t="s">
        <v>376</v>
      </c>
      <c r="B150" t="s">
        <v>990</v>
      </c>
      <c r="C150">
        <v>164</v>
      </c>
      <c r="D150" t="s">
        <v>63</v>
      </c>
      <c r="E150" t="s">
        <v>78</v>
      </c>
      <c r="F150" t="s">
        <v>362</v>
      </c>
      <c r="H150">
        <v>37</v>
      </c>
      <c r="I150">
        <v>1399</v>
      </c>
      <c r="J150" t="s">
        <v>991</v>
      </c>
      <c r="K150" t="s">
        <v>992</v>
      </c>
      <c r="L150" t="s">
        <v>993</v>
      </c>
      <c r="M150" t="s">
        <v>82</v>
      </c>
      <c r="N150">
        <v>16404</v>
      </c>
      <c r="O150" t="s">
        <v>83</v>
      </c>
      <c r="Q150" t="s">
        <v>381</v>
      </c>
      <c r="R150" t="s">
        <v>994</v>
      </c>
      <c r="S150" t="s">
        <v>995</v>
      </c>
      <c r="T150" s="6">
        <v>2000000000</v>
      </c>
      <c r="U150" s="45">
        <f>VLOOKUP(B150,realPrices!C:G,5,0)</f>
        <v>2157600000</v>
      </c>
      <c r="W150" t="str">
        <f t="shared" si="2"/>
        <v>PU1 OHVG CNG1399</v>
      </c>
      <c r="X150">
        <f>VLOOKUP(W150,Sheet10!D:F,2,0)*10000000</f>
        <v>2830000000</v>
      </c>
      <c r="Y150" t="s">
        <v>74</v>
      </c>
    </row>
    <row r="151" spans="1:26" x14ac:dyDescent="0.25">
      <c r="A151" t="s">
        <v>376</v>
      </c>
      <c r="B151" t="s">
        <v>996</v>
      </c>
      <c r="C151">
        <v>164</v>
      </c>
      <c r="D151" t="s">
        <v>63</v>
      </c>
      <c r="E151" t="s">
        <v>78</v>
      </c>
      <c r="F151" t="s">
        <v>362</v>
      </c>
      <c r="H151">
        <v>36</v>
      </c>
      <c r="I151">
        <v>1399</v>
      </c>
      <c r="J151" t="s">
        <v>997</v>
      </c>
      <c r="K151" t="s">
        <v>599</v>
      </c>
      <c r="L151" t="s">
        <v>998</v>
      </c>
      <c r="M151" t="s">
        <v>82</v>
      </c>
      <c r="N151">
        <v>16404</v>
      </c>
      <c r="O151" t="s">
        <v>83</v>
      </c>
      <c r="Q151" t="s">
        <v>381</v>
      </c>
      <c r="R151" t="s">
        <v>999</v>
      </c>
      <c r="S151" t="s">
        <v>1000</v>
      </c>
      <c r="T151" s="6">
        <v>2000000000</v>
      </c>
      <c r="U151" s="45">
        <f>VLOOKUP(B151,realPrices!C:G,5,0)</f>
        <v>2333333999</v>
      </c>
      <c r="W151" t="str">
        <f t="shared" si="2"/>
        <v>PU1 OHVG CNG1399</v>
      </c>
      <c r="X151">
        <f>VLOOKUP(W151,Sheet10!D:F,2,0)*10000000</f>
        <v>2830000000</v>
      </c>
      <c r="Y151" t="s">
        <v>74</v>
      </c>
    </row>
    <row r="152" spans="1:26" x14ac:dyDescent="0.25">
      <c r="A152" t="s">
        <v>376</v>
      </c>
      <c r="B152" t="s">
        <v>1001</v>
      </c>
      <c r="C152">
        <v>164</v>
      </c>
      <c r="D152" t="s">
        <v>63</v>
      </c>
      <c r="E152" t="s">
        <v>78</v>
      </c>
      <c r="F152" t="s">
        <v>362</v>
      </c>
      <c r="H152">
        <v>36</v>
      </c>
      <c r="I152">
        <v>1399</v>
      </c>
      <c r="J152" t="s">
        <v>1002</v>
      </c>
      <c r="K152" t="s">
        <v>599</v>
      </c>
      <c r="L152" t="s">
        <v>1003</v>
      </c>
      <c r="M152" t="s">
        <v>82</v>
      </c>
      <c r="N152">
        <v>16404</v>
      </c>
      <c r="O152" t="s">
        <v>83</v>
      </c>
      <c r="Q152" t="s">
        <v>381</v>
      </c>
      <c r="R152" t="s">
        <v>1004</v>
      </c>
      <c r="S152" t="s">
        <v>1005</v>
      </c>
      <c r="T152" s="6">
        <v>2000000000</v>
      </c>
      <c r="U152" s="45">
        <f>VLOOKUP(B152,realPrices!C:G,5,0)</f>
        <v>2205000000</v>
      </c>
      <c r="W152" t="str">
        <f t="shared" si="2"/>
        <v>PU1 OHVG CNG1399</v>
      </c>
      <c r="X152">
        <f>VLOOKUP(W152,Sheet10!D:F,2,0)*10000000</f>
        <v>2830000000</v>
      </c>
      <c r="Y152" t="s">
        <v>74</v>
      </c>
      <c r="Z152"/>
    </row>
    <row r="153" spans="1:26" x14ac:dyDescent="0.25">
      <c r="A153" t="s">
        <v>376</v>
      </c>
      <c r="B153" t="s">
        <v>1006</v>
      </c>
      <c r="C153">
        <v>164</v>
      </c>
      <c r="D153" t="s">
        <v>63</v>
      </c>
      <c r="E153" t="s">
        <v>78</v>
      </c>
      <c r="F153" t="s">
        <v>362</v>
      </c>
      <c r="H153">
        <v>36</v>
      </c>
      <c r="I153">
        <v>1399</v>
      </c>
      <c r="J153" t="s">
        <v>1007</v>
      </c>
      <c r="K153" t="s">
        <v>599</v>
      </c>
      <c r="L153" t="s">
        <v>1008</v>
      </c>
      <c r="M153" t="s">
        <v>82</v>
      </c>
      <c r="N153">
        <v>16404</v>
      </c>
      <c r="O153" t="s">
        <v>83</v>
      </c>
      <c r="Q153" t="s">
        <v>381</v>
      </c>
      <c r="R153" t="s">
        <v>1009</v>
      </c>
      <c r="S153" t="s">
        <v>1010</v>
      </c>
      <c r="T153" s="6">
        <v>2000000000</v>
      </c>
      <c r="U153" s="45">
        <f>VLOOKUP(B153,realPrices!C:G,5,0)</f>
        <v>2210000000</v>
      </c>
      <c r="W153" t="str">
        <f t="shared" si="2"/>
        <v>PU1 OHVG CNG1399</v>
      </c>
      <c r="X153">
        <f>VLOOKUP(W153,Sheet10!D:F,2,0)*10000000</f>
        <v>2830000000</v>
      </c>
      <c r="Y153" t="s">
        <v>74</v>
      </c>
      <c r="Z153"/>
    </row>
    <row r="154" spans="1:26" x14ac:dyDescent="0.25">
      <c r="A154" t="s">
        <v>376</v>
      </c>
      <c r="B154" t="s">
        <v>1011</v>
      </c>
      <c r="C154">
        <v>164</v>
      </c>
      <c r="D154" t="s">
        <v>63</v>
      </c>
      <c r="E154" t="s">
        <v>78</v>
      </c>
      <c r="F154" t="s">
        <v>362</v>
      </c>
      <c r="H154">
        <v>36</v>
      </c>
      <c r="I154">
        <v>1399</v>
      </c>
      <c r="J154" t="s">
        <v>1012</v>
      </c>
      <c r="K154" t="s">
        <v>599</v>
      </c>
      <c r="L154" t="s">
        <v>1013</v>
      </c>
      <c r="M154" t="s">
        <v>82</v>
      </c>
      <c r="N154">
        <v>16404</v>
      </c>
      <c r="O154" t="s">
        <v>83</v>
      </c>
      <c r="Q154" t="s">
        <v>381</v>
      </c>
      <c r="R154" t="s">
        <v>1014</v>
      </c>
      <c r="S154" t="s">
        <v>1015</v>
      </c>
      <c r="T154" s="6">
        <v>2000000000</v>
      </c>
      <c r="U154" s="45">
        <f>VLOOKUP(B154,realPrices!C:G,5,0)</f>
        <v>2200000000</v>
      </c>
      <c r="W154" t="str">
        <f t="shared" si="2"/>
        <v>PU1 OHVG CNG1399</v>
      </c>
      <c r="X154">
        <f>VLOOKUP(W154,Sheet10!D:F,2,0)*10000000</f>
        <v>2830000000</v>
      </c>
      <c r="Y154" t="s">
        <v>74</v>
      </c>
    </row>
    <row r="155" spans="1:26" x14ac:dyDescent="0.25">
      <c r="A155" t="s">
        <v>376</v>
      </c>
      <c r="B155" t="s">
        <v>1016</v>
      </c>
      <c r="C155">
        <v>164</v>
      </c>
      <c r="D155" t="s">
        <v>63</v>
      </c>
      <c r="E155" t="s">
        <v>78</v>
      </c>
      <c r="F155" t="s">
        <v>362</v>
      </c>
      <c r="H155">
        <v>35</v>
      </c>
      <c r="I155">
        <v>1399</v>
      </c>
      <c r="J155" t="s">
        <v>1017</v>
      </c>
      <c r="K155" t="s">
        <v>599</v>
      </c>
      <c r="L155" t="s">
        <v>1018</v>
      </c>
      <c r="M155" t="s">
        <v>82</v>
      </c>
      <c r="N155">
        <v>16404</v>
      </c>
      <c r="O155" t="s">
        <v>83</v>
      </c>
      <c r="Q155" t="s">
        <v>381</v>
      </c>
      <c r="R155" t="s">
        <v>1019</v>
      </c>
      <c r="S155" t="s">
        <v>1020</v>
      </c>
      <c r="T155" s="6">
        <v>2000000000</v>
      </c>
      <c r="U155" s="45">
        <f>VLOOKUP(B155,realPrices!C:G,5,0)</f>
        <v>2150000000</v>
      </c>
      <c r="W155" t="str">
        <f t="shared" si="2"/>
        <v>PU1 OHVG CNG1399</v>
      </c>
      <c r="X155">
        <f>VLOOKUP(W155,Sheet10!D:F,2,0)*10000000</f>
        <v>2830000000</v>
      </c>
      <c r="Y155" t="s">
        <v>74</v>
      </c>
    </row>
    <row r="156" spans="1:26" x14ac:dyDescent="0.25">
      <c r="A156" t="s">
        <v>376</v>
      </c>
      <c r="B156" t="s">
        <v>1021</v>
      </c>
      <c r="C156">
        <v>164</v>
      </c>
      <c r="D156" t="s">
        <v>63</v>
      </c>
      <c r="E156" t="s">
        <v>78</v>
      </c>
      <c r="F156" t="s">
        <v>362</v>
      </c>
      <c r="H156">
        <v>35</v>
      </c>
      <c r="I156">
        <v>1399</v>
      </c>
      <c r="J156" t="s">
        <v>1022</v>
      </c>
      <c r="K156" t="s">
        <v>599</v>
      </c>
      <c r="L156" t="s">
        <v>1023</v>
      </c>
      <c r="M156" t="s">
        <v>82</v>
      </c>
      <c r="N156">
        <v>16404</v>
      </c>
      <c r="O156" t="s">
        <v>83</v>
      </c>
      <c r="Q156" t="s">
        <v>381</v>
      </c>
      <c r="R156" t="s">
        <v>1024</v>
      </c>
      <c r="S156" t="s">
        <v>1025</v>
      </c>
      <c r="T156" s="6">
        <v>2000000000</v>
      </c>
      <c r="U156" s="45">
        <f>VLOOKUP(B156,realPrices!C:G,5,0)</f>
        <v>2160199999</v>
      </c>
      <c r="W156" t="str">
        <f t="shared" si="2"/>
        <v>PU1 OHVG CNG1399</v>
      </c>
      <c r="X156">
        <f>VLOOKUP(W156,Sheet10!D:F,2,0)*10000000</f>
        <v>2830000000</v>
      </c>
      <c r="Y156" t="s">
        <v>74</v>
      </c>
    </row>
    <row r="157" spans="1:26" x14ac:dyDescent="0.25">
      <c r="A157" t="s">
        <v>376</v>
      </c>
      <c r="B157" t="s">
        <v>1026</v>
      </c>
      <c r="C157">
        <v>164</v>
      </c>
      <c r="D157" t="s">
        <v>63</v>
      </c>
      <c r="E157" t="s">
        <v>78</v>
      </c>
      <c r="F157" t="s">
        <v>362</v>
      </c>
      <c r="H157">
        <v>34</v>
      </c>
      <c r="I157">
        <v>1399</v>
      </c>
      <c r="J157" t="s">
        <v>1027</v>
      </c>
      <c r="K157" t="s">
        <v>1028</v>
      </c>
      <c r="L157" t="s">
        <v>1029</v>
      </c>
      <c r="M157" t="s">
        <v>82</v>
      </c>
      <c r="N157">
        <v>16404</v>
      </c>
      <c r="O157" t="s">
        <v>83</v>
      </c>
      <c r="Q157" t="s">
        <v>381</v>
      </c>
      <c r="R157" t="s">
        <v>1030</v>
      </c>
      <c r="S157" t="s">
        <v>1031</v>
      </c>
      <c r="T157" s="6">
        <v>2000000000</v>
      </c>
      <c r="U157" s="45">
        <f>VLOOKUP(B157,realPrices!C:G,5,0)</f>
        <v>2188889888</v>
      </c>
      <c r="W157" t="str">
        <f t="shared" si="2"/>
        <v>PU1 OHVG CNG1399</v>
      </c>
      <c r="X157">
        <f>VLOOKUP(W157,Sheet10!D:F,2,0)*10000000</f>
        <v>2830000000</v>
      </c>
      <c r="Y157" t="s">
        <v>74</v>
      </c>
    </row>
    <row r="158" spans="1:26" x14ac:dyDescent="0.25">
      <c r="A158" t="s">
        <v>376</v>
      </c>
      <c r="B158" t="s">
        <v>1032</v>
      </c>
      <c r="C158">
        <v>164</v>
      </c>
      <c r="D158" t="s">
        <v>63</v>
      </c>
      <c r="E158" t="s">
        <v>78</v>
      </c>
      <c r="F158" t="s">
        <v>362</v>
      </c>
      <c r="H158">
        <v>34</v>
      </c>
      <c r="I158">
        <v>1399</v>
      </c>
      <c r="J158" t="s">
        <v>1033</v>
      </c>
      <c r="K158" t="s">
        <v>599</v>
      </c>
      <c r="L158" t="s">
        <v>1034</v>
      </c>
      <c r="M158" t="s">
        <v>82</v>
      </c>
      <c r="N158">
        <v>16404</v>
      </c>
      <c r="O158" t="s">
        <v>83</v>
      </c>
      <c r="Q158" t="s">
        <v>381</v>
      </c>
      <c r="R158" t="s">
        <v>1035</v>
      </c>
      <c r="S158" t="s">
        <v>1036</v>
      </c>
      <c r="T158" s="6">
        <v>2000000000</v>
      </c>
      <c r="U158" s="45">
        <f>VLOOKUP(B158,realPrices!C:G,5,0)</f>
        <v>2170999999</v>
      </c>
      <c r="W158" t="str">
        <f t="shared" si="2"/>
        <v>PU1 OHVG CNG1399</v>
      </c>
      <c r="X158">
        <f>VLOOKUP(W158,Sheet10!D:F,2,0)*10000000</f>
        <v>2830000000</v>
      </c>
      <c r="Y158" t="s">
        <v>74</v>
      </c>
    </row>
    <row r="159" spans="1:26" x14ac:dyDescent="0.25">
      <c r="A159" t="s">
        <v>376</v>
      </c>
      <c r="B159" t="s">
        <v>1037</v>
      </c>
      <c r="C159">
        <v>164</v>
      </c>
      <c r="D159" t="s">
        <v>63</v>
      </c>
      <c r="E159" t="s">
        <v>78</v>
      </c>
      <c r="F159" t="s">
        <v>362</v>
      </c>
      <c r="H159">
        <v>33</v>
      </c>
      <c r="I159">
        <v>1399</v>
      </c>
      <c r="J159" t="s">
        <v>1038</v>
      </c>
      <c r="K159" t="s">
        <v>599</v>
      </c>
      <c r="L159" t="s">
        <v>1039</v>
      </c>
      <c r="M159" t="s">
        <v>82</v>
      </c>
      <c r="N159">
        <v>16404</v>
      </c>
      <c r="O159" t="s">
        <v>83</v>
      </c>
      <c r="Q159" t="s">
        <v>381</v>
      </c>
      <c r="R159" t="s">
        <v>1040</v>
      </c>
      <c r="S159" t="s">
        <v>1041</v>
      </c>
      <c r="T159" s="6">
        <v>2000000000</v>
      </c>
      <c r="U159" s="45">
        <f>VLOOKUP(B159,realPrices!C:G,5,0)</f>
        <v>2040000000</v>
      </c>
      <c r="W159" t="str">
        <f t="shared" si="2"/>
        <v>PU1 OHVG CNG1399</v>
      </c>
      <c r="X159">
        <f>VLOOKUP(W159,Sheet10!D:F,2,0)*10000000</f>
        <v>2830000000</v>
      </c>
      <c r="Y159" t="s">
        <v>74</v>
      </c>
    </row>
    <row r="160" spans="1:26" x14ac:dyDescent="0.25">
      <c r="A160" t="s">
        <v>376</v>
      </c>
      <c r="B160" t="s">
        <v>1042</v>
      </c>
      <c r="C160">
        <v>164</v>
      </c>
      <c r="D160" t="s">
        <v>63</v>
      </c>
      <c r="E160" t="s">
        <v>78</v>
      </c>
      <c r="F160" t="s">
        <v>362</v>
      </c>
      <c r="H160">
        <v>33</v>
      </c>
      <c r="I160">
        <v>1399</v>
      </c>
      <c r="J160" t="s">
        <v>1043</v>
      </c>
      <c r="K160" t="s">
        <v>599</v>
      </c>
      <c r="L160" t="s">
        <v>1044</v>
      </c>
      <c r="M160" t="s">
        <v>82</v>
      </c>
      <c r="N160">
        <v>16404</v>
      </c>
      <c r="O160" t="s">
        <v>83</v>
      </c>
      <c r="Q160" t="s">
        <v>381</v>
      </c>
      <c r="R160" t="s">
        <v>1045</v>
      </c>
      <c r="S160" t="s">
        <v>1046</v>
      </c>
      <c r="T160" s="6">
        <v>2000000000</v>
      </c>
      <c r="U160" s="45">
        <f>VLOOKUP(B160,realPrices!C:G,5,0)</f>
        <v>2166000000</v>
      </c>
      <c r="W160" t="str">
        <f t="shared" si="2"/>
        <v>PU1 OHVG CNG1399</v>
      </c>
      <c r="X160">
        <f>VLOOKUP(W160,Sheet10!D:F,2,0)*10000000</f>
        <v>2830000000</v>
      </c>
      <c r="Y160" t="s">
        <v>74</v>
      </c>
      <c r="Z160"/>
    </row>
    <row r="161" spans="1:26" x14ac:dyDescent="0.25">
      <c r="A161" t="s">
        <v>376</v>
      </c>
      <c r="B161" t="s">
        <v>1047</v>
      </c>
      <c r="C161">
        <v>164</v>
      </c>
      <c r="D161" t="s">
        <v>63</v>
      </c>
      <c r="E161" t="s">
        <v>78</v>
      </c>
      <c r="F161" t="s">
        <v>362</v>
      </c>
      <c r="H161">
        <v>33</v>
      </c>
      <c r="I161">
        <v>1399</v>
      </c>
      <c r="J161" t="s">
        <v>1048</v>
      </c>
      <c r="K161" t="s">
        <v>599</v>
      </c>
      <c r="L161" t="s">
        <v>1049</v>
      </c>
      <c r="M161" t="s">
        <v>82</v>
      </c>
      <c r="N161">
        <v>16404</v>
      </c>
      <c r="O161" t="s">
        <v>83</v>
      </c>
      <c r="Q161" t="s">
        <v>381</v>
      </c>
      <c r="R161" t="s">
        <v>1050</v>
      </c>
      <c r="S161" t="s">
        <v>1051</v>
      </c>
      <c r="T161" s="6">
        <v>2000000000</v>
      </c>
      <c r="U161" s="45">
        <f>VLOOKUP(B161,realPrices!C:G,5,0)</f>
        <v>2173765432</v>
      </c>
      <c r="W161" t="str">
        <f t="shared" si="2"/>
        <v>PU1 OHVG CNG1399</v>
      </c>
      <c r="X161">
        <f>VLOOKUP(W161,Sheet10!D:F,2,0)*10000000</f>
        <v>2830000000</v>
      </c>
      <c r="Y161" t="s">
        <v>74</v>
      </c>
    </row>
    <row r="162" spans="1:26" x14ac:dyDescent="0.25">
      <c r="A162" t="s">
        <v>376</v>
      </c>
      <c r="B162" t="s">
        <v>1052</v>
      </c>
      <c r="C162">
        <v>164</v>
      </c>
      <c r="D162" t="s">
        <v>63</v>
      </c>
      <c r="E162" t="s">
        <v>78</v>
      </c>
      <c r="F162" t="s">
        <v>362</v>
      </c>
      <c r="H162">
        <v>40</v>
      </c>
      <c r="I162">
        <v>1399</v>
      </c>
      <c r="J162" t="s">
        <v>1053</v>
      </c>
      <c r="K162" t="s">
        <v>1054</v>
      </c>
      <c r="L162" t="s">
        <v>1055</v>
      </c>
      <c r="M162" t="s">
        <v>82</v>
      </c>
      <c r="N162">
        <v>16404</v>
      </c>
      <c r="O162" t="s">
        <v>83</v>
      </c>
      <c r="Q162" t="s">
        <v>381</v>
      </c>
      <c r="R162" t="s">
        <v>1056</v>
      </c>
      <c r="S162" t="s">
        <v>417</v>
      </c>
      <c r="T162" s="6">
        <v>2000000000</v>
      </c>
      <c r="U162" s="45">
        <f>VLOOKUP(B162,realPrices!C:G,5,0)</f>
        <v>2222000000</v>
      </c>
      <c r="W162" t="str">
        <f t="shared" si="2"/>
        <v>PU1 OHVG CNG1399</v>
      </c>
      <c r="X162">
        <f>VLOOKUP(W162,Sheet10!D:F,2,0)*10000000</f>
        <v>2830000000</v>
      </c>
      <c r="Y162" t="s">
        <v>74</v>
      </c>
    </row>
    <row r="163" spans="1:26" x14ac:dyDescent="0.25">
      <c r="A163" t="s">
        <v>376</v>
      </c>
      <c r="B163" t="s">
        <v>1057</v>
      </c>
      <c r="C163">
        <v>164</v>
      </c>
      <c r="D163" t="s">
        <v>63</v>
      </c>
      <c r="E163" t="s">
        <v>78</v>
      </c>
      <c r="F163" t="s">
        <v>362</v>
      </c>
      <c r="H163">
        <v>40</v>
      </c>
      <c r="I163">
        <v>1399</v>
      </c>
      <c r="J163" t="s">
        <v>1058</v>
      </c>
      <c r="K163" t="s">
        <v>599</v>
      </c>
      <c r="L163" t="s">
        <v>1059</v>
      </c>
      <c r="M163" t="s">
        <v>82</v>
      </c>
      <c r="N163">
        <v>16404</v>
      </c>
      <c r="O163" t="s">
        <v>83</v>
      </c>
      <c r="Q163" t="s">
        <v>381</v>
      </c>
      <c r="R163" t="s">
        <v>1060</v>
      </c>
      <c r="S163" t="s">
        <v>1061</v>
      </c>
      <c r="T163" s="6">
        <v>2000000000</v>
      </c>
      <c r="U163" s="45">
        <f>VLOOKUP(B163,realPrices!C:G,5,0)</f>
        <v>2166600000</v>
      </c>
      <c r="W163" t="str">
        <f t="shared" si="2"/>
        <v>PU1 OHVG CNG1399</v>
      </c>
      <c r="X163">
        <f>VLOOKUP(W163,Sheet10!D:F,2,0)*10000000</f>
        <v>2830000000</v>
      </c>
      <c r="Y163" t="s">
        <v>74</v>
      </c>
      <c r="Z163"/>
    </row>
    <row r="164" spans="1:26" x14ac:dyDescent="0.25">
      <c r="A164" t="s">
        <v>376</v>
      </c>
      <c r="B164" t="s">
        <v>1062</v>
      </c>
      <c r="C164">
        <v>164</v>
      </c>
      <c r="D164" t="s">
        <v>63</v>
      </c>
      <c r="E164" t="s">
        <v>78</v>
      </c>
      <c r="F164" t="s">
        <v>362</v>
      </c>
      <c r="H164">
        <v>39</v>
      </c>
      <c r="I164">
        <v>1399</v>
      </c>
      <c r="J164" t="s">
        <v>1063</v>
      </c>
      <c r="K164" t="s">
        <v>599</v>
      </c>
      <c r="L164" t="s">
        <v>1064</v>
      </c>
      <c r="M164" t="s">
        <v>82</v>
      </c>
      <c r="N164">
        <v>16404</v>
      </c>
      <c r="O164" t="s">
        <v>83</v>
      </c>
      <c r="Q164" t="s">
        <v>381</v>
      </c>
      <c r="R164" t="s">
        <v>1065</v>
      </c>
      <c r="S164" t="s">
        <v>1066</v>
      </c>
      <c r="T164" s="6">
        <v>2000000000</v>
      </c>
      <c r="U164" s="45">
        <f>VLOOKUP(B164,realPrices!C:G,5,0)</f>
        <v>2142500000</v>
      </c>
      <c r="W164" t="str">
        <f t="shared" si="2"/>
        <v>PU1 OHVG CNG1399</v>
      </c>
      <c r="X164">
        <f>VLOOKUP(W164,Sheet10!D:F,2,0)*10000000</f>
        <v>2830000000</v>
      </c>
      <c r="Y164" t="s">
        <v>74</v>
      </c>
      <c r="Z164"/>
    </row>
    <row r="165" spans="1:26" x14ac:dyDescent="0.25">
      <c r="A165" t="s">
        <v>376</v>
      </c>
      <c r="B165" t="s">
        <v>1067</v>
      </c>
      <c r="C165">
        <v>164</v>
      </c>
      <c r="D165" t="s">
        <v>63</v>
      </c>
      <c r="E165" t="s">
        <v>78</v>
      </c>
      <c r="F165" t="s">
        <v>362</v>
      </c>
      <c r="H165">
        <v>39</v>
      </c>
      <c r="I165">
        <v>1399</v>
      </c>
      <c r="J165" t="s">
        <v>1068</v>
      </c>
      <c r="K165" t="s">
        <v>599</v>
      </c>
      <c r="L165" t="s">
        <v>1069</v>
      </c>
      <c r="M165" t="s">
        <v>82</v>
      </c>
      <c r="N165">
        <v>16404</v>
      </c>
      <c r="O165" t="s">
        <v>83</v>
      </c>
      <c r="Q165" t="s">
        <v>381</v>
      </c>
      <c r="R165" t="s">
        <v>1070</v>
      </c>
      <c r="S165" t="s">
        <v>1071</v>
      </c>
      <c r="T165" s="6">
        <v>2000000000</v>
      </c>
      <c r="U165" s="45">
        <f>VLOOKUP(B165,realPrices!C:G,5,0)</f>
        <v>2128000000</v>
      </c>
      <c r="W165" t="str">
        <f t="shared" si="2"/>
        <v>PU1 OHVG CNG1399</v>
      </c>
      <c r="X165">
        <f>VLOOKUP(W165,Sheet10!D:F,2,0)*10000000</f>
        <v>2830000000</v>
      </c>
      <c r="Y165" t="s">
        <v>74</v>
      </c>
    </row>
    <row r="166" spans="1:26" x14ac:dyDescent="0.25">
      <c r="A166" t="s">
        <v>376</v>
      </c>
      <c r="B166" t="s">
        <v>1072</v>
      </c>
      <c r="C166">
        <v>164</v>
      </c>
      <c r="D166" t="s">
        <v>63</v>
      </c>
      <c r="E166" t="s">
        <v>78</v>
      </c>
      <c r="F166" t="s">
        <v>362</v>
      </c>
      <c r="H166">
        <v>39</v>
      </c>
      <c r="I166">
        <v>1399</v>
      </c>
      <c r="J166" t="s">
        <v>1073</v>
      </c>
      <c r="K166" t="s">
        <v>599</v>
      </c>
      <c r="L166" t="s">
        <v>1074</v>
      </c>
      <c r="M166" t="s">
        <v>82</v>
      </c>
      <c r="N166">
        <v>16404</v>
      </c>
      <c r="O166" t="s">
        <v>83</v>
      </c>
      <c r="Q166" t="s">
        <v>381</v>
      </c>
      <c r="R166" t="s">
        <v>1075</v>
      </c>
      <c r="S166" t="s">
        <v>1076</v>
      </c>
      <c r="T166" s="6">
        <v>2000000000</v>
      </c>
      <c r="U166" s="45">
        <f>VLOOKUP(B166,realPrices!C:G,5,0)</f>
        <v>2068000000</v>
      </c>
      <c r="W166" t="str">
        <f t="shared" si="2"/>
        <v>PU1 OHVG CNG1399</v>
      </c>
      <c r="X166">
        <f>VLOOKUP(W166,Sheet10!D:F,2,0)*10000000</f>
        <v>2830000000</v>
      </c>
      <c r="Y166" t="s">
        <v>74</v>
      </c>
    </row>
    <row r="167" spans="1:26" x14ac:dyDescent="0.25">
      <c r="A167" t="s">
        <v>376</v>
      </c>
      <c r="B167" t="s">
        <v>1077</v>
      </c>
      <c r="C167">
        <v>164</v>
      </c>
      <c r="D167" t="s">
        <v>63</v>
      </c>
      <c r="E167" t="s">
        <v>78</v>
      </c>
      <c r="F167" t="s">
        <v>362</v>
      </c>
      <c r="H167">
        <v>39</v>
      </c>
      <c r="I167">
        <v>1399</v>
      </c>
      <c r="J167" t="s">
        <v>1078</v>
      </c>
      <c r="K167" t="s">
        <v>599</v>
      </c>
      <c r="L167" t="s">
        <v>1079</v>
      </c>
      <c r="M167" t="s">
        <v>82</v>
      </c>
      <c r="N167">
        <v>16404</v>
      </c>
      <c r="O167" t="s">
        <v>83</v>
      </c>
      <c r="Q167" t="s">
        <v>381</v>
      </c>
      <c r="R167" t="s">
        <v>1080</v>
      </c>
      <c r="S167" t="s">
        <v>1081</v>
      </c>
      <c r="T167" s="6">
        <v>2000000000</v>
      </c>
      <c r="U167" s="45">
        <f>VLOOKUP(B167,realPrices!C:G,5,0)</f>
        <v>2010000000</v>
      </c>
      <c r="W167" t="str">
        <f t="shared" si="2"/>
        <v>PU1 OHVG CNG1399</v>
      </c>
      <c r="X167">
        <f>VLOOKUP(W167,Sheet10!D:F,2,0)*10000000</f>
        <v>2830000000</v>
      </c>
      <c r="Y167" t="s">
        <v>74</v>
      </c>
    </row>
    <row r="168" spans="1:26" x14ac:dyDescent="0.25">
      <c r="A168" t="s">
        <v>376</v>
      </c>
      <c r="B168" t="s">
        <v>1082</v>
      </c>
      <c r="C168">
        <v>164</v>
      </c>
      <c r="D168" t="s">
        <v>63</v>
      </c>
      <c r="E168" t="s">
        <v>78</v>
      </c>
      <c r="F168" t="s">
        <v>362</v>
      </c>
      <c r="H168">
        <v>38</v>
      </c>
      <c r="I168">
        <v>1399</v>
      </c>
      <c r="J168" t="s">
        <v>1083</v>
      </c>
      <c r="K168" t="s">
        <v>599</v>
      </c>
      <c r="L168" t="s">
        <v>1084</v>
      </c>
      <c r="M168" t="s">
        <v>82</v>
      </c>
      <c r="N168">
        <v>16404</v>
      </c>
      <c r="O168" t="s">
        <v>83</v>
      </c>
      <c r="Q168" t="s">
        <v>381</v>
      </c>
      <c r="R168" t="s">
        <v>1085</v>
      </c>
      <c r="S168" t="s">
        <v>1086</v>
      </c>
      <c r="T168" s="6">
        <v>2000000000</v>
      </c>
      <c r="U168" s="45">
        <f>VLOOKUP(B168,realPrices!C:G,5,0)</f>
        <v>2150698566</v>
      </c>
      <c r="W168" t="str">
        <f t="shared" si="2"/>
        <v>PU1 OHVG CNG1399</v>
      </c>
      <c r="X168">
        <f>VLOOKUP(W168,Sheet10!D:F,2,0)*10000000</f>
        <v>2830000000</v>
      </c>
      <c r="Y168" t="s">
        <v>74</v>
      </c>
    </row>
    <row r="169" spans="1:26" x14ac:dyDescent="0.25">
      <c r="A169" t="s">
        <v>376</v>
      </c>
      <c r="B169" t="s">
        <v>1087</v>
      </c>
      <c r="C169">
        <v>164</v>
      </c>
      <c r="D169" t="s">
        <v>63</v>
      </c>
      <c r="E169" t="s">
        <v>78</v>
      </c>
      <c r="F169" t="s">
        <v>362</v>
      </c>
      <c r="H169">
        <v>38</v>
      </c>
      <c r="I169">
        <v>1399</v>
      </c>
      <c r="J169" t="s">
        <v>1088</v>
      </c>
      <c r="K169" t="s">
        <v>599</v>
      </c>
      <c r="L169" t="s">
        <v>1089</v>
      </c>
      <c r="M169" t="s">
        <v>82</v>
      </c>
      <c r="N169">
        <v>16404</v>
      </c>
      <c r="O169" t="s">
        <v>83</v>
      </c>
      <c r="Q169" t="s">
        <v>381</v>
      </c>
      <c r="R169" t="s">
        <v>1090</v>
      </c>
      <c r="S169" t="s">
        <v>1091</v>
      </c>
      <c r="T169" s="6">
        <v>2000000000</v>
      </c>
      <c r="U169" s="45">
        <f>VLOOKUP(B169,realPrices!C:G,5,0)</f>
        <v>2203100000</v>
      </c>
      <c r="W169" t="str">
        <f t="shared" si="2"/>
        <v>PU1 OHVG CNG1399</v>
      </c>
      <c r="X169">
        <f>VLOOKUP(W169,Sheet10!D:F,2,0)*10000000</f>
        <v>2830000000</v>
      </c>
      <c r="Y169" t="s">
        <v>74</v>
      </c>
    </row>
    <row r="170" spans="1:26" x14ac:dyDescent="0.25">
      <c r="A170" t="s">
        <v>376</v>
      </c>
      <c r="B170" t="s">
        <v>1092</v>
      </c>
      <c r="C170">
        <v>164</v>
      </c>
      <c r="D170" t="s">
        <v>63</v>
      </c>
      <c r="E170" t="s">
        <v>78</v>
      </c>
      <c r="F170" t="s">
        <v>362</v>
      </c>
      <c r="H170">
        <v>37</v>
      </c>
      <c r="I170">
        <v>1399</v>
      </c>
      <c r="J170" t="s">
        <v>1093</v>
      </c>
      <c r="K170" t="s">
        <v>599</v>
      </c>
      <c r="L170" t="s">
        <v>1094</v>
      </c>
      <c r="M170" t="s">
        <v>82</v>
      </c>
      <c r="N170">
        <v>16404</v>
      </c>
      <c r="O170" t="s">
        <v>83</v>
      </c>
      <c r="Q170" t="s">
        <v>381</v>
      </c>
      <c r="R170" t="s">
        <v>1095</v>
      </c>
      <c r="S170" t="s">
        <v>1096</v>
      </c>
      <c r="T170" s="6">
        <v>2000000000</v>
      </c>
      <c r="U170" s="45">
        <f>VLOOKUP(B170,realPrices!C:G,5,0)</f>
        <v>2170007890</v>
      </c>
      <c r="W170" t="str">
        <f t="shared" si="2"/>
        <v>PU1 OHVG CNG1399</v>
      </c>
      <c r="X170">
        <f>VLOOKUP(W170,Sheet10!D:F,2,0)*10000000</f>
        <v>2830000000</v>
      </c>
      <c r="Y170" t="s">
        <v>74</v>
      </c>
    </row>
    <row r="171" spans="1:26" x14ac:dyDescent="0.25">
      <c r="A171" t="s">
        <v>376</v>
      </c>
      <c r="B171" t="s">
        <v>1097</v>
      </c>
      <c r="C171">
        <v>164</v>
      </c>
      <c r="D171" t="s">
        <v>63</v>
      </c>
      <c r="E171" t="s">
        <v>78</v>
      </c>
      <c r="F171" t="s">
        <v>362</v>
      </c>
      <c r="H171">
        <v>37</v>
      </c>
      <c r="I171">
        <v>1399</v>
      </c>
      <c r="J171" t="s">
        <v>1098</v>
      </c>
      <c r="K171" t="s">
        <v>599</v>
      </c>
      <c r="L171" t="s">
        <v>1099</v>
      </c>
      <c r="M171" t="s">
        <v>82</v>
      </c>
      <c r="N171">
        <v>16404</v>
      </c>
      <c r="O171" t="s">
        <v>83</v>
      </c>
      <c r="Q171" t="s">
        <v>381</v>
      </c>
      <c r="R171" t="s">
        <v>1100</v>
      </c>
      <c r="S171" t="s">
        <v>1101</v>
      </c>
      <c r="T171" s="6">
        <v>2000000000</v>
      </c>
      <c r="U171" s="45">
        <f>VLOOKUP(B171,realPrices!C:G,5,0)</f>
        <v>2202000000</v>
      </c>
      <c r="W171" t="str">
        <f t="shared" si="2"/>
        <v>PU1 OHVG CNG1399</v>
      </c>
      <c r="X171">
        <f>VLOOKUP(W171,Sheet10!D:F,2,0)*10000000</f>
        <v>2830000000</v>
      </c>
      <c r="Y171" t="s">
        <v>74</v>
      </c>
      <c r="Z171"/>
    </row>
    <row r="172" spans="1:26" x14ac:dyDescent="0.25">
      <c r="A172" t="s">
        <v>376</v>
      </c>
      <c r="B172" t="s">
        <v>1102</v>
      </c>
      <c r="C172">
        <v>164</v>
      </c>
      <c r="D172" t="s">
        <v>63</v>
      </c>
      <c r="E172" t="s">
        <v>78</v>
      </c>
      <c r="F172" t="s">
        <v>362</v>
      </c>
      <c r="H172">
        <v>37</v>
      </c>
      <c r="I172">
        <v>1399</v>
      </c>
      <c r="J172" t="s">
        <v>1103</v>
      </c>
      <c r="K172" t="s">
        <v>850</v>
      </c>
      <c r="L172" t="s">
        <v>1104</v>
      </c>
      <c r="M172" t="s">
        <v>82</v>
      </c>
      <c r="N172">
        <v>16404</v>
      </c>
      <c r="O172" t="s">
        <v>83</v>
      </c>
      <c r="Q172" t="s">
        <v>381</v>
      </c>
      <c r="R172" t="s">
        <v>1105</v>
      </c>
      <c r="S172" t="s">
        <v>1106</v>
      </c>
      <c r="T172" s="6">
        <v>2000000000</v>
      </c>
      <c r="U172" s="45">
        <f>VLOOKUP(B172,realPrices!C:G,5,0)</f>
        <v>2129000000</v>
      </c>
      <c r="W172" t="str">
        <f t="shared" si="2"/>
        <v>PU1 OHVG CNG1399</v>
      </c>
      <c r="X172">
        <f>VLOOKUP(W172,Sheet10!D:F,2,0)*10000000</f>
        <v>2830000000</v>
      </c>
      <c r="Y172" t="s">
        <v>74</v>
      </c>
      <c r="Z172"/>
    </row>
    <row r="173" spans="1:26" x14ac:dyDescent="0.25">
      <c r="A173" t="s">
        <v>376</v>
      </c>
      <c r="B173" t="s">
        <v>1107</v>
      </c>
      <c r="C173">
        <v>164</v>
      </c>
      <c r="D173" t="s">
        <v>63</v>
      </c>
      <c r="E173" t="s">
        <v>78</v>
      </c>
      <c r="F173" t="s">
        <v>362</v>
      </c>
      <c r="H173">
        <v>37</v>
      </c>
      <c r="I173">
        <v>1399</v>
      </c>
      <c r="J173" t="s">
        <v>1108</v>
      </c>
      <c r="K173" t="s">
        <v>599</v>
      </c>
      <c r="L173" t="s">
        <v>1109</v>
      </c>
      <c r="M173" t="s">
        <v>82</v>
      </c>
      <c r="N173">
        <v>16404</v>
      </c>
      <c r="O173" t="s">
        <v>83</v>
      </c>
      <c r="Q173" t="s">
        <v>381</v>
      </c>
      <c r="R173" t="s">
        <v>1110</v>
      </c>
      <c r="S173" t="s">
        <v>1111</v>
      </c>
      <c r="T173" s="6">
        <v>2000000000</v>
      </c>
      <c r="U173" s="45">
        <f>VLOOKUP(B173,realPrices!C:G,5,0)</f>
        <v>2202000000</v>
      </c>
      <c r="W173" t="str">
        <f t="shared" si="2"/>
        <v>PU1 OHVG CNG1399</v>
      </c>
      <c r="X173">
        <f>VLOOKUP(W173,Sheet10!D:F,2,0)*10000000</f>
        <v>2830000000</v>
      </c>
      <c r="Y173" t="s">
        <v>74</v>
      </c>
    </row>
    <row r="174" spans="1:26" x14ac:dyDescent="0.25">
      <c r="A174" t="s">
        <v>376</v>
      </c>
      <c r="B174" t="s">
        <v>1112</v>
      </c>
      <c r="C174">
        <v>164</v>
      </c>
      <c r="D174" t="s">
        <v>63</v>
      </c>
      <c r="E174" t="s">
        <v>78</v>
      </c>
      <c r="F174" t="s">
        <v>362</v>
      </c>
      <c r="H174">
        <v>37</v>
      </c>
      <c r="I174">
        <v>1399</v>
      </c>
      <c r="J174" t="s">
        <v>1113</v>
      </c>
      <c r="K174" t="s">
        <v>1114</v>
      </c>
      <c r="L174" t="s">
        <v>1115</v>
      </c>
      <c r="M174" t="s">
        <v>82</v>
      </c>
      <c r="N174">
        <v>16404</v>
      </c>
      <c r="O174" t="s">
        <v>83</v>
      </c>
      <c r="Q174" t="s">
        <v>381</v>
      </c>
      <c r="R174" t="s">
        <v>1116</v>
      </c>
      <c r="S174" t="s">
        <v>1117</v>
      </c>
      <c r="T174" s="6">
        <v>2000000000</v>
      </c>
      <c r="U174" s="45">
        <f>VLOOKUP(B174,realPrices!C:G,5,0)</f>
        <v>2150000000</v>
      </c>
      <c r="W174" t="str">
        <f t="shared" si="2"/>
        <v>PU1 OHVG CNG1399</v>
      </c>
      <c r="X174">
        <f>VLOOKUP(W174,Sheet10!D:F,2,0)*10000000</f>
        <v>2830000000</v>
      </c>
      <c r="Y174" t="s">
        <v>74</v>
      </c>
    </row>
    <row r="175" spans="1:26" x14ac:dyDescent="0.25">
      <c r="A175" t="s">
        <v>376</v>
      </c>
      <c r="B175" t="s">
        <v>1118</v>
      </c>
      <c r="C175">
        <v>164</v>
      </c>
      <c r="D175" t="s">
        <v>63</v>
      </c>
      <c r="E175" t="s">
        <v>78</v>
      </c>
      <c r="F175" t="s">
        <v>362</v>
      </c>
      <c r="H175">
        <v>36</v>
      </c>
      <c r="I175">
        <v>1399</v>
      </c>
      <c r="J175" t="s">
        <v>1119</v>
      </c>
      <c r="K175" t="s">
        <v>1120</v>
      </c>
      <c r="L175" t="s">
        <v>1121</v>
      </c>
      <c r="M175" t="s">
        <v>82</v>
      </c>
      <c r="N175">
        <v>16404</v>
      </c>
      <c r="O175" t="s">
        <v>83</v>
      </c>
      <c r="Q175" t="s">
        <v>381</v>
      </c>
      <c r="R175" t="s">
        <v>1122</v>
      </c>
      <c r="S175" t="s">
        <v>1123</v>
      </c>
      <c r="T175" s="6">
        <v>2000000000</v>
      </c>
      <c r="U175" s="45">
        <f>VLOOKUP(B175,realPrices!C:G,5,0)</f>
        <v>2150000000</v>
      </c>
      <c r="W175" t="str">
        <f t="shared" si="2"/>
        <v>PU1 OHVG CNG1399</v>
      </c>
      <c r="X175">
        <f>VLOOKUP(W175,Sheet10!D:F,2,0)*10000000</f>
        <v>2830000000</v>
      </c>
      <c r="Y175" t="s">
        <v>74</v>
      </c>
      <c r="Z175"/>
    </row>
    <row r="176" spans="1:26" x14ac:dyDescent="0.25">
      <c r="A176" t="s">
        <v>376</v>
      </c>
      <c r="B176" t="s">
        <v>1124</v>
      </c>
      <c r="C176">
        <v>164</v>
      </c>
      <c r="D176" t="s">
        <v>63</v>
      </c>
      <c r="E176" t="s">
        <v>78</v>
      </c>
      <c r="F176" t="s">
        <v>362</v>
      </c>
      <c r="H176">
        <v>36</v>
      </c>
      <c r="I176">
        <v>1399</v>
      </c>
      <c r="J176" t="s">
        <v>1125</v>
      </c>
      <c r="K176" t="s">
        <v>599</v>
      </c>
      <c r="L176" t="s">
        <v>1126</v>
      </c>
      <c r="M176" t="s">
        <v>82</v>
      </c>
      <c r="N176">
        <v>16404</v>
      </c>
      <c r="O176" t="s">
        <v>83</v>
      </c>
      <c r="Q176" t="s">
        <v>381</v>
      </c>
      <c r="R176" t="s">
        <v>1127</v>
      </c>
      <c r="S176" t="s">
        <v>1128</v>
      </c>
      <c r="T176" s="6">
        <v>2000000000</v>
      </c>
      <c r="U176" s="45">
        <f>VLOOKUP(B176,realPrices!C:G,5,0)</f>
        <v>2145555555</v>
      </c>
      <c r="W176" t="str">
        <f t="shared" si="2"/>
        <v>PU1 OHVG CNG1399</v>
      </c>
      <c r="X176">
        <f>VLOOKUP(W176,Sheet10!D:F,2,0)*10000000</f>
        <v>2830000000</v>
      </c>
      <c r="Y176" t="s">
        <v>74</v>
      </c>
    </row>
    <row r="177" spans="1:26" x14ac:dyDescent="0.25">
      <c r="A177" t="s">
        <v>376</v>
      </c>
      <c r="B177" t="s">
        <v>1129</v>
      </c>
      <c r="C177">
        <v>164</v>
      </c>
      <c r="D177" t="s">
        <v>63</v>
      </c>
      <c r="E177" t="s">
        <v>78</v>
      </c>
      <c r="F177" t="s">
        <v>362</v>
      </c>
      <c r="H177">
        <v>36</v>
      </c>
      <c r="I177">
        <v>1399</v>
      </c>
      <c r="J177" t="s">
        <v>1130</v>
      </c>
      <c r="K177" t="s">
        <v>850</v>
      </c>
      <c r="L177" t="s">
        <v>1131</v>
      </c>
      <c r="M177" t="s">
        <v>82</v>
      </c>
      <c r="N177">
        <v>16404</v>
      </c>
      <c r="O177" t="s">
        <v>83</v>
      </c>
      <c r="Q177" t="s">
        <v>381</v>
      </c>
      <c r="R177" t="s">
        <v>1132</v>
      </c>
      <c r="S177" t="s">
        <v>1133</v>
      </c>
      <c r="T177" s="6">
        <v>2000000000</v>
      </c>
      <c r="U177" s="45">
        <f>VLOOKUP(B177,realPrices!C:G,5,0)</f>
        <v>2120000000</v>
      </c>
      <c r="W177" t="str">
        <f t="shared" si="2"/>
        <v>PU1 OHVG CNG1399</v>
      </c>
      <c r="X177">
        <f>VLOOKUP(W177,Sheet10!D:F,2,0)*10000000</f>
        <v>2830000000</v>
      </c>
      <c r="Y177" t="s">
        <v>74</v>
      </c>
    </row>
    <row r="178" spans="1:26" x14ac:dyDescent="0.25">
      <c r="A178" t="s">
        <v>376</v>
      </c>
      <c r="B178" t="s">
        <v>1134</v>
      </c>
      <c r="C178">
        <v>164</v>
      </c>
      <c r="D178" t="s">
        <v>63</v>
      </c>
      <c r="E178" t="s">
        <v>78</v>
      </c>
      <c r="F178" t="s">
        <v>362</v>
      </c>
      <c r="H178">
        <v>36</v>
      </c>
      <c r="I178">
        <v>1399</v>
      </c>
      <c r="J178" t="s">
        <v>1135</v>
      </c>
      <c r="K178" t="s">
        <v>599</v>
      </c>
      <c r="L178" t="s">
        <v>1136</v>
      </c>
      <c r="M178" t="s">
        <v>82</v>
      </c>
      <c r="N178">
        <v>16404</v>
      </c>
      <c r="O178" t="s">
        <v>83</v>
      </c>
      <c r="Q178" t="s">
        <v>381</v>
      </c>
      <c r="R178" t="s">
        <v>1137</v>
      </c>
      <c r="S178" t="s">
        <v>1138</v>
      </c>
      <c r="T178" s="6">
        <v>2000000000</v>
      </c>
      <c r="U178" s="45">
        <f>VLOOKUP(B178,realPrices!C:G,5,0)</f>
        <v>2071000000</v>
      </c>
      <c r="W178" t="str">
        <f t="shared" si="2"/>
        <v>PU1 OHVG CNG1399</v>
      </c>
      <c r="X178">
        <f>VLOOKUP(W178,Sheet10!D:F,2,0)*10000000</f>
        <v>2830000000</v>
      </c>
      <c r="Y178" t="s">
        <v>74</v>
      </c>
    </row>
    <row r="179" spans="1:26" x14ac:dyDescent="0.25">
      <c r="A179" t="s">
        <v>376</v>
      </c>
      <c r="B179" t="s">
        <v>1139</v>
      </c>
      <c r="C179">
        <v>164</v>
      </c>
      <c r="D179" t="s">
        <v>63</v>
      </c>
      <c r="E179" t="s">
        <v>78</v>
      </c>
      <c r="F179" t="s">
        <v>362</v>
      </c>
      <c r="H179">
        <v>36</v>
      </c>
      <c r="I179">
        <v>1399</v>
      </c>
      <c r="J179" t="s">
        <v>1140</v>
      </c>
      <c r="K179" t="s">
        <v>1141</v>
      </c>
      <c r="L179" t="s">
        <v>1142</v>
      </c>
      <c r="M179" t="s">
        <v>82</v>
      </c>
      <c r="N179">
        <v>16404</v>
      </c>
      <c r="O179" t="s">
        <v>83</v>
      </c>
      <c r="Q179" t="s">
        <v>381</v>
      </c>
      <c r="R179" t="s">
        <v>1143</v>
      </c>
      <c r="S179" t="s">
        <v>1144</v>
      </c>
      <c r="T179" s="6">
        <v>2000000000</v>
      </c>
      <c r="U179" s="45">
        <f>VLOOKUP(B179,realPrices!C:G,5,0)</f>
        <v>2210000000</v>
      </c>
      <c r="W179" t="str">
        <f t="shared" si="2"/>
        <v>PU1 OHVG CNG1399</v>
      </c>
      <c r="X179">
        <f>VLOOKUP(W179,Sheet10!D:F,2,0)*10000000</f>
        <v>2830000000</v>
      </c>
      <c r="Y179" t="s">
        <v>74</v>
      </c>
    </row>
    <row r="180" spans="1:26" x14ac:dyDescent="0.25">
      <c r="A180" t="s">
        <v>376</v>
      </c>
      <c r="B180" t="s">
        <v>1145</v>
      </c>
      <c r="C180">
        <v>164</v>
      </c>
      <c r="D180" t="s">
        <v>63</v>
      </c>
      <c r="E180" t="s">
        <v>78</v>
      </c>
      <c r="F180" t="s">
        <v>362</v>
      </c>
      <c r="H180">
        <v>35</v>
      </c>
      <c r="I180">
        <v>1399</v>
      </c>
      <c r="J180" t="s">
        <v>1146</v>
      </c>
      <c r="K180" t="s">
        <v>599</v>
      </c>
      <c r="L180" t="s">
        <v>1147</v>
      </c>
      <c r="M180" t="s">
        <v>82</v>
      </c>
      <c r="N180">
        <v>16404</v>
      </c>
      <c r="O180" t="s">
        <v>83</v>
      </c>
      <c r="Q180" t="s">
        <v>381</v>
      </c>
      <c r="R180" t="s">
        <v>1148</v>
      </c>
      <c r="S180" t="s">
        <v>1149</v>
      </c>
      <c r="T180" s="6">
        <v>2000000000</v>
      </c>
      <c r="U180" s="45">
        <f>VLOOKUP(B180,realPrices!C:G,5,0)</f>
        <v>2130000000</v>
      </c>
      <c r="W180" t="str">
        <f t="shared" si="2"/>
        <v>PU1 OHVG CNG1399</v>
      </c>
      <c r="X180">
        <f>VLOOKUP(W180,Sheet10!D:F,2,0)*10000000</f>
        <v>2830000000</v>
      </c>
      <c r="Y180" t="s">
        <v>74</v>
      </c>
    </row>
    <row r="181" spans="1:26" x14ac:dyDescent="0.25">
      <c r="A181" t="s">
        <v>376</v>
      </c>
      <c r="B181" t="s">
        <v>1150</v>
      </c>
      <c r="C181">
        <v>164</v>
      </c>
      <c r="D181" t="s">
        <v>63</v>
      </c>
      <c r="E181" t="s">
        <v>78</v>
      </c>
      <c r="F181" t="s">
        <v>362</v>
      </c>
      <c r="H181">
        <v>35</v>
      </c>
      <c r="I181">
        <v>1399</v>
      </c>
      <c r="J181" t="s">
        <v>1151</v>
      </c>
      <c r="K181" t="s">
        <v>599</v>
      </c>
      <c r="L181" t="s">
        <v>1152</v>
      </c>
      <c r="M181" t="s">
        <v>82</v>
      </c>
      <c r="N181">
        <v>16404</v>
      </c>
      <c r="O181" t="s">
        <v>83</v>
      </c>
      <c r="Q181" t="s">
        <v>381</v>
      </c>
      <c r="R181" t="s">
        <v>1153</v>
      </c>
      <c r="S181" t="s">
        <v>1154</v>
      </c>
      <c r="T181" s="6">
        <v>2000000000</v>
      </c>
      <c r="U181" s="45">
        <f>VLOOKUP(B181,realPrices!C:G,5,0)</f>
        <v>2242100999</v>
      </c>
      <c r="W181" t="str">
        <f t="shared" si="2"/>
        <v>PU1 OHVG CNG1399</v>
      </c>
      <c r="X181">
        <f>VLOOKUP(W181,Sheet10!D:F,2,0)*10000000</f>
        <v>2830000000</v>
      </c>
      <c r="Y181" t="s">
        <v>74</v>
      </c>
      <c r="Z181"/>
    </row>
    <row r="182" spans="1:26" x14ac:dyDescent="0.25">
      <c r="A182" t="s">
        <v>376</v>
      </c>
      <c r="B182" t="s">
        <v>1155</v>
      </c>
      <c r="C182">
        <v>164</v>
      </c>
      <c r="D182" t="s">
        <v>63</v>
      </c>
      <c r="E182" t="s">
        <v>78</v>
      </c>
      <c r="F182" t="s">
        <v>362</v>
      </c>
      <c r="H182">
        <v>34</v>
      </c>
      <c r="I182">
        <v>1399</v>
      </c>
      <c r="J182" t="s">
        <v>1156</v>
      </c>
      <c r="K182" t="s">
        <v>599</v>
      </c>
      <c r="L182" t="s">
        <v>1157</v>
      </c>
      <c r="M182" t="s">
        <v>82</v>
      </c>
      <c r="N182">
        <v>16404</v>
      </c>
      <c r="O182" t="s">
        <v>83</v>
      </c>
      <c r="Q182" t="s">
        <v>381</v>
      </c>
      <c r="R182" t="s">
        <v>1158</v>
      </c>
      <c r="S182" t="s">
        <v>1159</v>
      </c>
      <c r="T182" s="6">
        <v>2000000000</v>
      </c>
      <c r="U182" s="45">
        <f>VLOOKUP(B182,realPrices!C:G,5,0)</f>
        <v>2134200000</v>
      </c>
      <c r="W182" t="str">
        <f t="shared" si="2"/>
        <v>PU1 OHVG CNG1399</v>
      </c>
      <c r="X182">
        <f>VLOOKUP(W182,Sheet10!D:F,2,0)*10000000</f>
        <v>2830000000</v>
      </c>
      <c r="Y182" t="s">
        <v>74</v>
      </c>
      <c r="Z182"/>
    </row>
    <row r="183" spans="1:26" x14ac:dyDescent="0.25">
      <c r="A183" t="s">
        <v>376</v>
      </c>
      <c r="B183" t="s">
        <v>1160</v>
      </c>
      <c r="C183">
        <v>164</v>
      </c>
      <c r="D183" t="s">
        <v>63</v>
      </c>
      <c r="E183" t="s">
        <v>78</v>
      </c>
      <c r="F183" t="s">
        <v>362</v>
      </c>
      <c r="H183">
        <v>34</v>
      </c>
      <c r="I183">
        <v>1399</v>
      </c>
      <c r="J183" t="s">
        <v>1161</v>
      </c>
      <c r="K183" t="s">
        <v>599</v>
      </c>
      <c r="L183" t="s">
        <v>1162</v>
      </c>
      <c r="M183" t="s">
        <v>82</v>
      </c>
      <c r="N183">
        <v>16404</v>
      </c>
      <c r="O183" t="s">
        <v>83</v>
      </c>
      <c r="Q183" t="s">
        <v>381</v>
      </c>
      <c r="R183" t="s">
        <v>1163</v>
      </c>
      <c r="S183" t="s">
        <v>1164</v>
      </c>
      <c r="T183" s="6">
        <v>2000000000</v>
      </c>
      <c r="U183" s="45">
        <f>VLOOKUP(B183,realPrices!C:G,5,0)</f>
        <v>2132580009</v>
      </c>
      <c r="W183" t="str">
        <f t="shared" si="2"/>
        <v>PU1 OHVG CNG1399</v>
      </c>
      <c r="X183">
        <f>VLOOKUP(W183,Sheet10!D:F,2,0)*10000000</f>
        <v>2830000000</v>
      </c>
      <c r="Y183" t="s">
        <v>74</v>
      </c>
    </row>
    <row r="184" spans="1:26" x14ac:dyDescent="0.25">
      <c r="A184" t="s">
        <v>376</v>
      </c>
      <c r="B184" t="s">
        <v>1165</v>
      </c>
      <c r="C184">
        <v>164</v>
      </c>
      <c r="D184" t="s">
        <v>63</v>
      </c>
      <c r="E184" t="s">
        <v>78</v>
      </c>
      <c r="F184" t="s">
        <v>362</v>
      </c>
      <c r="H184">
        <v>34</v>
      </c>
      <c r="I184">
        <v>1399</v>
      </c>
      <c r="J184" t="s">
        <v>1166</v>
      </c>
      <c r="K184" t="s">
        <v>599</v>
      </c>
      <c r="L184" t="s">
        <v>1167</v>
      </c>
      <c r="M184" t="s">
        <v>82</v>
      </c>
      <c r="N184">
        <v>16404</v>
      </c>
      <c r="O184" t="s">
        <v>83</v>
      </c>
      <c r="Q184" t="s">
        <v>381</v>
      </c>
      <c r="R184" t="s">
        <v>1168</v>
      </c>
      <c r="S184" t="s">
        <v>1169</v>
      </c>
      <c r="T184" s="6">
        <v>2000000000</v>
      </c>
      <c r="U184" s="45">
        <f>VLOOKUP(B184,realPrices!C:G,5,0)</f>
        <v>2242100999</v>
      </c>
      <c r="W184" t="str">
        <f t="shared" si="2"/>
        <v>PU1 OHVG CNG1399</v>
      </c>
      <c r="X184">
        <f>VLOOKUP(W184,Sheet10!D:F,2,0)*10000000</f>
        <v>2830000000</v>
      </c>
      <c r="Y184" t="s">
        <v>74</v>
      </c>
      <c r="Z184"/>
    </row>
    <row r="185" spans="1:26" x14ac:dyDescent="0.25">
      <c r="A185" t="s">
        <v>376</v>
      </c>
      <c r="B185" t="s">
        <v>1170</v>
      </c>
      <c r="C185">
        <v>164</v>
      </c>
      <c r="D185" t="s">
        <v>63</v>
      </c>
      <c r="E185" t="s">
        <v>78</v>
      </c>
      <c r="F185" t="s">
        <v>362</v>
      </c>
      <c r="H185">
        <v>33</v>
      </c>
      <c r="I185">
        <v>1399</v>
      </c>
      <c r="J185" t="s">
        <v>1171</v>
      </c>
      <c r="K185" t="s">
        <v>599</v>
      </c>
      <c r="L185" t="s">
        <v>1172</v>
      </c>
      <c r="M185" t="s">
        <v>82</v>
      </c>
      <c r="N185">
        <v>16404</v>
      </c>
      <c r="O185" t="s">
        <v>83</v>
      </c>
      <c r="Q185" t="s">
        <v>381</v>
      </c>
      <c r="R185" t="s">
        <v>1173</v>
      </c>
      <c r="S185" t="s">
        <v>1174</v>
      </c>
      <c r="T185" s="6">
        <v>2000000000</v>
      </c>
      <c r="U185" s="45">
        <f>VLOOKUP(B185,realPrices!C:G,5,0)</f>
        <v>2107778777</v>
      </c>
      <c r="W185" t="str">
        <f t="shared" si="2"/>
        <v>PU1 OHVG CNG1399</v>
      </c>
      <c r="X185">
        <f>VLOOKUP(W185,Sheet10!D:F,2,0)*10000000</f>
        <v>2830000000</v>
      </c>
      <c r="Y185" t="s">
        <v>74</v>
      </c>
    </row>
    <row r="186" spans="1:26" x14ac:dyDescent="0.25">
      <c r="A186" t="s">
        <v>376</v>
      </c>
      <c r="B186" t="s">
        <v>1175</v>
      </c>
      <c r="C186">
        <v>164</v>
      </c>
      <c r="D186" t="s">
        <v>63</v>
      </c>
      <c r="E186" t="s">
        <v>78</v>
      </c>
      <c r="F186" t="s">
        <v>362</v>
      </c>
      <c r="H186">
        <v>33</v>
      </c>
      <c r="I186">
        <v>1399</v>
      </c>
      <c r="J186" t="s">
        <v>1176</v>
      </c>
      <c r="K186" t="s">
        <v>1177</v>
      </c>
      <c r="L186" t="s">
        <v>1178</v>
      </c>
      <c r="M186" t="s">
        <v>82</v>
      </c>
      <c r="N186">
        <v>16404</v>
      </c>
      <c r="O186" t="s">
        <v>83</v>
      </c>
      <c r="Q186" t="s">
        <v>381</v>
      </c>
      <c r="R186" t="s">
        <v>1179</v>
      </c>
      <c r="S186" t="s">
        <v>1180</v>
      </c>
      <c r="T186" s="6">
        <v>2000000000</v>
      </c>
      <c r="U186" s="45">
        <f>VLOOKUP(B186,realPrices!C:G,5,0)</f>
        <v>2188888888</v>
      </c>
      <c r="W186" t="str">
        <f t="shared" si="2"/>
        <v>PU1 OHVG CNG1399</v>
      </c>
      <c r="X186">
        <f>VLOOKUP(W186,Sheet10!D:F,2,0)*10000000</f>
        <v>2830000000</v>
      </c>
      <c r="Y186" t="s">
        <v>74</v>
      </c>
      <c r="Z186"/>
    </row>
    <row r="187" spans="1:26" x14ac:dyDescent="0.25">
      <c r="A187" t="s">
        <v>376</v>
      </c>
      <c r="B187" t="s">
        <v>1181</v>
      </c>
      <c r="C187">
        <v>164</v>
      </c>
      <c r="D187" t="s">
        <v>63</v>
      </c>
      <c r="E187" t="s">
        <v>78</v>
      </c>
      <c r="F187" t="s">
        <v>362</v>
      </c>
      <c r="H187">
        <v>33</v>
      </c>
      <c r="I187">
        <v>1399</v>
      </c>
      <c r="J187" t="s">
        <v>1182</v>
      </c>
      <c r="K187" t="s">
        <v>599</v>
      </c>
      <c r="L187" t="s">
        <v>1183</v>
      </c>
      <c r="M187" t="s">
        <v>82</v>
      </c>
      <c r="N187">
        <v>16404</v>
      </c>
      <c r="O187" t="s">
        <v>83</v>
      </c>
      <c r="Q187" t="s">
        <v>381</v>
      </c>
      <c r="R187" t="s">
        <v>1184</v>
      </c>
      <c r="S187" t="s">
        <v>1185</v>
      </c>
      <c r="T187" s="6">
        <v>2000000000</v>
      </c>
      <c r="U187" s="45">
        <f>VLOOKUP(B187,realPrices!C:G,5,0)</f>
        <v>2220000000</v>
      </c>
      <c r="W187" t="str">
        <f t="shared" si="2"/>
        <v>PU1 OHVG CNG1399</v>
      </c>
      <c r="X187">
        <f>VLOOKUP(W187,Sheet10!D:F,2,0)*10000000</f>
        <v>2830000000</v>
      </c>
      <c r="Y187" t="s">
        <v>74</v>
      </c>
      <c r="Z187"/>
    </row>
    <row r="188" spans="1:26" x14ac:dyDescent="0.25">
      <c r="A188" t="s">
        <v>376</v>
      </c>
      <c r="B188" t="s">
        <v>1186</v>
      </c>
      <c r="C188">
        <v>164</v>
      </c>
      <c r="D188" t="s">
        <v>63</v>
      </c>
      <c r="E188" t="s">
        <v>78</v>
      </c>
      <c r="F188" t="s">
        <v>362</v>
      </c>
      <c r="H188">
        <v>33</v>
      </c>
      <c r="I188">
        <v>1399</v>
      </c>
      <c r="J188" t="s">
        <v>1187</v>
      </c>
      <c r="K188" t="s">
        <v>599</v>
      </c>
      <c r="L188" t="s">
        <v>1188</v>
      </c>
      <c r="M188" t="s">
        <v>82</v>
      </c>
      <c r="N188">
        <v>16404</v>
      </c>
      <c r="O188" t="s">
        <v>83</v>
      </c>
      <c r="Q188" t="s">
        <v>381</v>
      </c>
      <c r="R188" t="s">
        <v>1189</v>
      </c>
      <c r="S188" t="s">
        <v>1190</v>
      </c>
      <c r="T188" s="6">
        <v>2000000000</v>
      </c>
      <c r="U188" s="45">
        <f>VLOOKUP(B188,realPrices!C:G,5,0)</f>
        <v>2211345999</v>
      </c>
      <c r="W188" t="str">
        <f t="shared" si="2"/>
        <v>PU1 OHVG CNG1399</v>
      </c>
      <c r="X188">
        <f>VLOOKUP(W188,Sheet10!D:F,2,0)*10000000</f>
        <v>2830000000</v>
      </c>
      <c r="Y188" t="s">
        <v>74</v>
      </c>
    </row>
    <row r="189" spans="1:26" x14ac:dyDescent="0.25">
      <c r="A189" t="s">
        <v>376</v>
      </c>
      <c r="B189" t="s">
        <v>1191</v>
      </c>
      <c r="C189">
        <v>164</v>
      </c>
      <c r="D189" t="s">
        <v>63</v>
      </c>
      <c r="E189" t="s">
        <v>78</v>
      </c>
      <c r="F189" t="s">
        <v>362</v>
      </c>
      <c r="H189">
        <v>52</v>
      </c>
      <c r="I189">
        <v>1399</v>
      </c>
      <c r="J189" t="s">
        <v>1192</v>
      </c>
      <c r="K189" t="s">
        <v>599</v>
      </c>
      <c r="L189" t="s">
        <v>1193</v>
      </c>
      <c r="M189" t="s">
        <v>82</v>
      </c>
      <c r="N189">
        <v>16404</v>
      </c>
      <c r="O189" t="s">
        <v>83</v>
      </c>
      <c r="Q189" t="s">
        <v>381</v>
      </c>
      <c r="R189" t="s">
        <v>1194</v>
      </c>
      <c r="S189" t="s">
        <v>1195</v>
      </c>
      <c r="T189" s="6">
        <v>2000000000</v>
      </c>
      <c r="U189" s="45">
        <f>VLOOKUP(B189,realPrices!C:G,5,0)</f>
        <v>2126789999</v>
      </c>
      <c r="W189" t="str">
        <f t="shared" si="2"/>
        <v>PU1 OHVG CNG1399</v>
      </c>
      <c r="X189">
        <f>VLOOKUP(W189,Sheet10!D:F,2,0)*10000000</f>
        <v>2830000000</v>
      </c>
      <c r="Y189" t="s">
        <v>74</v>
      </c>
      <c r="Z189"/>
    </row>
    <row r="190" spans="1:26" x14ac:dyDescent="0.25">
      <c r="A190" t="s">
        <v>376</v>
      </c>
      <c r="B190" t="s">
        <v>1196</v>
      </c>
      <c r="C190">
        <v>164</v>
      </c>
      <c r="D190" t="s">
        <v>63</v>
      </c>
      <c r="E190" t="s">
        <v>78</v>
      </c>
      <c r="F190" t="s">
        <v>362</v>
      </c>
      <c r="H190">
        <v>50</v>
      </c>
      <c r="I190">
        <v>1399</v>
      </c>
      <c r="J190" t="s">
        <v>1197</v>
      </c>
      <c r="K190" t="s">
        <v>599</v>
      </c>
      <c r="L190" t="s">
        <v>1198</v>
      </c>
      <c r="M190" t="s">
        <v>82</v>
      </c>
      <c r="N190">
        <v>16404</v>
      </c>
      <c r="O190" t="s">
        <v>83</v>
      </c>
      <c r="Q190" t="s">
        <v>381</v>
      </c>
      <c r="R190" t="s">
        <v>1199</v>
      </c>
      <c r="S190" t="s">
        <v>1200</v>
      </c>
      <c r="T190" s="6">
        <v>2000000000</v>
      </c>
      <c r="U190" s="45">
        <f>VLOOKUP(B190,realPrices!C:G,5,0)</f>
        <v>2183000000</v>
      </c>
      <c r="W190" t="str">
        <f t="shared" si="2"/>
        <v>PU1 OHVG CNG1399</v>
      </c>
      <c r="X190">
        <f>VLOOKUP(W190,Sheet10!D:F,2,0)*10000000</f>
        <v>2830000000</v>
      </c>
      <c r="Y190" t="s">
        <v>74</v>
      </c>
    </row>
    <row r="191" spans="1:26" x14ac:dyDescent="0.25">
      <c r="A191" t="s">
        <v>376</v>
      </c>
      <c r="B191" t="s">
        <v>1201</v>
      </c>
      <c r="C191">
        <v>164</v>
      </c>
      <c r="D191" t="s">
        <v>63</v>
      </c>
      <c r="E191" t="s">
        <v>78</v>
      </c>
      <c r="F191" t="s">
        <v>362</v>
      </c>
      <c r="H191">
        <v>49</v>
      </c>
      <c r="I191">
        <v>1399</v>
      </c>
      <c r="J191" t="s">
        <v>1202</v>
      </c>
      <c r="K191" t="s">
        <v>1203</v>
      </c>
      <c r="L191" t="s">
        <v>1204</v>
      </c>
      <c r="M191" t="s">
        <v>82</v>
      </c>
      <c r="N191">
        <v>16404</v>
      </c>
      <c r="O191" t="s">
        <v>83</v>
      </c>
      <c r="Q191" t="s">
        <v>381</v>
      </c>
      <c r="R191" t="s">
        <v>1205</v>
      </c>
      <c r="S191" t="s">
        <v>1206</v>
      </c>
      <c r="T191" s="6">
        <v>2000000000</v>
      </c>
      <c r="U191" s="45">
        <f>VLOOKUP(B191,realPrices!C:G,5,0)</f>
        <v>2177440001</v>
      </c>
      <c r="W191" t="str">
        <f t="shared" si="2"/>
        <v>PU1 OHVG CNG1399</v>
      </c>
      <c r="X191">
        <f>VLOOKUP(W191,Sheet10!D:F,2,0)*10000000</f>
        <v>2830000000</v>
      </c>
      <c r="Y191" t="s">
        <v>74</v>
      </c>
      <c r="Z191"/>
    </row>
    <row r="192" spans="1:26" x14ac:dyDescent="0.25">
      <c r="A192" t="s">
        <v>376</v>
      </c>
      <c r="B192" t="s">
        <v>1207</v>
      </c>
      <c r="C192">
        <v>164</v>
      </c>
      <c r="D192" t="s">
        <v>63</v>
      </c>
      <c r="E192" t="s">
        <v>78</v>
      </c>
      <c r="F192" t="s">
        <v>362</v>
      </c>
      <c r="H192">
        <v>49</v>
      </c>
      <c r="I192">
        <v>1399</v>
      </c>
      <c r="J192" t="s">
        <v>1208</v>
      </c>
      <c r="K192" t="s">
        <v>599</v>
      </c>
      <c r="L192" t="s">
        <v>1209</v>
      </c>
      <c r="M192" t="s">
        <v>82</v>
      </c>
      <c r="N192">
        <v>16404</v>
      </c>
      <c r="O192" t="s">
        <v>83</v>
      </c>
      <c r="Q192" t="s">
        <v>381</v>
      </c>
      <c r="R192" t="s">
        <v>1210</v>
      </c>
      <c r="S192" t="s">
        <v>1211</v>
      </c>
      <c r="T192" s="6">
        <v>2000000000</v>
      </c>
      <c r="U192" s="45">
        <f>VLOOKUP(B192,realPrices!C:G,5,0)</f>
        <v>2088888888</v>
      </c>
      <c r="W192" t="str">
        <f t="shared" si="2"/>
        <v>PU1 OHVG CNG1399</v>
      </c>
      <c r="X192">
        <f>VLOOKUP(W192,Sheet10!D:F,2,0)*10000000</f>
        <v>2830000000</v>
      </c>
      <c r="Y192" t="s">
        <v>74</v>
      </c>
    </row>
    <row r="193" spans="1:26" x14ac:dyDescent="0.25">
      <c r="A193" t="s">
        <v>376</v>
      </c>
      <c r="B193" t="s">
        <v>1212</v>
      </c>
      <c r="C193">
        <v>164</v>
      </c>
      <c r="D193" t="s">
        <v>63</v>
      </c>
      <c r="E193" t="s">
        <v>78</v>
      </c>
      <c r="F193" t="s">
        <v>362</v>
      </c>
      <c r="H193">
        <v>48</v>
      </c>
      <c r="I193">
        <v>1399</v>
      </c>
      <c r="J193" t="s">
        <v>1213</v>
      </c>
      <c r="K193" t="s">
        <v>1214</v>
      </c>
      <c r="L193" t="s">
        <v>1215</v>
      </c>
      <c r="M193" t="s">
        <v>82</v>
      </c>
      <c r="N193">
        <v>16404</v>
      </c>
      <c r="O193" t="s">
        <v>83</v>
      </c>
      <c r="Q193" t="s">
        <v>381</v>
      </c>
      <c r="R193" t="s">
        <v>1216</v>
      </c>
      <c r="S193" t="s">
        <v>1217</v>
      </c>
      <c r="T193" s="6">
        <v>2000000000</v>
      </c>
      <c r="U193" s="45">
        <f>VLOOKUP(B193,realPrices!C:G,5,0)</f>
        <v>2277777777</v>
      </c>
      <c r="W193" t="str">
        <f t="shared" si="2"/>
        <v>PU1 OHVG CNG1399</v>
      </c>
      <c r="X193">
        <f>VLOOKUP(W193,Sheet10!D:F,2,0)*10000000</f>
        <v>2830000000</v>
      </c>
      <c r="Y193" t="s">
        <v>74</v>
      </c>
    </row>
    <row r="194" spans="1:26" x14ac:dyDescent="0.25">
      <c r="A194" t="s">
        <v>376</v>
      </c>
      <c r="B194" t="s">
        <v>1218</v>
      </c>
      <c r="C194">
        <v>164</v>
      </c>
      <c r="D194" t="s">
        <v>63</v>
      </c>
      <c r="E194" t="s">
        <v>78</v>
      </c>
      <c r="F194" t="s">
        <v>362</v>
      </c>
      <c r="H194">
        <v>47</v>
      </c>
      <c r="I194">
        <v>1399</v>
      </c>
      <c r="J194" t="s">
        <v>1219</v>
      </c>
      <c r="K194" t="s">
        <v>599</v>
      </c>
      <c r="L194" t="s">
        <v>1220</v>
      </c>
      <c r="M194" t="s">
        <v>82</v>
      </c>
      <c r="N194">
        <v>16404</v>
      </c>
      <c r="O194" t="s">
        <v>83</v>
      </c>
      <c r="Q194" t="s">
        <v>381</v>
      </c>
      <c r="R194" t="s">
        <v>1221</v>
      </c>
      <c r="S194" t="s">
        <v>1222</v>
      </c>
      <c r="T194" s="6">
        <v>2000000000</v>
      </c>
      <c r="U194" s="45">
        <f>VLOOKUP(B194,realPrices!C:G,5,0)</f>
        <v>2170007890</v>
      </c>
      <c r="W194" t="str">
        <f t="shared" ref="W194:W257" si="3">M194&amp;I194</f>
        <v>PU1 OHVG CNG1399</v>
      </c>
      <c r="X194">
        <f>VLOOKUP(W194,Sheet10!D:F,2,0)*10000000</f>
        <v>2830000000</v>
      </c>
      <c r="Y194" t="s">
        <v>74</v>
      </c>
      <c r="Z194"/>
    </row>
    <row r="195" spans="1:26" x14ac:dyDescent="0.25">
      <c r="A195" t="s">
        <v>376</v>
      </c>
      <c r="B195" t="s">
        <v>1223</v>
      </c>
      <c r="C195">
        <v>164</v>
      </c>
      <c r="D195" t="s">
        <v>63</v>
      </c>
      <c r="E195" t="s">
        <v>78</v>
      </c>
      <c r="F195" t="s">
        <v>362</v>
      </c>
      <c r="H195">
        <v>47</v>
      </c>
      <c r="I195">
        <v>1399</v>
      </c>
      <c r="J195" t="s">
        <v>1224</v>
      </c>
      <c r="K195" t="s">
        <v>599</v>
      </c>
      <c r="L195" t="s">
        <v>1225</v>
      </c>
      <c r="M195" t="s">
        <v>82</v>
      </c>
      <c r="N195">
        <v>16404</v>
      </c>
      <c r="O195" t="s">
        <v>83</v>
      </c>
      <c r="Q195" t="s">
        <v>381</v>
      </c>
      <c r="R195" t="s">
        <v>1226</v>
      </c>
      <c r="S195" t="s">
        <v>1227</v>
      </c>
      <c r="T195" s="6">
        <v>2000000000</v>
      </c>
      <c r="U195" s="45">
        <f>VLOOKUP(B195,realPrices!C:G,5,0)</f>
        <v>2181000000</v>
      </c>
      <c r="W195" t="str">
        <f t="shared" si="3"/>
        <v>PU1 OHVG CNG1399</v>
      </c>
      <c r="X195">
        <f>VLOOKUP(W195,Sheet10!D:F,2,0)*10000000</f>
        <v>2830000000</v>
      </c>
      <c r="Y195" t="s">
        <v>74</v>
      </c>
    </row>
    <row r="196" spans="1:26" x14ac:dyDescent="0.25">
      <c r="A196" t="s">
        <v>376</v>
      </c>
      <c r="B196" t="s">
        <v>1228</v>
      </c>
      <c r="C196">
        <v>164</v>
      </c>
      <c r="D196" t="s">
        <v>63</v>
      </c>
      <c r="E196" t="s">
        <v>78</v>
      </c>
      <c r="F196" t="s">
        <v>362</v>
      </c>
      <c r="H196">
        <v>46</v>
      </c>
      <c r="I196">
        <v>1399</v>
      </c>
      <c r="J196" t="s">
        <v>1229</v>
      </c>
      <c r="K196" t="s">
        <v>599</v>
      </c>
      <c r="L196" t="s">
        <v>1230</v>
      </c>
      <c r="M196" t="s">
        <v>82</v>
      </c>
      <c r="N196">
        <v>16404</v>
      </c>
      <c r="O196" t="s">
        <v>83</v>
      </c>
      <c r="Q196" t="s">
        <v>381</v>
      </c>
      <c r="R196" t="s">
        <v>1231</v>
      </c>
      <c r="S196" t="s">
        <v>1232</v>
      </c>
      <c r="T196" s="6">
        <v>2000000000</v>
      </c>
      <c r="U196" s="45">
        <f>VLOOKUP(B196,realPrices!C:G,5,0)</f>
        <v>2131000000</v>
      </c>
      <c r="W196" t="str">
        <f t="shared" si="3"/>
        <v>PU1 OHVG CNG1399</v>
      </c>
      <c r="X196">
        <f>VLOOKUP(W196,Sheet10!D:F,2,0)*10000000</f>
        <v>2830000000</v>
      </c>
      <c r="Y196" t="s">
        <v>74</v>
      </c>
    </row>
    <row r="197" spans="1:26" x14ac:dyDescent="0.25">
      <c r="A197" t="s">
        <v>376</v>
      </c>
      <c r="B197" t="s">
        <v>1233</v>
      </c>
      <c r="C197">
        <v>164</v>
      </c>
      <c r="D197" t="s">
        <v>63</v>
      </c>
      <c r="E197" t="s">
        <v>78</v>
      </c>
      <c r="F197" t="s">
        <v>362</v>
      </c>
      <c r="H197">
        <v>46</v>
      </c>
      <c r="I197">
        <v>1399</v>
      </c>
      <c r="J197" t="s">
        <v>1234</v>
      </c>
      <c r="K197" t="s">
        <v>599</v>
      </c>
      <c r="L197" t="s">
        <v>1235</v>
      </c>
      <c r="M197" t="s">
        <v>82</v>
      </c>
      <c r="N197">
        <v>16404</v>
      </c>
      <c r="O197" t="s">
        <v>83</v>
      </c>
      <c r="Q197" t="s">
        <v>381</v>
      </c>
      <c r="R197" t="s">
        <v>1236</v>
      </c>
      <c r="S197" t="s">
        <v>1237</v>
      </c>
      <c r="T197" s="6">
        <v>2000000000</v>
      </c>
      <c r="U197" s="45">
        <f>VLOOKUP(B197,realPrices!C:G,5,0)</f>
        <v>2250000000</v>
      </c>
      <c r="W197" t="str">
        <f t="shared" si="3"/>
        <v>PU1 OHVG CNG1399</v>
      </c>
      <c r="X197">
        <f>VLOOKUP(W197,Sheet10!D:F,2,0)*10000000</f>
        <v>2830000000</v>
      </c>
      <c r="Y197" t="s">
        <v>74</v>
      </c>
    </row>
    <row r="198" spans="1:26" x14ac:dyDescent="0.25">
      <c r="A198" t="s">
        <v>376</v>
      </c>
      <c r="B198" t="s">
        <v>1238</v>
      </c>
      <c r="C198">
        <v>164</v>
      </c>
      <c r="D198" t="s">
        <v>63</v>
      </c>
      <c r="E198" t="s">
        <v>78</v>
      </c>
      <c r="F198" t="s">
        <v>362</v>
      </c>
      <c r="H198">
        <v>45</v>
      </c>
      <c r="I198">
        <v>1399</v>
      </c>
      <c r="J198" t="s">
        <v>1239</v>
      </c>
      <c r="K198" t="s">
        <v>599</v>
      </c>
      <c r="L198" t="s">
        <v>1240</v>
      </c>
      <c r="M198" t="s">
        <v>82</v>
      </c>
      <c r="N198">
        <v>16404</v>
      </c>
      <c r="O198" t="s">
        <v>83</v>
      </c>
      <c r="Q198" t="s">
        <v>381</v>
      </c>
      <c r="R198" t="s">
        <v>1241</v>
      </c>
      <c r="S198" t="s">
        <v>1242</v>
      </c>
      <c r="T198" s="6">
        <v>2000000000</v>
      </c>
      <c r="U198" s="45">
        <f>VLOOKUP(B198,realPrices!C:G,5,0)</f>
        <v>2161616161</v>
      </c>
      <c r="W198" t="str">
        <f t="shared" si="3"/>
        <v>PU1 OHVG CNG1399</v>
      </c>
      <c r="X198">
        <f>VLOOKUP(W198,Sheet10!D:F,2,0)*10000000</f>
        <v>2830000000</v>
      </c>
      <c r="Y198" t="s">
        <v>74</v>
      </c>
      <c r="Z198"/>
    </row>
    <row r="199" spans="1:26" x14ac:dyDescent="0.25">
      <c r="A199" t="s">
        <v>376</v>
      </c>
      <c r="B199" t="s">
        <v>1243</v>
      </c>
      <c r="C199">
        <v>164</v>
      </c>
      <c r="D199" t="s">
        <v>63</v>
      </c>
      <c r="E199" t="s">
        <v>78</v>
      </c>
      <c r="F199" t="s">
        <v>362</v>
      </c>
      <c r="H199">
        <v>45</v>
      </c>
      <c r="I199">
        <v>1399</v>
      </c>
      <c r="J199" t="s">
        <v>1244</v>
      </c>
      <c r="K199" t="s">
        <v>599</v>
      </c>
      <c r="L199" t="s">
        <v>1245</v>
      </c>
      <c r="M199" t="s">
        <v>82</v>
      </c>
      <c r="N199">
        <v>16404</v>
      </c>
      <c r="O199" t="s">
        <v>83</v>
      </c>
      <c r="Q199" t="s">
        <v>381</v>
      </c>
      <c r="R199" t="s">
        <v>1246</v>
      </c>
      <c r="S199" t="s">
        <v>1247</v>
      </c>
      <c r="T199" s="6">
        <v>2000000000</v>
      </c>
      <c r="U199" s="45">
        <f>VLOOKUP(B199,realPrices!C:G,5,0)</f>
        <v>2179999999</v>
      </c>
      <c r="W199" t="str">
        <f t="shared" si="3"/>
        <v>PU1 OHVG CNG1399</v>
      </c>
      <c r="X199">
        <f>VLOOKUP(W199,Sheet10!D:F,2,0)*10000000</f>
        <v>2830000000</v>
      </c>
      <c r="Y199" t="s">
        <v>74</v>
      </c>
    </row>
    <row r="200" spans="1:26" x14ac:dyDescent="0.25">
      <c r="A200" t="s">
        <v>376</v>
      </c>
      <c r="B200" t="s">
        <v>1248</v>
      </c>
      <c r="C200">
        <v>164</v>
      </c>
      <c r="D200" t="s">
        <v>63</v>
      </c>
      <c r="E200" t="s">
        <v>78</v>
      </c>
      <c r="F200" t="s">
        <v>362</v>
      </c>
      <c r="H200">
        <v>44</v>
      </c>
      <c r="I200">
        <v>1399</v>
      </c>
      <c r="J200" t="s">
        <v>1249</v>
      </c>
      <c r="K200" t="s">
        <v>1214</v>
      </c>
      <c r="L200" t="s">
        <v>1250</v>
      </c>
      <c r="M200" t="s">
        <v>82</v>
      </c>
      <c r="N200">
        <v>16404</v>
      </c>
      <c r="O200" t="s">
        <v>83</v>
      </c>
      <c r="Q200" t="s">
        <v>381</v>
      </c>
      <c r="R200" t="s">
        <v>1251</v>
      </c>
      <c r="S200" t="s">
        <v>1252</v>
      </c>
      <c r="T200" s="6">
        <v>2000000000</v>
      </c>
      <c r="U200" s="45">
        <f>VLOOKUP(B200,realPrices!C:G,5,0)</f>
        <v>2222000000</v>
      </c>
      <c r="W200" t="str">
        <f t="shared" si="3"/>
        <v>PU1 OHVG CNG1399</v>
      </c>
      <c r="X200">
        <f>VLOOKUP(W200,Sheet10!D:F,2,0)*10000000</f>
        <v>2830000000</v>
      </c>
      <c r="Y200" t="s">
        <v>74</v>
      </c>
      <c r="Z200"/>
    </row>
    <row r="201" spans="1:26" x14ac:dyDescent="0.25">
      <c r="A201" t="s">
        <v>376</v>
      </c>
      <c r="B201" t="s">
        <v>1253</v>
      </c>
      <c r="C201">
        <v>164</v>
      </c>
      <c r="D201" t="s">
        <v>63</v>
      </c>
      <c r="E201" t="s">
        <v>78</v>
      </c>
      <c r="F201" t="s">
        <v>362</v>
      </c>
      <c r="H201">
        <v>44</v>
      </c>
      <c r="I201">
        <v>1399</v>
      </c>
      <c r="J201" t="s">
        <v>1254</v>
      </c>
      <c r="K201" t="s">
        <v>599</v>
      </c>
      <c r="L201" t="s">
        <v>1255</v>
      </c>
      <c r="M201" t="s">
        <v>82</v>
      </c>
      <c r="N201">
        <v>16404</v>
      </c>
      <c r="O201" t="s">
        <v>83</v>
      </c>
      <c r="Q201" t="s">
        <v>381</v>
      </c>
      <c r="R201" t="s">
        <v>1256</v>
      </c>
      <c r="S201" t="s">
        <v>1257</v>
      </c>
      <c r="T201" s="6">
        <v>2000000000</v>
      </c>
      <c r="U201" s="45">
        <f>VLOOKUP(B201,realPrices!C:G,5,0)</f>
        <v>2122999999</v>
      </c>
      <c r="W201" t="str">
        <f t="shared" si="3"/>
        <v>PU1 OHVG CNG1399</v>
      </c>
      <c r="X201">
        <f>VLOOKUP(W201,Sheet10!D:F,2,0)*10000000</f>
        <v>2830000000</v>
      </c>
      <c r="Y201" t="s">
        <v>74</v>
      </c>
      <c r="Z201"/>
    </row>
    <row r="202" spans="1:26" x14ac:dyDescent="0.25">
      <c r="A202" t="s">
        <v>376</v>
      </c>
      <c r="B202" t="s">
        <v>1258</v>
      </c>
      <c r="C202">
        <v>164</v>
      </c>
      <c r="D202" t="s">
        <v>63</v>
      </c>
      <c r="E202" t="s">
        <v>78</v>
      </c>
      <c r="F202" t="s">
        <v>362</v>
      </c>
      <c r="H202">
        <v>43</v>
      </c>
      <c r="I202">
        <v>1399</v>
      </c>
      <c r="J202" t="s">
        <v>1259</v>
      </c>
      <c r="K202" t="s">
        <v>599</v>
      </c>
      <c r="L202" t="s">
        <v>1260</v>
      </c>
      <c r="M202" t="s">
        <v>82</v>
      </c>
      <c r="N202">
        <v>16404</v>
      </c>
      <c r="O202" t="s">
        <v>83</v>
      </c>
      <c r="Q202" t="s">
        <v>381</v>
      </c>
      <c r="R202" t="s">
        <v>1261</v>
      </c>
      <c r="S202" t="s">
        <v>1262</v>
      </c>
      <c r="T202" s="6">
        <v>2000000000</v>
      </c>
      <c r="U202" s="45">
        <f>VLOOKUP(B202,realPrices!C:G,5,0)</f>
        <v>2157999000</v>
      </c>
      <c r="W202" t="str">
        <f t="shared" si="3"/>
        <v>PU1 OHVG CNG1399</v>
      </c>
      <c r="X202">
        <f>VLOOKUP(W202,Sheet10!D:F,2,0)*10000000</f>
        <v>2830000000</v>
      </c>
      <c r="Y202" t="s">
        <v>74</v>
      </c>
      <c r="Z202"/>
    </row>
    <row r="203" spans="1:26" x14ac:dyDescent="0.25">
      <c r="A203" t="s">
        <v>376</v>
      </c>
      <c r="B203" t="s">
        <v>1263</v>
      </c>
      <c r="C203">
        <v>164</v>
      </c>
      <c r="D203" t="s">
        <v>63</v>
      </c>
      <c r="E203" t="s">
        <v>78</v>
      </c>
      <c r="F203" t="s">
        <v>362</v>
      </c>
      <c r="H203">
        <v>42</v>
      </c>
      <c r="I203">
        <v>1399</v>
      </c>
      <c r="J203" t="s">
        <v>1264</v>
      </c>
      <c r="K203" t="s">
        <v>599</v>
      </c>
      <c r="L203" t="s">
        <v>1265</v>
      </c>
      <c r="M203" t="s">
        <v>82</v>
      </c>
      <c r="N203">
        <v>16404</v>
      </c>
      <c r="O203" t="s">
        <v>83</v>
      </c>
      <c r="Q203" t="s">
        <v>381</v>
      </c>
      <c r="R203" t="s">
        <v>1266</v>
      </c>
      <c r="S203" t="s">
        <v>1267</v>
      </c>
      <c r="T203" s="6">
        <v>2000000000</v>
      </c>
      <c r="U203" s="45">
        <f>VLOOKUP(B203,realPrices!C:G,5,0)</f>
        <v>2129298929</v>
      </c>
      <c r="W203" t="str">
        <f t="shared" si="3"/>
        <v>PU1 OHVG CNG1399</v>
      </c>
      <c r="X203">
        <f>VLOOKUP(W203,Sheet10!D:F,2,0)*10000000</f>
        <v>2830000000</v>
      </c>
      <c r="Y203" t="s">
        <v>74</v>
      </c>
    </row>
    <row r="204" spans="1:26" x14ac:dyDescent="0.25">
      <c r="A204" t="s">
        <v>376</v>
      </c>
      <c r="B204" t="s">
        <v>1268</v>
      </c>
      <c r="C204">
        <v>164</v>
      </c>
      <c r="D204" t="s">
        <v>63</v>
      </c>
      <c r="E204" t="s">
        <v>78</v>
      </c>
      <c r="F204" t="s">
        <v>362</v>
      </c>
      <c r="H204">
        <v>42</v>
      </c>
      <c r="I204">
        <v>1399</v>
      </c>
      <c r="J204" t="s">
        <v>1269</v>
      </c>
      <c r="K204" t="s">
        <v>599</v>
      </c>
      <c r="L204" t="s">
        <v>1270</v>
      </c>
      <c r="M204" t="s">
        <v>82</v>
      </c>
      <c r="N204">
        <v>16404</v>
      </c>
      <c r="O204" t="s">
        <v>83</v>
      </c>
      <c r="Q204" t="s">
        <v>381</v>
      </c>
      <c r="R204" t="s">
        <v>1271</v>
      </c>
      <c r="S204" t="s">
        <v>1272</v>
      </c>
      <c r="T204" s="6">
        <v>2000000000</v>
      </c>
      <c r="U204" s="45">
        <f>VLOOKUP(B204,realPrices!C:G,5,0)</f>
        <v>2250000999</v>
      </c>
      <c r="W204" t="str">
        <f t="shared" si="3"/>
        <v>PU1 OHVG CNG1399</v>
      </c>
      <c r="X204">
        <f>VLOOKUP(W204,Sheet10!D:F,2,0)*10000000</f>
        <v>2830000000</v>
      </c>
      <c r="Y204" t="s">
        <v>74</v>
      </c>
      <c r="Z204"/>
    </row>
    <row r="205" spans="1:26" x14ac:dyDescent="0.25">
      <c r="A205" t="s">
        <v>376</v>
      </c>
      <c r="B205" t="s">
        <v>1273</v>
      </c>
      <c r="C205">
        <v>164</v>
      </c>
      <c r="D205" t="s">
        <v>63</v>
      </c>
      <c r="E205" t="s">
        <v>78</v>
      </c>
      <c r="F205" t="s">
        <v>362</v>
      </c>
      <c r="H205">
        <v>42</v>
      </c>
      <c r="I205">
        <v>1399</v>
      </c>
      <c r="J205" t="s">
        <v>1274</v>
      </c>
      <c r="K205" t="s">
        <v>599</v>
      </c>
      <c r="L205" t="s">
        <v>1275</v>
      </c>
      <c r="M205" t="s">
        <v>82</v>
      </c>
      <c r="N205">
        <v>16404</v>
      </c>
      <c r="O205" t="s">
        <v>83</v>
      </c>
      <c r="Q205" t="s">
        <v>381</v>
      </c>
      <c r="R205" t="s">
        <v>1276</v>
      </c>
      <c r="S205" t="s">
        <v>1277</v>
      </c>
      <c r="T205" s="6">
        <v>2000000000</v>
      </c>
      <c r="U205" s="45">
        <f>VLOOKUP(B205,realPrices!C:G,5,0)</f>
        <v>2108785000</v>
      </c>
      <c r="W205" t="str">
        <f t="shared" si="3"/>
        <v>PU1 OHVG CNG1399</v>
      </c>
      <c r="X205">
        <f>VLOOKUP(W205,Sheet10!D:F,2,0)*10000000</f>
        <v>2830000000</v>
      </c>
      <c r="Y205" t="s">
        <v>74</v>
      </c>
    </row>
    <row r="206" spans="1:26" x14ac:dyDescent="0.25">
      <c r="A206" t="s">
        <v>376</v>
      </c>
      <c r="B206" t="s">
        <v>1278</v>
      </c>
      <c r="C206">
        <v>164</v>
      </c>
      <c r="D206" t="s">
        <v>63</v>
      </c>
      <c r="E206" t="s">
        <v>78</v>
      </c>
      <c r="F206" t="s">
        <v>362</v>
      </c>
      <c r="H206">
        <v>42</v>
      </c>
      <c r="I206">
        <v>1399</v>
      </c>
      <c r="J206" t="s">
        <v>1279</v>
      </c>
      <c r="K206" t="s">
        <v>599</v>
      </c>
      <c r="L206" t="s">
        <v>1280</v>
      </c>
      <c r="M206" t="s">
        <v>82</v>
      </c>
      <c r="N206">
        <v>16404</v>
      </c>
      <c r="O206" t="s">
        <v>83</v>
      </c>
      <c r="Q206" t="s">
        <v>381</v>
      </c>
      <c r="R206" t="s">
        <v>1281</v>
      </c>
      <c r="S206" t="s">
        <v>608</v>
      </c>
      <c r="T206" s="6">
        <v>2000000000</v>
      </c>
      <c r="U206" s="45">
        <f>VLOOKUP(B206,realPrices!C:G,5,0)</f>
        <v>2235000000</v>
      </c>
      <c r="W206" t="str">
        <f t="shared" si="3"/>
        <v>PU1 OHVG CNG1399</v>
      </c>
      <c r="X206">
        <f>VLOOKUP(W206,Sheet10!D:F,2,0)*10000000</f>
        <v>2830000000</v>
      </c>
      <c r="Y206" t="s">
        <v>74</v>
      </c>
      <c r="Z206"/>
    </row>
    <row r="207" spans="1:26" x14ac:dyDescent="0.25">
      <c r="A207" t="s">
        <v>376</v>
      </c>
      <c r="B207" t="s">
        <v>1282</v>
      </c>
      <c r="C207">
        <v>164</v>
      </c>
      <c r="D207" t="s">
        <v>63</v>
      </c>
      <c r="E207" t="s">
        <v>78</v>
      </c>
      <c r="F207" t="s">
        <v>362</v>
      </c>
      <c r="H207">
        <v>42</v>
      </c>
      <c r="I207">
        <v>1399</v>
      </c>
      <c r="J207" t="s">
        <v>1283</v>
      </c>
      <c r="K207" t="s">
        <v>599</v>
      </c>
      <c r="L207" t="s">
        <v>1284</v>
      </c>
      <c r="M207" t="s">
        <v>82</v>
      </c>
      <c r="N207">
        <v>16404</v>
      </c>
      <c r="O207" t="s">
        <v>83</v>
      </c>
      <c r="Q207" t="s">
        <v>381</v>
      </c>
      <c r="R207" t="s">
        <v>1285</v>
      </c>
      <c r="S207" t="s">
        <v>1286</v>
      </c>
      <c r="T207" s="6">
        <v>2000000000</v>
      </c>
      <c r="U207" s="45">
        <f>VLOOKUP(B207,realPrices!C:G,5,0)</f>
        <v>2222222222</v>
      </c>
      <c r="W207" t="str">
        <f t="shared" si="3"/>
        <v>PU1 OHVG CNG1399</v>
      </c>
      <c r="X207">
        <f>VLOOKUP(W207,Sheet10!D:F,2,0)*10000000</f>
        <v>2830000000</v>
      </c>
      <c r="Y207" t="s">
        <v>74</v>
      </c>
      <c r="Z207"/>
    </row>
    <row r="208" spans="1:26" x14ac:dyDescent="0.25">
      <c r="A208" t="s">
        <v>376</v>
      </c>
      <c r="B208" t="s">
        <v>1287</v>
      </c>
      <c r="C208">
        <v>164</v>
      </c>
      <c r="D208" t="s">
        <v>63</v>
      </c>
      <c r="E208" t="s">
        <v>78</v>
      </c>
      <c r="F208" t="s">
        <v>362</v>
      </c>
      <c r="H208">
        <v>42</v>
      </c>
      <c r="I208">
        <v>1399</v>
      </c>
      <c r="J208" t="s">
        <v>1288</v>
      </c>
      <c r="K208" t="s">
        <v>1289</v>
      </c>
      <c r="L208" t="s">
        <v>1290</v>
      </c>
      <c r="M208" t="s">
        <v>82</v>
      </c>
      <c r="N208">
        <v>16404</v>
      </c>
      <c r="O208" t="s">
        <v>83</v>
      </c>
      <c r="Q208" t="s">
        <v>381</v>
      </c>
      <c r="R208" t="s">
        <v>1291</v>
      </c>
      <c r="S208" t="s">
        <v>1292</v>
      </c>
      <c r="T208" s="6">
        <v>2000000000</v>
      </c>
      <c r="U208" s="45">
        <f>VLOOKUP(B208,realPrices!C:G,5,0)</f>
        <v>2177440001</v>
      </c>
      <c r="W208" t="str">
        <f t="shared" si="3"/>
        <v>PU1 OHVG CNG1399</v>
      </c>
      <c r="X208">
        <f>VLOOKUP(W208,Sheet10!D:F,2,0)*10000000</f>
        <v>2830000000</v>
      </c>
      <c r="Y208" t="s">
        <v>74</v>
      </c>
      <c r="Z208"/>
    </row>
    <row r="209" spans="1:1012 1027:1492" x14ac:dyDescent="0.25">
      <c r="A209" t="s">
        <v>376</v>
      </c>
      <c r="B209" t="s">
        <v>1293</v>
      </c>
      <c r="C209">
        <v>164</v>
      </c>
      <c r="D209" t="s">
        <v>63</v>
      </c>
      <c r="E209" t="s">
        <v>78</v>
      </c>
      <c r="F209" t="s">
        <v>362</v>
      </c>
      <c r="H209">
        <v>41</v>
      </c>
      <c r="I209">
        <v>1399</v>
      </c>
      <c r="J209" t="s">
        <v>1294</v>
      </c>
      <c r="K209" t="s">
        <v>599</v>
      </c>
      <c r="L209" t="s">
        <v>1295</v>
      </c>
      <c r="M209" t="s">
        <v>82</v>
      </c>
      <c r="N209">
        <v>16404</v>
      </c>
      <c r="O209" t="s">
        <v>83</v>
      </c>
      <c r="Q209" t="s">
        <v>381</v>
      </c>
      <c r="R209" t="s">
        <v>1296</v>
      </c>
      <c r="S209" t="s">
        <v>1297</v>
      </c>
      <c r="T209" s="6">
        <v>2000000000</v>
      </c>
      <c r="U209" s="45">
        <f>VLOOKUP(B209,realPrices!C:G,5,0)</f>
        <v>2301111111</v>
      </c>
      <c r="W209" t="str">
        <f t="shared" si="3"/>
        <v>PU1 OHVG CNG1399</v>
      </c>
      <c r="X209">
        <f>VLOOKUP(W209,Sheet10!D:F,2,0)*10000000</f>
        <v>2830000000</v>
      </c>
      <c r="Y209" t="s">
        <v>74</v>
      </c>
      <c r="Z209"/>
    </row>
    <row r="210" spans="1:1012 1027:1492" x14ac:dyDescent="0.25">
      <c r="A210" t="s">
        <v>376</v>
      </c>
      <c r="B210" t="s">
        <v>1298</v>
      </c>
      <c r="C210">
        <v>164</v>
      </c>
      <c r="D210" t="s">
        <v>63</v>
      </c>
      <c r="E210" t="s">
        <v>78</v>
      </c>
      <c r="F210" t="s">
        <v>362</v>
      </c>
      <c r="H210">
        <v>41</v>
      </c>
      <c r="I210">
        <v>1399</v>
      </c>
      <c r="J210" t="s">
        <v>1299</v>
      </c>
      <c r="K210" t="s">
        <v>599</v>
      </c>
      <c r="L210" t="s">
        <v>1300</v>
      </c>
      <c r="M210" t="s">
        <v>82</v>
      </c>
      <c r="N210">
        <v>16404</v>
      </c>
      <c r="O210" t="s">
        <v>83</v>
      </c>
      <c r="Q210" t="s">
        <v>381</v>
      </c>
      <c r="R210" t="s">
        <v>1301</v>
      </c>
      <c r="S210" t="s">
        <v>1302</v>
      </c>
      <c r="T210" s="6">
        <v>2000000000</v>
      </c>
      <c r="U210" s="45">
        <f>VLOOKUP(B210,realPrices!C:G,5,0)</f>
        <v>2106000000</v>
      </c>
      <c r="W210" t="str">
        <f t="shared" si="3"/>
        <v>PU1 OHVG CNG1399</v>
      </c>
      <c r="X210">
        <f>VLOOKUP(W210,Sheet10!D:F,2,0)*10000000</f>
        <v>2830000000</v>
      </c>
      <c r="Y210" t="s">
        <v>74</v>
      </c>
    </row>
    <row r="211" spans="1:1012 1027:1492" x14ac:dyDescent="0.25">
      <c r="A211" t="s">
        <v>376</v>
      </c>
      <c r="B211" t="s">
        <v>1303</v>
      </c>
      <c r="C211">
        <v>164</v>
      </c>
      <c r="D211" t="s">
        <v>63</v>
      </c>
      <c r="E211" t="s">
        <v>78</v>
      </c>
      <c r="F211" t="s">
        <v>362</v>
      </c>
      <c r="H211">
        <v>40</v>
      </c>
      <c r="I211">
        <v>1399</v>
      </c>
      <c r="J211" t="s">
        <v>1304</v>
      </c>
      <c r="K211" t="s">
        <v>599</v>
      </c>
      <c r="L211" t="s">
        <v>1305</v>
      </c>
      <c r="M211" t="s">
        <v>82</v>
      </c>
      <c r="N211">
        <v>16404</v>
      </c>
      <c r="O211" t="s">
        <v>83</v>
      </c>
      <c r="Q211" t="s">
        <v>381</v>
      </c>
      <c r="R211" t="s">
        <v>1306</v>
      </c>
      <c r="S211" t="s">
        <v>1307</v>
      </c>
      <c r="T211" s="6">
        <v>2000000000</v>
      </c>
      <c r="U211" s="45">
        <f>VLOOKUP(B211,realPrices!C:G,5,0)</f>
        <v>2150000000</v>
      </c>
      <c r="W211" t="str">
        <f t="shared" si="3"/>
        <v>PU1 OHVG CNG1399</v>
      </c>
      <c r="X211">
        <f>VLOOKUP(W211,Sheet10!D:F,2,0)*10000000</f>
        <v>2830000000</v>
      </c>
      <c r="Y211" t="s">
        <v>74</v>
      </c>
      <c r="Z211"/>
    </row>
    <row r="212" spans="1:1012 1027:1492" x14ac:dyDescent="0.25">
      <c r="A212" t="s">
        <v>376</v>
      </c>
      <c r="B212" t="s">
        <v>1308</v>
      </c>
      <c r="C212">
        <v>164</v>
      </c>
      <c r="D212" t="s">
        <v>63</v>
      </c>
      <c r="E212" t="s">
        <v>78</v>
      </c>
      <c r="F212" t="s">
        <v>362</v>
      </c>
      <c r="H212">
        <v>49</v>
      </c>
      <c r="I212">
        <v>1399</v>
      </c>
      <c r="J212" t="s">
        <v>1309</v>
      </c>
      <c r="K212" t="s">
        <v>599</v>
      </c>
      <c r="L212" t="s">
        <v>1310</v>
      </c>
      <c r="M212" t="s">
        <v>82</v>
      </c>
      <c r="N212">
        <v>16404</v>
      </c>
      <c r="O212" t="s">
        <v>83</v>
      </c>
      <c r="Q212" t="s">
        <v>381</v>
      </c>
      <c r="R212" t="s">
        <v>1311</v>
      </c>
      <c r="S212" t="s">
        <v>1312</v>
      </c>
      <c r="T212" s="6">
        <v>2000000000</v>
      </c>
      <c r="U212" s="45">
        <f>VLOOKUP(B212,realPrices!C:G,5,0)</f>
        <v>2160000000</v>
      </c>
      <c r="W212" t="str">
        <f t="shared" si="3"/>
        <v>PU1 OHVG CNG1399</v>
      </c>
      <c r="X212">
        <f>VLOOKUP(W212,Sheet10!D:F,2,0)*10000000</f>
        <v>2830000000</v>
      </c>
      <c r="Y212" t="s">
        <v>74</v>
      </c>
    </row>
    <row r="213" spans="1:1012 1027:1492" x14ac:dyDescent="0.25">
      <c r="A213" t="s">
        <v>376</v>
      </c>
      <c r="B213" t="s">
        <v>1313</v>
      </c>
      <c r="C213">
        <v>164</v>
      </c>
      <c r="D213" t="s">
        <v>63</v>
      </c>
      <c r="E213" t="s">
        <v>78</v>
      </c>
      <c r="F213" t="s">
        <v>362</v>
      </c>
      <c r="H213">
        <v>49</v>
      </c>
      <c r="I213">
        <v>1399</v>
      </c>
      <c r="J213" t="s">
        <v>1314</v>
      </c>
      <c r="K213" t="s">
        <v>1315</v>
      </c>
      <c r="L213" t="s">
        <v>1316</v>
      </c>
      <c r="M213" t="s">
        <v>82</v>
      </c>
      <c r="N213">
        <v>16404</v>
      </c>
      <c r="O213" t="s">
        <v>83</v>
      </c>
      <c r="Q213" t="s">
        <v>381</v>
      </c>
      <c r="R213" t="s">
        <v>1317</v>
      </c>
      <c r="S213" t="s">
        <v>1318</v>
      </c>
      <c r="T213" s="6">
        <v>2000000000</v>
      </c>
      <c r="U213" s="45">
        <f>VLOOKUP(B213,realPrices!C:G,5,0)</f>
        <v>2199990000</v>
      </c>
      <c r="W213" t="str">
        <f t="shared" si="3"/>
        <v>PU1 OHVG CNG1399</v>
      </c>
      <c r="X213">
        <f>VLOOKUP(W213,Sheet10!D:F,2,0)*10000000</f>
        <v>2830000000</v>
      </c>
      <c r="Y213" t="s">
        <v>74</v>
      </c>
    </row>
    <row r="214" spans="1:1012 1027:1492" x14ac:dyDescent="0.25">
      <c r="A214" t="s">
        <v>376</v>
      </c>
      <c r="B214" t="s">
        <v>1319</v>
      </c>
      <c r="C214">
        <v>164</v>
      </c>
      <c r="D214" t="s">
        <v>63</v>
      </c>
      <c r="E214" t="s">
        <v>78</v>
      </c>
      <c r="F214" t="s">
        <v>362</v>
      </c>
      <c r="H214">
        <v>48</v>
      </c>
      <c r="I214">
        <v>1399</v>
      </c>
      <c r="J214" t="s">
        <v>1320</v>
      </c>
      <c r="K214" t="s">
        <v>599</v>
      </c>
      <c r="L214" t="s">
        <v>1321</v>
      </c>
      <c r="M214" t="s">
        <v>82</v>
      </c>
      <c r="N214">
        <v>16404</v>
      </c>
      <c r="O214" t="s">
        <v>83</v>
      </c>
      <c r="Q214" t="s">
        <v>381</v>
      </c>
      <c r="R214" t="s">
        <v>1322</v>
      </c>
      <c r="S214" t="s">
        <v>1323</v>
      </c>
      <c r="T214" s="6">
        <v>2000000000</v>
      </c>
      <c r="U214" s="45">
        <f>VLOOKUP(B214,realPrices!C:G,5,0)</f>
        <v>2202999999</v>
      </c>
      <c r="W214" t="str">
        <f t="shared" si="3"/>
        <v>PU1 OHVG CNG1399</v>
      </c>
      <c r="X214">
        <f>VLOOKUP(W214,Sheet10!D:F,2,0)*10000000</f>
        <v>2830000000</v>
      </c>
      <c r="Y214" t="s">
        <v>74</v>
      </c>
    </row>
    <row r="215" spans="1:1012 1027:1492" x14ac:dyDescent="0.25">
      <c r="A215" t="s">
        <v>376</v>
      </c>
      <c r="B215" t="s">
        <v>1324</v>
      </c>
      <c r="C215">
        <v>164</v>
      </c>
      <c r="D215" t="s">
        <v>63</v>
      </c>
      <c r="E215" t="s">
        <v>78</v>
      </c>
      <c r="F215" t="s">
        <v>362</v>
      </c>
      <c r="H215">
        <v>47</v>
      </c>
      <c r="I215">
        <v>1399</v>
      </c>
      <c r="J215" t="s">
        <v>1325</v>
      </c>
      <c r="K215" t="s">
        <v>1326</v>
      </c>
      <c r="L215" t="s">
        <v>1327</v>
      </c>
      <c r="M215" t="s">
        <v>82</v>
      </c>
      <c r="N215">
        <v>16404</v>
      </c>
      <c r="O215" t="s">
        <v>83</v>
      </c>
      <c r="Q215" t="s">
        <v>381</v>
      </c>
      <c r="R215" t="s">
        <v>1328</v>
      </c>
      <c r="S215" t="s">
        <v>1329</v>
      </c>
      <c r="T215" s="6">
        <v>2000000000</v>
      </c>
      <c r="U215" s="45">
        <f>VLOOKUP(B215,realPrices!C:G,5,0)</f>
        <v>2126660000</v>
      </c>
      <c r="W215" t="str">
        <f t="shared" si="3"/>
        <v>PU1 OHVG CNG1399</v>
      </c>
      <c r="X215">
        <f>VLOOKUP(W215,Sheet10!D:F,2,0)*10000000</f>
        <v>2830000000</v>
      </c>
      <c r="Y215" t="s">
        <v>74</v>
      </c>
      <c r="Z215"/>
    </row>
    <row r="216" spans="1:1012 1027:1492" x14ac:dyDescent="0.25">
      <c r="A216" t="s">
        <v>376</v>
      </c>
      <c r="B216" t="s">
        <v>1330</v>
      </c>
      <c r="C216">
        <v>164</v>
      </c>
      <c r="D216" t="s">
        <v>63</v>
      </c>
      <c r="E216" t="s">
        <v>78</v>
      </c>
      <c r="F216" t="s">
        <v>362</v>
      </c>
      <c r="H216">
        <v>46</v>
      </c>
      <c r="I216">
        <v>1399</v>
      </c>
      <c r="J216" t="s">
        <v>1331</v>
      </c>
      <c r="K216" t="s">
        <v>599</v>
      </c>
      <c r="L216" t="s">
        <v>1332</v>
      </c>
      <c r="M216" t="s">
        <v>82</v>
      </c>
      <c r="N216">
        <v>16404</v>
      </c>
      <c r="O216" t="s">
        <v>83</v>
      </c>
      <c r="Q216" t="s">
        <v>381</v>
      </c>
      <c r="R216" t="s">
        <v>1333</v>
      </c>
      <c r="S216" t="s">
        <v>1334</v>
      </c>
      <c r="T216" s="6">
        <v>2000000000</v>
      </c>
      <c r="U216" s="45">
        <f>VLOOKUP(B216,realPrices!C:G,5,0)</f>
        <v>2311111111</v>
      </c>
      <c r="W216" t="str">
        <f t="shared" si="3"/>
        <v>PU1 OHVG CNG1399</v>
      </c>
      <c r="X216">
        <f>VLOOKUP(W216,Sheet10!D:F,2,0)*10000000</f>
        <v>2830000000</v>
      </c>
      <c r="Y216" t="s">
        <v>74</v>
      </c>
      <c r="Z216"/>
    </row>
    <row r="217" spans="1:1012 1027:1492" x14ac:dyDescent="0.25">
      <c r="A217" t="s">
        <v>376</v>
      </c>
      <c r="B217" t="s">
        <v>1335</v>
      </c>
      <c r="C217">
        <v>164</v>
      </c>
      <c r="D217" t="s">
        <v>63</v>
      </c>
      <c r="E217" t="s">
        <v>78</v>
      </c>
      <c r="F217" t="s">
        <v>362</v>
      </c>
      <c r="H217">
        <v>46</v>
      </c>
      <c r="I217">
        <v>1399</v>
      </c>
      <c r="J217" t="s">
        <v>1336</v>
      </c>
      <c r="K217" t="s">
        <v>599</v>
      </c>
      <c r="L217" t="s">
        <v>1337</v>
      </c>
      <c r="M217" t="s">
        <v>82</v>
      </c>
      <c r="N217">
        <v>16404</v>
      </c>
      <c r="O217" t="s">
        <v>83</v>
      </c>
      <c r="Q217" t="s">
        <v>381</v>
      </c>
      <c r="R217" t="s">
        <v>1338</v>
      </c>
      <c r="S217" t="s">
        <v>1339</v>
      </c>
      <c r="T217" s="6">
        <v>2000000000</v>
      </c>
      <c r="U217" s="45">
        <f>VLOOKUP(B217,realPrices!C:G,5,0)</f>
        <v>2177000000</v>
      </c>
      <c r="W217" t="str">
        <f t="shared" si="3"/>
        <v>PU1 OHVG CNG1399</v>
      </c>
      <c r="X217">
        <f>VLOOKUP(W217,Sheet10!D:F,2,0)*10000000</f>
        <v>2830000000</v>
      </c>
      <c r="Y217" t="s">
        <v>74</v>
      </c>
    </row>
    <row r="218" spans="1:1012 1027:1492" x14ac:dyDescent="0.25">
      <c r="A218" t="s">
        <v>376</v>
      </c>
      <c r="B218" t="s">
        <v>1340</v>
      </c>
      <c r="C218">
        <v>164</v>
      </c>
      <c r="D218" t="s">
        <v>63</v>
      </c>
      <c r="E218" t="s">
        <v>78</v>
      </c>
      <c r="F218" t="s">
        <v>362</v>
      </c>
      <c r="H218">
        <v>46</v>
      </c>
      <c r="I218">
        <v>1399</v>
      </c>
      <c r="J218" t="s">
        <v>1341</v>
      </c>
      <c r="K218" t="s">
        <v>1342</v>
      </c>
      <c r="L218" t="s">
        <v>1343</v>
      </c>
      <c r="M218" t="s">
        <v>82</v>
      </c>
      <c r="N218">
        <v>16404</v>
      </c>
      <c r="O218" t="s">
        <v>83</v>
      </c>
      <c r="Q218" t="s">
        <v>381</v>
      </c>
      <c r="R218" t="s">
        <v>1344</v>
      </c>
      <c r="S218" t="s">
        <v>1345</v>
      </c>
      <c r="T218" s="6">
        <v>2000000000</v>
      </c>
      <c r="U218" s="45">
        <f>VLOOKUP(B218,realPrices!C:G,5,0)</f>
        <v>2210000000</v>
      </c>
      <c r="W218" t="str">
        <f t="shared" si="3"/>
        <v>PU1 OHVG CNG1399</v>
      </c>
      <c r="X218">
        <f>VLOOKUP(W218,Sheet10!D:F,2,0)*10000000</f>
        <v>2830000000</v>
      </c>
      <c r="Y218" t="s">
        <v>74</v>
      </c>
      <c r="AK218" s="6"/>
      <c r="AZ218" s="6"/>
      <c r="BO218" s="6"/>
      <c r="CD218" s="6"/>
      <c r="CS218" s="6"/>
      <c r="DH218" s="6"/>
      <c r="DW218" s="6"/>
      <c r="EL218" s="6"/>
      <c r="FA218" s="6"/>
      <c r="FP218" s="6"/>
      <c r="GE218" s="6"/>
      <c r="GT218" s="6"/>
      <c r="HI218" s="6"/>
      <c r="HX218" s="6"/>
      <c r="IM218" s="6"/>
      <c r="JB218" s="6"/>
      <c r="JQ218" s="6"/>
      <c r="KF218" s="6"/>
      <c r="KU218" s="6"/>
      <c r="LJ218" s="6"/>
      <c r="LY218" s="6"/>
      <c r="MN218" s="6"/>
      <c r="NC218" s="6"/>
      <c r="NR218" s="6"/>
      <c r="OG218" s="6"/>
      <c r="OV218" s="6"/>
      <c r="PK218" s="6"/>
      <c r="PZ218" s="6"/>
      <c r="QO218" s="6"/>
      <c r="RD218" s="6"/>
      <c r="RS218" s="6"/>
      <c r="SH218" s="6"/>
      <c r="SW218" s="6"/>
      <c r="TL218" s="6"/>
      <c r="UA218" s="6"/>
      <c r="UP218" s="6"/>
      <c r="VE218" s="6"/>
      <c r="VT218" s="6"/>
      <c r="WI218" s="6"/>
      <c r="WX218" s="6"/>
      <c r="XM218" s="6"/>
      <c r="YB218" s="6"/>
      <c r="YQ218" s="6"/>
      <c r="ZF218" s="6"/>
      <c r="ZU218" s="6"/>
      <c r="AAJ218" s="6"/>
      <c r="AAY218" s="6"/>
      <c r="ABN218" s="6"/>
      <c r="ACC218" s="6"/>
      <c r="ACR218" s="6"/>
      <c r="ADG218" s="6"/>
      <c r="ADV218" s="6"/>
      <c r="AEK218" s="6"/>
      <c r="AEZ218" s="6"/>
      <c r="AFO218" s="6"/>
      <c r="AGD218" s="6"/>
      <c r="AGS218" s="6"/>
      <c r="AHH218" s="6"/>
      <c r="AHW218" s="6"/>
      <c r="AIL218" s="6"/>
      <c r="AJA218" s="6"/>
      <c r="AJP218" s="6"/>
      <c r="AKE218" s="6"/>
      <c r="AKT218" s="6"/>
      <c r="ALI218" s="6"/>
      <c r="ALX218" s="6"/>
      <c r="AMM218" s="6"/>
      <c r="ANB218" s="6"/>
      <c r="ANQ218" s="6"/>
      <c r="AOF218" s="6"/>
      <c r="AOU218" s="6"/>
      <c r="APJ218" s="6"/>
      <c r="APY218" s="6"/>
      <c r="AQN218" s="6"/>
      <c r="ARC218" s="6"/>
      <c r="ARR218" s="6"/>
      <c r="ASG218" s="6"/>
      <c r="ASV218" s="6"/>
      <c r="ATK218" s="6"/>
      <c r="ATZ218" s="6"/>
      <c r="AUO218" s="6"/>
      <c r="AVD218" s="6"/>
      <c r="AVS218" s="6"/>
      <c r="AWH218" s="6"/>
      <c r="AWW218" s="6"/>
      <c r="AXL218" s="6"/>
      <c r="AYA218" s="6"/>
      <c r="AYP218" s="6"/>
      <c r="AZE218" s="6"/>
      <c r="AZT218" s="6"/>
      <c r="BAI218" s="6"/>
      <c r="BAX218" s="6"/>
      <c r="BBM218" s="6"/>
      <c r="BCB218" s="6"/>
      <c r="BCQ218" s="6"/>
      <c r="BDF218" s="6"/>
      <c r="BDU218" s="6"/>
      <c r="BEJ218" s="6"/>
    </row>
    <row r="219" spans="1:1012 1027:1492" x14ac:dyDescent="0.25">
      <c r="A219" t="s">
        <v>376</v>
      </c>
      <c r="B219" t="s">
        <v>1346</v>
      </c>
      <c r="C219">
        <v>164</v>
      </c>
      <c r="D219" t="s">
        <v>63</v>
      </c>
      <c r="E219" t="s">
        <v>78</v>
      </c>
      <c r="F219" t="s">
        <v>362</v>
      </c>
      <c r="H219">
        <v>44</v>
      </c>
      <c r="I219">
        <v>1399</v>
      </c>
      <c r="J219" t="s">
        <v>1347</v>
      </c>
      <c r="K219" t="s">
        <v>599</v>
      </c>
      <c r="L219" t="s">
        <v>1348</v>
      </c>
      <c r="M219" t="s">
        <v>82</v>
      </c>
      <c r="N219">
        <v>16404</v>
      </c>
      <c r="O219" t="s">
        <v>83</v>
      </c>
      <c r="Q219" t="s">
        <v>381</v>
      </c>
      <c r="R219" t="s">
        <v>1349</v>
      </c>
      <c r="S219" t="s">
        <v>1350</v>
      </c>
      <c r="T219" s="6">
        <v>2000000000</v>
      </c>
      <c r="U219" s="45">
        <f>VLOOKUP(B219,realPrices!C:G,5,0)</f>
        <v>2288888898</v>
      </c>
      <c r="W219" t="str">
        <f t="shared" si="3"/>
        <v>PU1 OHVG CNG1399</v>
      </c>
      <c r="X219">
        <f>VLOOKUP(W219,Sheet10!D:F,2,0)*10000000</f>
        <v>2830000000</v>
      </c>
      <c r="Y219" t="s">
        <v>74</v>
      </c>
    </row>
    <row r="220" spans="1:1012 1027:1492" x14ac:dyDescent="0.25">
      <c r="A220" t="s">
        <v>376</v>
      </c>
      <c r="B220" t="s">
        <v>1351</v>
      </c>
      <c r="C220">
        <v>164</v>
      </c>
      <c r="D220" t="s">
        <v>63</v>
      </c>
      <c r="E220" t="s">
        <v>78</v>
      </c>
      <c r="F220" t="s">
        <v>362</v>
      </c>
      <c r="H220">
        <v>43</v>
      </c>
      <c r="I220">
        <v>1399</v>
      </c>
      <c r="J220" t="s">
        <v>1352</v>
      </c>
      <c r="K220" t="s">
        <v>1353</v>
      </c>
      <c r="L220" t="s">
        <v>1354</v>
      </c>
      <c r="M220" t="s">
        <v>82</v>
      </c>
      <c r="N220">
        <v>16404</v>
      </c>
      <c r="O220" t="s">
        <v>83</v>
      </c>
      <c r="Q220" t="s">
        <v>381</v>
      </c>
      <c r="R220" t="s">
        <v>1355</v>
      </c>
      <c r="S220" t="s">
        <v>1356</v>
      </c>
      <c r="T220" s="6">
        <v>2000000000</v>
      </c>
      <c r="U220" s="45">
        <f>VLOOKUP(B220,realPrices!C:G,5,0)</f>
        <v>2056099999</v>
      </c>
      <c r="W220" t="str">
        <f t="shared" si="3"/>
        <v>PU1 OHVG CNG1399</v>
      </c>
      <c r="X220">
        <f>VLOOKUP(W220,Sheet10!D:F,2,0)*10000000</f>
        <v>2830000000</v>
      </c>
      <c r="Y220" t="s">
        <v>74</v>
      </c>
      <c r="Z220"/>
    </row>
    <row r="221" spans="1:1012 1027:1492" x14ac:dyDescent="0.25">
      <c r="A221" t="s">
        <v>376</v>
      </c>
      <c r="B221" t="s">
        <v>1357</v>
      </c>
      <c r="C221">
        <v>164</v>
      </c>
      <c r="D221" t="s">
        <v>63</v>
      </c>
      <c r="E221" t="s">
        <v>78</v>
      </c>
      <c r="F221" t="s">
        <v>362</v>
      </c>
      <c r="H221">
        <v>42</v>
      </c>
      <c r="I221">
        <v>1399</v>
      </c>
      <c r="J221" t="s">
        <v>1358</v>
      </c>
      <c r="K221" t="s">
        <v>599</v>
      </c>
      <c r="L221" t="s">
        <v>1359</v>
      </c>
      <c r="M221" t="s">
        <v>82</v>
      </c>
      <c r="N221">
        <v>16404</v>
      </c>
      <c r="O221" t="s">
        <v>83</v>
      </c>
      <c r="Q221" t="s">
        <v>381</v>
      </c>
      <c r="R221" t="s">
        <v>1360</v>
      </c>
      <c r="S221" t="s">
        <v>1361</v>
      </c>
      <c r="T221" s="6">
        <v>2000000000</v>
      </c>
      <c r="U221" s="45">
        <f>VLOOKUP(B221,realPrices!C:G,5,0)</f>
        <v>2202000000</v>
      </c>
      <c r="W221" t="str">
        <f t="shared" si="3"/>
        <v>PU1 OHVG CNG1399</v>
      </c>
      <c r="X221">
        <f>VLOOKUP(W221,Sheet10!D:F,2,0)*10000000</f>
        <v>2830000000</v>
      </c>
      <c r="Y221" t="s">
        <v>74</v>
      </c>
      <c r="Z221"/>
    </row>
    <row r="222" spans="1:1012 1027:1492" x14ac:dyDescent="0.25">
      <c r="A222" t="s">
        <v>376</v>
      </c>
      <c r="B222" t="s">
        <v>1362</v>
      </c>
      <c r="C222">
        <v>164</v>
      </c>
      <c r="D222" t="s">
        <v>63</v>
      </c>
      <c r="E222" t="s">
        <v>78</v>
      </c>
      <c r="F222" t="s">
        <v>362</v>
      </c>
      <c r="H222">
        <v>42</v>
      </c>
      <c r="I222">
        <v>1399</v>
      </c>
      <c r="J222" t="s">
        <v>1363</v>
      </c>
      <c r="K222" t="s">
        <v>599</v>
      </c>
      <c r="L222" t="s">
        <v>1364</v>
      </c>
      <c r="M222" t="s">
        <v>82</v>
      </c>
      <c r="N222">
        <v>16404</v>
      </c>
      <c r="O222" t="s">
        <v>83</v>
      </c>
      <c r="Q222" t="s">
        <v>381</v>
      </c>
      <c r="R222" t="s">
        <v>1365</v>
      </c>
      <c r="S222" t="s">
        <v>1366</v>
      </c>
      <c r="T222" s="6">
        <v>2000000000</v>
      </c>
      <c r="U222" s="45">
        <f>VLOOKUP(B222,realPrices!C:G,5,0)</f>
        <v>2220000000</v>
      </c>
      <c r="W222" t="str">
        <f t="shared" si="3"/>
        <v>PU1 OHVG CNG1399</v>
      </c>
      <c r="X222">
        <f>VLOOKUP(W222,Sheet10!D:F,2,0)*10000000</f>
        <v>2830000000</v>
      </c>
      <c r="Y222" t="s">
        <v>74</v>
      </c>
    </row>
    <row r="223" spans="1:1012 1027:1492" x14ac:dyDescent="0.25">
      <c r="A223" t="s">
        <v>376</v>
      </c>
      <c r="B223" t="s">
        <v>1367</v>
      </c>
      <c r="C223">
        <v>164</v>
      </c>
      <c r="D223" t="s">
        <v>63</v>
      </c>
      <c r="E223" t="s">
        <v>78</v>
      </c>
      <c r="F223" t="s">
        <v>362</v>
      </c>
      <c r="H223">
        <v>42</v>
      </c>
      <c r="I223">
        <v>1399</v>
      </c>
      <c r="J223" t="s">
        <v>1368</v>
      </c>
      <c r="K223" t="s">
        <v>599</v>
      </c>
      <c r="L223" t="s">
        <v>1369</v>
      </c>
      <c r="M223" t="s">
        <v>82</v>
      </c>
      <c r="N223">
        <v>16404</v>
      </c>
      <c r="O223" t="s">
        <v>83</v>
      </c>
      <c r="Q223" t="s">
        <v>381</v>
      </c>
      <c r="R223" t="s">
        <v>1370</v>
      </c>
      <c r="S223" t="s">
        <v>1371</v>
      </c>
      <c r="T223" s="6">
        <v>2000000000</v>
      </c>
      <c r="U223" s="45">
        <f>VLOOKUP(B223,realPrices!C:G,5,0)</f>
        <v>2150000000</v>
      </c>
      <c r="W223" t="str">
        <f t="shared" si="3"/>
        <v>PU1 OHVG CNG1399</v>
      </c>
      <c r="X223">
        <f>VLOOKUP(W223,Sheet10!D:F,2,0)*10000000</f>
        <v>2830000000</v>
      </c>
      <c r="Y223" t="s">
        <v>74</v>
      </c>
    </row>
    <row r="224" spans="1:1012 1027:1492" x14ac:dyDescent="0.25">
      <c r="A224" t="s">
        <v>376</v>
      </c>
      <c r="B224" t="s">
        <v>1372</v>
      </c>
      <c r="C224">
        <v>164</v>
      </c>
      <c r="D224" t="s">
        <v>63</v>
      </c>
      <c r="E224" t="s">
        <v>78</v>
      </c>
      <c r="F224" t="s">
        <v>362</v>
      </c>
      <c r="H224">
        <v>42</v>
      </c>
      <c r="I224">
        <v>1399</v>
      </c>
      <c r="J224" t="s">
        <v>1373</v>
      </c>
      <c r="K224" t="s">
        <v>599</v>
      </c>
      <c r="L224" t="s">
        <v>1374</v>
      </c>
      <c r="M224" t="s">
        <v>82</v>
      </c>
      <c r="N224">
        <v>16404</v>
      </c>
      <c r="O224" t="s">
        <v>83</v>
      </c>
      <c r="Q224" t="s">
        <v>381</v>
      </c>
      <c r="R224" t="s">
        <v>1375</v>
      </c>
      <c r="S224" t="s">
        <v>1376</v>
      </c>
      <c r="T224" s="6">
        <v>2000000000</v>
      </c>
      <c r="U224" s="45">
        <f>VLOOKUP(B224,realPrices!C:G,5,0)</f>
        <v>2150000000</v>
      </c>
      <c r="W224" t="str">
        <f t="shared" si="3"/>
        <v>PU1 OHVG CNG1399</v>
      </c>
      <c r="X224">
        <f>VLOOKUP(W224,Sheet10!D:F,2,0)*10000000</f>
        <v>2830000000</v>
      </c>
      <c r="Y224" t="s">
        <v>74</v>
      </c>
    </row>
    <row r="225" spans="1:26" x14ac:dyDescent="0.25">
      <c r="A225" t="s">
        <v>376</v>
      </c>
      <c r="B225" t="s">
        <v>1377</v>
      </c>
      <c r="C225">
        <v>164</v>
      </c>
      <c r="D225" t="s">
        <v>63</v>
      </c>
      <c r="E225" t="s">
        <v>78</v>
      </c>
      <c r="F225" t="s">
        <v>362</v>
      </c>
      <c r="H225">
        <v>42</v>
      </c>
      <c r="I225">
        <v>1399</v>
      </c>
      <c r="J225" t="s">
        <v>1378</v>
      </c>
      <c r="K225" t="s">
        <v>599</v>
      </c>
      <c r="L225" t="s">
        <v>1379</v>
      </c>
      <c r="M225" t="s">
        <v>82</v>
      </c>
      <c r="N225">
        <v>16404</v>
      </c>
      <c r="O225" t="s">
        <v>83</v>
      </c>
      <c r="Q225" t="s">
        <v>381</v>
      </c>
      <c r="R225" t="s">
        <v>1380</v>
      </c>
      <c r="S225" t="s">
        <v>1381</v>
      </c>
      <c r="T225" s="6">
        <v>2000000000</v>
      </c>
      <c r="U225" s="45">
        <f>VLOOKUP(B225,realPrices!C:G,5,0)</f>
        <v>2169999999</v>
      </c>
      <c r="W225" t="str">
        <f t="shared" si="3"/>
        <v>PU1 OHVG CNG1399</v>
      </c>
      <c r="X225">
        <f>VLOOKUP(W225,Sheet10!D:F,2,0)*10000000</f>
        <v>2830000000</v>
      </c>
      <c r="Y225" t="s">
        <v>74</v>
      </c>
    </row>
    <row r="226" spans="1:26" x14ac:dyDescent="0.25">
      <c r="A226" t="s">
        <v>376</v>
      </c>
      <c r="B226" t="s">
        <v>1382</v>
      </c>
      <c r="C226">
        <v>164</v>
      </c>
      <c r="D226" t="s">
        <v>63</v>
      </c>
      <c r="E226" t="s">
        <v>78</v>
      </c>
      <c r="F226" t="s">
        <v>362</v>
      </c>
      <c r="H226">
        <v>42</v>
      </c>
      <c r="I226">
        <v>1399</v>
      </c>
      <c r="J226" t="s">
        <v>1383</v>
      </c>
      <c r="K226" t="s">
        <v>599</v>
      </c>
      <c r="L226" t="s">
        <v>1384</v>
      </c>
      <c r="M226" t="s">
        <v>82</v>
      </c>
      <c r="N226">
        <v>16404</v>
      </c>
      <c r="O226" t="s">
        <v>83</v>
      </c>
      <c r="Q226" t="s">
        <v>381</v>
      </c>
      <c r="R226" t="s">
        <v>1385</v>
      </c>
      <c r="S226" t="s">
        <v>1386</v>
      </c>
      <c r="T226" s="6">
        <v>2000000000</v>
      </c>
      <c r="U226" s="45">
        <f>VLOOKUP(B226,realPrices!C:G,5,0)</f>
        <v>2220000000</v>
      </c>
      <c r="W226" t="str">
        <f t="shared" si="3"/>
        <v>PU1 OHVG CNG1399</v>
      </c>
      <c r="X226">
        <f>VLOOKUP(W226,Sheet10!D:F,2,0)*10000000</f>
        <v>2830000000</v>
      </c>
      <c r="Y226" t="s">
        <v>74</v>
      </c>
      <c r="Z226"/>
    </row>
    <row r="227" spans="1:26" x14ac:dyDescent="0.25">
      <c r="A227" t="s">
        <v>376</v>
      </c>
      <c r="B227" t="s">
        <v>1387</v>
      </c>
      <c r="C227">
        <v>164</v>
      </c>
      <c r="D227" t="s">
        <v>63</v>
      </c>
      <c r="E227" t="s">
        <v>78</v>
      </c>
      <c r="F227" t="s">
        <v>362</v>
      </c>
      <c r="H227">
        <v>41</v>
      </c>
      <c r="I227">
        <v>1399</v>
      </c>
      <c r="J227" t="s">
        <v>1388</v>
      </c>
      <c r="K227" t="s">
        <v>599</v>
      </c>
      <c r="L227" t="s">
        <v>1389</v>
      </c>
      <c r="M227" t="s">
        <v>82</v>
      </c>
      <c r="N227">
        <v>16404</v>
      </c>
      <c r="O227" t="s">
        <v>83</v>
      </c>
      <c r="Q227" t="s">
        <v>381</v>
      </c>
      <c r="R227" t="s">
        <v>1390</v>
      </c>
      <c r="S227" t="s">
        <v>1391</v>
      </c>
      <c r="T227" s="6">
        <v>2000000000</v>
      </c>
      <c r="U227" s="45">
        <f>VLOOKUP(B227,realPrices!C:G,5,0)</f>
        <v>2126660000</v>
      </c>
      <c r="W227" t="str">
        <f t="shared" si="3"/>
        <v>PU1 OHVG CNG1399</v>
      </c>
      <c r="X227">
        <f>VLOOKUP(W227,Sheet10!D:F,2,0)*10000000</f>
        <v>2830000000</v>
      </c>
      <c r="Y227" t="s">
        <v>74</v>
      </c>
      <c r="Z227"/>
    </row>
    <row r="228" spans="1:26" x14ac:dyDescent="0.25">
      <c r="A228" t="s">
        <v>376</v>
      </c>
      <c r="B228" t="s">
        <v>1392</v>
      </c>
      <c r="C228">
        <v>164</v>
      </c>
      <c r="D228" t="s">
        <v>63</v>
      </c>
      <c r="E228" t="s">
        <v>78</v>
      </c>
      <c r="F228" t="s">
        <v>362</v>
      </c>
      <c r="H228">
        <v>41</v>
      </c>
      <c r="I228">
        <v>1399</v>
      </c>
      <c r="J228" t="s">
        <v>1393</v>
      </c>
      <c r="K228" t="s">
        <v>599</v>
      </c>
      <c r="L228" t="s">
        <v>1394</v>
      </c>
      <c r="M228" t="s">
        <v>82</v>
      </c>
      <c r="N228">
        <v>16404</v>
      </c>
      <c r="O228" t="s">
        <v>83</v>
      </c>
      <c r="Q228" t="s">
        <v>381</v>
      </c>
      <c r="R228" t="s">
        <v>1395</v>
      </c>
      <c r="S228" t="s">
        <v>1396</v>
      </c>
      <c r="T228" s="6">
        <v>2000000000</v>
      </c>
      <c r="U228" s="45">
        <f>VLOOKUP(B228,realPrices!C:G,5,0)</f>
        <v>2266600000</v>
      </c>
      <c r="W228" t="str">
        <f t="shared" si="3"/>
        <v>PU1 OHVG CNG1399</v>
      </c>
      <c r="X228">
        <f>VLOOKUP(W228,Sheet10!D:F,2,0)*10000000</f>
        <v>2830000000</v>
      </c>
      <c r="Y228" t="s">
        <v>74</v>
      </c>
      <c r="Z228"/>
    </row>
    <row r="229" spans="1:26" x14ac:dyDescent="0.25">
      <c r="A229" t="s">
        <v>376</v>
      </c>
      <c r="B229" t="s">
        <v>1397</v>
      </c>
      <c r="C229">
        <v>164</v>
      </c>
      <c r="D229" t="s">
        <v>63</v>
      </c>
      <c r="E229" t="s">
        <v>78</v>
      </c>
      <c r="F229" t="s">
        <v>362</v>
      </c>
      <c r="H229">
        <v>40</v>
      </c>
      <c r="I229">
        <v>1399</v>
      </c>
      <c r="J229" t="s">
        <v>1398</v>
      </c>
      <c r="K229" t="s">
        <v>599</v>
      </c>
      <c r="L229" t="s">
        <v>1399</v>
      </c>
      <c r="M229" t="s">
        <v>82</v>
      </c>
      <c r="N229">
        <v>16404</v>
      </c>
      <c r="O229" t="s">
        <v>83</v>
      </c>
      <c r="Q229" t="s">
        <v>381</v>
      </c>
      <c r="R229" t="s">
        <v>1400</v>
      </c>
      <c r="S229" t="s">
        <v>1401</v>
      </c>
      <c r="T229" s="6">
        <v>2000000000</v>
      </c>
      <c r="U229" s="45">
        <f>VLOOKUP(B229,realPrices!C:G,5,0)</f>
        <v>2207639929</v>
      </c>
      <c r="W229" t="str">
        <f t="shared" si="3"/>
        <v>PU1 OHVG CNG1399</v>
      </c>
      <c r="X229">
        <f>VLOOKUP(W229,Sheet10!D:F,2,0)*10000000</f>
        <v>2830000000</v>
      </c>
      <c r="Y229" t="s">
        <v>74</v>
      </c>
      <c r="Z229"/>
    </row>
    <row r="230" spans="1:26" x14ac:dyDescent="0.25">
      <c r="A230" t="s">
        <v>376</v>
      </c>
      <c r="B230" t="s">
        <v>1402</v>
      </c>
      <c r="C230">
        <v>164</v>
      </c>
      <c r="D230" t="s">
        <v>63</v>
      </c>
      <c r="E230" t="s">
        <v>78</v>
      </c>
      <c r="F230" t="s">
        <v>362</v>
      </c>
      <c r="H230">
        <v>40</v>
      </c>
      <c r="I230">
        <v>1399</v>
      </c>
      <c r="J230" t="s">
        <v>1403</v>
      </c>
      <c r="K230" t="s">
        <v>1404</v>
      </c>
      <c r="L230" t="s">
        <v>1405</v>
      </c>
      <c r="M230" t="s">
        <v>82</v>
      </c>
      <c r="N230">
        <v>16404</v>
      </c>
      <c r="O230" t="s">
        <v>83</v>
      </c>
      <c r="Q230" t="s">
        <v>381</v>
      </c>
      <c r="R230" t="s">
        <v>1406</v>
      </c>
      <c r="S230" t="s">
        <v>1407</v>
      </c>
      <c r="T230" s="6">
        <v>2000000000</v>
      </c>
      <c r="U230" s="45">
        <f>VLOOKUP(B230,realPrices!C:G,5,0)</f>
        <v>2128888888</v>
      </c>
      <c r="W230" t="str">
        <f t="shared" si="3"/>
        <v>PU1 OHVG CNG1399</v>
      </c>
      <c r="X230">
        <f>VLOOKUP(W230,Sheet10!D:F,2,0)*10000000</f>
        <v>2830000000</v>
      </c>
      <c r="Y230" t="s">
        <v>74</v>
      </c>
    </row>
    <row r="231" spans="1:26" x14ac:dyDescent="0.25">
      <c r="A231" t="s">
        <v>376</v>
      </c>
      <c r="B231" t="s">
        <v>1408</v>
      </c>
      <c r="C231">
        <v>164</v>
      </c>
      <c r="D231" t="s">
        <v>63</v>
      </c>
      <c r="E231" t="s">
        <v>78</v>
      </c>
      <c r="F231" t="s">
        <v>362</v>
      </c>
      <c r="H231">
        <v>79</v>
      </c>
      <c r="I231">
        <v>1399</v>
      </c>
      <c r="J231" t="s">
        <v>1409</v>
      </c>
      <c r="K231" t="s">
        <v>599</v>
      </c>
      <c r="L231" t="s">
        <v>1410</v>
      </c>
      <c r="M231" t="s">
        <v>82</v>
      </c>
      <c r="N231">
        <v>16404</v>
      </c>
      <c r="O231" t="s">
        <v>83</v>
      </c>
      <c r="Q231" t="s">
        <v>381</v>
      </c>
      <c r="R231" t="s">
        <v>1411</v>
      </c>
      <c r="S231" t="s">
        <v>1412</v>
      </c>
      <c r="T231" s="6">
        <v>2000000000</v>
      </c>
      <c r="U231" s="45">
        <f>VLOOKUP(B231,realPrices!C:G,5,0)</f>
        <v>2150007890</v>
      </c>
      <c r="W231" t="str">
        <f t="shared" si="3"/>
        <v>PU1 OHVG CNG1399</v>
      </c>
      <c r="X231">
        <f>VLOOKUP(W231,Sheet10!D:F,2,0)*10000000</f>
        <v>2830000000</v>
      </c>
      <c r="Y231" t="s">
        <v>74</v>
      </c>
    </row>
    <row r="232" spans="1:26" x14ac:dyDescent="0.25">
      <c r="A232" t="s">
        <v>376</v>
      </c>
      <c r="B232" t="s">
        <v>1413</v>
      </c>
      <c r="C232">
        <v>164</v>
      </c>
      <c r="D232" t="s">
        <v>63</v>
      </c>
      <c r="E232" t="s">
        <v>78</v>
      </c>
      <c r="F232" t="s">
        <v>362</v>
      </c>
      <c r="H232">
        <v>59</v>
      </c>
      <c r="I232">
        <v>1399</v>
      </c>
      <c r="J232" t="s">
        <v>1414</v>
      </c>
      <c r="K232" t="s">
        <v>599</v>
      </c>
      <c r="L232" t="s">
        <v>1415</v>
      </c>
      <c r="M232" t="s">
        <v>82</v>
      </c>
      <c r="N232">
        <v>16404</v>
      </c>
      <c r="O232" t="s">
        <v>83</v>
      </c>
      <c r="Q232" t="s">
        <v>381</v>
      </c>
      <c r="R232" t="s">
        <v>1416</v>
      </c>
      <c r="S232" t="s">
        <v>1417</v>
      </c>
      <c r="T232" s="6">
        <v>2000000000</v>
      </c>
      <c r="U232" s="45">
        <f>VLOOKUP(B232,realPrices!C:G,5,0)</f>
        <v>2160999999</v>
      </c>
      <c r="W232" t="str">
        <f t="shared" si="3"/>
        <v>PU1 OHVG CNG1399</v>
      </c>
      <c r="X232">
        <f>VLOOKUP(W232,Sheet10!D:F,2,0)*10000000</f>
        <v>2830000000</v>
      </c>
      <c r="Y232" t="s">
        <v>74</v>
      </c>
      <c r="Z232"/>
    </row>
    <row r="233" spans="1:26" x14ac:dyDescent="0.25">
      <c r="A233" t="s">
        <v>1418</v>
      </c>
      <c r="B233" t="s">
        <v>1419</v>
      </c>
      <c r="C233">
        <v>351</v>
      </c>
      <c r="D233" t="s">
        <v>63</v>
      </c>
      <c r="E233" t="s">
        <v>64</v>
      </c>
      <c r="F233" t="s">
        <v>491</v>
      </c>
      <c r="H233">
        <v>465</v>
      </c>
      <c r="I233">
        <v>1401</v>
      </c>
      <c r="J233" t="s">
        <v>1420</v>
      </c>
      <c r="K233" t="s">
        <v>1421</v>
      </c>
      <c r="M233" t="s">
        <v>400</v>
      </c>
      <c r="N233">
        <v>35101</v>
      </c>
      <c r="O233" t="s">
        <v>70</v>
      </c>
      <c r="Q233" t="s">
        <v>401</v>
      </c>
      <c r="R233" t="s">
        <v>1422</v>
      </c>
      <c r="S233" t="s">
        <v>1423</v>
      </c>
      <c r="T233" s="6">
        <v>2000000000</v>
      </c>
      <c r="U233" s="45">
        <f>VLOOKUP(B233,realPrices!C:G,5,0)</f>
        <v>2759999999</v>
      </c>
      <c r="W233" t="str">
        <f t="shared" si="3"/>
        <v>PARS XU7 P1401</v>
      </c>
      <c r="X233">
        <f>VLOOKUP(W233,Sheet10!D:F,2,0)*10000000</f>
        <v>4500000000</v>
      </c>
      <c r="Y233" t="s">
        <v>74</v>
      </c>
      <c r="Z233"/>
    </row>
    <row r="234" spans="1:26" x14ac:dyDescent="0.25">
      <c r="A234" t="s">
        <v>1424</v>
      </c>
      <c r="B234" t="s">
        <v>1425</v>
      </c>
      <c r="C234">
        <v>560</v>
      </c>
      <c r="D234" t="s">
        <v>1426</v>
      </c>
      <c r="E234" t="s">
        <v>64</v>
      </c>
      <c r="F234" t="s">
        <v>98</v>
      </c>
      <c r="G234" t="s">
        <v>1427</v>
      </c>
      <c r="H234">
        <v>184940</v>
      </c>
      <c r="I234">
        <v>1393</v>
      </c>
      <c r="J234" t="s">
        <v>1428</v>
      </c>
      <c r="K234" t="s">
        <v>1429</v>
      </c>
      <c r="L234" t="s">
        <v>1430</v>
      </c>
      <c r="M234" t="s">
        <v>234</v>
      </c>
      <c r="N234">
        <v>56062</v>
      </c>
      <c r="O234" t="s">
        <v>70</v>
      </c>
      <c r="Q234" t="s">
        <v>1431</v>
      </c>
      <c r="R234" t="s">
        <v>1432</v>
      </c>
      <c r="S234" t="s">
        <v>1433</v>
      </c>
      <c r="T234" s="6">
        <v>2030000000</v>
      </c>
      <c r="U234" s="45">
        <f>VLOOKUP(B234,realPrices!C:G,5,0)</f>
        <v>3230000000</v>
      </c>
      <c r="W234" t="str">
        <f t="shared" si="3"/>
        <v>TONDAR 90 K4M1393</v>
      </c>
      <c r="X234">
        <f>VLOOKUP(W234,Sheet10!D:F,2,0)*10000000</f>
        <v>0</v>
      </c>
      <c r="Y234" t="s">
        <v>114</v>
      </c>
      <c r="Z234"/>
    </row>
    <row r="235" spans="1:26" x14ac:dyDescent="0.25">
      <c r="A235" t="s">
        <v>376</v>
      </c>
      <c r="B235" t="s">
        <v>1434</v>
      </c>
      <c r="C235">
        <v>164</v>
      </c>
      <c r="D235" t="s">
        <v>63</v>
      </c>
      <c r="E235" t="s">
        <v>78</v>
      </c>
      <c r="F235" t="s">
        <v>362</v>
      </c>
      <c r="G235" t="s">
        <v>363</v>
      </c>
      <c r="H235">
        <v>11</v>
      </c>
      <c r="I235">
        <v>1399</v>
      </c>
      <c r="J235" t="s">
        <v>1435</v>
      </c>
      <c r="K235" t="s">
        <v>1436</v>
      </c>
      <c r="L235" t="s">
        <v>1437</v>
      </c>
      <c r="M235" t="s">
        <v>82</v>
      </c>
      <c r="N235">
        <v>16404</v>
      </c>
      <c r="O235" t="s">
        <v>83</v>
      </c>
      <c r="Q235" t="s">
        <v>381</v>
      </c>
      <c r="R235" t="s">
        <v>1438</v>
      </c>
      <c r="S235" t="s">
        <v>821</v>
      </c>
      <c r="T235" s="6">
        <v>2050000000</v>
      </c>
      <c r="U235" s="45">
        <f>VLOOKUP(B235,realPrices!C:G,5,0)</f>
        <v>2299111111</v>
      </c>
      <c r="W235" t="str">
        <f t="shared" si="3"/>
        <v>PU1 OHVG CNG1399</v>
      </c>
      <c r="X235">
        <f>VLOOKUP(W235,Sheet10!D:F,2,0)*10000000</f>
        <v>2830000000</v>
      </c>
      <c r="Y235" t="s">
        <v>114</v>
      </c>
      <c r="Z235"/>
    </row>
    <row r="236" spans="1:26" x14ac:dyDescent="0.25">
      <c r="A236" t="s">
        <v>376</v>
      </c>
      <c r="B236" t="s">
        <v>1439</v>
      </c>
      <c r="C236">
        <v>164</v>
      </c>
      <c r="D236" t="s">
        <v>63</v>
      </c>
      <c r="E236" t="s">
        <v>78</v>
      </c>
      <c r="F236" t="s">
        <v>362</v>
      </c>
      <c r="G236" t="s">
        <v>363</v>
      </c>
      <c r="H236">
        <v>35</v>
      </c>
      <c r="I236">
        <v>1399</v>
      </c>
      <c r="J236" t="s">
        <v>1440</v>
      </c>
      <c r="K236" t="s">
        <v>1441</v>
      </c>
      <c r="L236" t="s">
        <v>1442</v>
      </c>
      <c r="M236" t="s">
        <v>82</v>
      </c>
      <c r="N236">
        <v>16404</v>
      </c>
      <c r="O236" t="s">
        <v>83</v>
      </c>
      <c r="Q236" t="s">
        <v>381</v>
      </c>
      <c r="R236" t="s">
        <v>1443</v>
      </c>
      <c r="S236" t="s">
        <v>660</v>
      </c>
      <c r="T236" s="6">
        <v>2050000000</v>
      </c>
      <c r="U236" s="45">
        <f>VLOOKUP(B236,realPrices!C:G,5,0)</f>
        <v>2377999000</v>
      </c>
      <c r="W236" t="str">
        <f t="shared" si="3"/>
        <v>PU1 OHVG CNG1399</v>
      </c>
      <c r="X236">
        <f>VLOOKUP(W236,Sheet10!D:F,2,0)*10000000</f>
        <v>2830000000</v>
      </c>
      <c r="Y236" t="s">
        <v>114</v>
      </c>
      <c r="Z236"/>
    </row>
    <row r="237" spans="1:26" x14ac:dyDescent="0.25">
      <c r="A237" t="s">
        <v>376</v>
      </c>
      <c r="B237" t="s">
        <v>1444</v>
      </c>
      <c r="C237">
        <v>164</v>
      </c>
      <c r="D237" t="s">
        <v>63</v>
      </c>
      <c r="E237" t="s">
        <v>78</v>
      </c>
      <c r="F237" t="s">
        <v>362</v>
      </c>
      <c r="G237" t="s">
        <v>363</v>
      </c>
      <c r="H237">
        <v>29</v>
      </c>
      <c r="I237">
        <v>1399</v>
      </c>
      <c r="J237" t="s">
        <v>1445</v>
      </c>
      <c r="K237" t="s">
        <v>1446</v>
      </c>
      <c r="L237" t="s">
        <v>1447</v>
      </c>
      <c r="M237" t="s">
        <v>82</v>
      </c>
      <c r="N237">
        <v>16404</v>
      </c>
      <c r="O237" t="s">
        <v>83</v>
      </c>
      <c r="Q237" t="s">
        <v>381</v>
      </c>
      <c r="R237" t="s">
        <v>1448</v>
      </c>
      <c r="S237" t="s">
        <v>853</v>
      </c>
      <c r="T237" s="6">
        <v>2070000000</v>
      </c>
      <c r="U237" s="45">
        <f>VLOOKUP(B237,realPrices!C:G,5,0)</f>
        <v>2299900000</v>
      </c>
      <c r="W237" t="str">
        <f t="shared" si="3"/>
        <v>PU1 OHVG CNG1399</v>
      </c>
      <c r="X237">
        <f>VLOOKUP(W237,Sheet10!D:F,2,0)*10000000</f>
        <v>2830000000</v>
      </c>
      <c r="Y237" t="s">
        <v>114</v>
      </c>
      <c r="Z237"/>
    </row>
    <row r="238" spans="1:26" x14ac:dyDescent="0.25">
      <c r="A238" t="s">
        <v>376</v>
      </c>
      <c r="B238" t="s">
        <v>1449</v>
      </c>
      <c r="C238">
        <v>164</v>
      </c>
      <c r="D238" t="s">
        <v>63</v>
      </c>
      <c r="E238" t="s">
        <v>78</v>
      </c>
      <c r="F238" t="s">
        <v>362</v>
      </c>
      <c r="G238" t="s">
        <v>363</v>
      </c>
      <c r="H238">
        <v>23</v>
      </c>
      <c r="I238">
        <v>1399</v>
      </c>
      <c r="J238" t="s">
        <v>1450</v>
      </c>
      <c r="K238" t="s">
        <v>522</v>
      </c>
      <c r="L238" t="s">
        <v>1451</v>
      </c>
      <c r="M238" t="s">
        <v>82</v>
      </c>
      <c r="N238">
        <v>16404</v>
      </c>
      <c r="O238" t="s">
        <v>83</v>
      </c>
      <c r="Q238" t="s">
        <v>381</v>
      </c>
      <c r="R238" t="s">
        <v>1452</v>
      </c>
      <c r="S238" t="s">
        <v>1297</v>
      </c>
      <c r="T238" s="6">
        <v>2100000000</v>
      </c>
      <c r="U238" s="45">
        <f>VLOOKUP(B238,realPrices!C:G,5,0)</f>
        <v>2467999000</v>
      </c>
      <c r="W238" t="str">
        <f t="shared" si="3"/>
        <v>PU1 OHVG CNG1399</v>
      </c>
      <c r="X238">
        <f>VLOOKUP(W238,Sheet10!D:F,2,0)*10000000</f>
        <v>2830000000</v>
      </c>
      <c r="Y238" t="s">
        <v>114</v>
      </c>
      <c r="Z238"/>
    </row>
    <row r="239" spans="1:26" x14ac:dyDescent="0.25">
      <c r="A239" t="s">
        <v>376</v>
      </c>
      <c r="B239" t="s">
        <v>1453</v>
      </c>
      <c r="C239">
        <v>164</v>
      </c>
      <c r="D239" t="s">
        <v>63</v>
      </c>
      <c r="E239" t="s">
        <v>78</v>
      </c>
      <c r="F239" t="s">
        <v>362</v>
      </c>
      <c r="G239" t="s">
        <v>363</v>
      </c>
      <c r="H239">
        <v>28</v>
      </c>
      <c r="I239">
        <v>1399</v>
      </c>
      <c r="J239" t="s">
        <v>1454</v>
      </c>
      <c r="K239" t="s">
        <v>599</v>
      </c>
      <c r="L239" t="s">
        <v>1455</v>
      </c>
      <c r="M239" t="s">
        <v>82</v>
      </c>
      <c r="N239">
        <v>16404</v>
      </c>
      <c r="O239" t="s">
        <v>83</v>
      </c>
      <c r="Q239" t="s">
        <v>381</v>
      </c>
      <c r="R239" t="s">
        <v>1456</v>
      </c>
      <c r="S239" t="s">
        <v>1277</v>
      </c>
      <c r="T239" s="6">
        <v>2100000000</v>
      </c>
      <c r="U239" s="45">
        <f>VLOOKUP(B239,realPrices!C:G,5,0)</f>
        <v>2553000000</v>
      </c>
      <c r="W239" t="str">
        <f t="shared" si="3"/>
        <v>PU1 OHVG CNG1399</v>
      </c>
      <c r="X239">
        <f>VLOOKUP(W239,Sheet10!D:F,2,0)*10000000</f>
        <v>2830000000</v>
      </c>
      <c r="Y239" t="s">
        <v>114</v>
      </c>
      <c r="Z239"/>
    </row>
    <row r="240" spans="1:26" x14ac:dyDescent="0.25">
      <c r="A240" t="s">
        <v>376</v>
      </c>
      <c r="B240" t="s">
        <v>1457</v>
      </c>
      <c r="C240">
        <v>164</v>
      </c>
      <c r="D240" t="s">
        <v>63</v>
      </c>
      <c r="E240" t="s">
        <v>78</v>
      </c>
      <c r="F240" t="s">
        <v>362</v>
      </c>
      <c r="G240" t="s">
        <v>363</v>
      </c>
      <c r="H240">
        <v>27</v>
      </c>
      <c r="I240">
        <v>1399</v>
      </c>
      <c r="J240" t="s">
        <v>1458</v>
      </c>
      <c r="K240" t="s">
        <v>1114</v>
      </c>
      <c r="L240" t="s">
        <v>1459</v>
      </c>
      <c r="M240" t="s">
        <v>82</v>
      </c>
      <c r="N240">
        <v>16404</v>
      </c>
      <c r="O240" t="s">
        <v>83</v>
      </c>
      <c r="Q240" t="s">
        <v>381</v>
      </c>
      <c r="R240" t="s">
        <v>1460</v>
      </c>
      <c r="S240" t="s">
        <v>1222</v>
      </c>
      <c r="T240" s="6">
        <v>2100000000</v>
      </c>
      <c r="U240" s="45">
        <f>VLOOKUP(B240,realPrices!C:G,5,0)</f>
        <v>2679999999</v>
      </c>
      <c r="W240" t="str">
        <f t="shared" si="3"/>
        <v>PU1 OHVG CNG1399</v>
      </c>
      <c r="X240">
        <f>VLOOKUP(W240,Sheet10!D:F,2,0)*10000000</f>
        <v>2830000000</v>
      </c>
      <c r="Y240" t="s">
        <v>114</v>
      </c>
      <c r="Z240"/>
    </row>
    <row r="241" spans="1:26" x14ac:dyDescent="0.25">
      <c r="A241" t="s">
        <v>376</v>
      </c>
      <c r="B241" t="s">
        <v>1461</v>
      </c>
      <c r="C241">
        <v>164</v>
      </c>
      <c r="D241" t="s">
        <v>63</v>
      </c>
      <c r="E241" t="s">
        <v>78</v>
      </c>
      <c r="F241" t="s">
        <v>362</v>
      </c>
      <c r="G241" t="s">
        <v>363</v>
      </c>
      <c r="H241">
        <v>57</v>
      </c>
      <c r="I241">
        <v>1399</v>
      </c>
      <c r="J241" t="s">
        <v>1462</v>
      </c>
      <c r="K241" t="s">
        <v>1463</v>
      </c>
      <c r="L241" t="s">
        <v>1464</v>
      </c>
      <c r="M241" t="s">
        <v>82</v>
      </c>
      <c r="N241">
        <v>16404</v>
      </c>
      <c r="O241" t="s">
        <v>83</v>
      </c>
      <c r="Q241" t="s">
        <v>381</v>
      </c>
      <c r="R241" t="s">
        <v>1465</v>
      </c>
      <c r="S241" t="s">
        <v>1412</v>
      </c>
      <c r="T241" s="6">
        <v>2100000000</v>
      </c>
      <c r="U241" s="45">
        <f>VLOOKUP(B241,realPrices!C:G,5,0)</f>
        <v>2234000001</v>
      </c>
      <c r="W241" t="str">
        <f t="shared" si="3"/>
        <v>PU1 OHVG CNG1399</v>
      </c>
      <c r="X241">
        <f>VLOOKUP(W241,Sheet10!D:F,2,0)*10000000</f>
        <v>2830000000</v>
      </c>
      <c r="Y241" t="s">
        <v>114</v>
      </c>
      <c r="Z241"/>
    </row>
    <row r="242" spans="1:26" x14ac:dyDescent="0.25">
      <c r="A242" t="s">
        <v>376</v>
      </c>
      <c r="B242" t="s">
        <v>1466</v>
      </c>
      <c r="C242">
        <v>164</v>
      </c>
      <c r="D242" t="s">
        <v>63</v>
      </c>
      <c r="E242" t="s">
        <v>78</v>
      </c>
      <c r="F242" t="s">
        <v>362</v>
      </c>
      <c r="G242" t="s">
        <v>363</v>
      </c>
      <c r="H242">
        <v>27</v>
      </c>
      <c r="I242">
        <v>1399</v>
      </c>
      <c r="J242" t="s">
        <v>1467</v>
      </c>
      <c r="K242" t="s">
        <v>834</v>
      </c>
      <c r="L242" t="s">
        <v>1468</v>
      </c>
      <c r="M242" t="s">
        <v>82</v>
      </c>
      <c r="N242">
        <v>16404</v>
      </c>
      <c r="O242" t="s">
        <v>83</v>
      </c>
      <c r="Q242" t="s">
        <v>381</v>
      </c>
      <c r="R242" t="s">
        <v>1469</v>
      </c>
      <c r="S242" t="s">
        <v>1096</v>
      </c>
      <c r="T242" s="6">
        <v>2100000000</v>
      </c>
      <c r="U242" s="45">
        <f>VLOOKUP(B242,realPrices!C:G,5,0)</f>
        <v>2483000000</v>
      </c>
      <c r="W242" t="str">
        <f t="shared" si="3"/>
        <v>PU1 OHVG CNG1399</v>
      </c>
      <c r="X242">
        <f>VLOOKUP(W242,Sheet10!D:F,2,0)*10000000</f>
        <v>2830000000</v>
      </c>
      <c r="Y242" t="s">
        <v>114</v>
      </c>
      <c r="Z242"/>
    </row>
    <row r="243" spans="1:26" x14ac:dyDescent="0.25">
      <c r="A243" t="s">
        <v>376</v>
      </c>
      <c r="B243" t="s">
        <v>1470</v>
      </c>
      <c r="C243">
        <v>164</v>
      </c>
      <c r="D243" t="s">
        <v>63</v>
      </c>
      <c r="E243" t="s">
        <v>78</v>
      </c>
      <c r="F243" t="s">
        <v>362</v>
      </c>
      <c r="G243" t="s">
        <v>363</v>
      </c>
      <c r="H243">
        <v>32</v>
      </c>
      <c r="I243">
        <v>1399</v>
      </c>
      <c r="J243" t="s">
        <v>1471</v>
      </c>
      <c r="K243" t="s">
        <v>1114</v>
      </c>
      <c r="L243" t="s">
        <v>1472</v>
      </c>
      <c r="M243" t="s">
        <v>82</v>
      </c>
      <c r="N243">
        <v>16404</v>
      </c>
      <c r="O243" t="s">
        <v>83</v>
      </c>
      <c r="Q243" t="s">
        <v>381</v>
      </c>
      <c r="R243" t="s">
        <v>1473</v>
      </c>
      <c r="S243" t="s">
        <v>1217</v>
      </c>
      <c r="T243" s="6">
        <v>2100000000</v>
      </c>
      <c r="U243" s="45">
        <f>VLOOKUP(B243,realPrices!C:G,5,0)</f>
        <v>2473000000</v>
      </c>
      <c r="W243" t="str">
        <f t="shared" si="3"/>
        <v>PU1 OHVG CNG1399</v>
      </c>
      <c r="X243">
        <f>VLOOKUP(W243,Sheet10!D:F,2,0)*10000000</f>
        <v>2830000000</v>
      </c>
      <c r="Y243" t="s">
        <v>114</v>
      </c>
      <c r="Z243"/>
    </row>
    <row r="244" spans="1:26" x14ac:dyDescent="0.25">
      <c r="A244" t="s">
        <v>376</v>
      </c>
      <c r="B244" t="s">
        <v>1474</v>
      </c>
      <c r="C244">
        <v>164</v>
      </c>
      <c r="D244" t="s">
        <v>63</v>
      </c>
      <c r="E244" t="s">
        <v>78</v>
      </c>
      <c r="F244" t="s">
        <v>362</v>
      </c>
      <c r="G244" t="s">
        <v>363</v>
      </c>
      <c r="H244">
        <v>34</v>
      </c>
      <c r="I244">
        <v>1399</v>
      </c>
      <c r="J244" t="s">
        <v>1475</v>
      </c>
      <c r="K244" t="s">
        <v>599</v>
      </c>
      <c r="L244" t="s">
        <v>1476</v>
      </c>
      <c r="M244" t="s">
        <v>82</v>
      </c>
      <c r="N244">
        <v>16404</v>
      </c>
      <c r="O244" t="s">
        <v>83</v>
      </c>
      <c r="Q244" t="s">
        <v>381</v>
      </c>
      <c r="R244" t="s">
        <v>1477</v>
      </c>
      <c r="S244" t="s">
        <v>1350</v>
      </c>
      <c r="T244" s="6">
        <v>2100000000</v>
      </c>
      <c r="U244" s="45">
        <f>VLOOKUP(B244,realPrices!C:G,5,0)</f>
        <v>2515000000</v>
      </c>
      <c r="W244" t="str">
        <f t="shared" si="3"/>
        <v>PU1 OHVG CNG1399</v>
      </c>
      <c r="X244">
        <f>VLOOKUP(W244,Sheet10!D:F,2,0)*10000000</f>
        <v>2830000000</v>
      </c>
      <c r="Y244" t="s">
        <v>114</v>
      </c>
      <c r="Z244"/>
    </row>
    <row r="245" spans="1:26" x14ac:dyDescent="0.25">
      <c r="A245" t="s">
        <v>376</v>
      </c>
      <c r="B245" t="s">
        <v>1478</v>
      </c>
      <c r="C245">
        <v>164</v>
      </c>
      <c r="D245" t="s">
        <v>63</v>
      </c>
      <c r="E245" t="s">
        <v>78</v>
      </c>
      <c r="F245" t="s">
        <v>362</v>
      </c>
      <c r="G245" t="s">
        <v>363</v>
      </c>
      <c r="H245">
        <v>26</v>
      </c>
      <c r="I245">
        <v>1399</v>
      </c>
      <c r="J245" t="s">
        <v>1479</v>
      </c>
      <c r="K245" t="s">
        <v>599</v>
      </c>
      <c r="L245" t="s">
        <v>1480</v>
      </c>
      <c r="M245" t="s">
        <v>82</v>
      </c>
      <c r="N245">
        <v>16404</v>
      </c>
      <c r="O245" t="s">
        <v>83</v>
      </c>
      <c r="Q245" t="s">
        <v>381</v>
      </c>
      <c r="R245" t="s">
        <v>1481</v>
      </c>
      <c r="S245" t="s">
        <v>1000</v>
      </c>
      <c r="T245" s="6">
        <v>2100000000</v>
      </c>
      <c r="U245" s="45">
        <f>VLOOKUP(B245,realPrices!C:G,5,0)</f>
        <v>2515000000</v>
      </c>
      <c r="W245" t="str">
        <f t="shared" si="3"/>
        <v>PU1 OHVG CNG1399</v>
      </c>
      <c r="X245">
        <f>VLOOKUP(W245,Sheet10!D:F,2,0)*10000000</f>
        <v>2830000000</v>
      </c>
      <c r="Y245" t="s">
        <v>114</v>
      </c>
      <c r="Z245"/>
    </row>
    <row r="246" spans="1:26" x14ac:dyDescent="0.25">
      <c r="A246" t="s">
        <v>376</v>
      </c>
      <c r="B246" t="s">
        <v>1482</v>
      </c>
      <c r="C246">
        <v>164</v>
      </c>
      <c r="D246" t="s">
        <v>63</v>
      </c>
      <c r="E246" t="s">
        <v>78</v>
      </c>
      <c r="F246" t="s">
        <v>362</v>
      </c>
      <c r="G246" t="s">
        <v>363</v>
      </c>
      <c r="H246">
        <v>60</v>
      </c>
      <c r="I246">
        <v>1399</v>
      </c>
      <c r="J246" t="s">
        <v>1483</v>
      </c>
      <c r="K246" t="s">
        <v>834</v>
      </c>
      <c r="L246" t="s">
        <v>1484</v>
      </c>
      <c r="M246" t="s">
        <v>82</v>
      </c>
      <c r="N246">
        <v>16404</v>
      </c>
      <c r="O246" t="s">
        <v>83</v>
      </c>
      <c r="Q246" t="s">
        <v>381</v>
      </c>
      <c r="R246" t="s">
        <v>1485</v>
      </c>
      <c r="S246" t="s">
        <v>602</v>
      </c>
      <c r="T246" s="6">
        <v>2100000000</v>
      </c>
      <c r="U246" s="45">
        <f>VLOOKUP(B246,realPrices!C:G,5,0)</f>
        <v>2436770000</v>
      </c>
      <c r="W246" t="str">
        <f t="shared" si="3"/>
        <v>PU1 OHVG CNG1399</v>
      </c>
      <c r="X246">
        <f>VLOOKUP(W246,Sheet10!D:F,2,0)*10000000</f>
        <v>2830000000</v>
      </c>
      <c r="Y246" t="s">
        <v>114</v>
      </c>
      <c r="Z246"/>
    </row>
    <row r="247" spans="1:26" x14ac:dyDescent="0.25">
      <c r="A247" t="s">
        <v>376</v>
      </c>
      <c r="B247" t="s">
        <v>1486</v>
      </c>
      <c r="C247">
        <v>164</v>
      </c>
      <c r="D247" t="s">
        <v>63</v>
      </c>
      <c r="E247" t="s">
        <v>78</v>
      </c>
      <c r="F247" t="s">
        <v>362</v>
      </c>
      <c r="G247" t="s">
        <v>363</v>
      </c>
      <c r="H247">
        <v>39</v>
      </c>
      <c r="I247">
        <v>1399</v>
      </c>
      <c r="J247" t="s">
        <v>1487</v>
      </c>
      <c r="K247" t="s">
        <v>599</v>
      </c>
      <c r="L247" t="s">
        <v>1488</v>
      </c>
      <c r="M247" t="s">
        <v>82</v>
      </c>
      <c r="N247">
        <v>16404</v>
      </c>
      <c r="O247" t="s">
        <v>83</v>
      </c>
      <c r="Q247" t="s">
        <v>381</v>
      </c>
      <c r="R247" t="s">
        <v>1489</v>
      </c>
      <c r="S247" t="s">
        <v>1128</v>
      </c>
      <c r="T247" s="6">
        <v>2100000000</v>
      </c>
      <c r="U247" s="45">
        <f>VLOOKUP(B247,realPrices!C:G,5,0)</f>
        <v>2569999999</v>
      </c>
      <c r="W247" t="str">
        <f t="shared" si="3"/>
        <v>PU1 OHVG CNG1399</v>
      </c>
      <c r="X247">
        <f>VLOOKUP(W247,Sheet10!D:F,2,0)*10000000</f>
        <v>2830000000</v>
      </c>
      <c r="Y247" t="s">
        <v>114</v>
      </c>
      <c r="Z247"/>
    </row>
    <row r="248" spans="1:26" x14ac:dyDescent="0.25">
      <c r="A248" t="s">
        <v>376</v>
      </c>
      <c r="B248" t="s">
        <v>1490</v>
      </c>
      <c r="C248">
        <v>164</v>
      </c>
      <c r="D248" t="s">
        <v>63</v>
      </c>
      <c r="E248" t="s">
        <v>78</v>
      </c>
      <c r="F248" t="s">
        <v>362</v>
      </c>
      <c r="G248" t="s">
        <v>363</v>
      </c>
      <c r="H248">
        <v>27</v>
      </c>
      <c r="I248">
        <v>1399</v>
      </c>
      <c r="J248" t="s">
        <v>1491</v>
      </c>
      <c r="K248" t="s">
        <v>1114</v>
      </c>
      <c r="L248" t="s">
        <v>1492</v>
      </c>
      <c r="M248" t="s">
        <v>82</v>
      </c>
      <c r="N248">
        <v>16404</v>
      </c>
      <c r="O248" t="s">
        <v>83</v>
      </c>
      <c r="Q248" t="s">
        <v>381</v>
      </c>
      <c r="R248" t="s">
        <v>1493</v>
      </c>
      <c r="S248" t="s">
        <v>979</v>
      </c>
      <c r="T248" s="6">
        <v>2100000000</v>
      </c>
      <c r="U248" s="45">
        <f>VLOOKUP(B248,realPrices!C:G,5,0)</f>
        <v>2419999999</v>
      </c>
      <c r="W248" t="str">
        <f t="shared" si="3"/>
        <v>PU1 OHVG CNG1399</v>
      </c>
      <c r="X248">
        <f>VLOOKUP(W248,Sheet10!D:F,2,0)*10000000</f>
        <v>2830000000</v>
      </c>
      <c r="Y248" t="s">
        <v>114</v>
      </c>
      <c r="Z248"/>
    </row>
    <row r="249" spans="1:26" x14ac:dyDescent="0.25">
      <c r="A249" t="s">
        <v>376</v>
      </c>
      <c r="B249" t="s">
        <v>1494</v>
      </c>
      <c r="C249">
        <v>164</v>
      </c>
      <c r="D249" t="s">
        <v>63</v>
      </c>
      <c r="E249" t="s">
        <v>78</v>
      </c>
      <c r="F249" t="s">
        <v>362</v>
      </c>
      <c r="G249" t="s">
        <v>363</v>
      </c>
      <c r="H249">
        <v>27</v>
      </c>
      <c r="I249">
        <v>1399</v>
      </c>
      <c r="J249" t="s">
        <v>1495</v>
      </c>
      <c r="K249" t="s">
        <v>1496</v>
      </c>
      <c r="L249" t="s">
        <v>1497</v>
      </c>
      <c r="M249" t="s">
        <v>82</v>
      </c>
      <c r="N249">
        <v>16404</v>
      </c>
      <c r="O249" t="s">
        <v>83</v>
      </c>
      <c r="Q249" t="s">
        <v>381</v>
      </c>
      <c r="R249" t="s">
        <v>1498</v>
      </c>
      <c r="S249" t="s">
        <v>963</v>
      </c>
      <c r="T249" s="6">
        <v>2100000000</v>
      </c>
      <c r="U249" s="45">
        <f>VLOOKUP(B249,realPrices!C:G,5,0)</f>
        <v>2439999999</v>
      </c>
      <c r="W249" t="str">
        <f t="shared" si="3"/>
        <v>PU1 OHVG CNG1399</v>
      </c>
      <c r="X249">
        <f>VLOOKUP(W249,Sheet10!D:F,2,0)*10000000</f>
        <v>2830000000</v>
      </c>
      <c r="Y249" t="s">
        <v>114</v>
      </c>
      <c r="Z249"/>
    </row>
    <row r="250" spans="1:26" x14ac:dyDescent="0.25">
      <c r="A250" t="s">
        <v>376</v>
      </c>
      <c r="B250" t="s">
        <v>1499</v>
      </c>
      <c r="C250">
        <v>164</v>
      </c>
      <c r="D250" t="s">
        <v>63</v>
      </c>
      <c r="E250" t="s">
        <v>78</v>
      </c>
      <c r="F250" t="s">
        <v>362</v>
      </c>
      <c r="G250" t="s">
        <v>363</v>
      </c>
      <c r="H250">
        <v>31</v>
      </c>
      <c r="I250">
        <v>1399</v>
      </c>
      <c r="J250" t="s">
        <v>1500</v>
      </c>
      <c r="K250" t="s">
        <v>1114</v>
      </c>
      <c r="L250" t="s">
        <v>1501</v>
      </c>
      <c r="M250" t="s">
        <v>82</v>
      </c>
      <c r="N250">
        <v>16404</v>
      </c>
      <c r="O250" t="s">
        <v>83</v>
      </c>
      <c r="Q250" t="s">
        <v>381</v>
      </c>
      <c r="R250" t="s">
        <v>1502</v>
      </c>
      <c r="S250" t="s">
        <v>1031</v>
      </c>
      <c r="T250" s="6">
        <v>2100000000</v>
      </c>
      <c r="U250" s="45">
        <f>VLOOKUP(B250,realPrices!C:G,5,0)</f>
        <v>2261000111</v>
      </c>
      <c r="W250" t="str">
        <f t="shared" si="3"/>
        <v>PU1 OHVG CNG1399</v>
      </c>
      <c r="X250">
        <f>VLOOKUP(W250,Sheet10!D:F,2,0)*10000000</f>
        <v>2830000000</v>
      </c>
      <c r="Y250" t="s">
        <v>114</v>
      </c>
      <c r="Z250"/>
    </row>
    <row r="251" spans="1:26" x14ac:dyDescent="0.25">
      <c r="A251" t="s">
        <v>376</v>
      </c>
      <c r="B251" t="s">
        <v>1503</v>
      </c>
      <c r="C251">
        <v>164</v>
      </c>
      <c r="D251" t="s">
        <v>63</v>
      </c>
      <c r="E251" t="s">
        <v>78</v>
      </c>
      <c r="F251" t="s">
        <v>362</v>
      </c>
      <c r="G251" t="s">
        <v>363</v>
      </c>
      <c r="H251">
        <v>31</v>
      </c>
      <c r="I251">
        <v>1399</v>
      </c>
      <c r="J251" t="s">
        <v>1504</v>
      </c>
      <c r="K251" t="s">
        <v>599</v>
      </c>
      <c r="L251" t="s">
        <v>1505</v>
      </c>
      <c r="M251" t="s">
        <v>82</v>
      </c>
      <c r="N251">
        <v>16404</v>
      </c>
      <c r="O251" t="s">
        <v>83</v>
      </c>
      <c r="Q251" t="s">
        <v>381</v>
      </c>
      <c r="R251" t="s">
        <v>1506</v>
      </c>
      <c r="S251" t="s">
        <v>1180</v>
      </c>
      <c r="T251" s="6">
        <v>2100000000</v>
      </c>
      <c r="U251" s="45">
        <f>VLOOKUP(B251,realPrices!C:G,5,0)</f>
        <v>2459999999</v>
      </c>
      <c r="W251" t="str">
        <f t="shared" si="3"/>
        <v>PU1 OHVG CNG1399</v>
      </c>
      <c r="X251">
        <f>VLOOKUP(W251,Sheet10!D:F,2,0)*10000000</f>
        <v>2830000000</v>
      </c>
      <c r="Y251" t="s">
        <v>114</v>
      </c>
      <c r="Z251"/>
    </row>
    <row r="252" spans="1:26" x14ac:dyDescent="0.25">
      <c r="A252" t="s">
        <v>376</v>
      </c>
      <c r="B252" t="s">
        <v>1507</v>
      </c>
      <c r="C252">
        <v>164</v>
      </c>
      <c r="D252" t="s">
        <v>63</v>
      </c>
      <c r="E252" t="s">
        <v>78</v>
      </c>
      <c r="F252" t="s">
        <v>362</v>
      </c>
      <c r="G252" t="s">
        <v>363</v>
      </c>
      <c r="H252">
        <v>37</v>
      </c>
      <c r="I252">
        <v>1399</v>
      </c>
      <c r="J252" t="s">
        <v>1508</v>
      </c>
      <c r="K252" t="s">
        <v>1114</v>
      </c>
      <c r="L252" t="s">
        <v>1509</v>
      </c>
      <c r="M252" t="s">
        <v>82</v>
      </c>
      <c r="N252">
        <v>16404</v>
      </c>
      <c r="O252" t="s">
        <v>83</v>
      </c>
      <c r="Q252" t="s">
        <v>381</v>
      </c>
      <c r="R252" t="s">
        <v>1510</v>
      </c>
      <c r="S252" t="s">
        <v>1242</v>
      </c>
      <c r="T252" s="6">
        <v>2100000000</v>
      </c>
      <c r="U252" s="45">
        <f>VLOOKUP(B252,realPrices!C:G,5,0)</f>
        <v>2386666666</v>
      </c>
      <c r="W252" t="str">
        <f t="shared" si="3"/>
        <v>PU1 OHVG CNG1399</v>
      </c>
      <c r="X252">
        <f>VLOOKUP(W252,Sheet10!D:F,2,0)*10000000</f>
        <v>2830000000</v>
      </c>
      <c r="Y252" t="s">
        <v>114</v>
      </c>
      <c r="Z252"/>
    </row>
    <row r="253" spans="1:26" x14ac:dyDescent="0.25">
      <c r="A253" t="s">
        <v>376</v>
      </c>
      <c r="B253" t="s">
        <v>1511</v>
      </c>
      <c r="C253">
        <v>164</v>
      </c>
      <c r="D253" t="s">
        <v>63</v>
      </c>
      <c r="E253" t="s">
        <v>78</v>
      </c>
      <c r="F253" t="s">
        <v>362</v>
      </c>
      <c r="G253" t="s">
        <v>363</v>
      </c>
      <c r="H253">
        <v>22</v>
      </c>
      <c r="I253">
        <v>1399</v>
      </c>
      <c r="J253" t="s">
        <v>1512</v>
      </c>
      <c r="K253" t="s">
        <v>1513</v>
      </c>
      <c r="L253" t="s">
        <v>1514</v>
      </c>
      <c r="M253" t="s">
        <v>82</v>
      </c>
      <c r="N253">
        <v>16404</v>
      </c>
      <c r="O253" t="s">
        <v>83</v>
      </c>
      <c r="Q253" t="s">
        <v>381</v>
      </c>
      <c r="R253" t="s">
        <v>1515</v>
      </c>
      <c r="S253" t="s">
        <v>1101</v>
      </c>
      <c r="T253" s="6">
        <v>2100000000</v>
      </c>
      <c r="U253" s="45">
        <f>VLOOKUP(B253,realPrices!C:G,5,0)</f>
        <v>2400055555</v>
      </c>
      <c r="W253" t="str">
        <f t="shared" si="3"/>
        <v>PU1 OHVG CNG1399</v>
      </c>
      <c r="X253">
        <f>VLOOKUP(W253,Sheet10!D:F,2,0)*10000000</f>
        <v>2830000000</v>
      </c>
      <c r="Y253" t="s">
        <v>114</v>
      </c>
      <c r="Z253"/>
    </row>
    <row r="254" spans="1:26" x14ac:dyDescent="0.25">
      <c r="A254" t="s">
        <v>376</v>
      </c>
      <c r="B254" t="s">
        <v>1516</v>
      </c>
      <c r="C254">
        <v>164</v>
      </c>
      <c r="D254" t="s">
        <v>63</v>
      </c>
      <c r="E254" t="s">
        <v>78</v>
      </c>
      <c r="F254" t="s">
        <v>362</v>
      </c>
      <c r="G254" t="s">
        <v>363</v>
      </c>
      <c r="H254">
        <v>28</v>
      </c>
      <c r="I254">
        <v>1399</v>
      </c>
      <c r="J254" t="s">
        <v>1517</v>
      </c>
      <c r="K254" t="s">
        <v>599</v>
      </c>
      <c r="L254" t="s">
        <v>1518</v>
      </c>
      <c r="M254" t="s">
        <v>82</v>
      </c>
      <c r="N254">
        <v>16404</v>
      </c>
      <c r="O254" t="s">
        <v>83</v>
      </c>
      <c r="Q254" t="s">
        <v>381</v>
      </c>
      <c r="R254" t="s">
        <v>1519</v>
      </c>
      <c r="S254" t="s">
        <v>1391</v>
      </c>
      <c r="T254" s="6">
        <v>2100000000</v>
      </c>
      <c r="U254" s="45">
        <f>VLOOKUP(B254,realPrices!C:G,5,0)</f>
        <v>2413333333</v>
      </c>
      <c r="W254" t="str">
        <f t="shared" si="3"/>
        <v>PU1 OHVG CNG1399</v>
      </c>
      <c r="X254">
        <f>VLOOKUP(W254,Sheet10!D:F,2,0)*10000000</f>
        <v>2830000000</v>
      </c>
      <c r="Y254" t="s">
        <v>114</v>
      </c>
      <c r="Z254"/>
    </row>
    <row r="255" spans="1:26" x14ac:dyDescent="0.25">
      <c r="A255" t="s">
        <v>376</v>
      </c>
      <c r="B255" t="s">
        <v>1520</v>
      </c>
      <c r="C255">
        <v>164</v>
      </c>
      <c r="D255" t="s">
        <v>63</v>
      </c>
      <c r="E255" t="s">
        <v>78</v>
      </c>
      <c r="F255" t="s">
        <v>362</v>
      </c>
      <c r="G255" t="s">
        <v>363</v>
      </c>
      <c r="H255">
        <v>28</v>
      </c>
      <c r="I255">
        <v>1399</v>
      </c>
      <c r="J255" t="s">
        <v>1521</v>
      </c>
      <c r="K255" t="s">
        <v>599</v>
      </c>
      <c r="L255" t="s">
        <v>1522</v>
      </c>
      <c r="M255" t="s">
        <v>82</v>
      </c>
      <c r="N255">
        <v>16404</v>
      </c>
      <c r="O255" t="s">
        <v>83</v>
      </c>
      <c r="Q255" t="s">
        <v>381</v>
      </c>
      <c r="R255" t="s">
        <v>1523</v>
      </c>
      <c r="S255" t="s">
        <v>1371</v>
      </c>
      <c r="T255" s="6">
        <v>2100000000</v>
      </c>
      <c r="U255" s="45">
        <f>VLOOKUP(B255,realPrices!C:G,5,0)</f>
        <v>2388888888</v>
      </c>
      <c r="W255" t="str">
        <f t="shared" si="3"/>
        <v>PU1 OHVG CNG1399</v>
      </c>
      <c r="X255">
        <f>VLOOKUP(W255,Sheet10!D:F,2,0)*10000000</f>
        <v>2830000000</v>
      </c>
      <c r="Y255" t="s">
        <v>114</v>
      </c>
      <c r="Z255"/>
    </row>
    <row r="256" spans="1:26" x14ac:dyDescent="0.25">
      <c r="A256" t="s">
        <v>376</v>
      </c>
      <c r="B256" t="s">
        <v>1524</v>
      </c>
      <c r="C256">
        <v>164</v>
      </c>
      <c r="D256" t="s">
        <v>63</v>
      </c>
      <c r="E256" t="s">
        <v>78</v>
      </c>
      <c r="F256" t="s">
        <v>362</v>
      </c>
      <c r="G256" t="s">
        <v>363</v>
      </c>
      <c r="H256">
        <v>32</v>
      </c>
      <c r="I256">
        <v>1399</v>
      </c>
      <c r="J256" t="s">
        <v>1525</v>
      </c>
      <c r="K256" t="s">
        <v>599</v>
      </c>
      <c r="L256" t="s">
        <v>1526</v>
      </c>
      <c r="M256" t="s">
        <v>82</v>
      </c>
      <c r="N256">
        <v>16404</v>
      </c>
      <c r="O256" t="s">
        <v>83</v>
      </c>
      <c r="Q256" t="s">
        <v>381</v>
      </c>
      <c r="R256" t="s">
        <v>1527</v>
      </c>
      <c r="S256" t="s">
        <v>1329</v>
      </c>
      <c r="T256" s="6">
        <v>2100000000</v>
      </c>
      <c r="U256" s="45">
        <f>VLOOKUP(B256,realPrices!C:G,5,0)</f>
        <v>2477963369</v>
      </c>
      <c r="W256" t="str">
        <f t="shared" si="3"/>
        <v>PU1 OHVG CNG1399</v>
      </c>
      <c r="X256">
        <f>VLOOKUP(W256,Sheet10!D:F,2,0)*10000000</f>
        <v>2830000000</v>
      </c>
      <c r="Y256" t="s">
        <v>114</v>
      </c>
      <c r="Z256"/>
    </row>
    <row r="257" spans="1:26" x14ac:dyDescent="0.25">
      <c r="A257" t="s">
        <v>376</v>
      </c>
      <c r="B257" t="s">
        <v>1528</v>
      </c>
      <c r="C257">
        <v>164</v>
      </c>
      <c r="D257" t="s">
        <v>63</v>
      </c>
      <c r="E257" t="s">
        <v>78</v>
      </c>
      <c r="F257" t="s">
        <v>362</v>
      </c>
      <c r="G257" t="s">
        <v>363</v>
      </c>
      <c r="H257">
        <v>22</v>
      </c>
      <c r="I257">
        <v>1399</v>
      </c>
      <c r="J257" t="s">
        <v>1529</v>
      </c>
      <c r="K257" t="s">
        <v>599</v>
      </c>
      <c r="L257" t="s">
        <v>1530</v>
      </c>
      <c r="M257" t="s">
        <v>82</v>
      </c>
      <c r="N257">
        <v>16404</v>
      </c>
      <c r="O257" t="s">
        <v>83</v>
      </c>
      <c r="Q257" t="s">
        <v>381</v>
      </c>
      <c r="R257" t="s">
        <v>1531</v>
      </c>
      <c r="S257" t="s">
        <v>1232</v>
      </c>
      <c r="T257" s="6">
        <v>2100000000</v>
      </c>
      <c r="U257" s="45">
        <f>VLOOKUP(B257,realPrices!C:G,5,0)</f>
        <v>2534876325</v>
      </c>
      <c r="W257" t="str">
        <f t="shared" si="3"/>
        <v>PU1 OHVG CNG1399</v>
      </c>
      <c r="X257">
        <f>VLOOKUP(W257,Sheet10!D:F,2,0)*10000000</f>
        <v>2830000000</v>
      </c>
      <c r="Y257" t="s">
        <v>114</v>
      </c>
      <c r="Z257"/>
    </row>
    <row r="258" spans="1:26" x14ac:dyDescent="0.25">
      <c r="A258" t="s">
        <v>376</v>
      </c>
      <c r="B258" t="s">
        <v>1532</v>
      </c>
      <c r="C258">
        <v>164</v>
      </c>
      <c r="D258" t="s">
        <v>63</v>
      </c>
      <c r="E258" t="s">
        <v>78</v>
      </c>
      <c r="F258" t="s">
        <v>362</v>
      </c>
      <c r="G258" t="s">
        <v>363</v>
      </c>
      <c r="H258">
        <v>29</v>
      </c>
      <c r="I258">
        <v>1399</v>
      </c>
      <c r="J258" t="s">
        <v>1533</v>
      </c>
      <c r="K258" t="s">
        <v>599</v>
      </c>
      <c r="L258" t="s">
        <v>1534</v>
      </c>
      <c r="M258" t="s">
        <v>82</v>
      </c>
      <c r="N258">
        <v>16404</v>
      </c>
      <c r="O258" t="s">
        <v>83</v>
      </c>
      <c r="Q258" t="s">
        <v>381</v>
      </c>
      <c r="R258" t="s">
        <v>1535</v>
      </c>
      <c r="S258" t="s">
        <v>1302</v>
      </c>
      <c r="T258" s="6">
        <v>2100000000</v>
      </c>
      <c r="U258" s="45">
        <f>VLOOKUP(B258,realPrices!C:G,5,0)</f>
        <v>2377999000</v>
      </c>
      <c r="W258" t="str">
        <f t="shared" ref="W258:W321" si="4">M258&amp;I258</f>
        <v>PU1 OHVG CNG1399</v>
      </c>
      <c r="X258">
        <f>VLOOKUP(W258,Sheet10!D:F,2,0)*10000000</f>
        <v>2830000000</v>
      </c>
      <c r="Y258" t="s">
        <v>114</v>
      </c>
      <c r="Z258"/>
    </row>
    <row r="259" spans="1:26" x14ac:dyDescent="0.25">
      <c r="A259" t="s">
        <v>376</v>
      </c>
      <c r="B259" t="s">
        <v>1536</v>
      </c>
      <c r="C259">
        <v>164</v>
      </c>
      <c r="D259" t="s">
        <v>63</v>
      </c>
      <c r="E259" t="s">
        <v>78</v>
      </c>
      <c r="F259" t="s">
        <v>362</v>
      </c>
      <c r="G259" t="s">
        <v>363</v>
      </c>
      <c r="H259">
        <v>31</v>
      </c>
      <c r="I259">
        <v>1399</v>
      </c>
      <c r="J259" t="s">
        <v>1537</v>
      </c>
      <c r="K259" t="s">
        <v>1114</v>
      </c>
      <c r="L259" t="s">
        <v>1538</v>
      </c>
      <c r="M259" t="s">
        <v>82</v>
      </c>
      <c r="N259">
        <v>16404</v>
      </c>
      <c r="O259" t="s">
        <v>83</v>
      </c>
      <c r="Q259" t="s">
        <v>381</v>
      </c>
      <c r="R259" t="s">
        <v>1539</v>
      </c>
      <c r="S259" t="s">
        <v>1046</v>
      </c>
      <c r="T259" s="6">
        <v>2100000000</v>
      </c>
      <c r="U259" s="45">
        <f>VLOOKUP(B259,realPrices!C:G,5,0)</f>
        <v>2293870000</v>
      </c>
      <c r="W259" t="str">
        <f t="shared" si="4"/>
        <v>PU1 OHVG CNG1399</v>
      </c>
      <c r="X259">
        <f>VLOOKUP(W259,Sheet10!D:F,2,0)*10000000</f>
        <v>2830000000</v>
      </c>
      <c r="Y259" t="s">
        <v>114</v>
      </c>
      <c r="Z259"/>
    </row>
    <row r="260" spans="1:26" x14ac:dyDescent="0.25">
      <c r="A260" t="s">
        <v>376</v>
      </c>
      <c r="B260" t="s">
        <v>1540</v>
      </c>
      <c r="C260">
        <v>164</v>
      </c>
      <c r="D260" t="s">
        <v>63</v>
      </c>
      <c r="E260" t="s">
        <v>78</v>
      </c>
      <c r="F260" t="s">
        <v>362</v>
      </c>
      <c r="G260" t="s">
        <v>363</v>
      </c>
      <c r="H260">
        <v>37</v>
      </c>
      <c r="I260">
        <v>1399</v>
      </c>
      <c r="J260" t="s">
        <v>1541</v>
      </c>
      <c r="K260" t="s">
        <v>599</v>
      </c>
      <c r="L260" t="s">
        <v>1542</v>
      </c>
      <c r="M260" t="s">
        <v>82</v>
      </c>
      <c r="N260">
        <v>16404</v>
      </c>
      <c r="O260" t="s">
        <v>83</v>
      </c>
      <c r="Q260" t="s">
        <v>381</v>
      </c>
      <c r="R260" t="s">
        <v>1543</v>
      </c>
      <c r="S260" t="s">
        <v>1020</v>
      </c>
      <c r="T260" s="6">
        <v>2100000000</v>
      </c>
      <c r="U260" s="45">
        <f>VLOOKUP(B260,realPrices!C:G,5,0)</f>
        <v>2487999000</v>
      </c>
      <c r="W260" t="str">
        <f t="shared" si="4"/>
        <v>PU1 OHVG CNG1399</v>
      </c>
      <c r="X260">
        <f>VLOOKUP(W260,Sheet10!D:F,2,0)*10000000</f>
        <v>2830000000</v>
      </c>
      <c r="Y260" t="s">
        <v>114</v>
      </c>
      <c r="Z260"/>
    </row>
    <row r="261" spans="1:26" x14ac:dyDescent="0.25">
      <c r="A261" t="s">
        <v>376</v>
      </c>
      <c r="B261" t="s">
        <v>1544</v>
      </c>
      <c r="C261">
        <v>164</v>
      </c>
      <c r="D261" t="s">
        <v>63</v>
      </c>
      <c r="E261" t="s">
        <v>78</v>
      </c>
      <c r="F261" t="s">
        <v>362</v>
      </c>
      <c r="G261" t="s">
        <v>363</v>
      </c>
      <c r="H261">
        <v>20</v>
      </c>
      <c r="I261">
        <v>1399</v>
      </c>
      <c r="J261" t="s">
        <v>1545</v>
      </c>
      <c r="K261" t="s">
        <v>1546</v>
      </c>
      <c r="L261" t="s">
        <v>1547</v>
      </c>
      <c r="M261" t="s">
        <v>82</v>
      </c>
      <c r="N261">
        <v>16404</v>
      </c>
      <c r="O261" t="s">
        <v>83</v>
      </c>
      <c r="Q261" t="s">
        <v>381</v>
      </c>
      <c r="R261" t="s">
        <v>1548</v>
      </c>
      <c r="S261" t="s">
        <v>1211</v>
      </c>
      <c r="T261" s="6">
        <v>2100000000</v>
      </c>
      <c r="U261" s="45">
        <f>VLOOKUP(B261,realPrices!C:G,5,0)</f>
        <v>2463999000</v>
      </c>
      <c r="W261" t="str">
        <f t="shared" si="4"/>
        <v>PU1 OHVG CNG1399</v>
      </c>
      <c r="X261">
        <f>VLOOKUP(W261,Sheet10!D:F,2,0)*10000000</f>
        <v>2830000000</v>
      </c>
      <c r="Y261" t="s">
        <v>114</v>
      </c>
      <c r="Z261"/>
    </row>
    <row r="262" spans="1:26" x14ac:dyDescent="0.25">
      <c r="A262" t="s">
        <v>376</v>
      </c>
      <c r="B262" t="s">
        <v>1549</v>
      </c>
      <c r="C262">
        <v>164</v>
      </c>
      <c r="D262" t="s">
        <v>63</v>
      </c>
      <c r="E262" t="s">
        <v>78</v>
      </c>
      <c r="F262" t="s">
        <v>362</v>
      </c>
      <c r="G262" t="s">
        <v>363</v>
      </c>
      <c r="H262">
        <v>41</v>
      </c>
      <c r="I262">
        <v>1399</v>
      </c>
      <c r="J262" t="s">
        <v>1550</v>
      </c>
      <c r="K262" t="s">
        <v>599</v>
      </c>
      <c r="L262" t="s">
        <v>1551</v>
      </c>
      <c r="M262" t="s">
        <v>82</v>
      </c>
      <c r="N262">
        <v>16404</v>
      </c>
      <c r="O262" t="s">
        <v>83</v>
      </c>
      <c r="Q262" t="s">
        <v>381</v>
      </c>
      <c r="R262" t="s">
        <v>1552</v>
      </c>
      <c r="S262" t="s">
        <v>1195</v>
      </c>
      <c r="T262" s="6">
        <v>2100000000</v>
      </c>
      <c r="U262" s="45">
        <f>VLOOKUP(B262,realPrices!C:G,5,0)</f>
        <v>2437999000</v>
      </c>
      <c r="W262" t="str">
        <f t="shared" si="4"/>
        <v>PU1 OHVG CNG1399</v>
      </c>
      <c r="X262">
        <f>VLOOKUP(W262,Sheet10!D:F,2,0)*10000000</f>
        <v>2830000000</v>
      </c>
      <c r="Y262" t="s">
        <v>114</v>
      </c>
      <c r="Z262"/>
    </row>
    <row r="263" spans="1:26" x14ac:dyDescent="0.25">
      <c r="A263" t="s">
        <v>376</v>
      </c>
      <c r="B263" t="s">
        <v>1553</v>
      </c>
      <c r="C263">
        <v>164</v>
      </c>
      <c r="D263" t="s">
        <v>63</v>
      </c>
      <c r="E263" t="s">
        <v>78</v>
      </c>
      <c r="F263" t="s">
        <v>362</v>
      </c>
      <c r="G263" t="s">
        <v>363</v>
      </c>
      <c r="H263">
        <v>9</v>
      </c>
      <c r="I263">
        <v>1399</v>
      </c>
      <c r="J263" t="s">
        <v>1554</v>
      </c>
      <c r="K263" t="s">
        <v>1555</v>
      </c>
      <c r="L263" t="s">
        <v>1556</v>
      </c>
      <c r="M263" t="s">
        <v>82</v>
      </c>
      <c r="N263">
        <v>16404</v>
      </c>
      <c r="O263" t="s">
        <v>83</v>
      </c>
      <c r="Q263" t="s">
        <v>381</v>
      </c>
      <c r="R263" t="s">
        <v>1557</v>
      </c>
      <c r="S263" t="s">
        <v>1091</v>
      </c>
      <c r="T263" s="6">
        <v>2100000000</v>
      </c>
      <c r="U263" s="45">
        <f>VLOOKUP(B263,realPrices!C:G,5,0)</f>
        <v>2427999000</v>
      </c>
      <c r="W263" t="str">
        <f t="shared" si="4"/>
        <v>PU1 OHVG CNG1399</v>
      </c>
      <c r="X263">
        <f>VLOOKUP(W263,Sheet10!D:F,2,0)*10000000</f>
        <v>2830000000</v>
      </c>
      <c r="Y263" t="s">
        <v>114</v>
      </c>
      <c r="Z263"/>
    </row>
    <row r="264" spans="1:26" x14ac:dyDescent="0.25">
      <c r="A264" t="s">
        <v>376</v>
      </c>
      <c r="B264" t="s">
        <v>1558</v>
      </c>
      <c r="C264">
        <v>164</v>
      </c>
      <c r="D264" t="s">
        <v>63</v>
      </c>
      <c r="E264" t="s">
        <v>78</v>
      </c>
      <c r="F264" t="s">
        <v>362</v>
      </c>
      <c r="G264" t="s">
        <v>363</v>
      </c>
      <c r="H264">
        <v>30</v>
      </c>
      <c r="I264">
        <v>1399</v>
      </c>
      <c r="J264" t="s">
        <v>1559</v>
      </c>
      <c r="K264" t="s">
        <v>1114</v>
      </c>
      <c r="L264" t="s">
        <v>1560</v>
      </c>
      <c r="M264" t="s">
        <v>82</v>
      </c>
      <c r="N264">
        <v>16404</v>
      </c>
      <c r="O264" t="s">
        <v>83</v>
      </c>
      <c r="Q264" t="s">
        <v>381</v>
      </c>
      <c r="R264" t="s">
        <v>1561</v>
      </c>
      <c r="S264" t="s">
        <v>938</v>
      </c>
      <c r="T264" s="6">
        <v>2100000000</v>
      </c>
      <c r="U264" s="45">
        <f>VLOOKUP(B264,realPrices!C:G,5,0)</f>
        <v>2300000000</v>
      </c>
      <c r="W264" t="str">
        <f t="shared" si="4"/>
        <v>PU1 OHVG CNG1399</v>
      </c>
      <c r="X264">
        <f>VLOOKUP(W264,Sheet10!D:F,2,0)*10000000</f>
        <v>2830000000</v>
      </c>
      <c r="Y264" t="s">
        <v>114</v>
      </c>
      <c r="Z264"/>
    </row>
    <row r="265" spans="1:26" x14ac:dyDescent="0.25">
      <c r="A265" t="s">
        <v>376</v>
      </c>
      <c r="B265" t="s">
        <v>1562</v>
      </c>
      <c r="C265">
        <v>164</v>
      </c>
      <c r="D265" t="s">
        <v>63</v>
      </c>
      <c r="E265" t="s">
        <v>78</v>
      </c>
      <c r="F265" t="s">
        <v>362</v>
      </c>
      <c r="G265" t="s">
        <v>363</v>
      </c>
      <c r="H265">
        <v>29</v>
      </c>
      <c r="I265">
        <v>1399</v>
      </c>
      <c r="J265" t="s">
        <v>1563</v>
      </c>
      <c r="K265" t="s">
        <v>599</v>
      </c>
      <c r="L265" t="s">
        <v>1564</v>
      </c>
      <c r="M265" t="s">
        <v>82</v>
      </c>
      <c r="N265">
        <v>16404</v>
      </c>
      <c r="O265" t="s">
        <v>83</v>
      </c>
      <c r="Q265" t="s">
        <v>381</v>
      </c>
      <c r="R265" t="s">
        <v>1565</v>
      </c>
      <c r="S265" t="s">
        <v>1396</v>
      </c>
      <c r="T265" s="6">
        <v>2100000000</v>
      </c>
      <c r="U265" s="45">
        <f>VLOOKUP(B265,realPrices!C:G,5,0)</f>
        <v>2239999999</v>
      </c>
      <c r="W265" t="str">
        <f t="shared" si="4"/>
        <v>PU1 OHVG CNG1399</v>
      </c>
      <c r="X265">
        <f>VLOOKUP(W265,Sheet10!D:F,2,0)*10000000</f>
        <v>2830000000</v>
      </c>
      <c r="Y265" t="s">
        <v>114</v>
      </c>
      <c r="Z265"/>
    </row>
    <row r="266" spans="1:26" x14ac:dyDescent="0.25">
      <c r="A266" t="s">
        <v>376</v>
      </c>
      <c r="B266" t="s">
        <v>1566</v>
      </c>
      <c r="C266">
        <v>164</v>
      </c>
      <c r="D266" t="s">
        <v>63</v>
      </c>
      <c r="E266" t="s">
        <v>78</v>
      </c>
      <c r="F266" t="s">
        <v>362</v>
      </c>
      <c r="G266" t="s">
        <v>363</v>
      </c>
      <c r="H266">
        <v>28</v>
      </c>
      <c r="I266">
        <v>1399</v>
      </c>
      <c r="J266" t="s">
        <v>1567</v>
      </c>
      <c r="K266" t="s">
        <v>1496</v>
      </c>
      <c r="L266" t="s">
        <v>1568</v>
      </c>
      <c r="M266" t="s">
        <v>82</v>
      </c>
      <c r="N266">
        <v>16404</v>
      </c>
      <c r="O266" t="s">
        <v>83</v>
      </c>
      <c r="Q266" t="s">
        <v>381</v>
      </c>
      <c r="R266" t="s">
        <v>1569</v>
      </c>
      <c r="S266" t="s">
        <v>1005</v>
      </c>
      <c r="T266" s="6">
        <v>2100000000</v>
      </c>
      <c r="U266" s="45">
        <f>VLOOKUP(B266,realPrices!C:G,5,0)</f>
        <v>2399999999</v>
      </c>
      <c r="W266" t="str">
        <f t="shared" si="4"/>
        <v>PU1 OHVG CNG1399</v>
      </c>
      <c r="X266">
        <f>VLOOKUP(W266,Sheet10!D:F,2,0)*10000000</f>
        <v>2830000000</v>
      </c>
      <c r="Y266" t="s">
        <v>114</v>
      </c>
      <c r="Z266"/>
    </row>
    <row r="267" spans="1:26" x14ac:dyDescent="0.25">
      <c r="A267" t="s">
        <v>376</v>
      </c>
      <c r="B267" t="s">
        <v>1570</v>
      </c>
      <c r="C267">
        <v>164</v>
      </c>
      <c r="D267" t="s">
        <v>63</v>
      </c>
      <c r="E267" t="s">
        <v>78</v>
      </c>
      <c r="F267" t="s">
        <v>362</v>
      </c>
      <c r="G267" t="s">
        <v>363</v>
      </c>
      <c r="H267">
        <v>27</v>
      </c>
      <c r="I267">
        <v>1399</v>
      </c>
      <c r="J267" t="s">
        <v>1571</v>
      </c>
      <c r="K267" t="s">
        <v>599</v>
      </c>
      <c r="L267" t="s">
        <v>1572</v>
      </c>
      <c r="M267" t="s">
        <v>82</v>
      </c>
      <c r="N267">
        <v>16404</v>
      </c>
      <c r="O267" t="s">
        <v>83</v>
      </c>
      <c r="Q267" t="s">
        <v>381</v>
      </c>
      <c r="R267" t="s">
        <v>1573</v>
      </c>
      <c r="S267" t="s">
        <v>572</v>
      </c>
      <c r="T267" s="6">
        <v>2100000000</v>
      </c>
      <c r="U267" s="45">
        <f>VLOOKUP(B267,realPrices!C:G,5,0)</f>
        <v>2515000000</v>
      </c>
      <c r="W267" t="str">
        <f t="shared" si="4"/>
        <v>PU1 OHVG CNG1399</v>
      </c>
      <c r="X267">
        <f>VLOOKUP(W267,Sheet10!D:F,2,0)*10000000</f>
        <v>2830000000</v>
      </c>
      <c r="Y267" t="s">
        <v>114</v>
      </c>
      <c r="Z267"/>
    </row>
    <row r="268" spans="1:26" x14ac:dyDescent="0.25">
      <c r="A268" t="s">
        <v>376</v>
      </c>
      <c r="B268" t="s">
        <v>1574</v>
      </c>
      <c r="C268">
        <v>164</v>
      </c>
      <c r="D268" t="s">
        <v>63</v>
      </c>
      <c r="E268" t="s">
        <v>78</v>
      </c>
      <c r="F268" t="s">
        <v>362</v>
      </c>
      <c r="G268" t="s">
        <v>363</v>
      </c>
      <c r="H268">
        <v>31</v>
      </c>
      <c r="I268">
        <v>1399</v>
      </c>
      <c r="J268" t="s">
        <v>1575</v>
      </c>
      <c r="K268" t="s">
        <v>599</v>
      </c>
      <c r="L268" t="s">
        <v>1576</v>
      </c>
      <c r="M268" t="s">
        <v>82</v>
      </c>
      <c r="N268">
        <v>16404</v>
      </c>
      <c r="O268" t="s">
        <v>83</v>
      </c>
      <c r="Q268" t="s">
        <v>381</v>
      </c>
      <c r="R268" t="s">
        <v>1577</v>
      </c>
      <c r="S268" t="s">
        <v>519</v>
      </c>
      <c r="T268" s="6">
        <v>2100000000</v>
      </c>
      <c r="U268" s="45">
        <f>VLOOKUP(B268,realPrices!C:G,5,0)</f>
        <v>2269990100</v>
      </c>
      <c r="W268" t="str">
        <f t="shared" si="4"/>
        <v>PU1 OHVG CNG1399</v>
      </c>
      <c r="X268">
        <f>VLOOKUP(W268,Sheet10!D:F,2,0)*10000000</f>
        <v>2830000000</v>
      </c>
      <c r="Y268" t="s">
        <v>114</v>
      </c>
      <c r="Z268"/>
    </row>
    <row r="269" spans="1:26" x14ac:dyDescent="0.25">
      <c r="A269" t="s">
        <v>376</v>
      </c>
      <c r="B269" t="s">
        <v>1578</v>
      </c>
      <c r="C269">
        <v>164</v>
      </c>
      <c r="D269" t="s">
        <v>63</v>
      </c>
      <c r="E269" t="s">
        <v>78</v>
      </c>
      <c r="F269" t="s">
        <v>362</v>
      </c>
      <c r="G269" t="s">
        <v>363</v>
      </c>
      <c r="H269">
        <v>29</v>
      </c>
      <c r="I269">
        <v>1399</v>
      </c>
      <c r="J269" t="s">
        <v>1579</v>
      </c>
      <c r="K269" t="s">
        <v>599</v>
      </c>
      <c r="L269" t="s">
        <v>1580</v>
      </c>
      <c r="M269" t="s">
        <v>82</v>
      </c>
      <c r="N269">
        <v>16404</v>
      </c>
      <c r="O269" t="s">
        <v>83</v>
      </c>
      <c r="Q269" t="s">
        <v>381</v>
      </c>
      <c r="R269" t="s">
        <v>1581</v>
      </c>
      <c r="S269" t="s">
        <v>1200</v>
      </c>
      <c r="T269" s="6">
        <v>2100000000</v>
      </c>
      <c r="U269" s="45">
        <f>VLOOKUP(B269,realPrices!C:G,5,0)</f>
        <v>2335000000</v>
      </c>
      <c r="W269" t="str">
        <f t="shared" si="4"/>
        <v>PU1 OHVG CNG1399</v>
      </c>
      <c r="X269">
        <f>VLOOKUP(W269,Sheet10!D:F,2,0)*10000000</f>
        <v>2830000000</v>
      </c>
      <c r="Y269" t="s">
        <v>114</v>
      </c>
      <c r="Z269"/>
    </row>
    <row r="270" spans="1:26" x14ac:dyDescent="0.25">
      <c r="A270" t="s">
        <v>376</v>
      </c>
      <c r="B270" t="s">
        <v>1582</v>
      </c>
      <c r="C270">
        <v>164</v>
      </c>
      <c r="D270" t="s">
        <v>63</v>
      </c>
      <c r="E270" t="s">
        <v>78</v>
      </c>
      <c r="F270" t="s">
        <v>362</v>
      </c>
      <c r="G270" t="s">
        <v>363</v>
      </c>
      <c r="H270">
        <v>31</v>
      </c>
      <c r="I270">
        <v>1399</v>
      </c>
      <c r="J270" t="s">
        <v>1583</v>
      </c>
      <c r="K270" t="s">
        <v>599</v>
      </c>
      <c r="L270" t="s">
        <v>1584</v>
      </c>
      <c r="M270" t="s">
        <v>82</v>
      </c>
      <c r="N270">
        <v>16404</v>
      </c>
      <c r="O270" t="s">
        <v>83</v>
      </c>
      <c r="Q270" t="s">
        <v>381</v>
      </c>
      <c r="R270" t="s">
        <v>1585</v>
      </c>
      <c r="S270" t="s">
        <v>613</v>
      </c>
      <c r="T270" s="6">
        <v>2100000000</v>
      </c>
      <c r="U270" s="45">
        <f>VLOOKUP(B270,realPrices!C:G,5,0)</f>
        <v>2306500000</v>
      </c>
      <c r="W270" t="str">
        <f t="shared" si="4"/>
        <v>PU1 OHVG CNG1399</v>
      </c>
      <c r="X270">
        <f>VLOOKUP(W270,Sheet10!D:F,2,0)*10000000</f>
        <v>2830000000</v>
      </c>
      <c r="Y270" t="s">
        <v>114</v>
      </c>
      <c r="Z270"/>
    </row>
    <row r="271" spans="1:26" x14ac:dyDescent="0.25">
      <c r="A271" t="s">
        <v>376</v>
      </c>
      <c r="B271" t="s">
        <v>1586</v>
      </c>
      <c r="C271">
        <v>164</v>
      </c>
      <c r="D271" t="s">
        <v>63</v>
      </c>
      <c r="E271" t="s">
        <v>78</v>
      </c>
      <c r="F271" t="s">
        <v>362</v>
      </c>
      <c r="G271" t="s">
        <v>206</v>
      </c>
      <c r="H271">
        <v>23</v>
      </c>
      <c r="I271">
        <v>1399</v>
      </c>
      <c r="J271" t="s">
        <v>1587</v>
      </c>
      <c r="K271" t="s">
        <v>1214</v>
      </c>
      <c r="L271" t="s">
        <v>1588</v>
      </c>
      <c r="M271" t="s">
        <v>82</v>
      </c>
      <c r="N271">
        <v>16404</v>
      </c>
      <c r="O271" t="s">
        <v>83</v>
      </c>
      <c r="Q271" t="s">
        <v>381</v>
      </c>
      <c r="R271" t="s">
        <v>1589</v>
      </c>
      <c r="S271" t="s">
        <v>513</v>
      </c>
      <c r="T271" s="6">
        <v>2100000000</v>
      </c>
      <c r="U271" s="45">
        <f>VLOOKUP(B271,realPrices!C:G,5,0)</f>
        <v>2321000223</v>
      </c>
      <c r="W271" t="str">
        <f t="shared" si="4"/>
        <v>PU1 OHVG CNG1399</v>
      </c>
      <c r="X271">
        <f>VLOOKUP(W271,Sheet10!D:F,2,0)*10000000</f>
        <v>2830000000</v>
      </c>
      <c r="Y271" t="s">
        <v>114</v>
      </c>
      <c r="Z271"/>
    </row>
    <row r="272" spans="1:26" x14ac:dyDescent="0.25">
      <c r="A272" t="s">
        <v>376</v>
      </c>
      <c r="B272" t="s">
        <v>1590</v>
      </c>
      <c r="C272">
        <v>164</v>
      </c>
      <c r="D272" t="s">
        <v>63</v>
      </c>
      <c r="E272" t="s">
        <v>78</v>
      </c>
      <c r="F272" t="s">
        <v>362</v>
      </c>
      <c r="G272" t="s">
        <v>363</v>
      </c>
      <c r="H272">
        <v>26</v>
      </c>
      <c r="I272">
        <v>1399</v>
      </c>
      <c r="J272" t="s">
        <v>1591</v>
      </c>
      <c r="K272" t="s">
        <v>599</v>
      </c>
      <c r="L272" t="s">
        <v>1592</v>
      </c>
      <c r="M272" t="s">
        <v>82</v>
      </c>
      <c r="N272">
        <v>16404</v>
      </c>
      <c r="O272" t="s">
        <v>83</v>
      </c>
      <c r="Q272" t="s">
        <v>381</v>
      </c>
      <c r="R272" t="s">
        <v>1593</v>
      </c>
      <c r="S272" t="s">
        <v>1071</v>
      </c>
      <c r="T272" s="6">
        <v>2100000000</v>
      </c>
      <c r="U272" s="45">
        <f>VLOOKUP(B272,realPrices!C:G,5,0)</f>
        <v>2419990000</v>
      </c>
      <c r="W272" t="str">
        <f t="shared" si="4"/>
        <v>PU1 OHVG CNG1399</v>
      </c>
      <c r="X272">
        <f>VLOOKUP(W272,Sheet10!D:F,2,0)*10000000</f>
        <v>2830000000</v>
      </c>
      <c r="Y272" t="s">
        <v>114</v>
      </c>
      <c r="Z272"/>
    </row>
    <row r="273" spans="1:26" x14ac:dyDescent="0.25">
      <c r="A273" t="s">
        <v>376</v>
      </c>
      <c r="B273" t="s">
        <v>1594</v>
      </c>
      <c r="C273">
        <v>164</v>
      </c>
      <c r="D273" t="s">
        <v>63</v>
      </c>
      <c r="E273" t="s">
        <v>78</v>
      </c>
      <c r="F273" t="s">
        <v>362</v>
      </c>
      <c r="G273" t="s">
        <v>206</v>
      </c>
      <c r="H273">
        <v>27</v>
      </c>
      <c r="I273">
        <v>1399</v>
      </c>
      <c r="J273" t="s">
        <v>1595</v>
      </c>
      <c r="K273" t="s">
        <v>599</v>
      </c>
      <c r="L273" t="s">
        <v>1596</v>
      </c>
      <c r="M273" t="s">
        <v>82</v>
      </c>
      <c r="N273">
        <v>16404</v>
      </c>
      <c r="O273" t="s">
        <v>83</v>
      </c>
      <c r="Q273" t="s">
        <v>381</v>
      </c>
      <c r="R273" t="s">
        <v>1597</v>
      </c>
      <c r="S273" t="s">
        <v>501</v>
      </c>
      <c r="T273" s="6">
        <v>2100000000</v>
      </c>
      <c r="U273" s="45">
        <f>VLOOKUP(B273,realPrices!C:G,5,0)</f>
        <v>2288444888</v>
      </c>
      <c r="W273" t="str">
        <f t="shared" si="4"/>
        <v>PU1 OHVG CNG1399</v>
      </c>
      <c r="X273">
        <f>VLOOKUP(W273,Sheet10!D:F,2,0)*10000000</f>
        <v>2830000000</v>
      </c>
      <c r="Y273" t="s">
        <v>114</v>
      </c>
      <c r="Z273"/>
    </row>
    <row r="274" spans="1:26" x14ac:dyDescent="0.25">
      <c r="A274" t="s">
        <v>376</v>
      </c>
      <c r="B274" t="s">
        <v>1598</v>
      </c>
      <c r="C274">
        <v>164</v>
      </c>
      <c r="D274" t="s">
        <v>63</v>
      </c>
      <c r="E274" t="s">
        <v>78</v>
      </c>
      <c r="F274" t="s">
        <v>362</v>
      </c>
      <c r="G274" t="s">
        <v>363</v>
      </c>
      <c r="H274">
        <v>30</v>
      </c>
      <c r="I274">
        <v>1399</v>
      </c>
      <c r="J274" t="s">
        <v>1599</v>
      </c>
      <c r="K274" t="s">
        <v>1114</v>
      </c>
      <c r="L274" t="s">
        <v>1600</v>
      </c>
      <c r="M274" t="s">
        <v>82</v>
      </c>
      <c r="N274">
        <v>16404</v>
      </c>
      <c r="O274" t="s">
        <v>83</v>
      </c>
      <c r="Q274" t="s">
        <v>381</v>
      </c>
      <c r="R274" t="s">
        <v>1601</v>
      </c>
      <c r="S274" t="s">
        <v>928</v>
      </c>
      <c r="T274" s="6">
        <v>2100000000</v>
      </c>
      <c r="U274" s="45">
        <f>VLOOKUP(B274,realPrices!C:G,5,0)</f>
        <v>2583259009</v>
      </c>
      <c r="W274" t="str">
        <f t="shared" si="4"/>
        <v>PU1 OHVG CNG1399</v>
      </c>
      <c r="X274">
        <f>VLOOKUP(W274,Sheet10!D:F,2,0)*10000000</f>
        <v>2830000000</v>
      </c>
      <c r="Y274" t="s">
        <v>114</v>
      </c>
      <c r="Z274"/>
    </row>
    <row r="275" spans="1:26" x14ac:dyDescent="0.25">
      <c r="A275" t="s">
        <v>376</v>
      </c>
      <c r="B275" t="s">
        <v>1602</v>
      </c>
      <c r="C275">
        <v>164</v>
      </c>
      <c r="D275" t="s">
        <v>63</v>
      </c>
      <c r="E275" t="s">
        <v>78</v>
      </c>
      <c r="F275" t="s">
        <v>362</v>
      </c>
      <c r="G275" t="s">
        <v>363</v>
      </c>
      <c r="H275">
        <v>33</v>
      </c>
      <c r="I275">
        <v>1399</v>
      </c>
      <c r="J275" t="s">
        <v>1603</v>
      </c>
      <c r="K275" t="s">
        <v>1604</v>
      </c>
      <c r="L275" t="s">
        <v>1605</v>
      </c>
      <c r="M275" t="s">
        <v>82</v>
      </c>
      <c r="N275">
        <v>16404</v>
      </c>
      <c r="O275" t="s">
        <v>83</v>
      </c>
      <c r="Q275" t="s">
        <v>381</v>
      </c>
      <c r="R275" t="s">
        <v>1606</v>
      </c>
      <c r="S275" t="s">
        <v>943</v>
      </c>
      <c r="T275" s="6">
        <v>2100000000</v>
      </c>
      <c r="U275" s="45">
        <f>VLOOKUP(B275,realPrices!C:G,5,0)</f>
        <v>2456789000</v>
      </c>
      <c r="W275" t="str">
        <f t="shared" si="4"/>
        <v>PU1 OHVG CNG1399</v>
      </c>
      <c r="X275">
        <f>VLOOKUP(W275,Sheet10!D:F,2,0)*10000000</f>
        <v>2830000000</v>
      </c>
      <c r="Y275" t="s">
        <v>114</v>
      </c>
      <c r="Z275"/>
    </row>
    <row r="276" spans="1:26" x14ac:dyDescent="0.25">
      <c r="A276" t="s">
        <v>376</v>
      </c>
      <c r="B276" t="s">
        <v>1607</v>
      </c>
      <c r="C276">
        <v>164</v>
      </c>
      <c r="D276" t="s">
        <v>63</v>
      </c>
      <c r="E276" t="s">
        <v>78</v>
      </c>
      <c r="F276" t="s">
        <v>362</v>
      </c>
      <c r="G276" t="s">
        <v>363</v>
      </c>
      <c r="H276">
        <v>27</v>
      </c>
      <c r="I276">
        <v>1399</v>
      </c>
      <c r="J276" t="s">
        <v>1608</v>
      </c>
      <c r="K276" t="s">
        <v>1114</v>
      </c>
      <c r="L276" t="s">
        <v>1609</v>
      </c>
      <c r="M276" t="s">
        <v>82</v>
      </c>
      <c r="N276">
        <v>16404</v>
      </c>
      <c r="O276" t="s">
        <v>83</v>
      </c>
      <c r="Q276" t="s">
        <v>381</v>
      </c>
      <c r="R276" t="s">
        <v>1610</v>
      </c>
      <c r="S276" t="s">
        <v>1106</v>
      </c>
      <c r="T276" s="6">
        <v>2100000000</v>
      </c>
      <c r="U276" s="45">
        <f>VLOOKUP(B276,realPrices!C:G,5,0)</f>
        <v>2558800000</v>
      </c>
      <c r="W276" t="str">
        <f t="shared" si="4"/>
        <v>PU1 OHVG CNG1399</v>
      </c>
      <c r="X276">
        <f>VLOOKUP(W276,Sheet10!D:F,2,0)*10000000</f>
        <v>2830000000</v>
      </c>
      <c r="Y276" t="s">
        <v>114</v>
      </c>
      <c r="Z276"/>
    </row>
    <row r="277" spans="1:26" x14ac:dyDescent="0.25">
      <c r="A277" t="s">
        <v>376</v>
      </c>
      <c r="B277" t="s">
        <v>1611</v>
      </c>
      <c r="C277">
        <v>164</v>
      </c>
      <c r="D277" t="s">
        <v>63</v>
      </c>
      <c r="E277" t="s">
        <v>78</v>
      </c>
      <c r="F277" t="s">
        <v>362</v>
      </c>
      <c r="G277" t="s">
        <v>363</v>
      </c>
      <c r="H277">
        <v>30</v>
      </c>
      <c r="I277">
        <v>1399</v>
      </c>
      <c r="J277" t="s">
        <v>1612</v>
      </c>
      <c r="K277" t="s">
        <v>1613</v>
      </c>
      <c r="L277" t="s">
        <v>1614</v>
      </c>
      <c r="M277" t="s">
        <v>82</v>
      </c>
      <c r="N277">
        <v>16404</v>
      </c>
      <c r="O277" t="s">
        <v>83</v>
      </c>
      <c r="Q277" t="s">
        <v>381</v>
      </c>
      <c r="R277" t="s">
        <v>1615</v>
      </c>
      <c r="S277" t="s">
        <v>1076</v>
      </c>
      <c r="T277" s="6">
        <v>2100000000</v>
      </c>
      <c r="U277" s="45">
        <f>VLOOKUP(B277,realPrices!C:G,5,0)</f>
        <v>2671990000</v>
      </c>
      <c r="W277" t="str">
        <f t="shared" si="4"/>
        <v>PU1 OHVG CNG1399</v>
      </c>
      <c r="X277">
        <f>VLOOKUP(W277,Sheet10!D:F,2,0)*10000000</f>
        <v>2830000000</v>
      </c>
      <c r="Y277" t="s">
        <v>114</v>
      </c>
      <c r="Z277"/>
    </row>
    <row r="278" spans="1:26" x14ac:dyDescent="0.25">
      <c r="A278" t="s">
        <v>376</v>
      </c>
      <c r="B278" t="s">
        <v>1616</v>
      </c>
      <c r="C278">
        <v>164</v>
      </c>
      <c r="D278" t="s">
        <v>63</v>
      </c>
      <c r="E278" t="s">
        <v>78</v>
      </c>
      <c r="F278" t="s">
        <v>362</v>
      </c>
      <c r="G278" t="s">
        <v>363</v>
      </c>
      <c r="H278">
        <v>30</v>
      </c>
      <c r="I278">
        <v>1399</v>
      </c>
      <c r="J278" t="s">
        <v>1617</v>
      </c>
      <c r="K278" t="s">
        <v>1114</v>
      </c>
      <c r="L278" t="s">
        <v>1618</v>
      </c>
      <c r="M278" t="s">
        <v>82</v>
      </c>
      <c r="N278">
        <v>16404</v>
      </c>
      <c r="O278" t="s">
        <v>83</v>
      </c>
      <c r="Q278" t="s">
        <v>381</v>
      </c>
      <c r="R278" t="s">
        <v>1619</v>
      </c>
      <c r="S278" t="s">
        <v>984</v>
      </c>
      <c r="T278" s="6">
        <v>2100000000</v>
      </c>
      <c r="U278" s="45">
        <f>VLOOKUP(B278,realPrices!C:G,5,0)</f>
        <v>2437999000</v>
      </c>
      <c r="W278" t="str">
        <f t="shared" si="4"/>
        <v>PU1 OHVG CNG1399</v>
      </c>
      <c r="X278">
        <f>VLOOKUP(W278,Sheet10!D:F,2,0)*10000000</f>
        <v>2830000000</v>
      </c>
      <c r="Y278" t="s">
        <v>114</v>
      </c>
      <c r="Z278"/>
    </row>
    <row r="279" spans="1:26" x14ac:dyDescent="0.25">
      <c r="A279" t="s">
        <v>376</v>
      </c>
      <c r="B279" t="s">
        <v>1620</v>
      </c>
      <c r="C279">
        <v>164</v>
      </c>
      <c r="D279" t="s">
        <v>63</v>
      </c>
      <c r="E279" t="s">
        <v>78</v>
      </c>
      <c r="F279" t="s">
        <v>362</v>
      </c>
      <c r="G279" t="s">
        <v>363</v>
      </c>
      <c r="H279">
        <v>36</v>
      </c>
      <c r="I279">
        <v>1399</v>
      </c>
      <c r="J279" t="s">
        <v>1621</v>
      </c>
      <c r="K279" t="s">
        <v>1114</v>
      </c>
      <c r="L279" t="s">
        <v>1622</v>
      </c>
      <c r="M279" t="s">
        <v>82</v>
      </c>
      <c r="N279">
        <v>16404</v>
      </c>
      <c r="O279" t="s">
        <v>83</v>
      </c>
      <c r="Q279" t="s">
        <v>381</v>
      </c>
      <c r="R279" t="s">
        <v>1623</v>
      </c>
      <c r="S279" t="s">
        <v>1376</v>
      </c>
      <c r="T279" s="6">
        <v>2100000000</v>
      </c>
      <c r="U279" s="45">
        <f>VLOOKUP(B279,realPrices!C:G,5,0)</f>
        <v>2688888888</v>
      </c>
      <c r="W279" t="str">
        <f t="shared" si="4"/>
        <v>PU1 OHVG CNG1399</v>
      </c>
      <c r="X279">
        <f>VLOOKUP(W279,Sheet10!D:F,2,0)*10000000</f>
        <v>2830000000</v>
      </c>
      <c r="Y279" t="s">
        <v>114</v>
      </c>
      <c r="Z279"/>
    </row>
    <row r="280" spans="1:26" x14ac:dyDescent="0.25">
      <c r="A280" t="s">
        <v>376</v>
      </c>
      <c r="B280" t="s">
        <v>1624</v>
      </c>
      <c r="C280">
        <v>164</v>
      </c>
      <c r="D280" t="s">
        <v>63</v>
      </c>
      <c r="E280" t="s">
        <v>78</v>
      </c>
      <c r="F280" t="s">
        <v>362</v>
      </c>
      <c r="G280" t="s">
        <v>363</v>
      </c>
      <c r="H280">
        <v>25</v>
      </c>
      <c r="I280">
        <v>1399</v>
      </c>
      <c r="J280" t="s">
        <v>1625</v>
      </c>
      <c r="K280" t="s">
        <v>1626</v>
      </c>
      <c r="L280" t="s">
        <v>1627</v>
      </c>
      <c r="M280" t="s">
        <v>82</v>
      </c>
      <c r="N280">
        <v>16404</v>
      </c>
      <c r="O280" t="s">
        <v>83</v>
      </c>
      <c r="Q280" t="s">
        <v>381</v>
      </c>
      <c r="R280" t="s">
        <v>1628</v>
      </c>
      <c r="S280" t="s">
        <v>1133</v>
      </c>
      <c r="T280" s="6">
        <v>2100000000</v>
      </c>
      <c r="U280" s="45">
        <f>VLOOKUP(B280,realPrices!C:G,5,0)</f>
        <v>2328800000</v>
      </c>
      <c r="W280" t="str">
        <f t="shared" si="4"/>
        <v>PU1 OHVG CNG1399</v>
      </c>
      <c r="X280">
        <f>VLOOKUP(W280,Sheet10!D:F,2,0)*10000000</f>
        <v>2830000000</v>
      </c>
      <c r="Y280" t="s">
        <v>114</v>
      </c>
      <c r="Z280"/>
    </row>
    <row r="281" spans="1:26" x14ac:dyDescent="0.25">
      <c r="A281" t="s">
        <v>376</v>
      </c>
      <c r="B281" t="s">
        <v>1629</v>
      </c>
      <c r="C281">
        <v>164</v>
      </c>
      <c r="D281" t="s">
        <v>63</v>
      </c>
      <c r="E281" t="s">
        <v>78</v>
      </c>
      <c r="F281" t="s">
        <v>362</v>
      </c>
      <c r="G281" t="s">
        <v>363</v>
      </c>
      <c r="H281">
        <v>34</v>
      </c>
      <c r="I281">
        <v>1399</v>
      </c>
      <c r="J281" t="s">
        <v>1630</v>
      </c>
      <c r="K281" t="s">
        <v>599</v>
      </c>
      <c r="L281" t="s">
        <v>1631</v>
      </c>
      <c r="M281" t="s">
        <v>82</v>
      </c>
      <c r="N281">
        <v>16404</v>
      </c>
      <c r="O281" t="s">
        <v>83</v>
      </c>
      <c r="Q281" t="s">
        <v>381</v>
      </c>
      <c r="R281" t="s">
        <v>1632</v>
      </c>
      <c r="S281" t="s">
        <v>507</v>
      </c>
      <c r="T281" s="6">
        <v>2100000000</v>
      </c>
      <c r="U281" s="45">
        <f>VLOOKUP(B281,realPrices!C:G,5,0)</f>
        <v>2349999999</v>
      </c>
      <c r="W281" t="str">
        <f t="shared" si="4"/>
        <v>PU1 OHVG CNG1399</v>
      </c>
      <c r="X281">
        <f>VLOOKUP(W281,Sheet10!D:F,2,0)*10000000</f>
        <v>2830000000</v>
      </c>
      <c r="Y281" t="s">
        <v>114</v>
      </c>
      <c r="Z281"/>
    </row>
    <row r="282" spans="1:26" x14ac:dyDescent="0.25">
      <c r="A282" t="s">
        <v>376</v>
      </c>
      <c r="B282" t="s">
        <v>1633</v>
      </c>
      <c r="C282">
        <v>164</v>
      </c>
      <c r="D282" t="s">
        <v>63</v>
      </c>
      <c r="E282" t="s">
        <v>78</v>
      </c>
      <c r="F282" t="s">
        <v>362</v>
      </c>
      <c r="G282" t="s">
        <v>363</v>
      </c>
      <c r="H282">
        <v>30</v>
      </c>
      <c r="I282">
        <v>1399</v>
      </c>
      <c r="J282" t="s">
        <v>1634</v>
      </c>
      <c r="K282" t="s">
        <v>599</v>
      </c>
      <c r="L282" t="s">
        <v>1635</v>
      </c>
      <c r="M282" t="s">
        <v>82</v>
      </c>
      <c r="N282">
        <v>16404</v>
      </c>
      <c r="O282" t="s">
        <v>83</v>
      </c>
      <c r="Q282" t="s">
        <v>381</v>
      </c>
      <c r="R282" t="s">
        <v>1636</v>
      </c>
      <c r="S282" t="s">
        <v>531</v>
      </c>
      <c r="T282" s="6">
        <v>2100000000</v>
      </c>
      <c r="U282" s="45">
        <f>VLOOKUP(B282,realPrices!C:G,5,0)</f>
        <v>2446999000</v>
      </c>
      <c r="W282" t="str">
        <f t="shared" si="4"/>
        <v>PU1 OHVG CNG1399</v>
      </c>
      <c r="X282">
        <f>VLOOKUP(W282,Sheet10!D:F,2,0)*10000000</f>
        <v>2830000000</v>
      </c>
      <c r="Y282" t="s">
        <v>114</v>
      </c>
      <c r="Z282"/>
    </row>
    <row r="283" spans="1:26" x14ac:dyDescent="0.25">
      <c r="A283" t="s">
        <v>376</v>
      </c>
      <c r="B283" t="s">
        <v>1637</v>
      </c>
      <c r="C283">
        <v>164</v>
      </c>
      <c r="D283" t="s">
        <v>63</v>
      </c>
      <c r="E283" t="s">
        <v>78</v>
      </c>
      <c r="F283" t="s">
        <v>362</v>
      </c>
      <c r="G283" t="s">
        <v>363</v>
      </c>
      <c r="H283">
        <v>26</v>
      </c>
      <c r="I283">
        <v>1399</v>
      </c>
      <c r="J283" t="s">
        <v>1638</v>
      </c>
      <c r="K283" t="s">
        <v>599</v>
      </c>
      <c r="L283" t="s">
        <v>1639</v>
      </c>
      <c r="M283" t="s">
        <v>82</v>
      </c>
      <c r="N283">
        <v>16404</v>
      </c>
      <c r="O283" t="s">
        <v>83</v>
      </c>
      <c r="Q283" t="s">
        <v>381</v>
      </c>
      <c r="R283" t="s">
        <v>1640</v>
      </c>
      <c r="S283" t="s">
        <v>1252</v>
      </c>
      <c r="T283" s="6">
        <v>2100000000</v>
      </c>
      <c r="U283" s="45">
        <f>VLOOKUP(B283,realPrices!C:G,5,0)</f>
        <v>2487999000</v>
      </c>
      <c r="W283" t="str">
        <f t="shared" si="4"/>
        <v>PU1 OHVG CNG1399</v>
      </c>
      <c r="X283">
        <f>VLOOKUP(W283,Sheet10!D:F,2,0)*10000000</f>
        <v>2830000000</v>
      </c>
      <c r="Y283" t="s">
        <v>114</v>
      </c>
      <c r="Z283"/>
    </row>
    <row r="284" spans="1:26" x14ac:dyDescent="0.25">
      <c r="A284" t="s">
        <v>376</v>
      </c>
      <c r="B284" t="s">
        <v>1641</v>
      </c>
      <c r="C284">
        <v>164</v>
      </c>
      <c r="D284" t="s">
        <v>63</v>
      </c>
      <c r="E284" t="s">
        <v>78</v>
      </c>
      <c r="F284" t="s">
        <v>362</v>
      </c>
      <c r="G284" t="s">
        <v>363</v>
      </c>
      <c r="H284">
        <v>35</v>
      </c>
      <c r="I284">
        <v>1399</v>
      </c>
      <c r="J284" t="s">
        <v>1642</v>
      </c>
      <c r="K284" t="s">
        <v>599</v>
      </c>
      <c r="L284" t="s">
        <v>1643</v>
      </c>
      <c r="M284" t="s">
        <v>82</v>
      </c>
      <c r="N284">
        <v>16404</v>
      </c>
      <c r="O284" t="s">
        <v>83</v>
      </c>
      <c r="Q284" t="s">
        <v>381</v>
      </c>
      <c r="R284" t="s">
        <v>1644</v>
      </c>
      <c r="S284" t="s">
        <v>1227</v>
      </c>
      <c r="T284" s="6">
        <v>2100000000</v>
      </c>
      <c r="U284" s="45">
        <f>VLOOKUP(B284,realPrices!C:G,5,0)</f>
        <v>2463999000</v>
      </c>
      <c r="W284" t="str">
        <f t="shared" si="4"/>
        <v>PU1 OHVG CNG1399</v>
      </c>
      <c r="X284">
        <f>VLOOKUP(W284,Sheet10!D:F,2,0)*10000000</f>
        <v>2830000000</v>
      </c>
      <c r="Y284" t="s">
        <v>114</v>
      </c>
      <c r="Z284"/>
    </row>
    <row r="285" spans="1:26" x14ac:dyDescent="0.25">
      <c r="A285" t="s">
        <v>376</v>
      </c>
      <c r="B285" t="s">
        <v>1645</v>
      </c>
      <c r="C285">
        <v>164</v>
      </c>
      <c r="D285" t="s">
        <v>63</v>
      </c>
      <c r="E285" t="s">
        <v>78</v>
      </c>
      <c r="F285" t="s">
        <v>362</v>
      </c>
      <c r="G285" t="s">
        <v>363</v>
      </c>
      <c r="H285">
        <v>27</v>
      </c>
      <c r="I285">
        <v>1399</v>
      </c>
      <c r="J285" t="s">
        <v>1646</v>
      </c>
      <c r="K285" t="s">
        <v>599</v>
      </c>
      <c r="L285" t="s">
        <v>1647</v>
      </c>
      <c r="M285" t="s">
        <v>82</v>
      </c>
      <c r="N285">
        <v>16404</v>
      </c>
      <c r="O285" t="s">
        <v>83</v>
      </c>
      <c r="Q285" t="s">
        <v>381</v>
      </c>
      <c r="R285" t="s">
        <v>1648</v>
      </c>
      <c r="S285" t="s">
        <v>863</v>
      </c>
      <c r="T285" s="6">
        <v>2100000000</v>
      </c>
      <c r="U285" s="45">
        <f>VLOOKUP(B285,realPrices!C:G,5,0)</f>
        <v>2437999000</v>
      </c>
      <c r="W285" t="str">
        <f t="shared" si="4"/>
        <v>PU1 OHVG CNG1399</v>
      </c>
      <c r="X285">
        <f>VLOOKUP(W285,Sheet10!D:F,2,0)*10000000</f>
        <v>2830000000</v>
      </c>
      <c r="Y285" t="s">
        <v>114</v>
      </c>
      <c r="Z285"/>
    </row>
    <row r="286" spans="1:26" x14ac:dyDescent="0.25">
      <c r="A286" t="s">
        <v>376</v>
      </c>
      <c r="B286" t="s">
        <v>1649</v>
      </c>
      <c r="C286">
        <v>164</v>
      </c>
      <c r="D286" t="s">
        <v>63</v>
      </c>
      <c r="E286" t="s">
        <v>78</v>
      </c>
      <c r="F286" t="s">
        <v>362</v>
      </c>
      <c r="G286" t="s">
        <v>363</v>
      </c>
      <c r="H286">
        <v>23</v>
      </c>
      <c r="I286">
        <v>1399</v>
      </c>
      <c r="J286" t="s">
        <v>1650</v>
      </c>
      <c r="K286" t="s">
        <v>1496</v>
      </c>
      <c r="L286" t="s">
        <v>1651</v>
      </c>
      <c r="M286" t="s">
        <v>82</v>
      </c>
      <c r="N286">
        <v>16404</v>
      </c>
      <c r="O286" t="s">
        <v>83</v>
      </c>
      <c r="Q286" t="s">
        <v>381</v>
      </c>
      <c r="R286" t="s">
        <v>1652</v>
      </c>
      <c r="S286" t="s">
        <v>948</v>
      </c>
      <c r="T286" s="6">
        <v>2100000000</v>
      </c>
      <c r="U286" s="45">
        <f>VLOOKUP(B286,realPrices!C:G,5,0)</f>
        <v>2280000000</v>
      </c>
      <c r="W286" t="str">
        <f t="shared" si="4"/>
        <v>PU1 OHVG CNG1399</v>
      </c>
      <c r="X286">
        <f>VLOOKUP(W286,Sheet10!D:F,2,0)*10000000</f>
        <v>2830000000</v>
      </c>
      <c r="Y286" t="s">
        <v>114</v>
      </c>
      <c r="Z286"/>
    </row>
    <row r="287" spans="1:26" x14ac:dyDescent="0.25">
      <c r="A287" t="s">
        <v>376</v>
      </c>
      <c r="B287" t="s">
        <v>1653</v>
      </c>
      <c r="C287">
        <v>164</v>
      </c>
      <c r="D287" t="s">
        <v>63</v>
      </c>
      <c r="E287" t="s">
        <v>78</v>
      </c>
      <c r="F287" t="s">
        <v>362</v>
      </c>
      <c r="G287" t="s">
        <v>363</v>
      </c>
      <c r="H287">
        <v>35</v>
      </c>
      <c r="I287">
        <v>1399</v>
      </c>
      <c r="J287" t="s">
        <v>1654</v>
      </c>
      <c r="K287" t="s">
        <v>599</v>
      </c>
      <c r="L287" t="s">
        <v>1655</v>
      </c>
      <c r="M287" t="s">
        <v>82</v>
      </c>
      <c r="N287">
        <v>16404</v>
      </c>
      <c r="O287" t="s">
        <v>83</v>
      </c>
      <c r="Q287" t="s">
        <v>381</v>
      </c>
      <c r="R287" t="s">
        <v>1656</v>
      </c>
      <c r="S287" t="s">
        <v>826</v>
      </c>
      <c r="T287" s="6">
        <v>2100000000</v>
      </c>
      <c r="U287" s="45">
        <f>VLOOKUP(B287,realPrices!C:G,5,0)</f>
        <v>2359898800</v>
      </c>
      <c r="W287" t="str">
        <f t="shared" si="4"/>
        <v>PU1 OHVG CNG1399</v>
      </c>
      <c r="X287">
        <f>VLOOKUP(W287,Sheet10!D:F,2,0)*10000000</f>
        <v>2830000000</v>
      </c>
      <c r="Y287" t="s">
        <v>114</v>
      </c>
      <c r="Z287"/>
    </row>
    <row r="288" spans="1:26" x14ac:dyDescent="0.25">
      <c r="A288" t="s">
        <v>376</v>
      </c>
      <c r="B288" t="s">
        <v>1657</v>
      </c>
      <c r="C288">
        <v>164</v>
      </c>
      <c r="D288" t="s">
        <v>63</v>
      </c>
      <c r="E288" t="s">
        <v>78</v>
      </c>
      <c r="F288" t="s">
        <v>362</v>
      </c>
      <c r="G288" t="s">
        <v>363</v>
      </c>
      <c r="H288">
        <v>31</v>
      </c>
      <c r="I288">
        <v>1399</v>
      </c>
      <c r="J288" t="s">
        <v>1658</v>
      </c>
      <c r="K288" t="s">
        <v>1315</v>
      </c>
      <c r="L288" t="s">
        <v>1659</v>
      </c>
      <c r="M288" t="s">
        <v>82</v>
      </c>
      <c r="N288">
        <v>16404</v>
      </c>
      <c r="O288" t="s">
        <v>83</v>
      </c>
      <c r="Q288" t="s">
        <v>381</v>
      </c>
      <c r="R288" t="s">
        <v>1660</v>
      </c>
      <c r="S288" t="s">
        <v>537</v>
      </c>
      <c r="T288" s="6">
        <v>2100000000</v>
      </c>
      <c r="U288" s="45">
        <f>VLOOKUP(B288,realPrices!C:G,5,0)</f>
        <v>2312896989</v>
      </c>
      <c r="W288" t="str">
        <f t="shared" si="4"/>
        <v>PU1 OHVG CNG1399</v>
      </c>
      <c r="X288">
        <f>VLOOKUP(W288,Sheet10!D:F,2,0)*10000000</f>
        <v>2830000000</v>
      </c>
      <c r="Y288" t="s">
        <v>114</v>
      </c>
      <c r="Z288"/>
    </row>
    <row r="289" spans="1:26" x14ac:dyDescent="0.25">
      <c r="A289" t="s">
        <v>376</v>
      </c>
      <c r="B289" t="s">
        <v>1661</v>
      </c>
      <c r="C289">
        <v>164</v>
      </c>
      <c r="D289" t="s">
        <v>63</v>
      </c>
      <c r="E289" t="s">
        <v>78</v>
      </c>
      <c r="F289" t="s">
        <v>362</v>
      </c>
      <c r="G289" t="s">
        <v>363</v>
      </c>
      <c r="H289">
        <v>26</v>
      </c>
      <c r="I289">
        <v>1399</v>
      </c>
      <c r="J289" t="s">
        <v>1662</v>
      </c>
      <c r="K289" t="s">
        <v>599</v>
      </c>
      <c r="L289" t="s">
        <v>1663</v>
      </c>
      <c r="M289" t="s">
        <v>82</v>
      </c>
      <c r="N289">
        <v>16404</v>
      </c>
      <c r="O289" t="s">
        <v>83</v>
      </c>
      <c r="Q289" t="s">
        <v>381</v>
      </c>
      <c r="R289" t="s">
        <v>1664</v>
      </c>
      <c r="S289" t="s">
        <v>918</v>
      </c>
      <c r="T289" s="6">
        <v>2100000000</v>
      </c>
      <c r="U289" s="45">
        <f>VLOOKUP(B289,realPrices!C:G,5,0)</f>
        <v>2268000000</v>
      </c>
      <c r="W289" t="str">
        <f t="shared" si="4"/>
        <v>PU1 OHVG CNG1399</v>
      </c>
      <c r="X289">
        <f>VLOOKUP(W289,Sheet10!D:F,2,0)*10000000</f>
        <v>2830000000</v>
      </c>
      <c r="Y289" t="s">
        <v>114</v>
      </c>
      <c r="Z289"/>
    </row>
    <row r="290" spans="1:26" x14ac:dyDescent="0.25">
      <c r="A290" t="s">
        <v>376</v>
      </c>
      <c r="B290" t="s">
        <v>1665</v>
      </c>
      <c r="C290">
        <v>164</v>
      </c>
      <c r="D290" t="s">
        <v>63</v>
      </c>
      <c r="E290" t="s">
        <v>78</v>
      </c>
      <c r="F290" t="s">
        <v>362</v>
      </c>
      <c r="G290" t="s">
        <v>363</v>
      </c>
      <c r="H290">
        <v>28</v>
      </c>
      <c r="I290">
        <v>1399</v>
      </c>
      <c r="J290" t="s">
        <v>1666</v>
      </c>
      <c r="K290" t="s">
        <v>1114</v>
      </c>
      <c r="L290" t="s">
        <v>1667</v>
      </c>
      <c r="M290" t="s">
        <v>82</v>
      </c>
      <c r="N290">
        <v>16404</v>
      </c>
      <c r="O290" t="s">
        <v>83</v>
      </c>
      <c r="Q290" t="s">
        <v>381</v>
      </c>
      <c r="R290" t="s">
        <v>1668</v>
      </c>
      <c r="S290" t="s">
        <v>1164</v>
      </c>
      <c r="T290" s="6">
        <v>2100000000</v>
      </c>
      <c r="U290" s="45">
        <f>VLOOKUP(B290,realPrices!C:G,5,0)</f>
        <v>2386000000</v>
      </c>
      <c r="W290" t="str">
        <f t="shared" si="4"/>
        <v>PU1 OHVG CNG1399</v>
      </c>
      <c r="X290">
        <f>VLOOKUP(W290,Sheet10!D:F,2,0)*10000000</f>
        <v>2830000000</v>
      </c>
      <c r="Y290" t="s">
        <v>114</v>
      </c>
      <c r="Z290"/>
    </row>
    <row r="291" spans="1:26" x14ac:dyDescent="0.25">
      <c r="A291" t="s">
        <v>376</v>
      </c>
      <c r="B291" t="s">
        <v>1669</v>
      </c>
      <c r="C291">
        <v>164</v>
      </c>
      <c r="D291" t="s">
        <v>63</v>
      </c>
      <c r="E291" t="s">
        <v>78</v>
      </c>
      <c r="F291" t="s">
        <v>362</v>
      </c>
      <c r="G291" t="s">
        <v>363</v>
      </c>
      <c r="H291">
        <v>24</v>
      </c>
      <c r="I291">
        <v>1399</v>
      </c>
      <c r="J291" t="s">
        <v>1670</v>
      </c>
      <c r="K291" t="s">
        <v>1671</v>
      </c>
      <c r="L291" t="s">
        <v>1672</v>
      </c>
      <c r="M291" t="s">
        <v>82</v>
      </c>
      <c r="N291">
        <v>16404</v>
      </c>
      <c r="O291" t="s">
        <v>83</v>
      </c>
      <c r="Q291" t="s">
        <v>381</v>
      </c>
      <c r="R291" t="s">
        <v>1673</v>
      </c>
      <c r="S291" t="s">
        <v>868</v>
      </c>
      <c r="T291" s="6">
        <v>2100000000</v>
      </c>
      <c r="U291" s="45">
        <f>VLOOKUP(B291,realPrices!C:G,5,0)</f>
        <v>2338000000</v>
      </c>
      <c r="W291" t="str">
        <f t="shared" si="4"/>
        <v>PU1 OHVG CNG1399</v>
      </c>
      <c r="X291">
        <f>VLOOKUP(W291,Sheet10!D:F,2,0)*10000000</f>
        <v>2830000000</v>
      </c>
      <c r="Y291" t="s">
        <v>114</v>
      </c>
      <c r="Z291"/>
    </row>
    <row r="292" spans="1:26" x14ac:dyDescent="0.25">
      <c r="A292" t="s">
        <v>376</v>
      </c>
      <c r="B292" t="s">
        <v>1674</v>
      </c>
      <c r="C292">
        <v>164</v>
      </c>
      <c r="D292" t="s">
        <v>63</v>
      </c>
      <c r="E292" t="s">
        <v>78</v>
      </c>
      <c r="F292" t="s">
        <v>362</v>
      </c>
      <c r="G292" t="s">
        <v>363</v>
      </c>
      <c r="H292">
        <v>33</v>
      </c>
      <c r="I292">
        <v>1399</v>
      </c>
      <c r="J292" t="s">
        <v>1675</v>
      </c>
      <c r="K292" t="s">
        <v>599</v>
      </c>
      <c r="L292" t="s">
        <v>1676</v>
      </c>
      <c r="M292" t="s">
        <v>82</v>
      </c>
      <c r="N292">
        <v>16404</v>
      </c>
      <c r="O292" t="s">
        <v>83</v>
      </c>
      <c r="Q292" t="s">
        <v>381</v>
      </c>
      <c r="R292" t="s">
        <v>1677</v>
      </c>
      <c r="S292" t="s">
        <v>543</v>
      </c>
      <c r="T292" s="6">
        <v>2100000000</v>
      </c>
      <c r="U292" s="45">
        <f>VLOOKUP(B292,realPrices!C:G,5,0)</f>
        <v>2331101130</v>
      </c>
      <c r="W292" t="str">
        <f t="shared" si="4"/>
        <v>PU1 OHVG CNG1399</v>
      </c>
      <c r="X292">
        <f>VLOOKUP(W292,Sheet10!D:F,2,0)*10000000</f>
        <v>2830000000</v>
      </c>
      <c r="Y292" t="s">
        <v>114</v>
      </c>
      <c r="Z292"/>
    </row>
    <row r="293" spans="1:26" x14ac:dyDescent="0.25">
      <c r="A293" t="s">
        <v>376</v>
      </c>
      <c r="B293" t="s">
        <v>1678</v>
      </c>
      <c r="C293">
        <v>164</v>
      </c>
      <c r="D293" t="s">
        <v>63</v>
      </c>
      <c r="E293" t="s">
        <v>78</v>
      </c>
      <c r="F293" t="s">
        <v>362</v>
      </c>
      <c r="G293" t="s">
        <v>363</v>
      </c>
      <c r="H293">
        <v>27</v>
      </c>
      <c r="I293">
        <v>1399</v>
      </c>
      <c r="J293" t="s">
        <v>1679</v>
      </c>
      <c r="K293" t="s">
        <v>1680</v>
      </c>
      <c r="L293" t="s">
        <v>1681</v>
      </c>
      <c r="M293" t="s">
        <v>82</v>
      </c>
      <c r="N293">
        <v>16404</v>
      </c>
      <c r="O293" t="s">
        <v>83</v>
      </c>
      <c r="Q293" t="s">
        <v>381</v>
      </c>
      <c r="R293" t="s">
        <v>1682</v>
      </c>
      <c r="S293" t="s">
        <v>1286</v>
      </c>
      <c r="T293" s="6">
        <v>2100000000</v>
      </c>
      <c r="U293" s="45">
        <f>VLOOKUP(B293,realPrices!C:G,5,0)</f>
        <v>2523000000</v>
      </c>
      <c r="W293" t="str">
        <f t="shared" si="4"/>
        <v>PU1 OHVG CNG1399</v>
      </c>
      <c r="X293">
        <f>VLOOKUP(W293,Sheet10!D:F,2,0)*10000000</f>
        <v>2830000000</v>
      </c>
      <c r="Y293" t="s">
        <v>114</v>
      </c>
      <c r="Z293"/>
    </row>
    <row r="294" spans="1:26" x14ac:dyDescent="0.25">
      <c r="A294" t="s">
        <v>376</v>
      </c>
      <c r="B294" t="s">
        <v>1683</v>
      </c>
      <c r="C294">
        <v>164</v>
      </c>
      <c r="D294" t="s">
        <v>63</v>
      </c>
      <c r="E294" t="s">
        <v>78</v>
      </c>
      <c r="F294" t="s">
        <v>362</v>
      </c>
      <c r="G294" t="s">
        <v>363</v>
      </c>
      <c r="H294">
        <v>33</v>
      </c>
      <c r="I294">
        <v>1399</v>
      </c>
      <c r="J294" t="s">
        <v>1684</v>
      </c>
      <c r="K294" t="s">
        <v>599</v>
      </c>
      <c r="L294" t="s">
        <v>1685</v>
      </c>
      <c r="M294" t="s">
        <v>82</v>
      </c>
      <c r="N294">
        <v>16404</v>
      </c>
      <c r="O294" t="s">
        <v>83</v>
      </c>
      <c r="Q294" t="s">
        <v>381</v>
      </c>
      <c r="R294" t="s">
        <v>1686</v>
      </c>
      <c r="S294" t="s">
        <v>549</v>
      </c>
      <c r="T294" s="6">
        <v>2100000000</v>
      </c>
      <c r="U294" s="45">
        <f>VLOOKUP(B294,realPrices!C:G,5,0)</f>
        <v>2298900000</v>
      </c>
      <c r="W294" t="str">
        <f t="shared" si="4"/>
        <v>PU1 OHVG CNG1399</v>
      </c>
      <c r="X294">
        <f>VLOOKUP(W294,Sheet10!D:F,2,0)*10000000</f>
        <v>2830000000</v>
      </c>
      <c r="Y294" t="s">
        <v>114</v>
      </c>
      <c r="Z294"/>
    </row>
    <row r="295" spans="1:26" x14ac:dyDescent="0.25">
      <c r="A295" t="s">
        <v>376</v>
      </c>
      <c r="B295" t="s">
        <v>1687</v>
      </c>
      <c r="C295">
        <v>164</v>
      </c>
      <c r="D295" t="s">
        <v>63</v>
      </c>
      <c r="E295" t="s">
        <v>78</v>
      </c>
      <c r="F295" t="s">
        <v>362</v>
      </c>
      <c r="G295" t="s">
        <v>363</v>
      </c>
      <c r="H295">
        <v>24</v>
      </c>
      <c r="I295">
        <v>1399</v>
      </c>
      <c r="J295" t="s">
        <v>1688</v>
      </c>
      <c r="K295" t="s">
        <v>599</v>
      </c>
      <c r="L295" t="s">
        <v>1689</v>
      </c>
      <c r="M295" t="s">
        <v>82</v>
      </c>
      <c r="N295">
        <v>16404</v>
      </c>
      <c r="O295" t="s">
        <v>83</v>
      </c>
      <c r="Q295" t="s">
        <v>381</v>
      </c>
      <c r="R295" t="s">
        <v>1690</v>
      </c>
      <c r="S295" t="s">
        <v>873</v>
      </c>
      <c r="T295" s="6">
        <v>2100000000</v>
      </c>
      <c r="U295" s="45">
        <f>VLOOKUP(B295,realPrices!C:G,5,0)</f>
        <v>2300000100</v>
      </c>
      <c r="W295" t="str">
        <f t="shared" si="4"/>
        <v>PU1 OHVG CNG1399</v>
      </c>
      <c r="X295">
        <f>VLOOKUP(W295,Sheet10!D:F,2,0)*10000000</f>
        <v>2830000000</v>
      </c>
      <c r="Y295" t="s">
        <v>114</v>
      </c>
      <c r="Z295"/>
    </row>
    <row r="296" spans="1:26" x14ac:dyDescent="0.25">
      <c r="A296" t="s">
        <v>376</v>
      </c>
      <c r="B296" t="s">
        <v>1691</v>
      </c>
      <c r="C296">
        <v>164</v>
      </c>
      <c r="D296" t="s">
        <v>63</v>
      </c>
      <c r="E296" t="s">
        <v>78</v>
      </c>
      <c r="F296" t="s">
        <v>362</v>
      </c>
      <c r="G296" t="s">
        <v>363</v>
      </c>
      <c r="H296">
        <v>45</v>
      </c>
      <c r="I296">
        <v>1399</v>
      </c>
      <c r="J296" t="s">
        <v>1692</v>
      </c>
      <c r="K296" t="s">
        <v>599</v>
      </c>
      <c r="L296" t="s">
        <v>1693</v>
      </c>
      <c r="M296" t="s">
        <v>82</v>
      </c>
      <c r="N296">
        <v>16404</v>
      </c>
      <c r="O296" t="s">
        <v>83</v>
      </c>
      <c r="Q296" t="s">
        <v>381</v>
      </c>
      <c r="R296" t="s">
        <v>1694</v>
      </c>
      <c r="S296" t="s">
        <v>1185</v>
      </c>
      <c r="T296" s="6">
        <v>2100000000</v>
      </c>
      <c r="U296" s="45">
        <f>VLOOKUP(B296,realPrices!C:G,5,0)</f>
        <v>2320000000</v>
      </c>
      <c r="W296" t="str">
        <f t="shared" si="4"/>
        <v>PU1 OHVG CNG1399</v>
      </c>
      <c r="X296">
        <f>VLOOKUP(W296,Sheet10!D:F,2,0)*10000000</f>
        <v>2830000000</v>
      </c>
      <c r="Y296" t="s">
        <v>114</v>
      </c>
      <c r="Z296"/>
    </row>
    <row r="297" spans="1:26" x14ac:dyDescent="0.25">
      <c r="A297" t="s">
        <v>376</v>
      </c>
      <c r="B297" t="s">
        <v>1695</v>
      </c>
      <c r="C297">
        <v>164</v>
      </c>
      <c r="D297" t="s">
        <v>63</v>
      </c>
      <c r="E297" t="s">
        <v>78</v>
      </c>
      <c r="F297" t="s">
        <v>362</v>
      </c>
      <c r="G297" t="s">
        <v>363</v>
      </c>
      <c r="H297">
        <v>84</v>
      </c>
      <c r="I297">
        <v>1399</v>
      </c>
      <c r="J297" t="s">
        <v>1696</v>
      </c>
      <c r="K297" t="s">
        <v>1697</v>
      </c>
      <c r="L297" t="s">
        <v>1698</v>
      </c>
      <c r="M297" t="s">
        <v>82</v>
      </c>
      <c r="N297">
        <v>16404</v>
      </c>
      <c r="O297" t="s">
        <v>83</v>
      </c>
      <c r="Q297" t="s">
        <v>381</v>
      </c>
      <c r="R297" t="s">
        <v>1699</v>
      </c>
      <c r="S297" t="s">
        <v>1010</v>
      </c>
      <c r="T297" s="6">
        <v>2100000000</v>
      </c>
      <c r="U297" s="45">
        <f>VLOOKUP(B297,realPrices!C:G,5,0)</f>
        <v>2359000000</v>
      </c>
      <c r="W297" t="str">
        <f t="shared" si="4"/>
        <v>PU1 OHVG CNG1399</v>
      </c>
      <c r="X297">
        <f>VLOOKUP(W297,Sheet10!D:F,2,0)*10000000</f>
        <v>2830000000</v>
      </c>
      <c r="Y297" t="s">
        <v>114</v>
      </c>
      <c r="Z297"/>
    </row>
    <row r="298" spans="1:26" x14ac:dyDescent="0.25">
      <c r="A298" t="s">
        <v>376</v>
      </c>
      <c r="B298" t="s">
        <v>1700</v>
      </c>
      <c r="C298">
        <v>164</v>
      </c>
      <c r="D298" t="s">
        <v>63</v>
      </c>
      <c r="E298" t="s">
        <v>78</v>
      </c>
      <c r="F298" t="s">
        <v>362</v>
      </c>
      <c r="G298" t="s">
        <v>363</v>
      </c>
      <c r="H298">
        <v>18</v>
      </c>
      <c r="I298">
        <v>1399</v>
      </c>
      <c r="J298" t="s">
        <v>1701</v>
      </c>
      <c r="K298" t="s">
        <v>1114</v>
      </c>
      <c r="L298" t="s">
        <v>1702</v>
      </c>
      <c r="M298" t="s">
        <v>82</v>
      </c>
      <c r="N298">
        <v>16404</v>
      </c>
      <c r="O298" t="s">
        <v>83</v>
      </c>
      <c r="Q298" t="s">
        <v>381</v>
      </c>
      <c r="R298" t="s">
        <v>1703</v>
      </c>
      <c r="S298" t="s">
        <v>1051</v>
      </c>
      <c r="T298" s="6">
        <v>2100000000</v>
      </c>
      <c r="U298" s="45">
        <f>VLOOKUP(B298,realPrices!C:G,5,0)</f>
        <v>2411999999</v>
      </c>
      <c r="W298" t="str">
        <f t="shared" si="4"/>
        <v>PU1 OHVG CNG1399</v>
      </c>
      <c r="X298">
        <f>VLOOKUP(W298,Sheet10!D:F,2,0)*10000000</f>
        <v>2830000000</v>
      </c>
      <c r="Y298" t="s">
        <v>114</v>
      </c>
      <c r="Z298"/>
    </row>
    <row r="299" spans="1:26" x14ac:dyDescent="0.25">
      <c r="A299" t="s">
        <v>376</v>
      </c>
      <c r="B299" t="s">
        <v>859</v>
      </c>
      <c r="C299">
        <v>164</v>
      </c>
      <c r="D299" t="s">
        <v>63</v>
      </c>
      <c r="E299" t="s">
        <v>78</v>
      </c>
      <c r="F299" t="s">
        <v>362</v>
      </c>
      <c r="G299" t="s">
        <v>363</v>
      </c>
      <c r="H299">
        <v>31</v>
      </c>
      <c r="I299">
        <v>1399</v>
      </c>
      <c r="J299" t="s">
        <v>860</v>
      </c>
      <c r="K299" t="s">
        <v>599</v>
      </c>
      <c r="L299" t="s">
        <v>861</v>
      </c>
      <c r="M299" t="s">
        <v>82</v>
      </c>
      <c r="N299">
        <v>16404</v>
      </c>
      <c r="O299" t="s">
        <v>83</v>
      </c>
      <c r="Q299" t="s">
        <v>381</v>
      </c>
      <c r="R299" t="s">
        <v>862</v>
      </c>
      <c r="S299" t="s">
        <v>858</v>
      </c>
      <c r="T299" s="6">
        <v>2100000000</v>
      </c>
      <c r="U299" s="45">
        <f>VLOOKUP(B299,realPrices!C:G,5,0)</f>
        <v>2533333330</v>
      </c>
      <c r="W299" t="str">
        <f t="shared" si="4"/>
        <v>PU1 OHVG CNG1399</v>
      </c>
      <c r="X299">
        <f>VLOOKUP(W299,Sheet10!D:F,2,0)*10000000</f>
        <v>2830000000</v>
      </c>
      <c r="Y299" t="s">
        <v>114</v>
      </c>
      <c r="Z299"/>
    </row>
    <row r="300" spans="1:26" x14ac:dyDescent="0.25">
      <c r="A300" t="s">
        <v>376</v>
      </c>
      <c r="B300" t="s">
        <v>1001</v>
      </c>
      <c r="C300">
        <v>164</v>
      </c>
      <c r="D300" t="s">
        <v>63</v>
      </c>
      <c r="E300" t="s">
        <v>78</v>
      </c>
      <c r="F300" t="s">
        <v>362</v>
      </c>
      <c r="G300" t="s">
        <v>363</v>
      </c>
      <c r="H300">
        <v>36</v>
      </c>
      <c r="I300">
        <v>1399</v>
      </c>
      <c r="J300" t="s">
        <v>1002</v>
      </c>
      <c r="K300" t="s">
        <v>599</v>
      </c>
      <c r="L300" t="s">
        <v>1003</v>
      </c>
      <c r="M300" t="s">
        <v>82</v>
      </c>
      <c r="N300">
        <v>16404</v>
      </c>
      <c r="O300" t="s">
        <v>83</v>
      </c>
      <c r="Q300" t="s">
        <v>381</v>
      </c>
      <c r="R300" t="s">
        <v>1004</v>
      </c>
      <c r="S300" t="s">
        <v>903</v>
      </c>
      <c r="T300" s="6">
        <v>2100000000</v>
      </c>
      <c r="U300" s="45">
        <f>VLOOKUP(B300,realPrices!C:G,5,0)</f>
        <v>2205000000</v>
      </c>
      <c r="W300" t="str">
        <f t="shared" si="4"/>
        <v>PU1 OHVG CNG1399</v>
      </c>
      <c r="X300">
        <f>VLOOKUP(W300,Sheet10!D:F,2,0)*10000000</f>
        <v>2830000000</v>
      </c>
      <c r="Y300" t="s">
        <v>114</v>
      </c>
      <c r="Z300"/>
    </row>
    <row r="301" spans="1:26" x14ac:dyDescent="0.25">
      <c r="A301" t="s">
        <v>376</v>
      </c>
      <c r="B301" t="s">
        <v>894</v>
      </c>
      <c r="C301">
        <v>164</v>
      </c>
      <c r="D301" t="s">
        <v>63</v>
      </c>
      <c r="E301" t="s">
        <v>78</v>
      </c>
      <c r="F301" t="s">
        <v>362</v>
      </c>
      <c r="G301" t="s">
        <v>363</v>
      </c>
      <c r="H301">
        <v>29</v>
      </c>
      <c r="I301">
        <v>1399</v>
      </c>
      <c r="J301" t="s">
        <v>895</v>
      </c>
      <c r="K301" t="s">
        <v>599</v>
      </c>
      <c r="L301" t="s">
        <v>896</v>
      </c>
      <c r="M301" t="s">
        <v>82</v>
      </c>
      <c r="N301">
        <v>16404</v>
      </c>
      <c r="O301" t="s">
        <v>83</v>
      </c>
      <c r="Q301" t="s">
        <v>381</v>
      </c>
      <c r="R301" t="s">
        <v>897</v>
      </c>
      <c r="S301" t="s">
        <v>913</v>
      </c>
      <c r="T301" s="6">
        <v>2100000000</v>
      </c>
      <c r="U301" s="45">
        <f>VLOOKUP(B301,realPrices!C:G,5,0)</f>
        <v>2310000000</v>
      </c>
      <c r="W301" t="str">
        <f t="shared" si="4"/>
        <v>PU1 OHVG CNG1399</v>
      </c>
      <c r="X301">
        <f>VLOOKUP(W301,Sheet10!D:F,2,0)*10000000</f>
        <v>2830000000</v>
      </c>
      <c r="Y301" t="s">
        <v>114</v>
      </c>
      <c r="Z301"/>
    </row>
    <row r="302" spans="1:26" x14ac:dyDescent="0.25">
      <c r="A302" t="s">
        <v>376</v>
      </c>
      <c r="B302" t="s">
        <v>1704</v>
      </c>
      <c r="C302">
        <v>164</v>
      </c>
      <c r="D302" t="s">
        <v>63</v>
      </c>
      <c r="E302" t="s">
        <v>78</v>
      </c>
      <c r="F302" t="s">
        <v>362</v>
      </c>
      <c r="G302" t="s">
        <v>363</v>
      </c>
      <c r="H302">
        <v>33</v>
      </c>
      <c r="I302">
        <v>1399</v>
      </c>
      <c r="J302" t="s">
        <v>1705</v>
      </c>
      <c r="K302" t="s">
        <v>1706</v>
      </c>
      <c r="L302" t="s">
        <v>1707</v>
      </c>
      <c r="M302" t="s">
        <v>82</v>
      </c>
      <c r="N302">
        <v>16404</v>
      </c>
      <c r="O302" t="s">
        <v>83</v>
      </c>
      <c r="Q302" t="s">
        <v>381</v>
      </c>
      <c r="R302" t="s">
        <v>1708</v>
      </c>
      <c r="S302" t="s">
        <v>1190</v>
      </c>
      <c r="T302" s="6">
        <v>2100000000</v>
      </c>
      <c r="U302" s="45">
        <f>VLOOKUP(B302,realPrices!C:G,5,0)</f>
        <v>2419999999</v>
      </c>
      <c r="W302" t="str">
        <f t="shared" si="4"/>
        <v>PU1 OHVG CNG1399</v>
      </c>
      <c r="X302">
        <f>VLOOKUP(W302,Sheet10!D:F,2,0)*10000000</f>
        <v>2830000000</v>
      </c>
      <c r="Y302" t="s">
        <v>114</v>
      </c>
      <c r="Z302"/>
    </row>
    <row r="303" spans="1:26" x14ac:dyDescent="0.25">
      <c r="A303" t="s">
        <v>376</v>
      </c>
      <c r="B303" t="s">
        <v>1709</v>
      </c>
      <c r="C303">
        <v>164</v>
      </c>
      <c r="D303" t="s">
        <v>63</v>
      </c>
      <c r="E303" t="s">
        <v>78</v>
      </c>
      <c r="F303" t="s">
        <v>362</v>
      </c>
      <c r="G303" t="s">
        <v>363</v>
      </c>
      <c r="H303">
        <v>27</v>
      </c>
      <c r="I303">
        <v>1399</v>
      </c>
      <c r="J303" t="s">
        <v>1710</v>
      </c>
      <c r="K303" t="s">
        <v>1711</v>
      </c>
      <c r="L303" t="s">
        <v>1712</v>
      </c>
      <c r="M303" t="s">
        <v>82</v>
      </c>
      <c r="N303">
        <v>16404</v>
      </c>
      <c r="O303" t="s">
        <v>83</v>
      </c>
      <c r="Q303" t="s">
        <v>381</v>
      </c>
      <c r="R303" t="s">
        <v>1713</v>
      </c>
      <c r="S303" t="s">
        <v>777</v>
      </c>
      <c r="T303" s="6">
        <v>2100000000</v>
      </c>
      <c r="U303" s="45">
        <f>VLOOKUP(B303,realPrices!C:G,5,0)</f>
        <v>2340000000</v>
      </c>
      <c r="W303" t="str">
        <f t="shared" si="4"/>
        <v>PU1 OHVG CNG1399</v>
      </c>
      <c r="X303">
        <f>VLOOKUP(W303,Sheet10!D:F,2,0)*10000000</f>
        <v>2830000000</v>
      </c>
      <c r="Y303" t="s">
        <v>114</v>
      </c>
      <c r="Z303"/>
    </row>
    <row r="304" spans="1:26" x14ac:dyDescent="0.25">
      <c r="A304" t="s">
        <v>376</v>
      </c>
      <c r="B304" t="s">
        <v>1714</v>
      </c>
      <c r="C304">
        <v>164</v>
      </c>
      <c r="D304" t="s">
        <v>63</v>
      </c>
      <c r="E304" t="s">
        <v>78</v>
      </c>
      <c r="F304" t="s">
        <v>362</v>
      </c>
      <c r="G304" t="s">
        <v>363</v>
      </c>
      <c r="H304">
        <v>26</v>
      </c>
      <c r="I304">
        <v>1399</v>
      </c>
      <c r="J304" t="s">
        <v>1715</v>
      </c>
      <c r="K304" t="s">
        <v>599</v>
      </c>
      <c r="L304" t="s">
        <v>1716</v>
      </c>
      <c r="M304" t="s">
        <v>82</v>
      </c>
      <c r="N304">
        <v>16404</v>
      </c>
      <c r="O304" t="s">
        <v>83</v>
      </c>
      <c r="Q304" t="s">
        <v>381</v>
      </c>
      <c r="R304" t="s">
        <v>1717</v>
      </c>
      <c r="S304" t="s">
        <v>893</v>
      </c>
      <c r="T304" s="6">
        <v>2100000000</v>
      </c>
      <c r="U304" s="45">
        <f>VLOOKUP(B304,realPrices!C:G,5,0)</f>
        <v>2305555555</v>
      </c>
      <c r="W304" t="str">
        <f t="shared" si="4"/>
        <v>PU1 OHVG CNG1399</v>
      </c>
      <c r="X304">
        <f>VLOOKUP(W304,Sheet10!D:F,2,0)*10000000</f>
        <v>2830000000</v>
      </c>
      <c r="Y304" t="s">
        <v>114</v>
      </c>
      <c r="Z304"/>
    </row>
    <row r="305" spans="1:26" x14ac:dyDescent="0.25">
      <c r="A305" t="s">
        <v>376</v>
      </c>
      <c r="B305" t="s">
        <v>1718</v>
      </c>
      <c r="C305">
        <v>164</v>
      </c>
      <c r="D305" t="s">
        <v>63</v>
      </c>
      <c r="E305" t="s">
        <v>78</v>
      </c>
      <c r="F305" t="s">
        <v>362</v>
      </c>
      <c r="G305" t="s">
        <v>363</v>
      </c>
      <c r="H305">
        <v>30</v>
      </c>
      <c r="I305">
        <v>1399</v>
      </c>
      <c r="J305" t="s">
        <v>1719</v>
      </c>
      <c r="K305" t="s">
        <v>1720</v>
      </c>
      <c r="L305" t="s">
        <v>1721</v>
      </c>
      <c r="M305" t="s">
        <v>82</v>
      </c>
      <c r="N305">
        <v>16404</v>
      </c>
      <c r="O305" t="s">
        <v>83</v>
      </c>
      <c r="Q305" t="s">
        <v>381</v>
      </c>
      <c r="R305" t="s">
        <v>1722</v>
      </c>
      <c r="S305" t="s">
        <v>1149</v>
      </c>
      <c r="T305" s="6">
        <v>2100000000</v>
      </c>
      <c r="U305" s="45">
        <f>VLOOKUP(B305,realPrices!C:G,5,0)</f>
        <v>2360000000</v>
      </c>
      <c r="W305" t="str">
        <f t="shared" si="4"/>
        <v>PU1 OHVG CNG1399</v>
      </c>
      <c r="X305">
        <f>VLOOKUP(W305,Sheet10!D:F,2,0)*10000000</f>
        <v>2830000000</v>
      </c>
      <c r="Y305" t="s">
        <v>114</v>
      </c>
      <c r="Z305"/>
    </row>
    <row r="306" spans="1:26" x14ac:dyDescent="0.25">
      <c r="A306" t="s">
        <v>376</v>
      </c>
      <c r="B306" t="s">
        <v>1723</v>
      </c>
      <c r="C306">
        <v>164</v>
      </c>
      <c r="D306" t="s">
        <v>63</v>
      </c>
      <c r="E306" t="s">
        <v>78</v>
      </c>
      <c r="F306" t="s">
        <v>362</v>
      </c>
      <c r="G306" t="s">
        <v>363</v>
      </c>
      <c r="H306">
        <v>27</v>
      </c>
      <c r="I306">
        <v>1399</v>
      </c>
      <c r="J306" t="s">
        <v>1724</v>
      </c>
      <c r="K306" t="s">
        <v>599</v>
      </c>
      <c r="L306" t="s">
        <v>1725</v>
      </c>
      <c r="M306" t="s">
        <v>82</v>
      </c>
      <c r="N306">
        <v>16404</v>
      </c>
      <c r="O306" t="s">
        <v>83</v>
      </c>
      <c r="Q306" t="s">
        <v>381</v>
      </c>
      <c r="R306" t="s">
        <v>1726</v>
      </c>
      <c r="S306" t="s">
        <v>816</v>
      </c>
      <c r="T306" s="6">
        <v>2100000000</v>
      </c>
      <c r="U306" s="45">
        <f>VLOOKUP(B306,realPrices!C:G,5,0)</f>
        <v>2223470000</v>
      </c>
      <c r="W306" t="str">
        <f t="shared" si="4"/>
        <v>PU1 OHVG CNG1399</v>
      </c>
      <c r="X306">
        <f>VLOOKUP(W306,Sheet10!D:F,2,0)*10000000</f>
        <v>2830000000</v>
      </c>
      <c r="Y306" t="s">
        <v>114</v>
      </c>
      <c r="Z306"/>
    </row>
    <row r="307" spans="1:26" x14ac:dyDescent="0.25">
      <c r="A307" t="s">
        <v>376</v>
      </c>
      <c r="B307" t="s">
        <v>1727</v>
      </c>
      <c r="C307">
        <v>164</v>
      </c>
      <c r="D307" t="s">
        <v>63</v>
      </c>
      <c r="E307" t="s">
        <v>78</v>
      </c>
      <c r="F307" t="s">
        <v>362</v>
      </c>
      <c r="G307" t="s">
        <v>363</v>
      </c>
      <c r="H307">
        <v>27</v>
      </c>
      <c r="I307">
        <v>1399</v>
      </c>
      <c r="J307" t="s">
        <v>1728</v>
      </c>
      <c r="K307" t="s">
        <v>1729</v>
      </c>
      <c r="L307" t="s">
        <v>1730</v>
      </c>
      <c r="M307" t="s">
        <v>82</v>
      </c>
      <c r="N307">
        <v>16404</v>
      </c>
      <c r="O307" t="s">
        <v>83</v>
      </c>
      <c r="Q307" t="s">
        <v>381</v>
      </c>
      <c r="R307" t="s">
        <v>1731</v>
      </c>
      <c r="S307" t="s">
        <v>767</v>
      </c>
      <c r="T307" s="6">
        <v>2100000000</v>
      </c>
      <c r="U307" s="45">
        <f>VLOOKUP(B307,realPrices!C:G,5,0)</f>
        <v>2310000000</v>
      </c>
      <c r="W307" t="str">
        <f t="shared" si="4"/>
        <v>PU1 OHVG CNG1399</v>
      </c>
      <c r="X307">
        <f>VLOOKUP(W307,Sheet10!D:F,2,0)*10000000</f>
        <v>2830000000</v>
      </c>
      <c r="Y307" t="s">
        <v>114</v>
      </c>
      <c r="Z307"/>
    </row>
    <row r="308" spans="1:26" x14ac:dyDescent="0.25">
      <c r="A308" t="s">
        <v>376</v>
      </c>
      <c r="B308" t="s">
        <v>1732</v>
      </c>
      <c r="C308">
        <v>164</v>
      </c>
      <c r="D308" t="s">
        <v>63</v>
      </c>
      <c r="E308" t="s">
        <v>78</v>
      </c>
      <c r="F308" t="s">
        <v>362</v>
      </c>
      <c r="G308" t="s">
        <v>363</v>
      </c>
      <c r="H308">
        <v>39</v>
      </c>
      <c r="I308">
        <v>1399</v>
      </c>
      <c r="J308" t="s">
        <v>1733</v>
      </c>
      <c r="K308" t="s">
        <v>599</v>
      </c>
      <c r="L308" t="s">
        <v>1734</v>
      </c>
      <c r="M308" t="s">
        <v>82</v>
      </c>
      <c r="N308">
        <v>16404</v>
      </c>
      <c r="O308" t="s">
        <v>83</v>
      </c>
      <c r="Q308" t="s">
        <v>381</v>
      </c>
      <c r="R308" t="s">
        <v>1735</v>
      </c>
      <c r="S308" t="s">
        <v>1138</v>
      </c>
      <c r="T308" s="6">
        <v>2100000000</v>
      </c>
      <c r="U308" s="45">
        <f>VLOOKUP(B308,realPrices!C:G,5,0)</f>
        <v>2410000000</v>
      </c>
      <c r="W308" t="str">
        <f t="shared" si="4"/>
        <v>PU1 OHVG CNG1399</v>
      </c>
      <c r="X308">
        <f>VLOOKUP(W308,Sheet10!D:F,2,0)*10000000</f>
        <v>2830000000</v>
      </c>
      <c r="Y308" t="s">
        <v>114</v>
      </c>
      <c r="Z308"/>
    </row>
    <row r="309" spans="1:26" x14ac:dyDescent="0.25">
      <c r="A309" t="s">
        <v>376</v>
      </c>
      <c r="B309" t="s">
        <v>1736</v>
      </c>
      <c r="C309">
        <v>164</v>
      </c>
      <c r="D309" t="s">
        <v>63</v>
      </c>
      <c r="E309" t="s">
        <v>78</v>
      </c>
      <c r="F309" t="s">
        <v>362</v>
      </c>
      <c r="G309" t="s">
        <v>363</v>
      </c>
      <c r="H309">
        <v>27</v>
      </c>
      <c r="I309">
        <v>1399</v>
      </c>
      <c r="J309" t="s">
        <v>1737</v>
      </c>
      <c r="K309" t="s">
        <v>599</v>
      </c>
      <c r="L309" t="s">
        <v>1738</v>
      </c>
      <c r="M309" t="s">
        <v>82</v>
      </c>
      <c r="N309">
        <v>16404</v>
      </c>
      <c r="O309" t="s">
        <v>83</v>
      </c>
      <c r="Q309" t="s">
        <v>381</v>
      </c>
      <c r="R309" t="s">
        <v>1739</v>
      </c>
      <c r="S309" t="s">
        <v>772</v>
      </c>
      <c r="T309" s="6">
        <v>2100000000</v>
      </c>
      <c r="U309" s="45">
        <f>VLOOKUP(B309,realPrices!C:G,5,0)</f>
        <v>2572513900</v>
      </c>
      <c r="W309" t="str">
        <f t="shared" si="4"/>
        <v>PU1 OHVG CNG1399</v>
      </c>
      <c r="X309">
        <f>VLOOKUP(W309,Sheet10!D:F,2,0)*10000000</f>
        <v>2830000000</v>
      </c>
      <c r="Y309" t="s">
        <v>114</v>
      </c>
      <c r="Z309"/>
    </row>
    <row r="310" spans="1:26" x14ac:dyDescent="0.25">
      <c r="A310" t="s">
        <v>376</v>
      </c>
      <c r="B310" t="s">
        <v>1740</v>
      </c>
      <c r="C310">
        <v>164</v>
      </c>
      <c r="D310" t="s">
        <v>63</v>
      </c>
      <c r="E310" t="s">
        <v>78</v>
      </c>
      <c r="F310" t="s">
        <v>362</v>
      </c>
      <c r="G310" t="s">
        <v>363</v>
      </c>
      <c r="H310">
        <v>26</v>
      </c>
      <c r="I310">
        <v>1399</v>
      </c>
      <c r="J310" t="s">
        <v>1741</v>
      </c>
      <c r="K310" t="s">
        <v>599</v>
      </c>
      <c r="L310" t="s">
        <v>1742</v>
      </c>
      <c r="M310" t="s">
        <v>82</v>
      </c>
      <c r="N310">
        <v>16404</v>
      </c>
      <c r="O310" t="s">
        <v>83</v>
      </c>
      <c r="Q310" t="s">
        <v>381</v>
      </c>
      <c r="R310" t="s">
        <v>1743</v>
      </c>
      <c r="S310" t="s">
        <v>1381</v>
      </c>
      <c r="T310" s="6">
        <v>2100000000</v>
      </c>
      <c r="U310" s="45">
        <f>VLOOKUP(B310,realPrices!C:G,5,0)</f>
        <v>2289999999</v>
      </c>
      <c r="W310" t="str">
        <f t="shared" si="4"/>
        <v>PU1 OHVG CNG1399</v>
      </c>
      <c r="X310">
        <f>VLOOKUP(W310,Sheet10!D:F,2,0)*10000000</f>
        <v>2830000000</v>
      </c>
      <c r="Y310" t="s">
        <v>114</v>
      </c>
      <c r="Z310"/>
    </row>
    <row r="311" spans="1:26" x14ac:dyDescent="0.25">
      <c r="A311" t="s">
        <v>376</v>
      </c>
      <c r="B311" t="s">
        <v>1744</v>
      </c>
      <c r="C311">
        <v>164</v>
      </c>
      <c r="D311" t="s">
        <v>63</v>
      </c>
      <c r="E311" t="s">
        <v>78</v>
      </c>
      <c r="F311" t="s">
        <v>362</v>
      </c>
      <c r="G311" t="s">
        <v>363</v>
      </c>
      <c r="H311">
        <v>38</v>
      </c>
      <c r="I311">
        <v>1399</v>
      </c>
      <c r="J311" t="s">
        <v>1745</v>
      </c>
      <c r="K311" t="s">
        <v>1746</v>
      </c>
      <c r="L311" t="s">
        <v>1747</v>
      </c>
      <c r="M311" t="s">
        <v>82</v>
      </c>
      <c r="N311">
        <v>16404</v>
      </c>
      <c r="O311" t="s">
        <v>83</v>
      </c>
      <c r="Q311" t="s">
        <v>381</v>
      </c>
      <c r="R311" t="s">
        <v>1748</v>
      </c>
      <c r="S311" t="s">
        <v>811</v>
      </c>
      <c r="T311" s="6">
        <v>2100000000</v>
      </c>
      <c r="U311" s="45">
        <f>VLOOKUP(B311,realPrices!C:G,5,0)</f>
        <v>2439999999</v>
      </c>
      <c r="W311" t="str">
        <f t="shared" si="4"/>
        <v>PU1 OHVG CNG1399</v>
      </c>
      <c r="X311">
        <f>VLOOKUP(W311,Sheet10!D:F,2,0)*10000000</f>
        <v>2830000000</v>
      </c>
      <c r="Y311" t="s">
        <v>114</v>
      </c>
      <c r="Z311"/>
    </row>
    <row r="312" spans="1:26" x14ac:dyDescent="0.25">
      <c r="A312" t="s">
        <v>376</v>
      </c>
      <c r="B312" t="s">
        <v>1749</v>
      </c>
      <c r="C312">
        <v>164</v>
      </c>
      <c r="D312" t="s">
        <v>63</v>
      </c>
      <c r="E312" t="s">
        <v>78</v>
      </c>
      <c r="F312" t="s">
        <v>362</v>
      </c>
      <c r="G312" t="s">
        <v>363</v>
      </c>
      <c r="H312">
        <v>21</v>
      </c>
      <c r="I312">
        <v>1399</v>
      </c>
      <c r="J312" t="s">
        <v>1750</v>
      </c>
      <c r="K312" t="s">
        <v>599</v>
      </c>
      <c r="L312" t="s">
        <v>1751</v>
      </c>
      <c r="M312" t="s">
        <v>82</v>
      </c>
      <c r="N312">
        <v>16404</v>
      </c>
      <c r="O312" t="s">
        <v>83</v>
      </c>
      <c r="Q312" t="s">
        <v>381</v>
      </c>
      <c r="R312" t="s">
        <v>1752</v>
      </c>
      <c r="S312" t="s">
        <v>968</v>
      </c>
      <c r="T312" s="6">
        <v>2100000000</v>
      </c>
      <c r="U312" s="45">
        <f>VLOOKUP(B312,realPrices!C:G,5,0)</f>
        <v>2487999999</v>
      </c>
      <c r="W312" t="str">
        <f t="shared" si="4"/>
        <v>PU1 OHVG CNG1399</v>
      </c>
      <c r="X312">
        <f>VLOOKUP(W312,Sheet10!D:F,2,0)*10000000</f>
        <v>2830000000</v>
      </c>
      <c r="Y312" t="s">
        <v>114</v>
      </c>
      <c r="Z312"/>
    </row>
    <row r="313" spans="1:26" x14ac:dyDescent="0.25">
      <c r="A313" t="s">
        <v>376</v>
      </c>
      <c r="B313" t="s">
        <v>1753</v>
      </c>
      <c r="C313">
        <v>164</v>
      </c>
      <c r="D313" t="s">
        <v>63</v>
      </c>
      <c r="E313" t="s">
        <v>78</v>
      </c>
      <c r="F313" t="s">
        <v>362</v>
      </c>
      <c r="G313" t="s">
        <v>363</v>
      </c>
      <c r="H313">
        <v>56</v>
      </c>
      <c r="I313">
        <v>1399</v>
      </c>
      <c r="J313" t="s">
        <v>1754</v>
      </c>
      <c r="K313" t="s">
        <v>1755</v>
      </c>
      <c r="L313" t="s">
        <v>1756</v>
      </c>
      <c r="M313" t="s">
        <v>82</v>
      </c>
      <c r="N313">
        <v>16404</v>
      </c>
      <c r="O313" t="s">
        <v>83</v>
      </c>
      <c r="Q313" t="s">
        <v>381</v>
      </c>
      <c r="R313" t="s">
        <v>1757</v>
      </c>
      <c r="S313" t="s">
        <v>1356</v>
      </c>
      <c r="T313" s="6">
        <v>2100000000</v>
      </c>
      <c r="U313" s="45">
        <f>VLOOKUP(B313,realPrices!C:G,5,0)</f>
        <v>2388238888</v>
      </c>
      <c r="W313" t="str">
        <f t="shared" si="4"/>
        <v>PU1 OHVG CNG1399</v>
      </c>
      <c r="X313">
        <f>VLOOKUP(W313,Sheet10!D:F,2,0)*10000000</f>
        <v>2830000000</v>
      </c>
      <c r="Y313" t="s">
        <v>114</v>
      </c>
      <c r="Z313"/>
    </row>
    <row r="314" spans="1:26" x14ac:dyDescent="0.25">
      <c r="A314" t="s">
        <v>376</v>
      </c>
      <c r="B314" t="s">
        <v>1758</v>
      </c>
      <c r="C314">
        <v>164</v>
      </c>
      <c r="D314" t="s">
        <v>63</v>
      </c>
      <c r="E314" t="s">
        <v>78</v>
      </c>
      <c r="F314" t="s">
        <v>362</v>
      </c>
      <c r="G314" t="s">
        <v>363</v>
      </c>
      <c r="H314">
        <v>29</v>
      </c>
      <c r="I314">
        <v>1399</v>
      </c>
      <c r="J314" t="s">
        <v>1759</v>
      </c>
      <c r="K314" t="s">
        <v>1114</v>
      </c>
      <c r="L314" t="s">
        <v>1760</v>
      </c>
      <c r="M314" t="s">
        <v>82</v>
      </c>
      <c r="N314">
        <v>16404</v>
      </c>
      <c r="O314" t="s">
        <v>83</v>
      </c>
      <c r="Q314" t="s">
        <v>381</v>
      </c>
      <c r="R314" t="s">
        <v>1761</v>
      </c>
      <c r="S314" t="s">
        <v>1262</v>
      </c>
      <c r="T314" s="6">
        <v>2100000000</v>
      </c>
      <c r="U314" s="45">
        <f>VLOOKUP(B314,realPrices!C:G,5,0)</f>
        <v>2999999999</v>
      </c>
      <c r="W314" t="str">
        <f t="shared" si="4"/>
        <v>PU1 OHVG CNG1399</v>
      </c>
      <c r="X314">
        <f>VLOOKUP(W314,Sheet10!D:F,2,0)*10000000</f>
        <v>2830000000</v>
      </c>
      <c r="Y314" t="s">
        <v>114</v>
      </c>
      <c r="Z314"/>
    </row>
    <row r="315" spans="1:26" x14ac:dyDescent="0.25">
      <c r="A315" t="s">
        <v>376</v>
      </c>
      <c r="B315" t="s">
        <v>1762</v>
      </c>
      <c r="C315">
        <v>164</v>
      </c>
      <c r="D315" t="s">
        <v>63</v>
      </c>
      <c r="E315" t="s">
        <v>78</v>
      </c>
      <c r="F315" t="s">
        <v>362</v>
      </c>
      <c r="G315" t="s">
        <v>363</v>
      </c>
      <c r="H315">
        <v>25</v>
      </c>
      <c r="I315">
        <v>1399</v>
      </c>
      <c r="J315" t="s">
        <v>1763</v>
      </c>
      <c r="K315" t="s">
        <v>1764</v>
      </c>
      <c r="L315" t="s">
        <v>1765</v>
      </c>
      <c r="M315" t="s">
        <v>82</v>
      </c>
      <c r="N315">
        <v>16404</v>
      </c>
      <c r="O315" t="s">
        <v>83</v>
      </c>
      <c r="Q315" t="s">
        <v>381</v>
      </c>
      <c r="R315" t="s">
        <v>1766</v>
      </c>
      <c r="S315" t="s">
        <v>472</v>
      </c>
      <c r="T315" s="6">
        <v>2100000000</v>
      </c>
      <c r="U315" s="45">
        <f>VLOOKUP(B315,realPrices!C:G,5,0)</f>
        <v>2380001000</v>
      </c>
      <c r="W315" t="str">
        <f t="shared" si="4"/>
        <v>PU1 OHVG CNG1399</v>
      </c>
      <c r="X315">
        <f>VLOOKUP(W315,Sheet10!D:F,2,0)*10000000</f>
        <v>2830000000</v>
      </c>
      <c r="Y315" t="s">
        <v>114</v>
      </c>
      <c r="Z315"/>
    </row>
    <row r="316" spans="1:26" x14ac:dyDescent="0.25">
      <c r="A316" t="s">
        <v>376</v>
      </c>
      <c r="B316" t="s">
        <v>832</v>
      </c>
      <c r="C316">
        <v>164</v>
      </c>
      <c r="D316" t="s">
        <v>63</v>
      </c>
      <c r="E316" t="s">
        <v>78</v>
      </c>
      <c r="F316" t="s">
        <v>362</v>
      </c>
      <c r="G316" t="s">
        <v>363</v>
      </c>
      <c r="H316">
        <v>33</v>
      </c>
      <c r="I316">
        <v>1399</v>
      </c>
      <c r="J316" t="s">
        <v>833</v>
      </c>
      <c r="K316" t="s">
        <v>834</v>
      </c>
      <c r="L316" t="s">
        <v>1767</v>
      </c>
      <c r="M316" t="s">
        <v>82</v>
      </c>
      <c r="N316">
        <v>16404</v>
      </c>
      <c r="O316" t="s">
        <v>83</v>
      </c>
      <c r="Q316" t="s">
        <v>381</v>
      </c>
      <c r="R316" t="s">
        <v>836</v>
      </c>
      <c r="S316" t="s">
        <v>584</v>
      </c>
      <c r="T316" s="6">
        <v>2100000000</v>
      </c>
      <c r="U316" s="45">
        <f>VLOOKUP(B316,realPrices!C:G,5,0)</f>
        <v>0</v>
      </c>
      <c r="W316" t="str">
        <f t="shared" si="4"/>
        <v>PU1 OHVG CNG1399</v>
      </c>
      <c r="X316">
        <f>VLOOKUP(W316,Sheet10!D:F,2,0)*10000000</f>
        <v>2830000000</v>
      </c>
      <c r="Y316" t="s">
        <v>114</v>
      </c>
      <c r="Z316"/>
    </row>
    <row r="317" spans="1:26" x14ac:dyDescent="0.25">
      <c r="A317" t="s">
        <v>376</v>
      </c>
      <c r="B317" t="s">
        <v>1768</v>
      </c>
      <c r="C317">
        <v>164</v>
      </c>
      <c r="D317" t="s">
        <v>63</v>
      </c>
      <c r="E317" t="s">
        <v>78</v>
      </c>
      <c r="F317" t="s">
        <v>362</v>
      </c>
      <c r="G317" t="s">
        <v>363</v>
      </c>
      <c r="H317">
        <v>27</v>
      </c>
      <c r="I317">
        <v>1399</v>
      </c>
      <c r="J317" t="s">
        <v>1769</v>
      </c>
      <c r="K317" t="s">
        <v>1114</v>
      </c>
      <c r="L317" t="s">
        <v>1770</v>
      </c>
      <c r="M317" t="s">
        <v>82</v>
      </c>
      <c r="N317">
        <v>16404</v>
      </c>
      <c r="O317" t="s">
        <v>83</v>
      </c>
      <c r="Q317" t="s">
        <v>381</v>
      </c>
      <c r="R317" t="s">
        <v>1771</v>
      </c>
      <c r="S317" t="s">
        <v>1036</v>
      </c>
      <c r="T317" s="6">
        <v>2100000000</v>
      </c>
      <c r="U317" s="45">
        <f>VLOOKUP(B317,realPrices!C:G,5,0)</f>
        <v>2400000000</v>
      </c>
      <c r="W317" t="str">
        <f t="shared" si="4"/>
        <v>PU1 OHVG CNG1399</v>
      </c>
      <c r="X317">
        <f>VLOOKUP(W317,Sheet10!D:F,2,0)*10000000</f>
        <v>2830000000</v>
      </c>
      <c r="Y317" t="s">
        <v>114</v>
      </c>
      <c r="Z317"/>
    </row>
    <row r="318" spans="1:26" x14ac:dyDescent="0.25">
      <c r="A318" t="s">
        <v>376</v>
      </c>
      <c r="B318" t="s">
        <v>1772</v>
      </c>
      <c r="C318">
        <v>164</v>
      </c>
      <c r="D318" t="s">
        <v>63</v>
      </c>
      <c r="E318" t="s">
        <v>78</v>
      </c>
      <c r="F318" t="s">
        <v>362</v>
      </c>
      <c r="G318" t="s">
        <v>363</v>
      </c>
      <c r="H318">
        <v>30</v>
      </c>
      <c r="I318">
        <v>1399</v>
      </c>
      <c r="J318" t="s">
        <v>1773</v>
      </c>
      <c r="K318" t="s">
        <v>599</v>
      </c>
      <c r="L318" t="s">
        <v>1774</v>
      </c>
      <c r="M318" t="s">
        <v>82</v>
      </c>
      <c r="N318">
        <v>16404</v>
      </c>
      <c r="O318" t="s">
        <v>83</v>
      </c>
      <c r="Q318" t="s">
        <v>381</v>
      </c>
      <c r="R318" t="s">
        <v>1775</v>
      </c>
      <c r="S318" t="s">
        <v>837</v>
      </c>
      <c r="T318" s="6">
        <v>2100000000</v>
      </c>
      <c r="U318" s="45">
        <f>VLOOKUP(B318,realPrices!C:G,5,0)</f>
        <v>2389999999</v>
      </c>
      <c r="W318" t="str">
        <f t="shared" si="4"/>
        <v>PU1 OHVG CNG1399</v>
      </c>
      <c r="X318">
        <f>VLOOKUP(W318,Sheet10!D:F,2,0)*10000000</f>
        <v>2830000000</v>
      </c>
      <c r="Y318" t="s">
        <v>114</v>
      </c>
      <c r="Z318"/>
    </row>
    <row r="319" spans="1:26" x14ac:dyDescent="0.25">
      <c r="A319" t="s">
        <v>376</v>
      </c>
      <c r="B319" t="s">
        <v>1776</v>
      </c>
      <c r="C319">
        <v>164</v>
      </c>
      <c r="D319" t="s">
        <v>63</v>
      </c>
      <c r="E319" t="s">
        <v>78</v>
      </c>
      <c r="F319" t="s">
        <v>362</v>
      </c>
      <c r="G319" t="s">
        <v>363</v>
      </c>
      <c r="H319">
        <v>39</v>
      </c>
      <c r="I319">
        <v>1399</v>
      </c>
      <c r="J319" t="s">
        <v>1777</v>
      </c>
      <c r="K319" t="s">
        <v>1778</v>
      </c>
      <c r="L319" t="s">
        <v>1779</v>
      </c>
      <c r="M319" t="s">
        <v>82</v>
      </c>
      <c r="N319">
        <v>16404</v>
      </c>
      <c r="O319" t="s">
        <v>83</v>
      </c>
      <c r="Q319" t="s">
        <v>381</v>
      </c>
      <c r="R319" t="s">
        <v>1780</v>
      </c>
      <c r="S319" t="s">
        <v>782</v>
      </c>
      <c r="T319" s="6">
        <v>2100000000</v>
      </c>
      <c r="U319" s="45">
        <f>VLOOKUP(B319,realPrices!C:G,5,0)</f>
        <v>2340000000</v>
      </c>
      <c r="W319" t="str">
        <f t="shared" si="4"/>
        <v>PU1 OHVG CNG1399</v>
      </c>
      <c r="X319">
        <f>VLOOKUP(W319,Sheet10!D:F,2,0)*10000000</f>
        <v>2830000000</v>
      </c>
      <c r="Y319" t="s">
        <v>114</v>
      </c>
      <c r="Z319"/>
    </row>
    <row r="320" spans="1:26" x14ac:dyDescent="0.25">
      <c r="A320" t="s">
        <v>376</v>
      </c>
      <c r="B320" t="s">
        <v>1781</v>
      </c>
      <c r="C320">
        <v>164</v>
      </c>
      <c r="D320" t="s">
        <v>63</v>
      </c>
      <c r="E320" t="s">
        <v>78</v>
      </c>
      <c r="F320" t="s">
        <v>362</v>
      </c>
      <c r="G320" t="s">
        <v>363</v>
      </c>
      <c r="H320">
        <v>31</v>
      </c>
      <c r="I320">
        <v>1399</v>
      </c>
      <c r="J320" t="s">
        <v>1782</v>
      </c>
      <c r="K320" t="s">
        <v>834</v>
      </c>
      <c r="L320" t="s">
        <v>1783</v>
      </c>
      <c r="M320" t="s">
        <v>82</v>
      </c>
      <c r="N320">
        <v>16404</v>
      </c>
      <c r="O320" t="s">
        <v>83</v>
      </c>
      <c r="Q320" t="s">
        <v>381</v>
      </c>
      <c r="R320" t="s">
        <v>1784</v>
      </c>
      <c r="S320" t="s">
        <v>1111</v>
      </c>
      <c r="T320" s="6">
        <v>2100000000</v>
      </c>
      <c r="U320" s="45">
        <f>VLOOKUP(B320,realPrices!C:G,5,0)</f>
        <v>2320000000</v>
      </c>
      <c r="W320" t="str">
        <f t="shared" si="4"/>
        <v>PU1 OHVG CNG1399</v>
      </c>
      <c r="X320">
        <f>VLOOKUP(W320,Sheet10!D:F,2,0)*10000000</f>
        <v>2830000000</v>
      </c>
      <c r="Y320" t="s">
        <v>114</v>
      </c>
      <c r="Z320"/>
    </row>
    <row r="321" spans="1:26" x14ac:dyDescent="0.25">
      <c r="A321" t="s">
        <v>376</v>
      </c>
      <c r="B321" t="s">
        <v>1785</v>
      </c>
      <c r="C321">
        <v>164</v>
      </c>
      <c r="D321" t="s">
        <v>63</v>
      </c>
      <c r="E321" t="s">
        <v>78</v>
      </c>
      <c r="F321" t="s">
        <v>362</v>
      </c>
      <c r="G321" t="s">
        <v>363</v>
      </c>
      <c r="H321">
        <v>26</v>
      </c>
      <c r="I321">
        <v>1399</v>
      </c>
      <c r="J321" t="s">
        <v>1786</v>
      </c>
      <c r="K321" t="s">
        <v>599</v>
      </c>
      <c r="L321" t="s">
        <v>1787</v>
      </c>
      <c r="M321" t="s">
        <v>82</v>
      </c>
      <c r="N321">
        <v>16404</v>
      </c>
      <c r="O321" t="s">
        <v>83</v>
      </c>
      <c r="Q321" t="s">
        <v>381</v>
      </c>
      <c r="R321" t="s">
        <v>1788</v>
      </c>
      <c r="S321" t="s">
        <v>1081</v>
      </c>
      <c r="T321" s="6">
        <v>2100000000</v>
      </c>
      <c r="U321" s="45">
        <f>VLOOKUP(B321,realPrices!C:G,5,0)</f>
        <v>2511212127</v>
      </c>
      <c r="W321" t="str">
        <f t="shared" si="4"/>
        <v>PU1 OHVG CNG1399</v>
      </c>
      <c r="X321">
        <f>VLOOKUP(W321,Sheet10!D:F,2,0)*10000000</f>
        <v>2830000000</v>
      </c>
      <c r="Y321" t="s">
        <v>114</v>
      </c>
      <c r="Z321"/>
    </row>
    <row r="322" spans="1:26" x14ac:dyDescent="0.25">
      <c r="A322" t="s">
        <v>376</v>
      </c>
      <c r="B322" t="s">
        <v>1789</v>
      </c>
      <c r="C322">
        <v>164</v>
      </c>
      <c r="D322" t="s">
        <v>63</v>
      </c>
      <c r="E322" t="s">
        <v>78</v>
      </c>
      <c r="F322" t="s">
        <v>362</v>
      </c>
      <c r="G322" t="s">
        <v>363</v>
      </c>
      <c r="H322">
        <v>31</v>
      </c>
      <c r="I322">
        <v>1399</v>
      </c>
      <c r="J322" t="s">
        <v>1790</v>
      </c>
      <c r="K322" t="s">
        <v>1114</v>
      </c>
      <c r="L322" t="s">
        <v>1791</v>
      </c>
      <c r="M322" t="s">
        <v>82</v>
      </c>
      <c r="N322">
        <v>16404</v>
      </c>
      <c r="O322" t="s">
        <v>83</v>
      </c>
      <c r="Q322" t="s">
        <v>381</v>
      </c>
      <c r="R322" t="s">
        <v>1792</v>
      </c>
      <c r="S322" t="s">
        <v>797</v>
      </c>
      <c r="T322" s="6">
        <v>2100000000</v>
      </c>
      <c r="U322" s="45">
        <f>VLOOKUP(B322,realPrices!C:G,5,0)</f>
        <v>2583999999</v>
      </c>
      <c r="W322" t="str">
        <f t="shared" ref="W322:W385" si="5">M322&amp;I322</f>
        <v>PU1 OHVG CNG1399</v>
      </c>
      <c r="X322">
        <f>VLOOKUP(W322,Sheet10!D:F,2,0)*10000000</f>
        <v>2830000000</v>
      </c>
      <c r="Y322" t="s">
        <v>114</v>
      </c>
      <c r="Z322"/>
    </row>
    <row r="323" spans="1:26" x14ac:dyDescent="0.25">
      <c r="A323" t="s">
        <v>376</v>
      </c>
      <c r="B323" t="s">
        <v>1793</v>
      </c>
      <c r="C323">
        <v>164</v>
      </c>
      <c r="D323" t="s">
        <v>63</v>
      </c>
      <c r="E323" t="s">
        <v>78</v>
      </c>
      <c r="F323" t="s">
        <v>362</v>
      </c>
      <c r="G323" t="s">
        <v>363</v>
      </c>
      <c r="H323">
        <v>31</v>
      </c>
      <c r="I323">
        <v>1399</v>
      </c>
      <c r="J323" t="s">
        <v>1794</v>
      </c>
      <c r="K323" t="s">
        <v>1114</v>
      </c>
      <c r="L323" t="s">
        <v>1795</v>
      </c>
      <c r="M323" t="s">
        <v>82</v>
      </c>
      <c r="N323">
        <v>16404</v>
      </c>
      <c r="O323" t="s">
        <v>83</v>
      </c>
      <c r="Q323" t="s">
        <v>381</v>
      </c>
      <c r="R323" t="s">
        <v>1796</v>
      </c>
      <c r="S323" t="s">
        <v>525</v>
      </c>
      <c r="T323" s="6">
        <v>2100000000</v>
      </c>
      <c r="U323" s="45">
        <f>VLOOKUP(B323,realPrices!C:G,5,0)</f>
        <v>2431111111</v>
      </c>
      <c r="W323" t="str">
        <f t="shared" si="5"/>
        <v>PU1 OHVG CNG1399</v>
      </c>
      <c r="X323">
        <f>VLOOKUP(W323,Sheet10!D:F,2,0)*10000000</f>
        <v>2830000000</v>
      </c>
      <c r="Y323" t="s">
        <v>114</v>
      </c>
      <c r="Z323"/>
    </row>
    <row r="324" spans="1:26" x14ac:dyDescent="0.25">
      <c r="A324" t="s">
        <v>376</v>
      </c>
      <c r="B324" t="s">
        <v>1797</v>
      </c>
      <c r="C324">
        <v>164</v>
      </c>
      <c r="D324" t="s">
        <v>63</v>
      </c>
      <c r="E324" t="s">
        <v>78</v>
      </c>
      <c r="F324" t="s">
        <v>362</v>
      </c>
      <c r="G324" t="s">
        <v>363</v>
      </c>
      <c r="H324">
        <v>45</v>
      </c>
      <c r="I324">
        <v>1399</v>
      </c>
      <c r="J324" t="s">
        <v>1798</v>
      </c>
      <c r="K324" t="s">
        <v>1799</v>
      </c>
      <c r="L324" t="s">
        <v>1800</v>
      </c>
      <c r="M324" t="s">
        <v>82</v>
      </c>
      <c r="N324">
        <v>16404</v>
      </c>
      <c r="O324" t="s">
        <v>83</v>
      </c>
      <c r="Q324" t="s">
        <v>381</v>
      </c>
      <c r="R324" t="s">
        <v>1801</v>
      </c>
      <c r="S324" t="s">
        <v>953</v>
      </c>
      <c r="T324" s="6">
        <v>2100000000</v>
      </c>
      <c r="U324" s="45">
        <f>VLOOKUP(B324,realPrices!C:G,5,0)</f>
        <v>2370000000</v>
      </c>
      <c r="W324" t="str">
        <f t="shared" si="5"/>
        <v>PU1 OHVG CNG1399</v>
      </c>
      <c r="X324">
        <f>VLOOKUP(W324,Sheet10!D:F,2,0)*10000000</f>
        <v>2830000000</v>
      </c>
      <c r="Y324" t="s">
        <v>114</v>
      </c>
      <c r="Z324"/>
    </row>
    <row r="325" spans="1:26" x14ac:dyDescent="0.25">
      <c r="A325" t="s">
        <v>376</v>
      </c>
      <c r="B325" t="s">
        <v>1802</v>
      </c>
      <c r="C325">
        <v>164</v>
      </c>
      <c r="D325" t="s">
        <v>63</v>
      </c>
      <c r="E325" t="s">
        <v>78</v>
      </c>
      <c r="F325" t="s">
        <v>362</v>
      </c>
      <c r="G325" t="s">
        <v>363</v>
      </c>
      <c r="H325">
        <v>36</v>
      </c>
      <c r="I325">
        <v>1399</v>
      </c>
      <c r="J325" t="s">
        <v>1803</v>
      </c>
      <c r="K325" t="s">
        <v>1114</v>
      </c>
      <c r="L325" t="s">
        <v>1804</v>
      </c>
      <c r="M325" t="s">
        <v>82</v>
      </c>
      <c r="N325">
        <v>16404</v>
      </c>
      <c r="O325" t="s">
        <v>83</v>
      </c>
      <c r="Q325" t="s">
        <v>381</v>
      </c>
      <c r="R325" t="s">
        <v>1805</v>
      </c>
      <c r="S325" t="s">
        <v>560</v>
      </c>
      <c r="T325" s="6">
        <v>2100000000</v>
      </c>
      <c r="U325" s="45">
        <f>VLOOKUP(B325,realPrices!C:G,5,0)</f>
        <v>2618000000</v>
      </c>
      <c r="W325" t="str">
        <f t="shared" si="5"/>
        <v>PU1 OHVG CNG1399</v>
      </c>
      <c r="X325">
        <f>VLOOKUP(W325,Sheet10!D:F,2,0)*10000000</f>
        <v>2830000000</v>
      </c>
      <c r="Y325" t="s">
        <v>114</v>
      </c>
      <c r="Z325"/>
    </row>
    <row r="326" spans="1:26" x14ac:dyDescent="0.25">
      <c r="A326" t="s">
        <v>376</v>
      </c>
      <c r="B326" t="s">
        <v>1806</v>
      </c>
      <c r="C326">
        <v>164</v>
      </c>
      <c r="D326" t="s">
        <v>63</v>
      </c>
      <c r="E326" t="s">
        <v>78</v>
      </c>
      <c r="F326" t="s">
        <v>362</v>
      </c>
      <c r="G326" t="s">
        <v>363</v>
      </c>
      <c r="H326">
        <v>36</v>
      </c>
      <c r="I326">
        <v>1399</v>
      </c>
      <c r="J326" t="s">
        <v>1807</v>
      </c>
      <c r="K326" t="s">
        <v>1114</v>
      </c>
      <c r="L326" t="s">
        <v>1808</v>
      </c>
      <c r="M326" t="s">
        <v>82</v>
      </c>
      <c r="N326">
        <v>16404</v>
      </c>
      <c r="O326" t="s">
        <v>83</v>
      </c>
      <c r="Q326" t="s">
        <v>381</v>
      </c>
      <c r="R326" t="s">
        <v>1809</v>
      </c>
      <c r="S326" t="s">
        <v>842</v>
      </c>
      <c r="T326" s="6">
        <v>2100000000</v>
      </c>
      <c r="U326" s="45">
        <f>VLOOKUP(B326,realPrices!C:G,5,0)</f>
        <v>2523200000</v>
      </c>
      <c r="W326" t="str">
        <f t="shared" si="5"/>
        <v>PU1 OHVG CNG1399</v>
      </c>
      <c r="X326">
        <f>VLOOKUP(W326,Sheet10!D:F,2,0)*10000000</f>
        <v>2830000000</v>
      </c>
      <c r="Y326" t="s">
        <v>114</v>
      </c>
      <c r="Z326"/>
    </row>
    <row r="327" spans="1:26" x14ac:dyDescent="0.25">
      <c r="A327" t="s">
        <v>376</v>
      </c>
      <c r="B327" t="s">
        <v>1810</v>
      </c>
      <c r="C327">
        <v>164</v>
      </c>
      <c r="D327" t="s">
        <v>63</v>
      </c>
      <c r="E327" t="s">
        <v>78</v>
      </c>
      <c r="F327" t="s">
        <v>362</v>
      </c>
      <c r="G327" t="s">
        <v>363</v>
      </c>
      <c r="H327">
        <v>36</v>
      </c>
      <c r="I327">
        <v>1399</v>
      </c>
      <c r="J327" t="s">
        <v>1811</v>
      </c>
      <c r="K327" t="s">
        <v>1604</v>
      </c>
      <c r="L327" t="s">
        <v>1812</v>
      </c>
      <c r="M327" t="s">
        <v>82</v>
      </c>
      <c r="N327">
        <v>16404</v>
      </c>
      <c r="O327" t="s">
        <v>83</v>
      </c>
      <c r="Q327" t="s">
        <v>381</v>
      </c>
      <c r="R327" t="s">
        <v>1813</v>
      </c>
      <c r="S327" t="s">
        <v>898</v>
      </c>
      <c r="T327" s="6">
        <v>2100000000</v>
      </c>
      <c r="U327" s="45">
        <f>VLOOKUP(B327,realPrices!C:G,5,0)</f>
        <v>2510000000</v>
      </c>
      <c r="W327" t="str">
        <f t="shared" si="5"/>
        <v>PU1 OHVG CNG1399</v>
      </c>
      <c r="X327">
        <f>VLOOKUP(W327,Sheet10!D:F,2,0)*10000000</f>
        <v>2830000000</v>
      </c>
      <c r="Y327" t="s">
        <v>114</v>
      </c>
      <c r="Z327"/>
    </row>
    <row r="328" spans="1:26" x14ac:dyDescent="0.25">
      <c r="A328" t="s">
        <v>376</v>
      </c>
      <c r="B328" t="s">
        <v>1814</v>
      </c>
      <c r="C328">
        <v>164</v>
      </c>
      <c r="D328" t="s">
        <v>63</v>
      </c>
      <c r="E328" t="s">
        <v>78</v>
      </c>
      <c r="F328" t="s">
        <v>362</v>
      </c>
      <c r="G328" t="s">
        <v>363</v>
      </c>
      <c r="H328">
        <v>29</v>
      </c>
      <c r="I328">
        <v>1399</v>
      </c>
      <c r="J328" t="s">
        <v>1815</v>
      </c>
      <c r="K328" t="s">
        <v>834</v>
      </c>
      <c r="L328" t="s">
        <v>1816</v>
      </c>
      <c r="M328" t="s">
        <v>82</v>
      </c>
      <c r="N328">
        <v>16404</v>
      </c>
      <c r="O328" t="s">
        <v>83</v>
      </c>
      <c r="Q328" t="s">
        <v>381</v>
      </c>
      <c r="R328" t="s">
        <v>1817</v>
      </c>
      <c r="S328" t="s">
        <v>1025</v>
      </c>
      <c r="T328" s="6">
        <v>2100000000</v>
      </c>
      <c r="U328" s="45">
        <f>VLOOKUP(B328,realPrices!C:G,5,0)</f>
        <v>2487999000</v>
      </c>
      <c r="W328" t="str">
        <f t="shared" si="5"/>
        <v>PU1 OHVG CNG1399</v>
      </c>
      <c r="X328">
        <f>VLOOKUP(W328,Sheet10!D:F,2,0)*10000000</f>
        <v>2830000000</v>
      </c>
      <c r="Y328" t="s">
        <v>114</v>
      </c>
      <c r="Z328"/>
    </row>
    <row r="329" spans="1:26" x14ac:dyDescent="0.25">
      <c r="A329" t="s">
        <v>376</v>
      </c>
      <c r="B329" t="s">
        <v>1818</v>
      </c>
      <c r="C329">
        <v>164</v>
      </c>
      <c r="D329" t="s">
        <v>63</v>
      </c>
      <c r="E329" t="s">
        <v>78</v>
      </c>
      <c r="F329" t="s">
        <v>362</v>
      </c>
      <c r="G329" t="s">
        <v>206</v>
      </c>
      <c r="H329">
        <v>29</v>
      </c>
      <c r="I329">
        <v>1399</v>
      </c>
      <c r="J329" t="s">
        <v>1819</v>
      </c>
      <c r="K329" t="s">
        <v>1114</v>
      </c>
      <c r="L329" t="s">
        <v>1820</v>
      </c>
      <c r="M329" t="s">
        <v>82</v>
      </c>
      <c r="N329">
        <v>16404</v>
      </c>
      <c r="O329" t="s">
        <v>83</v>
      </c>
      <c r="Q329" t="s">
        <v>381</v>
      </c>
      <c r="R329" t="s">
        <v>1821</v>
      </c>
      <c r="S329" t="s">
        <v>1169</v>
      </c>
      <c r="T329" s="6">
        <v>2100000000</v>
      </c>
      <c r="U329" s="45">
        <f>VLOOKUP(B329,realPrices!C:G,5,0)</f>
        <v>2467999000</v>
      </c>
      <c r="W329" t="str">
        <f t="shared" si="5"/>
        <v>PU1 OHVG CNG1399</v>
      </c>
      <c r="X329">
        <f>VLOOKUP(W329,Sheet10!D:F,2,0)*10000000</f>
        <v>2830000000</v>
      </c>
      <c r="Y329" t="s">
        <v>114</v>
      </c>
      <c r="Z329"/>
    </row>
    <row r="330" spans="1:26" x14ac:dyDescent="0.25">
      <c r="A330" t="s">
        <v>376</v>
      </c>
      <c r="B330" t="s">
        <v>1822</v>
      </c>
      <c r="C330">
        <v>164</v>
      </c>
      <c r="D330" t="s">
        <v>63</v>
      </c>
      <c r="E330" t="s">
        <v>78</v>
      </c>
      <c r="F330" t="s">
        <v>362</v>
      </c>
      <c r="G330" t="s">
        <v>363</v>
      </c>
      <c r="H330">
        <v>66</v>
      </c>
      <c r="I330">
        <v>1399</v>
      </c>
      <c r="J330" t="s">
        <v>1823</v>
      </c>
      <c r="K330" t="s">
        <v>1824</v>
      </c>
      <c r="L330" t="s">
        <v>1825</v>
      </c>
      <c r="M330" t="s">
        <v>82</v>
      </c>
      <c r="N330">
        <v>16404</v>
      </c>
      <c r="O330" t="s">
        <v>83</v>
      </c>
      <c r="Q330" t="s">
        <v>381</v>
      </c>
      <c r="R330" t="s">
        <v>1826</v>
      </c>
      <c r="S330" t="s">
        <v>1154</v>
      </c>
      <c r="T330" s="6">
        <v>2100000000</v>
      </c>
      <c r="U330" s="45">
        <f>VLOOKUP(B330,realPrices!C:G,5,0)</f>
        <v>2280000000</v>
      </c>
      <c r="W330" t="str">
        <f t="shared" si="5"/>
        <v>PU1 OHVG CNG1399</v>
      </c>
      <c r="X330">
        <f>VLOOKUP(W330,Sheet10!D:F,2,0)*10000000</f>
        <v>2830000000</v>
      </c>
      <c r="Y330" t="s">
        <v>114</v>
      </c>
      <c r="Z330"/>
    </row>
    <row r="331" spans="1:26" x14ac:dyDescent="0.25">
      <c r="A331" t="s">
        <v>376</v>
      </c>
      <c r="B331" t="s">
        <v>1827</v>
      </c>
      <c r="C331">
        <v>164</v>
      </c>
      <c r="D331" t="s">
        <v>63</v>
      </c>
      <c r="E331" t="s">
        <v>78</v>
      </c>
      <c r="F331" t="s">
        <v>362</v>
      </c>
      <c r="G331" t="s">
        <v>363</v>
      </c>
      <c r="H331">
        <v>36</v>
      </c>
      <c r="I331">
        <v>1399</v>
      </c>
      <c r="J331" t="s">
        <v>1828</v>
      </c>
      <c r="K331" t="s">
        <v>834</v>
      </c>
      <c r="L331" t="s">
        <v>1829</v>
      </c>
      <c r="M331" t="s">
        <v>82</v>
      </c>
      <c r="N331">
        <v>16404</v>
      </c>
      <c r="O331" t="s">
        <v>83</v>
      </c>
      <c r="Q331" t="s">
        <v>381</v>
      </c>
      <c r="R331" t="s">
        <v>1830</v>
      </c>
      <c r="S331" t="s">
        <v>908</v>
      </c>
      <c r="T331" s="6">
        <v>2100000000</v>
      </c>
      <c r="U331" s="45">
        <f>VLOOKUP(B331,realPrices!C:G,5,0)</f>
        <v>2321000000</v>
      </c>
      <c r="W331" t="str">
        <f t="shared" si="5"/>
        <v>PU1 OHVG CNG1399</v>
      </c>
      <c r="X331">
        <f>VLOOKUP(W331,Sheet10!D:F,2,0)*10000000</f>
        <v>2830000000</v>
      </c>
      <c r="Y331" t="s">
        <v>114</v>
      </c>
      <c r="Z331"/>
    </row>
    <row r="332" spans="1:26" x14ac:dyDescent="0.25">
      <c r="A332" t="s">
        <v>376</v>
      </c>
      <c r="B332" t="s">
        <v>1831</v>
      </c>
      <c r="C332">
        <v>164</v>
      </c>
      <c r="D332" t="s">
        <v>63</v>
      </c>
      <c r="E332" t="s">
        <v>78</v>
      </c>
      <c r="F332" t="s">
        <v>362</v>
      </c>
      <c r="G332" t="s">
        <v>363</v>
      </c>
      <c r="H332">
        <v>35</v>
      </c>
      <c r="I332">
        <v>1399</v>
      </c>
      <c r="J332" t="s">
        <v>1832</v>
      </c>
      <c r="K332" t="s">
        <v>1114</v>
      </c>
      <c r="L332" t="s">
        <v>1833</v>
      </c>
      <c r="M332" t="s">
        <v>82</v>
      </c>
      <c r="N332">
        <v>16404</v>
      </c>
      <c r="O332" t="s">
        <v>83</v>
      </c>
      <c r="Q332" t="s">
        <v>381</v>
      </c>
      <c r="R332" t="s">
        <v>1834</v>
      </c>
      <c r="S332" t="s">
        <v>1247</v>
      </c>
      <c r="T332" s="6">
        <v>2100000000</v>
      </c>
      <c r="U332" s="45">
        <f>VLOOKUP(B332,realPrices!C:G,5,0)</f>
        <v>2411999990</v>
      </c>
      <c r="W332" t="str">
        <f t="shared" si="5"/>
        <v>PU1 OHVG CNG1399</v>
      </c>
      <c r="X332">
        <f>VLOOKUP(W332,Sheet10!D:F,2,0)*10000000</f>
        <v>2830000000</v>
      </c>
      <c r="Y332" t="s">
        <v>114</v>
      </c>
      <c r="Z332"/>
    </row>
    <row r="333" spans="1:26" x14ac:dyDescent="0.25">
      <c r="A333" t="s">
        <v>376</v>
      </c>
      <c r="B333" t="s">
        <v>1835</v>
      </c>
      <c r="C333">
        <v>164</v>
      </c>
      <c r="D333" t="s">
        <v>63</v>
      </c>
      <c r="E333" t="s">
        <v>78</v>
      </c>
      <c r="F333" t="s">
        <v>362</v>
      </c>
      <c r="G333" t="s">
        <v>363</v>
      </c>
      <c r="H333">
        <v>42</v>
      </c>
      <c r="I333">
        <v>1399</v>
      </c>
      <c r="J333" t="s">
        <v>1836</v>
      </c>
      <c r="K333" t="s">
        <v>1837</v>
      </c>
      <c r="L333" t="s">
        <v>1838</v>
      </c>
      <c r="M333" t="s">
        <v>82</v>
      </c>
      <c r="N333">
        <v>16404</v>
      </c>
      <c r="O333" t="s">
        <v>83</v>
      </c>
      <c r="Q333" t="s">
        <v>381</v>
      </c>
      <c r="R333" t="s">
        <v>1839</v>
      </c>
      <c r="S333" t="s">
        <v>595</v>
      </c>
      <c r="T333" s="6">
        <v>2100000000</v>
      </c>
      <c r="U333" s="45">
        <f>VLOOKUP(B333,realPrices!C:G,5,0)</f>
        <v>2355555555</v>
      </c>
      <c r="W333" t="str">
        <f t="shared" si="5"/>
        <v>PU1 OHVG CNG1399</v>
      </c>
      <c r="X333">
        <f>VLOOKUP(W333,Sheet10!D:F,2,0)*10000000</f>
        <v>2830000000</v>
      </c>
      <c r="Y333" t="s">
        <v>114</v>
      </c>
      <c r="Z333"/>
    </row>
    <row r="334" spans="1:26" x14ac:dyDescent="0.25">
      <c r="A334" t="s">
        <v>376</v>
      </c>
      <c r="B334" t="s">
        <v>1840</v>
      </c>
      <c r="C334">
        <v>164</v>
      </c>
      <c r="D334" t="s">
        <v>63</v>
      </c>
      <c r="E334" t="s">
        <v>78</v>
      </c>
      <c r="F334" t="s">
        <v>362</v>
      </c>
      <c r="G334" t="s">
        <v>363</v>
      </c>
      <c r="H334">
        <v>37</v>
      </c>
      <c r="I334">
        <v>1399</v>
      </c>
      <c r="J334" t="s">
        <v>1841</v>
      </c>
      <c r="K334" t="s">
        <v>1114</v>
      </c>
      <c r="L334" t="s">
        <v>1842</v>
      </c>
      <c r="M334" t="s">
        <v>82</v>
      </c>
      <c r="N334">
        <v>16404</v>
      </c>
      <c r="O334" t="s">
        <v>83</v>
      </c>
      <c r="Q334" t="s">
        <v>381</v>
      </c>
      <c r="R334" t="s">
        <v>1843</v>
      </c>
      <c r="S334" t="s">
        <v>589</v>
      </c>
      <c r="T334" s="6">
        <v>2100000000</v>
      </c>
      <c r="U334" s="45">
        <f>VLOOKUP(B334,realPrices!C:G,5,0)</f>
        <v>2459000000</v>
      </c>
      <c r="W334" t="str">
        <f t="shared" si="5"/>
        <v>PU1 OHVG CNG1399</v>
      </c>
      <c r="X334">
        <f>VLOOKUP(W334,Sheet10!D:F,2,0)*10000000</f>
        <v>2830000000</v>
      </c>
      <c r="Y334" t="s">
        <v>114</v>
      </c>
      <c r="Z334"/>
    </row>
    <row r="335" spans="1:26" x14ac:dyDescent="0.25">
      <c r="A335" t="s">
        <v>376</v>
      </c>
      <c r="B335" t="s">
        <v>1844</v>
      </c>
      <c r="C335">
        <v>164</v>
      </c>
      <c r="D335" t="s">
        <v>63</v>
      </c>
      <c r="E335" t="s">
        <v>78</v>
      </c>
      <c r="F335" t="s">
        <v>362</v>
      </c>
      <c r="G335" t="s">
        <v>363</v>
      </c>
      <c r="H335">
        <v>33</v>
      </c>
      <c r="I335">
        <v>1399</v>
      </c>
      <c r="J335" t="s">
        <v>1845</v>
      </c>
      <c r="K335" t="s">
        <v>1846</v>
      </c>
      <c r="L335" t="s">
        <v>1847</v>
      </c>
      <c r="M335" t="s">
        <v>82</v>
      </c>
      <c r="N335">
        <v>16404</v>
      </c>
      <c r="O335" t="s">
        <v>83</v>
      </c>
      <c r="Q335" t="s">
        <v>381</v>
      </c>
      <c r="R335" t="s">
        <v>1848</v>
      </c>
      <c r="S335" t="s">
        <v>1339</v>
      </c>
      <c r="T335" s="6">
        <v>2100000000</v>
      </c>
      <c r="U335" s="45">
        <f>VLOOKUP(B335,realPrices!C:G,5,0)</f>
        <v>2470000000</v>
      </c>
      <c r="W335" t="str">
        <f t="shared" si="5"/>
        <v>PU1 OHVG CNG1399</v>
      </c>
      <c r="X335">
        <f>VLOOKUP(W335,Sheet10!D:F,2,0)*10000000</f>
        <v>2830000000</v>
      </c>
      <c r="Y335" t="s">
        <v>114</v>
      </c>
      <c r="Z335"/>
    </row>
    <row r="336" spans="1:26" x14ac:dyDescent="0.25">
      <c r="A336" t="s">
        <v>376</v>
      </c>
      <c r="B336" t="s">
        <v>1849</v>
      </c>
      <c r="C336">
        <v>164</v>
      </c>
      <c r="D336" t="s">
        <v>63</v>
      </c>
      <c r="E336" t="s">
        <v>78</v>
      </c>
      <c r="F336" t="s">
        <v>362</v>
      </c>
      <c r="G336" t="s">
        <v>363</v>
      </c>
      <c r="H336">
        <v>36</v>
      </c>
      <c r="I336">
        <v>1399</v>
      </c>
      <c r="J336" t="s">
        <v>1850</v>
      </c>
      <c r="K336" t="s">
        <v>1114</v>
      </c>
      <c r="L336" t="s">
        <v>1851</v>
      </c>
      <c r="M336" t="s">
        <v>82</v>
      </c>
      <c r="N336">
        <v>16404</v>
      </c>
      <c r="O336" t="s">
        <v>83</v>
      </c>
      <c r="Q336" t="s">
        <v>381</v>
      </c>
      <c r="R336" t="s">
        <v>1852</v>
      </c>
      <c r="S336" t="s">
        <v>1144</v>
      </c>
      <c r="T336" s="6">
        <v>2100000000</v>
      </c>
      <c r="U336" s="45">
        <f>VLOOKUP(B336,realPrices!C:G,5,0)</f>
        <v>2355354438</v>
      </c>
      <c r="W336" t="str">
        <f t="shared" si="5"/>
        <v>PU1 OHVG CNG1399</v>
      </c>
      <c r="X336">
        <f>VLOOKUP(W336,Sheet10!D:F,2,0)*10000000</f>
        <v>2830000000</v>
      </c>
      <c r="Y336" t="s">
        <v>114</v>
      </c>
      <c r="Z336"/>
    </row>
    <row r="337" spans="1:26" x14ac:dyDescent="0.25">
      <c r="A337" t="s">
        <v>376</v>
      </c>
      <c r="B337" t="s">
        <v>1853</v>
      </c>
      <c r="C337">
        <v>164</v>
      </c>
      <c r="D337" t="s">
        <v>63</v>
      </c>
      <c r="E337" t="s">
        <v>78</v>
      </c>
      <c r="F337" t="s">
        <v>362</v>
      </c>
      <c r="G337" t="s">
        <v>363</v>
      </c>
      <c r="H337">
        <v>32</v>
      </c>
      <c r="I337">
        <v>1399</v>
      </c>
      <c r="J337" t="s">
        <v>1854</v>
      </c>
      <c r="K337" t="s">
        <v>1855</v>
      </c>
      <c r="L337" t="s">
        <v>1856</v>
      </c>
      <c r="M337" t="s">
        <v>82</v>
      </c>
      <c r="N337">
        <v>16404</v>
      </c>
      <c r="O337" t="s">
        <v>83</v>
      </c>
      <c r="Q337" t="s">
        <v>381</v>
      </c>
      <c r="R337" t="s">
        <v>1857</v>
      </c>
      <c r="S337" t="s">
        <v>792</v>
      </c>
      <c r="T337" s="6">
        <v>2100000000</v>
      </c>
      <c r="U337" s="45">
        <f>VLOOKUP(B337,realPrices!C:G,5,0)</f>
        <v>2333000000</v>
      </c>
      <c r="W337" t="str">
        <f t="shared" si="5"/>
        <v>PU1 OHVG CNG1399</v>
      </c>
      <c r="X337">
        <f>VLOOKUP(W337,Sheet10!D:F,2,0)*10000000</f>
        <v>2830000000</v>
      </c>
      <c r="Y337" t="s">
        <v>114</v>
      </c>
      <c r="Z337"/>
    </row>
    <row r="338" spans="1:26" x14ac:dyDescent="0.25">
      <c r="A338" t="s">
        <v>376</v>
      </c>
      <c r="B338" t="s">
        <v>1858</v>
      </c>
      <c r="C338">
        <v>164</v>
      </c>
      <c r="D338" t="s">
        <v>63</v>
      </c>
      <c r="E338" t="s">
        <v>78</v>
      </c>
      <c r="F338" t="s">
        <v>362</v>
      </c>
      <c r="G338" t="s">
        <v>363</v>
      </c>
      <c r="H338">
        <v>28</v>
      </c>
      <c r="I338">
        <v>1399</v>
      </c>
      <c r="J338" t="s">
        <v>1859</v>
      </c>
      <c r="K338" t="s">
        <v>834</v>
      </c>
      <c r="L338" t="s">
        <v>1860</v>
      </c>
      <c r="M338" t="s">
        <v>82</v>
      </c>
      <c r="N338">
        <v>16404</v>
      </c>
      <c r="O338" t="s">
        <v>83</v>
      </c>
      <c r="Q338" t="s">
        <v>381</v>
      </c>
      <c r="R338" t="s">
        <v>1861</v>
      </c>
      <c r="S338" t="s">
        <v>878</v>
      </c>
      <c r="T338" s="6">
        <v>2100000000</v>
      </c>
      <c r="U338" s="45">
        <f>VLOOKUP(B338,realPrices!C:G,5,0)</f>
        <v>2260321000</v>
      </c>
      <c r="W338" t="str">
        <f t="shared" si="5"/>
        <v>PU1 OHVG CNG1399</v>
      </c>
      <c r="X338">
        <f>VLOOKUP(W338,Sheet10!D:F,2,0)*10000000</f>
        <v>2830000000</v>
      </c>
      <c r="Y338" t="s">
        <v>114</v>
      </c>
      <c r="Z338"/>
    </row>
    <row r="339" spans="1:26" x14ac:dyDescent="0.25">
      <c r="A339" t="s">
        <v>376</v>
      </c>
      <c r="B339" t="s">
        <v>1862</v>
      </c>
      <c r="C339">
        <v>164</v>
      </c>
      <c r="D339" t="s">
        <v>63</v>
      </c>
      <c r="E339" t="s">
        <v>78</v>
      </c>
      <c r="F339" t="s">
        <v>362</v>
      </c>
      <c r="G339" t="s">
        <v>363</v>
      </c>
      <c r="H339">
        <v>25</v>
      </c>
      <c r="I339">
        <v>1399</v>
      </c>
      <c r="J339" t="s">
        <v>1863</v>
      </c>
      <c r="K339" t="s">
        <v>599</v>
      </c>
      <c r="L339" t="s">
        <v>1864</v>
      </c>
      <c r="M339" t="s">
        <v>82</v>
      </c>
      <c r="N339">
        <v>16404</v>
      </c>
      <c r="O339" t="s">
        <v>83</v>
      </c>
      <c r="Q339" t="s">
        <v>381</v>
      </c>
      <c r="R339" t="s">
        <v>1865</v>
      </c>
      <c r="S339" t="s">
        <v>489</v>
      </c>
      <c r="T339" s="6">
        <v>2100000000</v>
      </c>
      <c r="U339" s="45">
        <f>VLOOKUP(B339,realPrices!C:G,5,0)</f>
        <v>2130000000</v>
      </c>
      <c r="W339" t="str">
        <f t="shared" si="5"/>
        <v>PU1 OHVG CNG1399</v>
      </c>
      <c r="X339">
        <f>VLOOKUP(W339,Sheet10!D:F,2,0)*10000000</f>
        <v>2830000000</v>
      </c>
      <c r="Y339" t="s">
        <v>114</v>
      </c>
      <c r="Z339"/>
    </row>
    <row r="340" spans="1:26" x14ac:dyDescent="0.25">
      <c r="A340" t="s">
        <v>376</v>
      </c>
      <c r="B340" t="s">
        <v>1866</v>
      </c>
      <c r="C340">
        <v>164</v>
      </c>
      <c r="D340" t="s">
        <v>63</v>
      </c>
      <c r="E340" t="s">
        <v>78</v>
      </c>
      <c r="F340" t="s">
        <v>362</v>
      </c>
      <c r="G340" t="s">
        <v>363</v>
      </c>
      <c r="H340">
        <v>22</v>
      </c>
      <c r="I340">
        <v>1399</v>
      </c>
      <c r="J340" t="s">
        <v>1867</v>
      </c>
      <c r="K340" t="s">
        <v>1868</v>
      </c>
      <c r="L340" t="s">
        <v>1869</v>
      </c>
      <c r="M340" t="s">
        <v>82</v>
      </c>
      <c r="N340">
        <v>16404</v>
      </c>
      <c r="O340" t="s">
        <v>83</v>
      </c>
      <c r="Q340" t="s">
        <v>381</v>
      </c>
      <c r="R340" t="s">
        <v>1870</v>
      </c>
      <c r="S340" t="s">
        <v>989</v>
      </c>
      <c r="T340" s="6">
        <v>2100000000</v>
      </c>
      <c r="U340" s="45">
        <f>VLOOKUP(B340,realPrices!C:G,5,0)</f>
        <v>2521000000</v>
      </c>
      <c r="W340" t="str">
        <f t="shared" si="5"/>
        <v>PU1 OHVG CNG1399</v>
      </c>
      <c r="X340">
        <f>VLOOKUP(W340,Sheet10!D:F,2,0)*10000000</f>
        <v>2830000000</v>
      </c>
      <c r="Y340" t="s">
        <v>114</v>
      </c>
      <c r="Z340"/>
    </row>
    <row r="341" spans="1:26" x14ac:dyDescent="0.25">
      <c r="A341" t="s">
        <v>376</v>
      </c>
      <c r="B341" t="s">
        <v>1871</v>
      </c>
      <c r="C341">
        <v>164</v>
      </c>
      <c r="D341" t="s">
        <v>63</v>
      </c>
      <c r="E341" t="s">
        <v>78</v>
      </c>
      <c r="F341" t="s">
        <v>362</v>
      </c>
      <c r="G341" t="s">
        <v>363</v>
      </c>
      <c r="H341">
        <v>21</v>
      </c>
      <c r="I341">
        <v>1399</v>
      </c>
      <c r="J341" t="s">
        <v>1872</v>
      </c>
      <c r="K341" t="s">
        <v>599</v>
      </c>
      <c r="L341" t="s">
        <v>1873</v>
      </c>
      <c r="M341" t="s">
        <v>82</v>
      </c>
      <c r="N341">
        <v>16404</v>
      </c>
      <c r="O341" t="s">
        <v>83</v>
      </c>
      <c r="Q341" t="s">
        <v>381</v>
      </c>
      <c r="R341" t="s">
        <v>1874</v>
      </c>
      <c r="S341" t="s">
        <v>578</v>
      </c>
      <c r="T341" s="6">
        <v>2100000000</v>
      </c>
      <c r="U341" s="45">
        <f>VLOOKUP(B341,realPrices!C:G,5,0)</f>
        <v>2488000000</v>
      </c>
      <c r="W341" t="str">
        <f t="shared" si="5"/>
        <v>PU1 OHVG CNG1399</v>
      </c>
      <c r="X341">
        <f>VLOOKUP(W341,Sheet10!D:F,2,0)*10000000</f>
        <v>2830000000</v>
      </c>
      <c r="Y341" t="s">
        <v>114</v>
      </c>
      <c r="Z341"/>
    </row>
    <row r="342" spans="1:26" x14ac:dyDescent="0.25">
      <c r="A342" t="s">
        <v>376</v>
      </c>
      <c r="B342" t="s">
        <v>1875</v>
      </c>
      <c r="C342">
        <v>164</v>
      </c>
      <c r="D342" t="s">
        <v>63</v>
      </c>
      <c r="E342" t="s">
        <v>78</v>
      </c>
      <c r="F342" t="s">
        <v>362</v>
      </c>
      <c r="G342" t="s">
        <v>363</v>
      </c>
      <c r="H342">
        <v>18</v>
      </c>
      <c r="I342">
        <v>1399</v>
      </c>
      <c r="J342" t="s">
        <v>1876</v>
      </c>
      <c r="K342" t="s">
        <v>1114</v>
      </c>
      <c r="L342" t="s">
        <v>1877</v>
      </c>
      <c r="M342" t="s">
        <v>82</v>
      </c>
      <c r="N342">
        <v>16404</v>
      </c>
      <c r="O342" t="s">
        <v>83</v>
      </c>
      <c r="Q342" t="s">
        <v>381</v>
      </c>
      <c r="R342" t="s">
        <v>1878</v>
      </c>
      <c r="S342" t="s">
        <v>566</v>
      </c>
      <c r="T342" s="6">
        <v>2100000000</v>
      </c>
      <c r="U342" s="45">
        <f>VLOOKUP(B342,realPrices!C:G,5,0)</f>
        <v>2469000000</v>
      </c>
      <c r="W342" t="str">
        <f t="shared" si="5"/>
        <v>PU1 OHVG CNG1399</v>
      </c>
      <c r="X342">
        <f>VLOOKUP(W342,Sheet10!D:F,2,0)*10000000</f>
        <v>2830000000</v>
      </c>
      <c r="Y342" t="s">
        <v>114</v>
      </c>
      <c r="Z342"/>
    </row>
    <row r="343" spans="1:26" x14ac:dyDescent="0.25">
      <c r="A343" t="s">
        <v>376</v>
      </c>
      <c r="B343" t="s">
        <v>1879</v>
      </c>
      <c r="C343">
        <v>164</v>
      </c>
      <c r="D343" t="s">
        <v>63</v>
      </c>
      <c r="E343" t="s">
        <v>78</v>
      </c>
      <c r="F343" t="s">
        <v>362</v>
      </c>
      <c r="G343" t="s">
        <v>363</v>
      </c>
      <c r="H343">
        <v>34</v>
      </c>
      <c r="I343">
        <v>1399</v>
      </c>
      <c r="J343" t="s">
        <v>1880</v>
      </c>
      <c r="K343" t="s">
        <v>599</v>
      </c>
      <c r="L343" t="s">
        <v>1881</v>
      </c>
      <c r="M343" t="s">
        <v>82</v>
      </c>
      <c r="N343">
        <v>16404</v>
      </c>
      <c r="O343" t="s">
        <v>83</v>
      </c>
      <c r="Q343" t="s">
        <v>381</v>
      </c>
      <c r="R343" t="s">
        <v>1882</v>
      </c>
      <c r="S343" t="s">
        <v>1117</v>
      </c>
      <c r="T343" s="6">
        <v>2100000000</v>
      </c>
      <c r="U343" s="45">
        <f>VLOOKUP(B343,realPrices!C:G,5,0)</f>
        <v>2442000000</v>
      </c>
      <c r="W343" t="str">
        <f t="shared" si="5"/>
        <v>PU1 OHVG CNG1399</v>
      </c>
      <c r="X343">
        <f>VLOOKUP(W343,Sheet10!D:F,2,0)*10000000</f>
        <v>2830000000</v>
      </c>
      <c r="Y343" t="s">
        <v>114</v>
      </c>
      <c r="Z343"/>
    </row>
    <row r="344" spans="1:26" x14ac:dyDescent="0.25">
      <c r="A344" t="s">
        <v>376</v>
      </c>
      <c r="B344" t="s">
        <v>1883</v>
      </c>
      <c r="C344">
        <v>164</v>
      </c>
      <c r="D344" t="s">
        <v>63</v>
      </c>
      <c r="E344" t="s">
        <v>78</v>
      </c>
      <c r="F344" t="s">
        <v>362</v>
      </c>
      <c r="G344" t="s">
        <v>363</v>
      </c>
      <c r="H344">
        <v>21</v>
      </c>
      <c r="I344">
        <v>1399</v>
      </c>
      <c r="J344" t="s">
        <v>1884</v>
      </c>
      <c r="K344" t="s">
        <v>1885</v>
      </c>
      <c r="L344" t="s">
        <v>1886</v>
      </c>
      <c r="M344" t="s">
        <v>82</v>
      </c>
      <c r="N344">
        <v>16404</v>
      </c>
      <c r="O344" t="s">
        <v>83</v>
      </c>
      <c r="Q344" t="s">
        <v>381</v>
      </c>
      <c r="R344" t="s">
        <v>1887</v>
      </c>
      <c r="S344" t="s">
        <v>1015</v>
      </c>
      <c r="T344" s="6">
        <v>2100000000</v>
      </c>
      <c r="U344" s="45">
        <f>VLOOKUP(B344,realPrices!C:G,5,0)</f>
        <v>2300999999</v>
      </c>
      <c r="W344" t="str">
        <f t="shared" si="5"/>
        <v>PU1 OHVG CNG1399</v>
      </c>
      <c r="X344">
        <f>VLOOKUP(W344,Sheet10!D:F,2,0)*10000000</f>
        <v>2830000000</v>
      </c>
      <c r="Y344" t="s">
        <v>114</v>
      </c>
      <c r="Z344"/>
    </row>
    <row r="345" spans="1:26" x14ac:dyDescent="0.25">
      <c r="A345" t="s">
        <v>376</v>
      </c>
      <c r="B345" t="s">
        <v>1888</v>
      </c>
      <c r="C345">
        <v>164</v>
      </c>
      <c r="D345" t="s">
        <v>63</v>
      </c>
      <c r="E345" t="s">
        <v>78</v>
      </c>
      <c r="F345" t="s">
        <v>362</v>
      </c>
      <c r="G345" t="s">
        <v>363</v>
      </c>
      <c r="H345">
        <v>22</v>
      </c>
      <c r="I345">
        <v>1399</v>
      </c>
      <c r="J345" t="s">
        <v>1889</v>
      </c>
      <c r="K345" t="s">
        <v>1890</v>
      </c>
      <c r="L345" t="s">
        <v>1891</v>
      </c>
      <c r="M345" t="s">
        <v>82</v>
      </c>
      <c r="N345">
        <v>16404</v>
      </c>
      <c r="O345" t="s">
        <v>83</v>
      </c>
      <c r="Q345" t="s">
        <v>381</v>
      </c>
      <c r="R345" t="s">
        <v>1892</v>
      </c>
      <c r="S345" t="s">
        <v>383</v>
      </c>
      <c r="T345" s="6">
        <v>2100000000</v>
      </c>
      <c r="U345" s="45">
        <f>VLOOKUP(B345,realPrices!C:G,5,0)</f>
        <v>2505000000</v>
      </c>
      <c r="W345" t="str">
        <f t="shared" si="5"/>
        <v>PU1 OHVG CNG1399</v>
      </c>
      <c r="X345">
        <f>VLOOKUP(W345,Sheet10!D:F,2,0)*10000000</f>
        <v>2830000000</v>
      </c>
      <c r="Y345" t="s">
        <v>114</v>
      </c>
      <c r="Z345"/>
    </row>
    <row r="346" spans="1:26" x14ac:dyDescent="0.25">
      <c r="A346" t="s">
        <v>376</v>
      </c>
      <c r="B346" t="s">
        <v>1893</v>
      </c>
      <c r="C346">
        <v>164</v>
      </c>
      <c r="D346" t="s">
        <v>63</v>
      </c>
      <c r="E346" t="s">
        <v>78</v>
      </c>
      <c r="F346" t="s">
        <v>362</v>
      </c>
      <c r="G346" t="s">
        <v>363</v>
      </c>
      <c r="H346">
        <v>30</v>
      </c>
      <c r="I346">
        <v>1399</v>
      </c>
      <c r="J346" t="s">
        <v>1894</v>
      </c>
      <c r="K346" t="s">
        <v>1114</v>
      </c>
      <c r="L346" t="s">
        <v>1895</v>
      </c>
      <c r="M346" t="s">
        <v>82</v>
      </c>
      <c r="N346">
        <v>16404</v>
      </c>
      <c r="O346" t="s">
        <v>83</v>
      </c>
      <c r="Q346" t="s">
        <v>381</v>
      </c>
      <c r="R346" t="s">
        <v>1896</v>
      </c>
      <c r="S346" t="s">
        <v>1897</v>
      </c>
      <c r="T346" s="6">
        <v>2100000000</v>
      </c>
      <c r="U346" s="45">
        <f>VLOOKUP(B346,realPrices!C:G,5,0)</f>
        <v>2551000000</v>
      </c>
      <c r="W346" t="str">
        <f t="shared" si="5"/>
        <v>PU1 OHVG CNG1399</v>
      </c>
      <c r="X346">
        <f>VLOOKUP(W346,Sheet10!D:F,2,0)*10000000</f>
        <v>2830000000</v>
      </c>
      <c r="Y346" t="s">
        <v>114</v>
      </c>
      <c r="Z346"/>
    </row>
    <row r="347" spans="1:26" x14ac:dyDescent="0.25">
      <c r="A347" t="s">
        <v>376</v>
      </c>
      <c r="B347" t="s">
        <v>1898</v>
      </c>
      <c r="C347">
        <v>164</v>
      </c>
      <c r="D347" t="s">
        <v>63</v>
      </c>
      <c r="E347" t="s">
        <v>78</v>
      </c>
      <c r="F347" t="s">
        <v>362</v>
      </c>
      <c r="G347" t="s">
        <v>363</v>
      </c>
      <c r="H347">
        <v>30</v>
      </c>
      <c r="I347">
        <v>1399</v>
      </c>
      <c r="J347" t="s">
        <v>1899</v>
      </c>
      <c r="K347" t="s">
        <v>599</v>
      </c>
      <c r="L347" t="s">
        <v>1900</v>
      </c>
      <c r="M347" t="s">
        <v>82</v>
      </c>
      <c r="N347">
        <v>16404</v>
      </c>
      <c r="O347" t="s">
        <v>83</v>
      </c>
      <c r="Q347" t="s">
        <v>381</v>
      </c>
      <c r="R347" t="s">
        <v>1901</v>
      </c>
      <c r="S347" t="s">
        <v>1902</v>
      </c>
      <c r="T347" s="6">
        <v>2100000000</v>
      </c>
      <c r="U347" s="45">
        <f>VLOOKUP(B347,realPrices!C:G,5,0)</f>
        <v>2285500000</v>
      </c>
      <c r="W347" t="str">
        <f t="shared" si="5"/>
        <v>PU1 OHVG CNG1399</v>
      </c>
      <c r="X347">
        <f>VLOOKUP(W347,Sheet10!D:F,2,0)*10000000</f>
        <v>2830000000</v>
      </c>
      <c r="Y347" t="s">
        <v>114</v>
      </c>
      <c r="Z347"/>
    </row>
    <row r="348" spans="1:26" x14ac:dyDescent="0.25">
      <c r="A348" t="s">
        <v>376</v>
      </c>
      <c r="B348" t="s">
        <v>1903</v>
      </c>
      <c r="C348">
        <v>164</v>
      </c>
      <c r="D348" t="s">
        <v>63</v>
      </c>
      <c r="E348" t="s">
        <v>78</v>
      </c>
      <c r="F348" t="s">
        <v>362</v>
      </c>
      <c r="G348" t="s">
        <v>363</v>
      </c>
      <c r="H348">
        <v>26</v>
      </c>
      <c r="I348">
        <v>1399</v>
      </c>
      <c r="J348" t="s">
        <v>1904</v>
      </c>
      <c r="K348" t="s">
        <v>1114</v>
      </c>
      <c r="L348" t="s">
        <v>1905</v>
      </c>
      <c r="M348" t="s">
        <v>82</v>
      </c>
      <c r="N348">
        <v>16404</v>
      </c>
      <c r="O348" t="s">
        <v>83</v>
      </c>
      <c r="Q348" t="s">
        <v>381</v>
      </c>
      <c r="R348" t="s">
        <v>1906</v>
      </c>
      <c r="S348" t="s">
        <v>1907</v>
      </c>
      <c r="T348" s="6">
        <v>2100000000</v>
      </c>
      <c r="U348" s="45">
        <f>VLOOKUP(B348,realPrices!C:G,5,0)</f>
        <v>2386099999</v>
      </c>
      <c r="W348" t="str">
        <f t="shared" si="5"/>
        <v>PU1 OHVG CNG1399</v>
      </c>
      <c r="X348">
        <f>VLOOKUP(W348,Sheet10!D:F,2,0)*10000000</f>
        <v>2830000000</v>
      </c>
      <c r="Y348" t="s">
        <v>114</v>
      </c>
      <c r="Z348"/>
    </row>
    <row r="349" spans="1:26" x14ac:dyDescent="0.25">
      <c r="A349" t="s">
        <v>376</v>
      </c>
      <c r="B349" t="s">
        <v>1908</v>
      </c>
      <c r="C349">
        <v>164</v>
      </c>
      <c r="D349" t="s">
        <v>63</v>
      </c>
      <c r="E349" t="s">
        <v>78</v>
      </c>
      <c r="F349" t="s">
        <v>362</v>
      </c>
      <c r="G349" t="s">
        <v>363</v>
      </c>
      <c r="H349">
        <v>20</v>
      </c>
      <c r="I349">
        <v>1399</v>
      </c>
      <c r="J349" t="s">
        <v>1909</v>
      </c>
      <c r="K349" t="s">
        <v>1114</v>
      </c>
      <c r="L349" t="s">
        <v>1910</v>
      </c>
      <c r="M349" t="s">
        <v>82</v>
      </c>
      <c r="N349">
        <v>16404</v>
      </c>
      <c r="O349" t="s">
        <v>83</v>
      </c>
      <c r="Q349" t="s">
        <v>381</v>
      </c>
      <c r="R349" t="s">
        <v>1911</v>
      </c>
      <c r="S349" t="s">
        <v>1912</v>
      </c>
      <c r="T349" s="6">
        <v>2100000000</v>
      </c>
      <c r="U349" s="45">
        <f>VLOOKUP(B349,realPrices!C:G,5,0)</f>
        <v>2301743200</v>
      </c>
      <c r="W349" t="str">
        <f t="shared" si="5"/>
        <v>PU1 OHVG CNG1399</v>
      </c>
      <c r="X349">
        <f>VLOOKUP(W349,Sheet10!D:F,2,0)*10000000</f>
        <v>2830000000</v>
      </c>
      <c r="Y349" t="s">
        <v>114</v>
      </c>
      <c r="Z349"/>
    </row>
    <row r="350" spans="1:26" x14ac:dyDescent="0.25">
      <c r="A350" t="s">
        <v>376</v>
      </c>
      <c r="B350" t="s">
        <v>1913</v>
      </c>
      <c r="C350">
        <v>164</v>
      </c>
      <c r="D350" t="s">
        <v>63</v>
      </c>
      <c r="E350" t="s">
        <v>78</v>
      </c>
      <c r="F350" t="s">
        <v>362</v>
      </c>
      <c r="G350" t="s">
        <v>363</v>
      </c>
      <c r="H350">
        <v>39</v>
      </c>
      <c r="I350">
        <v>1399</v>
      </c>
      <c r="J350" t="s">
        <v>1914</v>
      </c>
      <c r="K350" t="s">
        <v>557</v>
      </c>
      <c r="L350" t="s">
        <v>1915</v>
      </c>
      <c r="M350" t="s">
        <v>82</v>
      </c>
      <c r="N350">
        <v>16404</v>
      </c>
      <c r="O350" t="s">
        <v>83</v>
      </c>
      <c r="Q350" t="s">
        <v>381</v>
      </c>
      <c r="R350" t="s">
        <v>1916</v>
      </c>
      <c r="S350" t="s">
        <v>1917</v>
      </c>
      <c r="T350" s="6">
        <v>2100000000</v>
      </c>
      <c r="U350" s="45">
        <f>VLOOKUP(B350,realPrices!C:G,5,0)</f>
        <v>2559999999</v>
      </c>
      <c r="W350" t="str">
        <f t="shared" si="5"/>
        <v>PU1 OHVG CNG1399</v>
      </c>
      <c r="X350">
        <f>VLOOKUP(W350,Sheet10!D:F,2,0)*10000000</f>
        <v>2830000000</v>
      </c>
      <c r="Y350" t="s">
        <v>114</v>
      </c>
      <c r="Z350"/>
    </row>
    <row r="351" spans="1:26" x14ac:dyDescent="0.25">
      <c r="A351" t="s">
        <v>376</v>
      </c>
      <c r="B351" t="s">
        <v>1918</v>
      </c>
      <c r="C351">
        <v>164</v>
      </c>
      <c r="D351" t="s">
        <v>63</v>
      </c>
      <c r="E351" t="s">
        <v>78</v>
      </c>
      <c r="F351" t="s">
        <v>362</v>
      </c>
      <c r="G351" t="s">
        <v>363</v>
      </c>
      <c r="H351">
        <v>45</v>
      </c>
      <c r="I351">
        <v>1399</v>
      </c>
      <c r="J351" t="s">
        <v>1919</v>
      </c>
      <c r="K351" t="s">
        <v>1920</v>
      </c>
      <c r="L351" t="s">
        <v>1921</v>
      </c>
      <c r="M351" t="s">
        <v>82</v>
      </c>
      <c r="N351">
        <v>16404</v>
      </c>
      <c r="O351" t="s">
        <v>83</v>
      </c>
      <c r="Q351" t="s">
        <v>381</v>
      </c>
      <c r="R351" t="s">
        <v>1922</v>
      </c>
      <c r="S351" t="s">
        <v>1923</v>
      </c>
      <c r="T351" s="6">
        <v>2100000000</v>
      </c>
      <c r="U351" s="45">
        <f>VLOOKUP(B351,realPrices!C:G,5,0)</f>
        <v>2459999999</v>
      </c>
      <c r="W351" t="str">
        <f t="shared" si="5"/>
        <v>PU1 OHVG CNG1399</v>
      </c>
      <c r="X351">
        <f>VLOOKUP(W351,Sheet10!D:F,2,0)*10000000</f>
        <v>2830000000</v>
      </c>
      <c r="Y351" t="s">
        <v>114</v>
      </c>
      <c r="Z351"/>
    </row>
    <row r="352" spans="1:26" x14ac:dyDescent="0.25">
      <c r="A352" t="s">
        <v>376</v>
      </c>
      <c r="B352" t="s">
        <v>1924</v>
      </c>
      <c r="C352">
        <v>164</v>
      </c>
      <c r="D352" t="s">
        <v>63</v>
      </c>
      <c r="E352" t="s">
        <v>78</v>
      </c>
      <c r="F352" t="s">
        <v>362</v>
      </c>
      <c r="G352" t="s">
        <v>363</v>
      </c>
      <c r="H352">
        <v>29</v>
      </c>
      <c r="I352">
        <v>1399</v>
      </c>
      <c r="J352" t="s">
        <v>1925</v>
      </c>
      <c r="K352" t="s">
        <v>1114</v>
      </c>
      <c r="L352" t="s">
        <v>1926</v>
      </c>
      <c r="M352" t="s">
        <v>82</v>
      </c>
      <c r="N352">
        <v>16404</v>
      </c>
      <c r="O352" t="s">
        <v>83</v>
      </c>
      <c r="Q352" t="s">
        <v>381</v>
      </c>
      <c r="R352" t="s">
        <v>1927</v>
      </c>
      <c r="S352" t="s">
        <v>1928</v>
      </c>
      <c r="T352" s="6">
        <v>2100000000</v>
      </c>
      <c r="U352" s="45">
        <f>VLOOKUP(B352,realPrices!C:G,5,0)</f>
        <v>2450000000</v>
      </c>
      <c r="W352" t="str">
        <f t="shared" si="5"/>
        <v>PU1 OHVG CNG1399</v>
      </c>
      <c r="X352">
        <f>VLOOKUP(W352,Sheet10!D:F,2,0)*10000000</f>
        <v>2830000000</v>
      </c>
      <c r="Y352" t="s">
        <v>114</v>
      </c>
      <c r="Z352"/>
    </row>
    <row r="353" spans="1:26" x14ac:dyDescent="0.25">
      <c r="A353" t="s">
        <v>376</v>
      </c>
      <c r="B353" t="s">
        <v>1929</v>
      </c>
      <c r="C353">
        <v>164</v>
      </c>
      <c r="D353" t="s">
        <v>63</v>
      </c>
      <c r="E353" t="s">
        <v>78</v>
      </c>
      <c r="F353" t="s">
        <v>362</v>
      </c>
      <c r="G353" t="s">
        <v>363</v>
      </c>
      <c r="H353">
        <v>40</v>
      </c>
      <c r="I353">
        <v>1399</v>
      </c>
      <c r="J353" t="s">
        <v>1930</v>
      </c>
      <c r="K353" t="s">
        <v>1114</v>
      </c>
      <c r="L353" t="s">
        <v>1931</v>
      </c>
      <c r="M353" t="s">
        <v>82</v>
      </c>
      <c r="N353">
        <v>16404</v>
      </c>
      <c r="O353" t="s">
        <v>83</v>
      </c>
      <c r="Q353" t="s">
        <v>381</v>
      </c>
      <c r="R353" t="s">
        <v>1932</v>
      </c>
      <c r="S353" t="s">
        <v>1933</v>
      </c>
      <c r="T353" s="6">
        <v>2100000000</v>
      </c>
      <c r="U353" s="45">
        <f>VLOOKUP(B353,realPrices!C:G,5,0)</f>
        <v>2577000000</v>
      </c>
      <c r="W353" t="str">
        <f t="shared" si="5"/>
        <v>PU1 OHVG CNG1399</v>
      </c>
      <c r="X353">
        <f>VLOOKUP(W353,Sheet10!D:F,2,0)*10000000</f>
        <v>2830000000</v>
      </c>
      <c r="Y353" t="s">
        <v>114</v>
      </c>
      <c r="Z353"/>
    </row>
    <row r="354" spans="1:26" x14ac:dyDescent="0.25">
      <c r="A354" t="s">
        <v>376</v>
      </c>
      <c r="B354" t="s">
        <v>1934</v>
      </c>
      <c r="C354">
        <v>164</v>
      </c>
      <c r="D354" t="s">
        <v>63</v>
      </c>
      <c r="E354" t="s">
        <v>78</v>
      </c>
      <c r="F354" t="s">
        <v>362</v>
      </c>
      <c r="G354" t="s">
        <v>363</v>
      </c>
      <c r="H354">
        <v>48</v>
      </c>
      <c r="I354">
        <v>1399</v>
      </c>
      <c r="J354" t="s">
        <v>1935</v>
      </c>
      <c r="K354" t="s">
        <v>1114</v>
      </c>
      <c r="L354" t="s">
        <v>1936</v>
      </c>
      <c r="M354" t="s">
        <v>82</v>
      </c>
      <c r="N354">
        <v>16404</v>
      </c>
      <c r="O354" t="s">
        <v>83</v>
      </c>
      <c r="Q354" t="s">
        <v>381</v>
      </c>
      <c r="R354" t="s">
        <v>1937</v>
      </c>
      <c r="S354" t="s">
        <v>1938</v>
      </c>
      <c r="T354" s="6">
        <v>2100000000</v>
      </c>
      <c r="U354" s="45">
        <f>VLOOKUP(B354,realPrices!C:G,5,0)</f>
        <v>2412000000</v>
      </c>
      <c r="W354" t="str">
        <f t="shared" si="5"/>
        <v>PU1 OHVG CNG1399</v>
      </c>
      <c r="X354">
        <f>VLOOKUP(W354,Sheet10!D:F,2,0)*10000000</f>
        <v>2830000000</v>
      </c>
      <c r="Y354" t="s">
        <v>114</v>
      </c>
      <c r="Z354"/>
    </row>
    <row r="355" spans="1:26" x14ac:dyDescent="0.25">
      <c r="A355" t="s">
        <v>376</v>
      </c>
      <c r="B355" t="s">
        <v>1939</v>
      </c>
      <c r="C355">
        <v>164</v>
      </c>
      <c r="D355" t="s">
        <v>63</v>
      </c>
      <c r="E355" t="s">
        <v>78</v>
      </c>
      <c r="F355" t="s">
        <v>362</v>
      </c>
      <c r="G355" t="s">
        <v>363</v>
      </c>
      <c r="H355">
        <v>31</v>
      </c>
      <c r="I355">
        <v>1399</v>
      </c>
      <c r="J355" t="s">
        <v>1940</v>
      </c>
      <c r="K355" t="s">
        <v>1868</v>
      </c>
      <c r="L355" t="s">
        <v>1941</v>
      </c>
      <c r="M355" t="s">
        <v>82</v>
      </c>
      <c r="N355">
        <v>16404</v>
      </c>
      <c r="O355" t="s">
        <v>83</v>
      </c>
      <c r="Q355" t="s">
        <v>381</v>
      </c>
      <c r="R355" t="s">
        <v>1942</v>
      </c>
      <c r="S355" t="s">
        <v>1943</v>
      </c>
      <c r="T355" s="6">
        <v>2100000000</v>
      </c>
      <c r="U355" s="45">
        <f>VLOOKUP(B355,realPrices!C:G,5,0)</f>
        <v>2452000000</v>
      </c>
      <c r="W355" t="str">
        <f t="shared" si="5"/>
        <v>PU1 OHVG CNG1399</v>
      </c>
      <c r="X355">
        <f>VLOOKUP(W355,Sheet10!D:F,2,0)*10000000</f>
        <v>2830000000</v>
      </c>
      <c r="Y355" t="s">
        <v>114</v>
      </c>
      <c r="Z355"/>
    </row>
    <row r="356" spans="1:26" x14ac:dyDescent="0.25">
      <c r="A356" t="s">
        <v>376</v>
      </c>
      <c r="B356" t="s">
        <v>1944</v>
      </c>
      <c r="C356">
        <v>164</v>
      </c>
      <c r="D356" t="s">
        <v>63</v>
      </c>
      <c r="E356" t="s">
        <v>78</v>
      </c>
      <c r="F356" t="s">
        <v>362</v>
      </c>
      <c r="G356" t="s">
        <v>363</v>
      </c>
      <c r="H356">
        <v>35</v>
      </c>
      <c r="I356">
        <v>1399</v>
      </c>
      <c r="J356" t="s">
        <v>1945</v>
      </c>
      <c r="K356" t="s">
        <v>1114</v>
      </c>
      <c r="L356" t="s">
        <v>1946</v>
      </c>
      <c r="M356" t="s">
        <v>82</v>
      </c>
      <c r="N356">
        <v>16404</v>
      </c>
      <c r="O356" t="s">
        <v>83</v>
      </c>
      <c r="Q356" t="s">
        <v>381</v>
      </c>
      <c r="R356" t="s">
        <v>1947</v>
      </c>
      <c r="S356" t="s">
        <v>1948</v>
      </c>
      <c r="T356" s="6">
        <v>2100000000</v>
      </c>
      <c r="U356" s="45">
        <f>VLOOKUP(B356,realPrices!C:G,5,0)</f>
        <v>2512000000</v>
      </c>
      <c r="W356" t="str">
        <f t="shared" si="5"/>
        <v>PU1 OHVG CNG1399</v>
      </c>
      <c r="X356">
        <f>VLOOKUP(W356,Sheet10!D:F,2,0)*10000000</f>
        <v>2830000000</v>
      </c>
      <c r="Y356" t="s">
        <v>114</v>
      </c>
      <c r="Z356"/>
    </row>
    <row r="357" spans="1:26" x14ac:dyDescent="0.25">
      <c r="A357" t="s">
        <v>376</v>
      </c>
      <c r="B357" t="s">
        <v>1949</v>
      </c>
      <c r="C357">
        <v>164</v>
      </c>
      <c r="D357" t="s">
        <v>63</v>
      </c>
      <c r="E357" t="s">
        <v>78</v>
      </c>
      <c r="F357" t="s">
        <v>362</v>
      </c>
      <c r="G357" t="s">
        <v>363</v>
      </c>
      <c r="H357">
        <v>36</v>
      </c>
      <c r="I357">
        <v>1399</v>
      </c>
      <c r="J357" t="s">
        <v>1950</v>
      </c>
      <c r="K357" t="s">
        <v>1114</v>
      </c>
      <c r="L357" t="s">
        <v>1951</v>
      </c>
      <c r="M357" t="s">
        <v>82</v>
      </c>
      <c r="N357">
        <v>16404</v>
      </c>
      <c r="O357" t="s">
        <v>83</v>
      </c>
      <c r="Q357" t="s">
        <v>381</v>
      </c>
      <c r="R357" t="s">
        <v>1952</v>
      </c>
      <c r="S357" t="s">
        <v>1953</v>
      </c>
      <c r="T357" s="6">
        <v>2100000000</v>
      </c>
      <c r="U357" s="45">
        <f>VLOOKUP(B357,realPrices!C:G,5,0)</f>
        <v>2552000000</v>
      </c>
      <c r="W357" t="str">
        <f t="shared" si="5"/>
        <v>PU1 OHVG CNG1399</v>
      </c>
      <c r="X357">
        <f>VLOOKUP(W357,Sheet10!D:F,2,0)*10000000</f>
        <v>2830000000</v>
      </c>
      <c r="Y357" t="s">
        <v>114</v>
      </c>
      <c r="Z357"/>
    </row>
    <row r="358" spans="1:26" x14ac:dyDescent="0.25">
      <c r="A358" t="s">
        <v>376</v>
      </c>
      <c r="B358" t="s">
        <v>1954</v>
      </c>
      <c r="C358">
        <v>164</v>
      </c>
      <c r="D358" t="s">
        <v>63</v>
      </c>
      <c r="E358" t="s">
        <v>78</v>
      </c>
      <c r="F358" t="s">
        <v>362</v>
      </c>
      <c r="G358" t="s">
        <v>363</v>
      </c>
      <c r="H358">
        <v>35</v>
      </c>
      <c r="I358">
        <v>1399</v>
      </c>
      <c r="J358" t="s">
        <v>1955</v>
      </c>
      <c r="K358" t="s">
        <v>1114</v>
      </c>
      <c r="L358" t="s">
        <v>1956</v>
      </c>
      <c r="M358" t="s">
        <v>82</v>
      </c>
      <c r="N358">
        <v>16404</v>
      </c>
      <c r="O358" t="s">
        <v>83</v>
      </c>
      <c r="Q358" t="s">
        <v>381</v>
      </c>
      <c r="R358" t="s">
        <v>1957</v>
      </c>
      <c r="S358" t="s">
        <v>1958</v>
      </c>
      <c r="T358" s="6">
        <v>2100000000</v>
      </c>
      <c r="U358" s="45">
        <f>VLOOKUP(B358,realPrices!C:G,5,0)</f>
        <v>2412000000</v>
      </c>
      <c r="W358" t="str">
        <f t="shared" si="5"/>
        <v>PU1 OHVG CNG1399</v>
      </c>
      <c r="X358">
        <f>VLOOKUP(W358,Sheet10!D:F,2,0)*10000000</f>
        <v>2830000000</v>
      </c>
      <c r="Y358" t="s">
        <v>114</v>
      </c>
      <c r="Z358"/>
    </row>
    <row r="359" spans="1:26" x14ac:dyDescent="0.25">
      <c r="A359" t="s">
        <v>376</v>
      </c>
      <c r="B359" t="s">
        <v>1959</v>
      </c>
      <c r="C359">
        <v>164</v>
      </c>
      <c r="D359" t="s">
        <v>63</v>
      </c>
      <c r="E359" t="s">
        <v>78</v>
      </c>
      <c r="F359" t="s">
        <v>362</v>
      </c>
      <c r="G359" t="s">
        <v>363</v>
      </c>
      <c r="H359">
        <v>29</v>
      </c>
      <c r="I359">
        <v>1399</v>
      </c>
      <c r="J359" t="s">
        <v>1960</v>
      </c>
      <c r="K359" t="s">
        <v>1114</v>
      </c>
      <c r="L359" t="s">
        <v>1961</v>
      </c>
      <c r="M359" t="s">
        <v>82</v>
      </c>
      <c r="N359">
        <v>16404</v>
      </c>
      <c r="O359" t="s">
        <v>83</v>
      </c>
      <c r="Q359" t="s">
        <v>381</v>
      </c>
      <c r="R359" t="s">
        <v>1962</v>
      </c>
      <c r="S359" t="s">
        <v>1963</v>
      </c>
      <c r="T359" s="6">
        <v>2100000000</v>
      </c>
      <c r="U359" s="45">
        <f>VLOOKUP(B359,realPrices!C:G,5,0)</f>
        <v>2499999999</v>
      </c>
      <c r="W359" t="str">
        <f t="shared" si="5"/>
        <v>PU1 OHVG CNG1399</v>
      </c>
      <c r="X359">
        <f>VLOOKUP(W359,Sheet10!D:F,2,0)*10000000</f>
        <v>2830000000</v>
      </c>
      <c r="Y359" t="s">
        <v>114</v>
      </c>
      <c r="Z359"/>
    </row>
    <row r="360" spans="1:26" x14ac:dyDescent="0.25">
      <c r="A360" t="s">
        <v>376</v>
      </c>
      <c r="B360" t="s">
        <v>1964</v>
      </c>
      <c r="C360">
        <v>164</v>
      </c>
      <c r="D360" t="s">
        <v>63</v>
      </c>
      <c r="E360" t="s">
        <v>78</v>
      </c>
      <c r="F360" t="s">
        <v>362</v>
      </c>
      <c r="G360" t="s">
        <v>363</v>
      </c>
      <c r="H360">
        <v>27</v>
      </c>
      <c r="I360">
        <v>1399</v>
      </c>
      <c r="J360" t="s">
        <v>1965</v>
      </c>
      <c r="K360" t="s">
        <v>1114</v>
      </c>
      <c r="L360" t="s">
        <v>1966</v>
      </c>
      <c r="M360" t="s">
        <v>82</v>
      </c>
      <c r="N360">
        <v>16404</v>
      </c>
      <c r="O360" t="s">
        <v>83</v>
      </c>
      <c r="Q360" t="s">
        <v>381</v>
      </c>
      <c r="R360" t="s">
        <v>1967</v>
      </c>
      <c r="S360" t="s">
        <v>1968</v>
      </c>
      <c r="T360" s="6">
        <v>2100000000</v>
      </c>
      <c r="U360" s="45">
        <f>VLOOKUP(B360,realPrices!C:G,5,0)</f>
        <v>2542000000</v>
      </c>
      <c r="W360" t="str">
        <f t="shared" si="5"/>
        <v>PU1 OHVG CNG1399</v>
      </c>
      <c r="X360">
        <f>VLOOKUP(W360,Sheet10!D:F,2,0)*10000000</f>
        <v>2830000000</v>
      </c>
      <c r="Y360" t="s">
        <v>114</v>
      </c>
      <c r="Z360"/>
    </row>
    <row r="361" spans="1:26" x14ac:dyDescent="0.25">
      <c r="A361" t="s">
        <v>376</v>
      </c>
      <c r="B361" t="s">
        <v>1969</v>
      </c>
      <c r="C361">
        <v>164</v>
      </c>
      <c r="D361" t="s">
        <v>63</v>
      </c>
      <c r="E361" t="s">
        <v>78</v>
      </c>
      <c r="F361" t="s">
        <v>362</v>
      </c>
      <c r="G361" t="s">
        <v>363</v>
      </c>
      <c r="H361">
        <v>37</v>
      </c>
      <c r="I361">
        <v>1399</v>
      </c>
      <c r="J361" t="s">
        <v>1970</v>
      </c>
      <c r="K361" t="s">
        <v>1971</v>
      </c>
      <c r="L361" t="s">
        <v>1972</v>
      </c>
      <c r="M361" t="s">
        <v>82</v>
      </c>
      <c r="N361">
        <v>16404</v>
      </c>
      <c r="O361" t="s">
        <v>83</v>
      </c>
      <c r="Q361" t="s">
        <v>381</v>
      </c>
      <c r="R361" t="s">
        <v>1973</v>
      </c>
      <c r="S361" t="s">
        <v>1974</v>
      </c>
      <c r="T361" s="6">
        <v>2100000000</v>
      </c>
      <c r="U361" s="45">
        <f>VLOOKUP(B361,realPrices!C:G,5,0)</f>
        <v>2512000000</v>
      </c>
      <c r="W361" t="str">
        <f t="shared" si="5"/>
        <v>PU1 OHVG CNG1399</v>
      </c>
      <c r="X361">
        <f>VLOOKUP(W361,Sheet10!D:F,2,0)*10000000</f>
        <v>2830000000</v>
      </c>
      <c r="Y361" t="s">
        <v>114</v>
      </c>
      <c r="Z361"/>
    </row>
    <row r="362" spans="1:26" x14ac:dyDescent="0.25">
      <c r="A362" t="s">
        <v>376</v>
      </c>
      <c r="B362" t="s">
        <v>1975</v>
      </c>
      <c r="C362">
        <v>164</v>
      </c>
      <c r="D362" t="s">
        <v>63</v>
      </c>
      <c r="E362" t="s">
        <v>78</v>
      </c>
      <c r="F362" t="s">
        <v>362</v>
      </c>
      <c r="G362" t="s">
        <v>363</v>
      </c>
      <c r="H362">
        <v>33</v>
      </c>
      <c r="I362">
        <v>1399</v>
      </c>
      <c r="J362" t="s">
        <v>1976</v>
      </c>
      <c r="K362" t="s">
        <v>1114</v>
      </c>
      <c r="L362" t="s">
        <v>1977</v>
      </c>
      <c r="M362" t="s">
        <v>82</v>
      </c>
      <c r="N362">
        <v>16404</v>
      </c>
      <c r="O362" t="s">
        <v>83</v>
      </c>
      <c r="Q362" t="s">
        <v>381</v>
      </c>
      <c r="R362" t="s">
        <v>1978</v>
      </c>
      <c r="S362" t="s">
        <v>1323</v>
      </c>
      <c r="T362" s="6">
        <v>2100000000</v>
      </c>
      <c r="U362" s="45">
        <f>VLOOKUP(B362,realPrices!C:G,5,0)</f>
        <v>2552000000</v>
      </c>
      <c r="W362" t="str">
        <f t="shared" si="5"/>
        <v>PU1 OHVG CNG1399</v>
      </c>
      <c r="X362">
        <f>VLOOKUP(W362,Sheet10!D:F,2,0)*10000000</f>
        <v>2830000000</v>
      </c>
      <c r="Y362" t="s">
        <v>114</v>
      </c>
      <c r="Z362"/>
    </row>
    <row r="363" spans="1:26" x14ac:dyDescent="0.25">
      <c r="A363" t="s">
        <v>376</v>
      </c>
      <c r="B363" t="s">
        <v>904</v>
      </c>
      <c r="C363">
        <v>164</v>
      </c>
      <c r="D363" t="s">
        <v>63</v>
      </c>
      <c r="E363" t="s">
        <v>78</v>
      </c>
      <c r="F363" t="s">
        <v>362</v>
      </c>
      <c r="G363" t="s">
        <v>363</v>
      </c>
      <c r="H363">
        <v>28</v>
      </c>
      <c r="I363">
        <v>1399</v>
      </c>
      <c r="J363" t="s">
        <v>905</v>
      </c>
      <c r="K363" t="s">
        <v>599</v>
      </c>
      <c r="L363" t="s">
        <v>906</v>
      </c>
      <c r="M363" t="s">
        <v>82</v>
      </c>
      <c r="N363">
        <v>16404</v>
      </c>
      <c r="O363" t="s">
        <v>83</v>
      </c>
      <c r="Q363" t="s">
        <v>381</v>
      </c>
      <c r="R363" t="s">
        <v>907</v>
      </c>
      <c r="S363" t="s">
        <v>483</v>
      </c>
      <c r="T363" s="6">
        <v>2100000000</v>
      </c>
      <c r="U363" s="45">
        <f>VLOOKUP(B363,realPrices!C:G,5,0)</f>
        <v>2400000000</v>
      </c>
      <c r="W363" t="str">
        <f t="shared" si="5"/>
        <v>PU1 OHVG CNG1399</v>
      </c>
      <c r="X363">
        <f>VLOOKUP(W363,Sheet10!D:F,2,0)*10000000</f>
        <v>2830000000</v>
      </c>
      <c r="Y363" t="s">
        <v>114</v>
      </c>
      <c r="Z363"/>
    </row>
    <row r="364" spans="1:26" x14ac:dyDescent="0.25">
      <c r="A364" t="s">
        <v>376</v>
      </c>
      <c r="B364" t="s">
        <v>944</v>
      </c>
      <c r="C364">
        <v>164</v>
      </c>
      <c r="D364" t="s">
        <v>63</v>
      </c>
      <c r="E364" t="s">
        <v>78</v>
      </c>
      <c r="F364" t="s">
        <v>362</v>
      </c>
      <c r="G364" t="s">
        <v>363</v>
      </c>
      <c r="H364">
        <v>39</v>
      </c>
      <c r="I364">
        <v>1399</v>
      </c>
      <c r="J364" t="s">
        <v>945</v>
      </c>
      <c r="K364" t="s">
        <v>599</v>
      </c>
      <c r="L364" t="s">
        <v>946</v>
      </c>
      <c r="M364" t="s">
        <v>82</v>
      </c>
      <c r="N364">
        <v>16404</v>
      </c>
      <c r="O364" t="s">
        <v>83</v>
      </c>
      <c r="Q364" t="s">
        <v>381</v>
      </c>
      <c r="R364" t="s">
        <v>947</v>
      </c>
      <c r="S364" t="s">
        <v>478</v>
      </c>
      <c r="T364" s="6">
        <v>2100000000</v>
      </c>
      <c r="U364" s="45">
        <f>VLOOKUP(B364,realPrices!C:G,5,0)</f>
        <v>2250000000</v>
      </c>
      <c r="W364" t="str">
        <f t="shared" si="5"/>
        <v>PU1 OHVG CNG1399</v>
      </c>
      <c r="X364">
        <f>VLOOKUP(W364,Sheet10!D:F,2,0)*10000000</f>
        <v>2830000000</v>
      </c>
      <c r="Y364" t="s">
        <v>114</v>
      </c>
      <c r="Z364"/>
    </row>
    <row r="365" spans="1:26" x14ac:dyDescent="0.25">
      <c r="A365" t="s">
        <v>376</v>
      </c>
      <c r="B365" t="s">
        <v>1979</v>
      </c>
      <c r="C365">
        <v>164</v>
      </c>
      <c r="D365" t="s">
        <v>63</v>
      </c>
      <c r="E365" t="s">
        <v>78</v>
      </c>
      <c r="F365" t="s">
        <v>362</v>
      </c>
      <c r="G365" t="s">
        <v>363</v>
      </c>
      <c r="H365">
        <v>22</v>
      </c>
      <c r="I365">
        <v>1399</v>
      </c>
      <c r="J365" t="s">
        <v>1980</v>
      </c>
      <c r="K365" t="s">
        <v>599</v>
      </c>
      <c r="L365" t="s">
        <v>1981</v>
      </c>
      <c r="M365" t="s">
        <v>82</v>
      </c>
      <c r="N365">
        <v>16404</v>
      </c>
      <c r="O365" t="s">
        <v>83</v>
      </c>
      <c r="Q365" t="s">
        <v>381</v>
      </c>
      <c r="R365" t="s">
        <v>1982</v>
      </c>
      <c r="S365" t="s">
        <v>831</v>
      </c>
      <c r="T365" s="6">
        <v>2100000000</v>
      </c>
      <c r="U365" s="45">
        <f>VLOOKUP(B365,realPrices!C:G,5,0)</f>
        <v>2399999999</v>
      </c>
      <c r="W365" t="str">
        <f t="shared" si="5"/>
        <v>PU1 OHVG CNG1399</v>
      </c>
      <c r="X365">
        <f>VLOOKUP(W365,Sheet10!D:F,2,0)*10000000</f>
        <v>2830000000</v>
      </c>
      <c r="Y365" t="s">
        <v>114</v>
      </c>
      <c r="Z365"/>
    </row>
    <row r="366" spans="1:26" x14ac:dyDescent="0.25">
      <c r="A366" t="s">
        <v>376</v>
      </c>
      <c r="B366" t="s">
        <v>1983</v>
      </c>
      <c r="C366">
        <v>164</v>
      </c>
      <c r="D366" t="s">
        <v>63</v>
      </c>
      <c r="E366" t="s">
        <v>78</v>
      </c>
      <c r="F366" t="s">
        <v>362</v>
      </c>
      <c r="G366" t="s">
        <v>363</v>
      </c>
      <c r="H366">
        <v>39</v>
      </c>
      <c r="I366">
        <v>1399</v>
      </c>
      <c r="J366" t="s">
        <v>1984</v>
      </c>
      <c r="K366" t="s">
        <v>1114</v>
      </c>
      <c r="L366" t="s">
        <v>1985</v>
      </c>
      <c r="M366" t="s">
        <v>82</v>
      </c>
      <c r="N366">
        <v>16404</v>
      </c>
      <c r="O366" t="s">
        <v>83</v>
      </c>
      <c r="Q366" t="s">
        <v>381</v>
      </c>
      <c r="R366" t="s">
        <v>1986</v>
      </c>
      <c r="S366" t="s">
        <v>1987</v>
      </c>
      <c r="T366" s="6">
        <v>2100000000</v>
      </c>
      <c r="U366" s="45">
        <f>VLOOKUP(B366,realPrices!C:G,5,0)</f>
        <v>2230000000</v>
      </c>
      <c r="W366" t="str">
        <f t="shared" si="5"/>
        <v>PU1 OHVG CNG1399</v>
      </c>
      <c r="X366">
        <f>VLOOKUP(W366,Sheet10!D:F,2,0)*10000000</f>
        <v>2830000000</v>
      </c>
      <c r="Y366" t="s">
        <v>114</v>
      </c>
      <c r="Z366"/>
    </row>
    <row r="367" spans="1:26" x14ac:dyDescent="0.25">
      <c r="A367" t="s">
        <v>376</v>
      </c>
      <c r="B367" t="s">
        <v>1988</v>
      </c>
      <c r="C367">
        <v>164</v>
      </c>
      <c r="D367" t="s">
        <v>63</v>
      </c>
      <c r="E367" t="s">
        <v>78</v>
      </c>
      <c r="F367" t="s">
        <v>362</v>
      </c>
      <c r="G367" t="s">
        <v>363</v>
      </c>
      <c r="H367">
        <v>30</v>
      </c>
      <c r="I367">
        <v>1399</v>
      </c>
      <c r="J367" t="s">
        <v>1989</v>
      </c>
      <c r="K367" t="s">
        <v>1114</v>
      </c>
      <c r="L367" t="s">
        <v>1990</v>
      </c>
      <c r="M367" t="s">
        <v>82</v>
      </c>
      <c r="N367">
        <v>16404</v>
      </c>
      <c r="O367" t="s">
        <v>83</v>
      </c>
      <c r="Q367" t="s">
        <v>381</v>
      </c>
      <c r="R367" t="s">
        <v>1991</v>
      </c>
      <c r="S367" t="s">
        <v>1992</v>
      </c>
      <c r="T367" s="6">
        <v>2100000000</v>
      </c>
      <c r="U367" s="45">
        <f>VLOOKUP(B367,realPrices!C:G,5,0)</f>
        <v>2386099999</v>
      </c>
      <c r="W367" t="str">
        <f t="shared" si="5"/>
        <v>PU1 OHVG CNG1399</v>
      </c>
      <c r="X367">
        <f>VLOOKUP(W367,Sheet10!D:F,2,0)*10000000</f>
        <v>2830000000</v>
      </c>
      <c r="Y367" t="s">
        <v>114</v>
      </c>
      <c r="Z367"/>
    </row>
    <row r="368" spans="1:26" x14ac:dyDescent="0.25">
      <c r="A368" t="s">
        <v>376</v>
      </c>
      <c r="B368" t="s">
        <v>1993</v>
      </c>
      <c r="C368">
        <v>164</v>
      </c>
      <c r="D368" t="s">
        <v>63</v>
      </c>
      <c r="E368" t="s">
        <v>78</v>
      </c>
      <c r="F368" t="s">
        <v>362</v>
      </c>
      <c r="G368" t="s">
        <v>363</v>
      </c>
      <c r="H368">
        <v>10</v>
      </c>
      <c r="I368">
        <v>1399</v>
      </c>
      <c r="J368" t="s">
        <v>1994</v>
      </c>
      <c r="K368" t="s">
        <v>1995</v>
      </c>
      <c r="L368" t="s">
        <v>1996</v>
      </c>
      <c r="M368" t="s">
        <v>82</v>
      </c>
      <c r="N368">
        <v>16404</v>
      </c>
      <c r="O368" t="s">
        <v>83</v>
      </c>
      <c r="Q368" t="s">
        <v>381</v>
      </c>
      <c r="R368" t="s">
        <v>1997</v>
      </c>
      <c r="S368" t="s">
        <v>1998</v>
      </c>
      <c r="T368" s="6">
        <v>2100000000</v>
      </c>
      <c r="U368" s="45">
        <f>VLOOKUP(B368,realPrices!C:G,5,0)</f>
        <v>2407777777</v>
      </c>
      <c r="W368" t="str">
        <f t="shared" si="5"/>
        <v>PU1 OHVG CNG1399</v>
      </c>
      <c r="X368">
        <f>VLOOKUP(W368,Sheet10!D:F,2,0)*10000000</f>
        <v>2830000000</v>
      </c>
      <c r="Y368" t="s">
        <v>114</v>
      </c>
      <c r="Z368"/>
    </row>
    <row r="369" spans="1:26" x14ac:dyDescent="0.25">
      <c r="A369" t="s">
        <v>376</v>
      </c>
      <c r="B369" t="s">
        <v>1999</v>
      </c>
      <c r="C369">
        <v>164</v>
      </c>
      <c r="D369" t="s">
        <v>63</v>
      </c>
      <c r="E369" t="s">
        <v>78</v>
      </c>
      <c r="F369" t="s">
        <v>362</v>
      </c>
      <c r="G369" t="s">
        <v>363</v>
      </c>
      <c r="H369">
        <v>28</v>
      </c>
      <c r="I369">
        <v>1399</v>
      </c>
      <c r="J369" t="s">
        <v>2000</v>
      </c>
      <c r="K369" t="s">
        <v>2001</v>
      </c>
      <c r="L369" t="s">
        <v>2002</v>
      </c>
      <c r="M369" t="s">
        <v>82</v>
      </c>
      <c r="N369">
        <v>16404</v>
      </c>
      <c r="O369" t="s">
        <v>83</v>
      </c>
      <c r="Q369" t="s">
        <v>381</v>
      </c>
      <c r="R369" t="s">
        <v>2003</v>
      </c>
      <c r="S369" t="s">
        <v>2004</v>
      </c>
      <c r="T369" s="6">
        <v>2100000000</v>
      </c>
      <c r="U369" s="45">
        <f>VLOOKUP(B369,realPrices!C:G,5,0)</f>
        <v>2388888888</v>
      </c>
      <c r="W369" t="str">
        <f t="shared" si="5"/>
        <v>PU1 OHVG CNG1399</v>
      </c>
      <c r="X369">
        <f>VLOOKUP(W369,Sheet10!D:F,2,0)*10000000</f>
        <v>2830000000</v>
      </c>
      <c r="Y369" t="s">
        <v>114</v>
      </c>
      <c r="Z369"/>
    </row>
    <row r="370" spans="1:26" x14ac:dyDescent="0.25">
      <c r="A370" t="s">
        <v>376</v>
      </c>
      <c r="B370" t="s">
        <v>2005</v>
      </c>
      <c r="C370">
        <v>164</v>
      </c>
      <c r="D370" t="s">
        <v>63</v>
      </c>
      <c r="E370" t="s">
        <v>78</v>
      </c>
      <c r="F370" t="s">
        <v>362</v>
      </c>
      <c r="G370" t="s">
        <v>363</v>
      </c>
      <c r="H370">
        <v>35</v>
      </c>
      <c r="I370">
        <v>1399</v>
      </c>
      <c r="J370" t="s">
        <v>2006</v>
      </c>
      <c r="K370" t="s">
        <v>1496</v>
      </c>
      <c r="L370" t="s">
        <v>2007</v>
      </c>
      <c r="M370" t="s">
        <v>82</v>
      </c>
      <c r="N370">
        <v>16404</v>
      </c>
      <c r="O370" t="s">
        <v>83</v>
      </c>
      <c r="Q370" t="s">
        <v>381</v>
      </c>
      <c r="R370" t="s">
        <v>2008</v>
      </c>
      <c r="S370" t="s">
        <v>2009</v>
      </c>
      <c r="T370" s="6">
        <v>2100000000</v>
      </c>
      <c r="U370" s="45">
        <f>VLOOKUP(B370,realPrices!C:G,5,0)</f>
        <v>2271255000</v>
      </c>
      <c r="W370" t="str">
        <f t="shared" si="5"/>
        <v>PU1 OHVG CNG1399</v>
      </c>
      <c r="X370">
        <f>VLOOKUP(W370,Sheet10!D:F,2,0)*10000000</f>
        <v>2830000000</v>
      </c>
      <c r="Y370" t="s">
        <v>114</v>
      </c>
      <c r="Z370"/>
    </row>
    <row r="371" spans="1:26" x14ac:dyDescent="0.25">
      <c r="A371" t="s">
        <v>376</v>
      </c>
      <c r="B371" t="s">
        <v>2010</v>
      </c>
      <c r="C371">
        <v>164</v>
      </c>
      <c r="D371" t="s">
        <v>63</v>
      </c>
      <c r="E371" t="s">
        <v>78</v>
      </c>
      <c r="F371" t="s">
        <v>362</v>
      </c>
      <c r="G371" t="s">
        <v>363</v>
      </c>
      <c r="H371">
        <v>25</v>
      </c>
      <c r="I371">
        <v>1399</v>
      </c>
      <c r="J371" t="s">
        <v>2011</v>
      </c>
      <c r="K371" t="s">
        <v>599</v>
      </c>
      <c r="L371" t="s">
        <v>2012</v>
      </c>
      <c r="M371" t="s">
        <v>82</v>
      </c>
      <c r="N371">
        <v>16404</v>
      </c>
      <c r="O371" t="s">
        <v>83</v>
      </c>
      <c r="Q371" t="s">
        <v>381</v>
      </c>
      <c r="R371" t="s">
        <v>2013</v>
      </c>
      <c r="S371" t="s">
        <v>2014</v>
      </c>
      <c r="T371" s="6">
        <v>2100000000</v>
      </c>
      <c r="U371" s="45">
        <f>VLOOKUP(B371,realPrices!C:G,5,0)</f>
        <v>2255000000</v>
      </c>
      <c r="W371" t="str">
        <f t="shared" si="5"/>
        <v>PU1 OHVG CNG1399</v>
      </c>
      <c r="X371">
        <f>VLOOKUP(W371,Sheet10!D:F,2,0)*10000000</f>
        <v>2830000000</v>
      </c>
      <c r="Y371" t="s">
        <v>114</v>
      </c>
      <c r="Z371"/>
    </row>
    <row r="372" spans="1:26" x14ac:dyDescent="0.25">
      <c r="A372" t="s">
        <v>376</v>
      </c>
      <c r="B372" t="s">
        <v>2015</v>
      </c>
      <c r="C372">
        <v>164</v>
      </c>
      <c r="D372" t="s">
        <v>63</v>
      </c>
      <c r="E372" t="s">
        <v>78</v>
      </c>
      <c r="F372" t="s">
        <v>362</v>
      </c>
      <c r="G372" t="s">
        <v>363</v>
      </c>
      <c r="H372">
        <v>25</v>
      </c>
      <c r="I372">
        <v>1399</v>
      </c>
      <c r="J372" t="s">
        <v>2016</v>
      </c>
      <c r="K372" t="s">
        <v>599</v>
      </c>
      <c r="L372" t="s">
        <v>2017</v>
      </c>
      <c r="M372" t="s">
        <v>82</v>
      </c>
      <c r="N372">
        <v>16404</v>
      </c>
      <c r="O372" t="s">
        <v>83</v>
      </c>
      <c r="Q372" t="s">
        <v>381</v>
      </c>
      <c r="R372" t="s">
        <v>2018</v>
      </c>
      <c r="S372" t="s">
        <v>2019</v>
      </c>
      <c r="T372" s="6">
        <v>2100000000</v>
      </c>
      <c r="U372" s="45">
        <f>VLOOKUP(B372,realPrices!C:G,5,0)</f>
        <v>2265480000</v>
      </c>
      <c r="W372" t="str">
        <f t="shared" si="5"/>
        <v>PU1 OHVG CNG1399</v>
      </c>
      <c r="X372">
        <f>VLOOKUP(W372,Sheet10!D:F,2,0)*10000000</f>
        <v>2830000000</v>
      </c>
      <c r="Y372" t="s">
        <v>114</v>
      </c>
      <c r="Z372"/>
    </row>
    <row r="373" spans="1:26" x14ac:dyDescent="0.25">
      <c r="A373" t="s">
        <v>376</v>
      </c>
      <c r="B373" t="s">
        <v>2020</v>
      </c>
      <c r="C373">
        <v>164</v>
      </c>
      <c r="D373" t="s">
        <v>63</v>
      </c>
      <c r="E373" t="s">
        <v>78</v>
      </c>
      <c r="F373" t="s">
        <v>362</v>
      </c>
      <c r="G373" t="s">
        <v>363</v>
      </c>
      <c r="H373">
        <v>38</v>
      </c>
      <c r="I373">
        <v>1399</v>
      </c>
      <c r="J373" t="s">
        <v>2021</v>
      </c>
      <c r="K373" t="s">
        <v>599</v>
      </c>
      <c r="L373" t="s">
        <v>2022</v>
      </c>
      <c r="M373" t="s">
        <v>82</v>
      </c>
      <c r="N373">
        <v>16404</v>
      </c>
      <c r="O373" t="s">
        <v>83</v>
      </c>
      <c r="Q373" t="s">
        <v>381</v>
      </c>
      <c r="R373" t="s">
        <v>2023</v>
      </c>
      <c r="S373" t="s">
        <v>2024</v>
      </c>
      <c r="T373" s="6">
        <v>2100000000</v>
      </c>
      <c r="U373" s="45">
        <f>VLOOKUP(B373,realPrices!C:G,5,0)</f>
        <v>2468999999</v>
      </c>
      <c r="W373" t="str">
        <f t="shared" si="5"/>
        <v>PU1 OHVG CNG1399</v>
      </c>
      <c r="X373">
        <f>VLOOKUP(W373,Sheet10!D:F,2,0)*10000000</f>
        <v>2830000000</v>
      </c>
      <c r="Y373" t="s">
        <v>114</v>
      </c>
      <c r="Z373"/>
    </row>
    <row r="374" spans="1:26" x14ac:dyDescent="0.25">
      <c r="A374" t="s">
        <v>376</v>
      </c>
      <c r="B374" t="s">
        <v>2025</v>
      </c>
      <c r="C374">
        <v>164</v>
      </c>
      <c r="D374" t="s">
        <v>63</v>
      </c>
      <c r="E374" t="s">
        <v>78</v>
      </c>
      <c r="F374" t="s">
        <v>362</v>
      </c>
      <c r="G374" t="s">
        <v>363</v>
      </c>
      <c r="H374">
        <v>26</v>
      </c>
      <c r="I374">
        <v>1399</v>
      </c>
      <c r="J374" t="s">
        <v>2026</v>
      </c>
      <c r="K374" t="s">
        <v>599</v>
      </c>
      <c r="L374" t="s">
        <v>2027</v>
      </c>
      <c r="M374" t="s">
        <v>82</v>
      </c>
      <c r="N374">
        <v>16404</v>
      </c>
      <c r="O374" t="s">
        <v>83</v>
      </c>
      <c r="Q374" t="s">
        <v>381</v>
      </c>
      <c r="R374" t="s">
        <v>2028</v>
      </c>
      <c r="S374" t="s">
        <v>2029</v>
      </c>
      <c r="T374" s="6">
        <v>2100000000</v>
      </c>
      <c r="U374" s="45">
        <f>VLOOKUP(B374,realPrices!C:G,5,0)</f>
        <v>2410000000</v>
      </c>
      <c r="W374" t="str">
        <f t="shared" si="5"/>
        <v>PU1 OHVG CNG1399</v>
      </c>
      <c r="X374">
        <f>VLOOKUP(W374,Sheet10!D:F,2,0)*10000000</f>
        <v>2830000000</v>
      </c>
      <c r="Y374" t="s">
        <v>114</v>
      </c>
      <c r="Z374"/>
    </row>
    <row r="375" spans="1:26" x14ac:dyDescent="0.25">
      <c r="A375" t="s">
        <v>376</v>
      </c>
      <c r="B375" t="s">
        <v>2030</v>
      </c>
      <c r="C375">
        <v>164</v>
      </c>
      <c r="D375" t="s">
        <v>63</v>
      </c>
      <c r="E375" t="s">
        <v>78</v>
      </c>
      <c r="F375" t="s">
        <v>362</v>
      </c>
      <c r="G375" t="s">
        <v>363</v>
      </c>
      <c r="H375">
        <v>31</v>
      </c>
      <c r="I375">
        <v>1399</v>
      </c>
      <c r="J375" t="s">
        <v>2031</v>
      </c>
      <c r="K375" t="s">
        <v>599</v>
      </c>
      <c r="L375" t="s">
        <v>2032</v>
      </c>
      <c r="M375" t="s">
        <v>82</v>
      </c>
      <c r="N375">
        <v>16404</v>
      </c>
      <c r="O375" t="s">
        <v>83</v>
      </c>
      <c r="Q375" t="s">
        <v>381</v>
      </c>
      <c r="R375" t="s">
        <v>2033</v>
      </c>
      <c r="S375" t="s">
        <v>395</v>
      </c>
      <c r="T375" s="6">
        <v>2100000000</v>
      </c>
      <c r="U375" s="45">
        <f>VLOOKUP(B375,realPrices!C:G,5,0)</f>
        <v>2310000000</v>
      </c>
      <c r="W375" t="str">
        <f t="shared" si="5"/>
        <v>PU1 OHVG CNG1399</v>
      </c>
      <c r="X375">
        <f>VLOOKUP(W375,Sheet10!D:F,2,0)*10000000</f>
        <v>2830000000</v>
      </c>
      <c r="Y375" t="s">
        <v>114</v>
      </c>
      <c r="Z375"/>
    </row>
    <row r="376" spans="1:26" x14ac:dyDescent="0.25">
      <c r="A376" t="s">
        <v>376</v>
      </c>
      <c r="B376" t="s">
        <v>2034</v>
      </c>
      <c r="C376">
        <v>164</v>
      </c>
      <c r="D376" t="s">
        <v>63</v>
      </c>
      <c r="E376" t="s">
        <v>78</v>
      </c>
      <c r="F376" t="s">
        <v>362</v>
      </c>
      <c r="G376" t="s">
        <v>363</v>
      </c>
      <c r="H376">
        <v>25</v>
      </c>
      <c r="I376">
        <v>1399</v>
      </c>
      <c r="J376" t="s">
        <v>2035</v>
      </c>
      <c r="K376" t="s">
        <v>599</v>
      </c>
      <c r="L376" t="s">
        <v>2036</v>
      </c>
      <c r="M376" t="s">
        <v>82</v>
      </c>
      <c r="N376">
        <v>16404</v>
      </c>
      <c r="O376" t="s">
        <v>83</v>
      </c>
      <c r="Q376" t="s">
        <v>381</v>
      </c>
      <c r="R376" t="s">
        <v>2037</v>
      </c>
      <c r="S376" t="s">
        <v>324</v>
      </c>
      <c r="T376" s="6">
        <v>2100000000</v>
      </c>
      <c r="U376" s="45">
        <f>VLOOKUP(B376,realPrices!C:G,5,0)</f>
        <v>2311101130</v>
      </c>
      <c r="W376" t="str">
        <f t="shared" si="5"/>
        <v>PU1 OHVG CNG1399</v>
      </c>
      <c r="X376">
        <f>VLOOKUP(W376,Sheet10!D:F,2,0)*10000000</f>
        <v>2830000000</v>
      </c>
      <c r="Y376" t="s">
        <v>114</v>
      </c>
      <c r="Z376"/>
    </row>
    <row r="377" spans="1:26" x14ac:dyDescent="0.25">
      <c r="A377" t="s">
        <v>376</v>
      </c>
      <c r="B377" t="s">
        <v>2038</v>
      </c>
      <c r="C377">
        <v>164</v>
      </c>
      <c r="D377" t="s">
        <v>63</v>
      </c>
      <c r="E377" t="s">
        <v>78</v>
      </c>
      <c r="F377" t="s">
        <v>362</v>
      </c>
      <c r="G377" t="s">
        <v>206</v>
      </c>
      <c r="H377">
        <v>27</v>
      </c>
      <c r="I377">
        <v>1399</v>
      </c>
      <c r="J377" t="s">
        <v>2039</v>
      </c>
      <c r="K377" t="s">
        <v>599</v>
      </c>
      <c r="L377" t="s">
        <v>2040</v>
      </c>
      <c r="M377" t="s">
        <v>82</v>
      </c>
      <c r="N377">
        <v>16404</v>
      </c>
      <c r="O377" t="s">
        <v>83</v>
      </c>
      <c r="Q377" t="s">
        <v>381</v>
      </c>
      <c r="R377" t="s">
        <v>2041</v>
      </c>
      <c r="S377" t="s">
        <v>346</v>
      </c>
      <c r="T377" s="6">
        <v>2100000000</v>
      </c>
      <c r="U377" s="45">
        <f>VLOOKUP(B377,realPrices!C:G,5,0)</f>
        <v>2333333333</v>
      </c>
      <c r="W377" t="str">
        <f t="shared" si="5"/>
        <v>PU1 OHVG CNG1399</v>
      </c>
      <c r="X377">
        <f>VLOOKUP(W377,Sheet10!D:F,2,0)*10000000</f>
        <v>2830000000</v>
      </c>
      <c r="Y377" t="s">
        <v>114</v>
      </c>
      <c r="Z377"/>
    </row>
    <row r="378" spans="1:26" x14ac:dyDescent="0.25">
      <c r="A378" t="s">
        <v>376</v>
      </c>
      <c r="B378" t="s">
        <v>2042</v>
      </c>
      <c r="C378">
        <v>164</v>
      </c>
      <c r="D378" t="s">
        <v>63</v>
      </c>
      <c r="E378" t="s">
        <v>78</v>
      </c>
      <c r="F378" t="s">
        <v>362</v>
      </c>
      <c r="G378" t="s">
        <v>363</v>
      </c>
      <c r="H378">
        <v>25</v>
      </c>
      <c r="I378">
        <v>1399</v>
      </c>
      <c r="J378" t="s">
        <v>2043</v>
      </c>
      <c r="K378" t="s">
        <v>599</v>
      </c>
      <c r="L378" t="s">
        <v>2044</v>
      </c>
      <c r="M378" t="s">
        <v>82</v>
      </c>
      <c r="N378">
        <v>16404</v>
      </c>
      <c r="O378" t="s">
        <v>83</v>
      </c>
      <c r="Q378" t="s">
        <v>381</v>
      </c>
      <c r="R378" t="s">
        <v>2045</v>
      </c>
      <c r="S378" t="s">
        <v>432</v>
      </c>
      <c r="T378" s="6">
        <v>2100000000</v>
      </c>
      <c r="U378" s="45">
        <f>VLOOKUP(B378,realPrices!C:G,5,0)</f>
        <v>2271100000</v>
      </c>
      <c r="W378" t="str">
        <f t="shared" si="5"/>
        <v>PU1 OHVG CNG1399</v>
      </c>
      <c r="X378">
        <f>VLOOKUP(W378,Sheet10!D:F,2,0)*10000000</f>
        <v>2830000000</v>
      </c>
      <c r="Y378" t="s">
        <v>114</v>
      </c>
      <c r="Z378"/>
    </row>
    <row r="379" spans="1:26" x14ac:dyDescent="0.25">
      <c r="A379" t="s">
        <v>376</v>
      </c>
      <c r="B379" t="s">
        <v>2046</v>
      </c>
      <c r="C379">
        <v>164</v>
      </c>
      <c r="D379" t="s">
        <v>63</v>
      </c>
      <c r="E379" t="s">
        <v>78</v>
      </c>
      <c r="F379" t="s">
        <v>362</v>
      </c>
      <c r="G379" t="s">
        <v>363</v>
      </c>
      <c r="H379">
        <v>36</v>
      </c>
      <c r="I379">
        <v>1399</v>
      </c>
      <c r="J379" t="s">
        <v>2047</v>
      </c>
      <c r="K379" t="s">
        <v>599</v>
      </c>
      <c r="L379" t="s">
        <v>2048</v>
      </c>
      <c r="M379" t="s">
        <v>82</v>
      </c>
      <c r="N379">
        <v>16404</v>
      </c>
      <c r="O379" t="s">
        <v>83</v>
      </c>
      <c r="Q379" t="s">
        <v>381</v>
      </c>
      <c r="R379" t="s">
        <v>2049</v>
      </c>
      <c r="S379" t="s">
        <v>2050</v>
      </c>
      <c r="T379" s="6">
        <v>2100000000</v>
      </c>
      <c r="U379" s="45">
        <f>VLOOKUP(B379,realPrices!C:G,5,0)</f>
        <v>2288888888</v>
      </c>
      <c r="W379" t="str">
        <f t="shared" si="5"/>
        <v>PU1 OHVG CNG1399</v>
      </c>
      <c r="X379">
        <f>VLOOKUP(W379,Sheet10!D:F,2,0)*10000000</f>
        <v>2830000000</v>
      </c>
      <c r="Y379" t="s">
        <v>114</v>
      </c>
      <c r="Z379"/>
    </row>
    <row r="380" spans="1:26" x14ac:dyDescent="0.25">
      <c r="A380" t="s">
        <v>376</v>
      </c>
      <c r="B380" t="s">
        <v>2051</v>
      </c>
      <c r="C380">
        <v>164</v>
      </c>
      <c r="D380" t="s">
        <v>63</v>
      </c>
      <c r="E380" t="s">
        <v>78</v>
      </c>
      <c r="F380" t="s">
        <v>362</v>
      </c>
      <c r="G380" t="s">
        <v>363</v>
      </c>
      <c r="H380">
        <v>26</v>
      </c>
      <c r="I380">
        <v>1399</v>
      </c>
      <c r="J380" t="s">
        <v>2052</v>
      </c>
      <c r="K380" t="s">
        <v>599</v>
      </c>
      <c r="L380" t="s">
        <v>2053</v>
      </c>
      <c r="M380" t="s">
        <v>82</v>
      </c>
      <c r="N380">
        <v>16404</v>
      </c>
      <c r="O380" t="s">
        <v>83</v>
      </c>
      <c r="Q380" t="s">
        <v>381</v>
      </c>
      <c r="R380" t="s">
        <v>2054</v>
      </c>
      <c r="S380" t="s">
        <v>2055</v>
      </c>
      <c r="T380" s="6">
        <v>2100000000</v>
      </c>
      <c r="U380" s="45">
        <f>VLOOKUP(B380,realPrices!C:G,5,0)</f>
        <v>2300000000</v>
      </c>
      <c r="W380" t="str">
        <f t="shared" si="5"/>
        <v>PU1 OHVG CNG1399</v>
      </c>
      <c r="X380">
        <f>VLOOKUP(W380,Sheet10!D:F,2,0)*10000000</f>
        <v>2830000000</v>
      </c>
      <c r="Y380" t="s">
        <v>114</v>
      </c>
      <c r="Z380"/>
    </row>
    <row r="381" spans="1:26" x14ac:dyDescent="0.25">
      <c r="A381" t="s">
        <v>376</v>
      </c>
      <c r="B381" t="s">
        <v>2056</v>
      </c>
      <c r="C381">
        <v>164</v>
      </c>
      <c r="D381" t="s">
        <v>63</v>
      </c>
      <c r="E381" t="s">
        <v>78</v>
      </c>
      <c r="F381" t="s">
        <v>362</v>
      </c>
      <c r="G381" t="s">
        <v>363</v>
      </c>
      <c r="H381">
        <v>35</v>
      </c>
      <c r="I381">
        <v>1399</v>
      </c>
      <c r="J381" t="s">
        <v>2057</v>
      </c>
      <c r="K381" t="s">
        <v>599</v>
      </c>
      <c r="L381" t="s">
        <v>2058</v>
      </c>
      <c r="M381" t="s">
        <v>82</v>
      </c>
      <c r="N381">
        <v>16404</v>
      </c>
      <c r="O381" t="s">
        <v>83</v>
      </c>
      <c r="Q381" t="s">
        <v>381</v>
      </c>
      <c r="R381" t="s">
        <v>2059</v>
      </c>
      <c r="S381" t="s">
        <v>2060</v>
      </c>
      <c r="T381" s="6">
        <v>2100000000</v>
      </c>
      <c r="U381" s="45">
        <f>VLOOKUP(B381,realPrices!C:G,5,0)</f>
        <v>2602500000</v>
      </c>
      <c r="W381" t="str">
        <f t="shared" si="5"/>
        <v>PU1 OHVG CNG1399</v>
      </c>
      <c r="X381">
        <f>VLOOKUP(W381,Sheet10!D:F,2,0)*10000000</f>
        <v>2830000000</v>
      </c>
      <c r="Y381" t="s">
        <v>114</v>
      </c>
      <c r="Z381"/>
    </row>
    <row r="382" spans="1:26" x14ac:dyDescent="0.25">
      <c r="A382" t="s">
        <v>376</v>
      </c>
      <c r="B382" t="s">
        <v>2061</v>
      </c>
      <c r="C382">
        <v>164</v>
      </c>
      <c r="D382" t="s">
        <v>63</v>
      </c>
      <c r="E382" t="s">
        <v>78</v>
      </c>
      <c r="F382" t="s">
        <v>362</v>
      </c>
      <c r="G382" t="s">
        <v>363</v>
      </c>
      <c r="H382">
        <v>27</v>
      </c>
      <c r="I382">
        <v>1399</v>
      </c>
      <c r="J382" t="s">
        <v>2062</v>
      </c>
      <c r="K382" t="s">
        <v>599</v>
      </c>
      <c r="L382" t="s">
        <v>2063</v>
      </c>
      <c r="M382" t="s">
        <v>82</v>
      </c>
      <c r="N382">
        <v>16404</v>
      </c>
      <c r="O382" t="s">
        <v>83</v>
      </c>
      <c r="Q382" t="s">
        <v>381</v>
      </c>
      <c r="R382" t="s">
        <v>2064</v>
      </c>
      <c r="S382" t="s">
        <v>2065</v>
      </c>
      <c r="T382" s="6">
        <v>2100000000</v>
      </c>
      <c r="U382" s="45">
        <f>VLOOKUP(B382,realPrices!C:G,5,0)</f>
        <v>2230000000</v>
      </c>
      <c r="W382" t="str">
        <f t="shared" si="5"/>
        <v>PU1 OHVG CNG1399</v>
      </c>
      <c r="X382">
        <f>VLOOKUP(W382,Sheet10!D:F,2,0)*10000000</f>
        <v>2830000000</v>
      </c>
      <c r="Y382" t="s">
        <v>114</v>
      </c>
      <c r="Z382"/>
    </row>
    <row r="383" spans="1:26" x14ac:dyDescent="0.25">
      <c r="A383" t="s">
        <v>376</v>
      </c>
      <c r="B383" t="s">
        <v>2066</v>
      </c>
      <c r="C383">
        <v>164</v>
      </c>
      <c r="D383" t="s">
        <v>63</v>
      </c>
      <c r="E383" t="s">
        <v>78</v>
      </c>
      <c r="F383" t="s">
        <v>362</v>
      </c>
      <c r="G383" t="s">
        <v>363</v>
      </c>
      <c r="H383">
        <v>24</v>
      </c>
      <c r="I383">
        <v>1399</v>
      </c>
      <c r="J383" t="s">
        <v>2067</v>
      </c>
      <c r="K383" t="s">
        <v>599</v>
      </c>
      <c r="L383" t="s">
        <v>2068</v>
      </c>
      <c r="M383" t="s">
        <v>82</v>
      </c>
      <c r="N383">
        <v>16404</v>
      </c>
      <c r="O383" t="s">
        <v>83</v>
      </c>
      <c r="Q383" t="s">
        <v>381</v>
      </c>
      <c r="R383" t="s">
        <v>2069</v>
      </c>
      <c r="S383" t="s">
        <v>2070</v>
      </c>
      <c r="T383" s="6">
        <v>2100000000</v>
      </c>
      <c r="U383" s="45">
        <f>VLOOKUP(B383,realPrices!C:G,5,0)</f>
        <v>2610000000</v>
      </c>
      <c r="W383" t="str">
        <f t="shared" si="5"/>
        <v>PU1 OHVG CNG1399</v>
      </c>
      <c r="X383">
        <f>VLOOKUP(W383,Sheet10!D:F,2,0)*10000000</f>
        <v>2830000000</v>
      </c>
      <c r="Y383" t="s">
        <v>114</v>
      </c>
      <c r="Z383"/>
    </row>
    <row r="384" spans="1:26" x14ac:dyDescent="0.25">
      <c r="A384" t="s">
        <v>376</v>
      </c>
      <c r="B384" t="s">
        <v>2071</v>
      </c>
      <c r="C384">
        <v>164</v>
      </c>
      <c r="D384" t="s">
        <v>63</v>
      </c>
      <c r="E384" t="s">
        <v>78</v>
      </c>
      <c r="F384" t="s">
        <v>362</v>
      </c>
      <c r="G384" t="s">
        <v>363</v>
      </c>
      <c r="H384">
        <v>31</v>
      </c>
      <c r="I384">
        <v>1399</v>
      </c>
      <c r="J384" t="s">
        <v>2072</v>
      </c>
      <c r="K384" t="s">
        <v>1114</v>
      </c>
      <c r="L384" t="s">
        <v>2073</v>
      </c>
      <c r="M384" t="s">
        <v>82</v>
      </c>
      <c r="N384">
        <v>16404</v>
      </c>
      <c r="O384" t="s">
        <v>83</v>
      </c>
      <c r="Q384" t="s">
        <v>381</v>
      </c>
      <c r="R384" t="s">
        <v>2074</v>
      </c>
      <c r="S384" t="s">
        <v>2075</v>
      </c>
      <c r="T384" s="6">
        <v>2100000000</v>
      </c>
      <c r="U384" s="45">
        <f>VLOOKUP(B384,realPrices!C:G,5,0)</f>
        <v>2431578999</v>
      </c>
      <c r="W384" t="str">
        <f t="shared" si="5"/>
        <v>PU1 OHVG CNG1399</v>
      </c>
      <c r="X384">
        <f>VLOOKUP(W384,Sheet10!D:F,2,0)*10000000</f>
        <v>2830000000</v>
      </c>
      <c r="Y384" t="s">
        <v>114</v>
      </c>
      <c r="Z384"/>
    </row>
    <row r="385" spans="1:26" x14ac:dyDescent="0.25">
      <c r="A385" t="s">
        <v>376</v>
      </c>
      <c r="B385" t="s">
        <v>2076</v>
      </c>
      <c r="C385">
        <v>164</v>
      </c>
      <c r="D385" t="s">
        <v>63</v>
      </c>
      <c r="E385" t="s">
        <v>78</v>
      </c>
      <c r="F385" t="s">
        <v>362</v>
      </c>
      <c r="G385" t="s">
        <v>363</v>
      </c>
      <c r="H385">
        <v>38</v>
      </c>
      <c r="I385">
        <v>1399</v>
      </c>
      <c r="J385" t="s">
        <v>2077</v>
      </c>
      <c r="K385" t="s">
        <v>599</v>
      </c>
      <c r="L385" t="s">
        <v>2078</v>
      </c>
      <c r="M385" t="s">
        <v>82</v>
      </c>
      <c r="N385">
        <v>16404</v>
      </c>
      <c r="O385" t="s">
        <v>83</v>
      </c>
      <c r="Q385" t="s">
        <v>381</v>
      </c>
      <c r="R385" t="s">
        <v>2079</v>
      </c>
      <c r="S385" t="s">
        <v>2080</v>
      </c>
      <c r="T385" s="6">
        <v>2100000000</v>
      </c>
      <c r="U385" s="45">
        <f>VLOOKUP(B385,realPrices!C:G,5,0)</f>
        <v>2576099999</v>
      </c>
      <c r="W385" t="str">
        <f t="shared" si="5"/>
        <v>PU1 OHVG CNG1399</v>
      </c>
      <c r="X385">
        <f>VLOOKUP(W385,Sheet10!D:F,2,0)*10000000</f>
        <v>2830000000</v>
      </c>
      <c r="Y385" t="s">
        <v>114</v>
      </c>
      <c r="Z385"/>
    </row>
    <row r="386" spans="1:26" x14ac:dyDescent="0.25">
      <c r="A386" t="s">
        <v>376</v>
      </c>
      <c r="B386" t="s">
        <v>2081</v>
      </c>
      <c r="C386">
        <v>164</v>
      </c>
      <c r="D386" t="s">
        <v>63</v>
      </c>
      <c r="E386" t="s">
        <v>78</v>
      </c>
      <c r="F386" t="s">
        <v>362</v>
      </c>
      <c r="G386" t="s">
        <v>363</v>
      </c>
      <c r="H386">
        <v>32</v>
      </c>
      <c r="I386">
        <v>1399</v>
      </c>
      <c r="J386" t="s">
        <v>2082</v>
      </c>
      <c r="K386" t="s">
        <v>522</v>
      </c>
      <c r="L386" t="s">
        <v>2083</v>
      </c>
      <c r="M386" t="s">
        <v>82</v>
      </c>
      <c r="N386">
        <v>16404</v>
      </c>
      <c r="O386" t="s">
        <v>83</v>
      </c>
      <c r="Q386" t="s">
        <v>381</v>
      </c>
      <c r="R386" t="s">
        <v>2084</v>
      </c>
      <c r="S386" t="s">
        <v>2085</v>
      </c>
      <c r="T386" s="6">
        <v>2100000000</v>
      </c>
      <c r="U386" s="45">
        <f>VLOOKUP(B386,realPrices!C:G,5,0)</f>
        <v>2552000000</v>
      </c>
      <c r="W386" t="str">
        <f t="shared" ref="W386:W449" si="6">M386&amp;I386</f>
        <v>PU1 OHVG CNG1399</v>
      </c>
      <c r="X386">
        <f>VLOOKUP(W386,Sheet10!D:F,2,0)*10000000</f>
        <v>2830000000</v>
      </c>
      <c r="Y386" t="s">
        <v>114</v>
      </c>
      <c r="Z386"/>
    </row>
    <row r="387" spans="1:26" x14ac:dyDescent="0.25">
      <c r="A387" t="s">
        <v>376</v>
      </c>
      <c r="B387" t="s">
        <v>2086</v>
      </c>
      <c r="C387">
        <v>164</v>
      </c>
      <c r="D387" t="s">
        <v>63</v>
      </c>
      <c r="E387" t="s">
        <v>78</v>
      </c>
      <c r="F387" t="s">
        <v>362</v>
      </c>
      <c r="G387" t="s">
        <v>363</v>
      </c>
      <c r="H387">
        <v>34</v>
      </c>
      <c r="I387">
        <v>1399</v>
      </c>
      <c r="J387" t="s">
        <v>2087</v>
      </c>
      <c r="K387" t="s">
        <v>1114</v>
      </c>
      <c r="L387" t="s">
        <v>2088</v>
      </c>
      <c r="M387" t="s">
        <v>82</v>
      </c>
      <c r="N387">
        <v>16404</v>
      </c>
      <c r="O387" t="s">
        <v>83</v>
      </c>
      <c r="Q387" t="s">
        <v>381</v>
      </c>
      <c r="R387" t="s">
        <v>2089</v>
      </c>
      <c r="S387" t="s">
        <v>2090</v>
      </c>
      <c r="T387" s="6">
        <v>2100000000</v>
      </c>
      <c r="U387" s="45">
        <f>VLOOKUP(B387,realPrices!C:G,5,0)</f>
        <v>2529999999</v>
      </c>
      <c r="W387" t="str">
        <f t="shared" si="6"/>
        <v>PU1 OHVG CNG1399</v>
      </c>
      <c r="X387">
        <f>VLOOKUP(W387,Sheet10!D:F,2,0)*10000000</f>
        <v>2830000000</v>
      </c>
      <c r="Y387" t="s">
        <v>114</v>
      </c>
      <c r="Z387"/>
    </row>
    <row r="388" spans="1:26" x14ac:dyDescent="0.25">
      <c r="A388" t="s">
        <v>376</v>
      </c>
      <c r="B388" t="s">
        <v>2091</v>
      </c>
      <c r="C388">
        <v>164</v>
      </c>
      <c r="D388" t="s">
        <v>63</v>
      </c>
      <c r="E388" t="s">
        <v>78</v>
      </c>
      <c r="F388" t="s">
        <v>362</v>
      </c>
      <c r="G388" t="s">
        <v>363</v>
      </c>
      <c r="H388">
        <v>31</v>
      </c>
      <c r="I388">
        <v>1399</v>
      </c>
      <c r="J388" t="s">
        <v>2092</v>
      </c>
      <c r="K388" t="s">
        <v>1114</v>
      </c>
      <c r="L388" t="s">
        <v>2093</v>
      </c>
      <c r="M388" t="s">
        <v>82</v>
      </c>
      <c r="N388">
        <v>16404</v>
      </c>
      <c r="O388" t="s">
        <v>83</v>
      </c>
      <c r="Q388" t="s">
        <v>381</v>
      </c>
      <c r="R388" t="s">
        <v>2094</v>
      </c>
      <c r="S388" t="s">
        <v>2095</v>
      </c>
      <c r="T388" s="6">
        <v>2100000000</v>
      </c>
      <c r="U388" s="45">
        <f>VLOOKUP(B388,realPrices!C:G,5,0)</f>
        <v>2479999999</v>
      </c>
      <c r="W388" t="str">
        <f t="shared" si="6"/>
        <v>PU1 OHVG CNG1399</v>
      </c>
      <c r="X388">
        <f>VLOOKUP(W388,Sheet10!D:F,2,0)*10000000</f>
        <v>2830000000</v>
      </c>
      <c r="Y388" t="s">
        <v>114</v>
      </c>
      <c r="Z388"/>
    </row>
    <row r="389" spans="1:26" x14ac:dyDescent="0.25">
      <c r="A389" t="s">
        <v>376</v>
      </c>
      <c r="B389" t="s">
        <v>2096</v>
      </c>
      <c r="C389">
        <v>164</v>
      </c>
      <c r="D389" t="s">
        <v>63</v>
      </c>
      <c r="E389" t="s">
        <v>78</v>
      </c>
      <c r="F389" t="s">
        <v>362</v>
      </c>
      <c r="G389" t="s">
        <v>363</v>
      </c>
      <c r="H389">
        <v>25</v>
      </c>
      <c r="I389">
        <v>1399</v>
      </c>
      <c r="J389" t="s">
        <v>2097</v>
      </c>
      <c r="K389" t="s">
        <v>2098</v>
      </c>
      <c r="L389" t="s">
        <v>2099</v>
      </c>
      <c r="M389" t="s">
        <v>82</v>
      </c>
      <c r="N389">
        <v>16404</v>
      </c>
      <c r="O389" t="s">
        <v>83</v>
      </c>
      <c r="Q389" t="s">
        <v>381</v>
      </c>
      <c r="R389" t="s">
        <v>2100</v>
      </c>
      <c r="S389" t="s">
        <v>1423</v>
      </c>
      <c r="T389" s="6">
        <v>2100000000</v>
      </c>
      <c r="U389" s="45">
        <f>VLOOKUP(B389,realPrices!C:G,5,0)</f>
        <v>2469999999</v>
      </c>
      <c r="W389" t="str">
        <f t="shared" si="6"/>
        <v>PU1 OHVG CNG1399</v>
      </c>
      <c r="X389">
        <f>VLOOKUP(W389,Sheet10!D:F,2,0)*10000000</f>
        <v>2830000000</v>
      </c>
      <c r="Y389" t="s">
        <v>114</v>
      </c>
      <c r="Z389"/>
    </row>
    <row r="390" spans="1:26" x14ac:dyDescent="0.25">
      <c r="A390" t="s">
        <v>376</v>
      </c>
      <c r="B390" t="s">
        <v>2101</v>
      </c>
      <c r="C390">
        <v>164</v>
      </c>
      <c r="D390" t="s">
        <v>63</v>
      </c>
      <c r="E390" t="s">
        <v>78</v>
      </c>
      <c r="F390" t="s">
        <v>362</v>
      </c>
      <c r="G390" t="s">
        <v>363</v>
      </c>
      <c r="H390">
        <v>25</v>
      </c>
      <c r="I390">
        <v>1399</v>
      </c>
      <c r="J390" t="s">
        <v>2102</v>
      </c>
      <c r="K390" t="s">
        <v>599</v>
      </c>
      <c r="L390" t="s">
        <v>2103</v>
      </c>
      <c r="M390" t="s">
        <v>82</v>
      </c>
      <c r="N390">
        <v>16404</v>
      </c>
      <c r="O390" t="s">
        <v>83</v>
      </c>
      <c r="Q390" t="s">
        <v>381</v>
      </c>
      <c r="R390" t="s">
        <v>2104</v>
      </c>
      <c r="S390" t="s">
        <v>2105</v>
      </c>
      <c r="T390" s="6">
        <v>2100000000</v>
      </c>
      <c r="U390" s="45">
        <f>VLOOKUP(B390,realPrices!C:G,5,0)</f>
        <v>2358900000</v>
      </c>
      <c r="W390" t="str">
        <f t="shared" si="6"/>
        <v>PU1 OHVG CNG1399</v>
      </c>
      <c r="X390">
        <f>VLOOKUP(W390,Sheet10!D:F,2,0)*10000000</f>
        <v>2830000000</v>
      </c>
      <c r="Y390" t="s">
        <v>114</v>
      </c>
      <c r="Z390"/>
    </row>
    <row r="391" spans="1:26" x14ac:dyDescent="0.25">
      <c r="A391" t="s">
        <v>376</v>
      </c>
      <c r="B391" t="s">
        <v>2106</v>
      </c>
      <c r="C391">
        <v>164</v>
      </c>
      <c r="D391" t="s">
        <v>63</v>
      </c>
      <c r="E391" t="s">
        <v>78</v>
      </c>
      <c r="F391" t="s">
        <v>362</v>
      </c>
      <c r="G391" t="s">
        <v>363</v>
      </c>
      <c r="H391">
        <v>29</v>
      </c>
      <c r="I391">
        <v>1399</v>
      </c>
      <c r="J391" t="s">
        <v>2107</v>
      </c>
      <c r="K391" t="s">
        <v>1114</v>
      </c>
      <c r="L391" t="s">
        <v>2108</v>
      </c>
      <c r="M391" t="s">
        <v>82</v>
      </c>
      <c r="N391">
        <v>16404</v>
      </c>
      <c r="O391" t="s">
        <v>83</v>
      </c>
      <c r="Q391" t="s">
        <v>381</v>
      </c>
      <c r="R391" t="s">
        <v>2109</v>
      </c>
      <c r="S391" t="s">
        <v>403</v>
      </c>
      <c r="T391" s="6">
        <v>2100000000</v>
      </c>
      <c r="U391" s="45">
        <f>VLOOKUP(B391,realPrices!C:G,5,0)</f>
        <v>2321530394</v>
      </c>
      <c r="W391" t="str">
        <f t="shared" si="6"/>
        <v>PU1 OHVG CNG1399</v>
      </c>
      <c r="X391">
        <f>VLOOKUP(W391,Sheet10!D:F,2,0)*10000000</f>
        <v>2830000000</v>
      </c>
      <c r="Y391" t="s">
        <v>114</v>
      </c>
      <c r="Z391"/>
    </row>
    <row r="392" spans="1:26" x14ac:dyDescent="0.25">
      <c r="A392" t="s">
        <v>376</v>
      </c>
      <c r="B392" t="s">
        <v>2110</v>
      </c>
      <c r="C392">
        <v>164</v>
      </c>
      <c r="D392" t="s">
        <v>63</v>
      </c>
      <c r="E392" t="s">
        <v>78</v>
      </c>
      <c r="F392" t="s">
        <v>362</v>
      </c>
      <c r="G392" t="s">
        <v>363</v>
      </c>
      <c r="H392">
        <v>31</v>
      </c>
      <c r="I392">
        <v>1399</v>
      </c>
      <c r="J392" t="s">
        <v>2111</v>
      </c>
      <c r="K392" t="s">
        <v>599</v>
      </c>
      <c r="L392" t="s">
        <v>2112</v>
      </c>
      <c r="M392" t="s">
        <v>82</v>
      </c>
      <c r="N392">
        <v>16404</v>
      </c>
      <c r="O392" t="s">
        <v>83</v>
      </c>
      <c r="Q392" t="s">
        <v>381</v>
      </c>
      <c r="R392" t="s">
        <v>2113</v>
      </c>
      <c r="S392" t="s">
        <v>2114</v>
      </c>
      <c r="T392" s="6">
        <v>2100000000</v>
      </c>
      <c r="U392" s="45">
        <f>VLOOKUP(B392,realPrices!C:G,5,0)</f>
        <v>2388888888</v>
      </c>
      <c r="W392" t="str">
        <f t="shared" si="6"/>
        <v>PU1 OHVG CNG1399</v>
      </c>
      <c r="X392">
        <f>VLOOKUP(W392,Sheet10!D:F,2,0)*10000000</f>
        <v>2830000000</v>
      </c>
      <c r="Y392" t="s">
        <v>114</v>
      </c>
      <c r="Z392"/>
    </row>
    <row r="393" spans="1:26" x14ac:dyDescent="0.25">
      <c r="A393" t="s">
        <v>376</v>
      </c>
      <c r="B393" t="s">
        <v>2115</v>
      </c>
      <c r="C393">
        <v>164</v>
      </c>
      <c r="D393" t="s">
        <v>63</v>
      </c>
      <c r="E393" t="s">
        <v>78</v>
      </c>
      <c r="F393" t="s">
        <v>362</v>
      </c>
      <c r="G393" t="s">
        <v>363</v>
      </c>
      <c r="H393">
        <v>33</v>
      </c>
      <c r="I393">
        <v>1399</v>
      </c>
      <c r="J393" t="s">
        <v>2116</v>
      </c>
      <c r="K393" t="s">
        <v>599</v>
      </c>
      <c r="L393" t="s">
        <v>2117</v>
      </c>
      <c r="M393" t="s">
        <v>82</v>
      </c>
      <c r="N393">
        <v>16404</v>
      </c>
      <c r="O393" t="s">
        <v>83</v>
      </c>
      <c r="Q393" t="s">
        <v>381</v>
      </c>
      <c r="R393" t="s">
        <v>2118</v>
      </c>
      <c r="S393" t="s">
        <v>2119</v>
      </c>
      <c r="T393" s="6">
        <v>2100000000</v>
      </c>
      <c r="U393" s="45">
        <f>VLOOKUP(B393,realPrices!C:G,5,0)</f>
        <v>2450000000</v>
      </c>
      <c r="W393" t="str">
        <f t="shared" si="6"/>
        <v>PU1 OHVG CNG1399</v>
      </c>
      <c r="X393">
        <f>VLOOKUP(W393,Sheet10!D:F,2,0)*10000000</f>
        <v>2830000000</v>
      </c>
      <c r="Y393" t="s">
        <v>114</v>
      </c>
      <c r="Z393"/>
    </row>
    <row r="394" spans="1:26" x14ac:dyDescent="0.25">
      <c r="A394" t="s">
        <v>376</v>
      </c>
      <c r="B394" t="s">
        <v>2120</v>
      </c>
      <c r="C394">
        <v>164</v>
      </c>
      <c r="D394" t="s">
        <v>63</v>
      </c>
      <c r="E394" t="s">
        <v>78</v>
      </c>
      <c r="F394" t="s">
        <v>362</v>
      </c>
      <c r="G394" t="s">
        <v>363</v>
      </c>
      <c r="H394">
        <v>29</v>
      </c>
      <c r="I394">
        <v>1399</v>
      </c>
      <c r="J394" t="s">
        <v>2121</v>
      </c>
      <c r="K394" t="s">
        <v>599</v>
      </c>
      <c r="L394" t="s">
        <v>2122</v>
      </c>
      <c r="M394" t="s">
        <v>82</v>
      </c>
      <c r="N394">
        <v>16404</v>
      </c>
      <c r="O394" t="s">
        <v>83</v>
      </c>
      <c r="Q394" t="s">
        <v>381</v>
      </c>
      <c r="R394" t="s">
        <v>2123</v>
      </c>
      <c r="S394" t="s">
        <v>2124</v>
      </c>
      <c r="T394" s="6">
        <v>2100000000</v>
      </c>
      <c r="U394" s="45">
        <f>VLOOKUP(B394,realPrices!C:G,5,0)</f>
        <v>2450000111</v>
      </c>
      <c r="W394" t="str">
        <f t="shared" si="6"/>
        <v>PU1 OHVG CNG1399</v>
      </c>
      <c r="X394">
        <f>VLOOKUP(W394,Sheet10!D:F,2,0)*10000000</f>
        <v>2830000000</v>
      </c>
      <c r="Y394" t="s">
        <v>114</v>
      </c>
      <c r="Z394"/>
    </row>
    <row r="395" spans="1:26" x14ac:dyDescent="0.25">
      <c r="A395" t="s">
        <v>376</v>
      </c>
      <c r="B395" t="s">
        <v>2125</v>
      </c>
      <c r="C395">
        <v>164</v>
      </c>
      <c r="D395" t="s">
        <v>63</v>
      </c>
      <c r="E395" t="s">
        <v>78</v>
      </c>
      <c r="F395" t="s">
        <v>362</v>
      </c>
      <c r="G395" t="s">
        <v>363</v>
      </c>
      <c r="H395">
        <v>31</v>
      </c>
      <c r="I395">
        <v>1399</v>
      </c>
      <c r="J395" t="s">
        <v>2126</v>
      </c>
      <c r="K395" t="s">
        <v>599</v>
      </c>
      <c r="L395" t="s">
        <v>2127</v>
      </c>
      <c r="M395" t="s">
        <v>82</v>
      </c>
      <c r="N395">
        <v>16404</v>
      </c>
      <c r="O395" t="s">
        <v>83</v>
      </c>
      <c r="Q395" t="s">
        <v>381</v>
      </c>
      <c r="R395" t="s">
        <v>2128</v>
      </c>
      <c r="S395" t="s">
        <v>2129</v>
      </c>
      <c r="T395" s="6">
        <v>2100000000</v>
      </c>
      <c r="U395" s="45">
        <f>VLOOKUP(B395,realPrices!C:G,5,0)</f>
        <v>2310000999</v>
      </c>
      <c r="W395" t="str">
        <f t="shared" si="6"/>
        <v>PU1 OHVG CNG1399</v>
      </c>
      <c r="X395">
        <f>VLOOKUP(W395,Sheet10!D:F,2,0)*10000000</f>
        <v>2830000000</v>
      </c>
      <c r="Y395" t="s">
        <v>114</v>
      </c>
      <c r="Z395"/>
    </row>
    <row r="396" spans="1:26" x14ac:dyDescent="0.25">
      <c r="A396" t="s">
        <v>376</v>
      </c>
      <c r="B396" t="s">
        <v>2130</v>
      </c>
      <c r="C396">
        <v>164</v>
      </c>
      <c r="D396" t="s">
        <v>63</v>
      </c>
      <c r="E396" t="s">
        <v>78</v>
      </c>
      <c r="F396" t="s">
        <v>362</v>
      </c>
      <c r="G396" t="s">
        <v>363</v>
      </c>
      <c r="H396">
        <v>30</v>
      </c>
      <c r="I396">
        <v>1399</v>
      </c>
      <c r="J396" t="s">
        <v>2131</v>
      </c>
      <c r="K396" t="s">
        <v>834</v>
      </c>
      <c r="L396" t="s">
        <v>2132</v>
      </c>
      <c r="M396" t="s">
        <v>82</v>
      </c>
      <c r="N396">
        <v>16404</v>
      </c>
      <c r="O396" t="s">
        <v>83</v>
      </c>
      <c r="Q396" t="s">
        <v>381</v>
      </c>
      <c r="R396" t="s">
        <v>2133</v>
      </c>
      <c r="S396" t="s">
        <v>411</v>
      </c>
      <c r="T396" s="6">
        <v>2100000000</v>
      </c>
      <c r="U396" s="45">
        <f>VLOOKUP(B396,realPrices!C:G,5,0)</f>
        <v>2401000000</v>
      </c>
      <c r="W396" t="str">
        <f t="shared" si="6"/>
        <v>PU1 OHVG CNG1399</v>
      </c>
      <c r="X396">
        <f>VLOOKUP(W396,Sheet10!D:F,2,0)*10000000</f>
        <v>2830000000</v>
      </c>
      <c r="Y396" t="s">
        <v>114</v>
      </c>
      <c r="Z396"/>
    </row>
    <row r="397" spans="1:26" x14ac:dyDescent="0.25">
      <c r="A397" t="s">
        <v>376</v>
      </c>
      <c r="B397" t="s">
        <v>2134</v>
      </c>
      <c r="C397">
        <v>164</v>
      </c>
      <c r="D397" t="s">
        <v>63</v>
      </c>
      <c r="E397" t="s">
        <v>78</v>
      </c>
      <c r="F397" t="s">
        <v>362</v>
      </c>
      <c r="G397" t="s">
        <v>363</v>
      </c>
      <c r="H397">
        <v>29</v>
      </c>
      <c r="I397">
        <v>1399</v>
      </c>
      <c r="J397" t="s">
        <v>2135</v>
      </c>
      <c r="K397" t="s">
        <v>599</v>
      </c>
      <c r="L397" t="s">
        <v>2136</v>
      </c>
      <c r="M397" t="s">
        <v>82</v>
      </c>
      <c r="N397">
        <v>16404</v>
      </c>
      <c r="O397" t="s">
        <v>83</v>
      </c>
      <c r="Q397" t="s">
        <v>381</v>
      </c>
      <c r="R397" t="s">
        <v>2137</v>
      </c>
      <c r="S397" t="s">
        <v>2138</v>
      </c>
      <c r="T397" s="6">
        <v>2100000000</v>
      </c>
      <c r="U397" s="45">
        <f>VLOOKUP(B397,realPrices!C:G,5,0)</f>
        <v>2379999999</v>
      </c>
      <c r="W397" t="str">
        <f t="shared" si="6"/>
        <v>PU1 OHVG CNG1399</v>
      </c>
      <c r="X397">
        <f>VLOOKUP(W397,Sheet10!D:F,2,0)*10000000</f>
        <v>2830000000</v>
      </c>
      <c r="Y397" t="s">
        <v>114</v>
      </c>
      <c r="Z397"/>
    </row>
    <row r="398" spans="1:26" x14ac:dyDescent="0.25">
      <c r="A398" t="s">
        <v>376</v>
      </c>
      <c r="B398" t="s">
        <v>2139</v>
      </c>
      <c r="C398">
        <v>164</v>
      </c>
      <c r="D398" t="s">
        <v>63</v>
      </c>
      <c r="E398" t="s">
        <v>78</v>
      </c>
      <c r="F398" t="s">
        <v>362</v>
      </c>
      <c r="G398" t="s">
        <v>363</v>
      </c>
      <c r="H398">
        <v>29</v>
      </c>
      <c r="I398">
        <v>1399</v>
      </c>
      <c r="J398" t="s">
        <v>2140</v>
      </c>
      <c r="K398" t="s">
        <v>522</v>
      </c>
      <c r="L398" t="s">
        <v>2141</v>
      </c>
      <c r="M398" t="s">
        <v>82</v>
      </c>
      <c r="N398">
        <v>16404</v>
      </c>
      <c r="O398" t="s">
        <v>83</v>
      </c>
      <c r="Q398" t="s">
        <v>381</v>
      </c>
      <c r="R398" t="s">
        <v>2142</v>
      </c>
      <c r="S398" t="s">
        <v>2143</v>
      </c>
      <c r="T398" s="6">
        <v>2100000000</v>
      </c>
      <c r="U398" s="45">
        <f>VLOOKUP(B398,realPrices!C:G,5,0)</f>
        <v>2380000000</v>
      </c>
      <c r="W398" t="str">
        <f t="shared" si="6"/>
        <v>PU1 OHVG CNG1399</v>
      </c>
      <c r="X398">
        <f>VLOOKUP(W398,Sheet10!D:F,2,0)*10000000</f>
        <v>2830000000</v>
      </c>
      <c r="Y398" t="s">
        <v>114</v>
      </c>
      <c r="Z398"/>
    </row>
    <row r="399" spans="1:26" x14ac:dyDescent="0.25">
      <c r="A399" t="s">
        <v>2144</v>
      </c>
      <c r="B399" t="s">
        <v>2145</v>
      </c>
      <c r="C399">
        <v>272</v>
      </c>
      <c r="D399" t="s">
        <v>178</v>
      </c>
      <c r="E399" t="s">
        <v>78</v>
      </c>
      <c r="F399" t="s">
        <v>420</v>
      </c>
      <c r="G399" t="s">
        <v>2146</v>
      </c>
      <c r="H399">
        <v>19029</v>
      </c>
      <c r="I399">
        <v>1399</v>
      </c>
      <c r="J399" t="s">
        <v>2147</v>
      </c>
      <c r="K399" t="s">
        <v>2148</v>
      </c>
      <c r="L399" t="s">
        <v>2149</v>
      </c>
      <c r="M399" t="s">
        <v>181</v>
      </c>
      <c r="N399">
        <v>27235</v>
      </c>
      <c r="O399" t="s">
        <v>70</v>
      </c>
      <c r="Q399" t="s">
        <v>2150</v>
      </c>
      <c r="R399" t="s">
        <v>2151</v>
      </c>
      <c r="S399" t="s">
        <v>2152</v>
      </c>
      <c r="T399" s="6">
        <v>2100000000</v>
      </c>
      <c r="U399" s="45">
        <f>VLOOKUP(B399,realPrices!C:G,5,0)</f>
        <v>2866666666</v>
      </c>
      <c r="W399" t="str">
        <f t="shared" si="6"/>
        <v>405GLX XU7 CNG1399</v>
      </c>
      <c r="X399" t="e">
        <f>VLOOKUP(W399,Sheet10!D:F,2,0)*10000000</f>
        <v>#N/A</v>
      </c>
      <c r="Y399" t="s">
        <v>74</v>
      </c>
      <c r="Z399"/>
    </row>
    <row r="400" spans="1:26" x14ac:dyDescent="0.25">
      <c r="A400" t="s">
        <v>376</v>
      </c>
      <c r="B400" t="s">
        <v>2153</v>
      </c>
      <c r="C400">
        <v>164</v>
      </c>
      <c r="D400" t="s">
        <v>63</v>
      </c>
      <c r="E400" t="s">
        <v>78</v>
      </c>
      <c r="F400" t="s">
        <v>362</v>
      </c>
      <c r="G400" t="s">
        <v>363</v>
      </c>
      <c r="H400">
        <v>27</v>
      </c>
      <c r="I400">
        <v>1399</v>
      </c>
      <c r="J400" t="s">
        <v>2154</v>
      </c>
      <c r="K400" t="s">
        <v>599</v>
      </c>
      <c r="L400" t="s">
        <v>2155</v>
      </c>
      <c r="M400" t="s">
        <v>82</v>
      </c>
      <c r="N400">
        <v>16404</v>
      </c>
      <c r="O400" t="s">
        <v>83</v>
      </c>
      <c r="Q400" t="s">
        <v>381</v>
      </c>
      <c r="R400" t="s">
        <v>2156</v>
      </c>
      <c r="S400" t="s">
        <v>2157</v>
      </c>
      <c r="T400" s="6">
        <v>2100000000</v>
      </c>
      <c r="U400" s="45">
        <f>VLOOKUP(B400,realPrices!C:G,5,0)</f>
        <v>3353000000</v>
      </c>
      <c r="W400" t="str">
        <f t="shared" si="6"/>
        <v>PU1 OHVG CNG1399</v>
      </c>
      <c r="X400">
        <f>VLOOKUP(W400,Sheet10!D:F,2,0)*10000000</f>
        <v>2830000000</v>
      </c>
      <c r="Y400" t="s">
        <v>114</v>
      </c>
      <c r="Z400"/>
    </row>
    <row r="401" spans="1:26" x14ac:dyDescent="0.25">
      <c r="A401" t="s">
        <v>376</v>
      </c>
      <c r="B401" t="s">
        <v>2158</v>
      </c>
      <c r="C401">
        <v>164</v>
      </c>
      <c r="D401" t="s">
        <v>63</v>
      </c>
      <c r="E401" t="s">
        <v>78</v>
      </c>
      <c r="F401" t="s">
        <v>362</v>
      </c>
      <c r="G401" t="s">
        <v>363</v>
      </c>
      <c r="H401">
        <v>29</v>
      </c>
      <c r="I401">
        <v>1399</v>
      </c>
      <c r="J401" t="s">
        <v>2159</v>
      </c>
      <c r="K401" t="s">
        <v>2160</v>
      </c>
      <c r="L401" t="s">
        <v>2161</v>
      </c>
      <c r="M401" t="s">
        <v>82</v>
      </c>
      <c r="N401">
        <v>16404</v>
      </c>
      <c r="O401" t="s">
        <v>83</v>
      </c>
      <c r="Q401" t="s">
        <v>381</v>
      </c>
      <c r="R401" t="s">
        <v>2162</v>
      </c>
      <c r="S401" t="s">
        <v>2163</v>
      </c>
      <c r="T401" s="6">
        <v>2100000000</v>
      </c>
      <c r="U401" s="45">
        <f>VLOOKUP(B401,realPrices!C:G,5,0)</f>
        <v>2337999000</v>
      </c>
      <c r="W401" t="str">
        <f t="shared" si="6"/>
        <v>PU1 OHVG CNG1399</v>
      </c>
      <c r="X401">
        <f>VLOOKUP(W401,Sheet10!D:F,2,0)*10000000</f>
        <v>2830000000</v>
      </c>
      <c r="Y401" t="s">
        <v>114</v>
      </c>
      <c r="Z401"/>
    </row>
    <row r="402" spans="1:26" x14ac:dyDescent="0.25">
      <c r="A402" t="s">
        <v>376</v>
      </c>
      <c r="B402" t="s">
        <v>2164</v>
      </c>
      <c r="C402">
        <v>164</v>
      </c>
      <c r="D402" t="s">
        <v>63</v>
      </c>
      <c r="E402" t="s">
        <v>78</v>
      </c>
      <c r="F402" t="s">
        <v>362</v>
      </c>
      <c r="G402" t="s">
        <v>363</v>
      </c>
      <c r="H402">
        <v>26</v>
      </c>
      <c r="I402">
        <v>1399</v>
      </c>
      <c r="J402" t="s">
        <v>2165</v>
      </c>
      <c r="K402" t="s">
        <v>599</v>
      </c>
      <c r="L402" t="s">
        <v>2166</v>
      </c>
      <c r="M402" t="s">
        <v>82</v>
      </c>
      <c r="N402">
        <v>16404</v>
      </c>
      <c r="O402" t="s">
        <v>83</v>
      </c>
      <c r="Q402" t="s">
        <v>381</v>
      </c>
      <c r="R402" t="s">
        <v>2167</v>
      </c>
      <c r="S402" t="s">
        <v>2168</v>
      </c>
      <c r="T402" s="6">
        <v>2100000000</v>
      </c>
      <c r="U402" s="45">
        <f>VLOOKUP(B402,realPrices!C:G,5,0)</f>
        <v>2418888888</v>
      </c>
      <c r="W402" t="str">
        <f t="shared" si="6"/>
        <v>PU1 OHVG CNG1399</v>
      </c>
      <c r="X402">
        <f>VLOOKUP(W402,Sheet10!D:F,2,0)*10000000</f>
        <v>2830000000</v>
      </c>
      <c r="Y402" t="s">
        <v>114</v>
      </c>
      <c r="Z402"/>
    </row>
    <row r="403" spans="1:26" x14ac:dyDescent="0.25">
      <c r="A403" t="s">
        <v>376</v>
      </c>
      <c r="B403" t="s">
        <v>2169</v>
      </c>
      <c r="C403">
        <v>164</v>
      </c>
      <c r="D403" t="s">
        <v>63</v>
      </c>
      <c r="E403" t="s">
        <v>78</v>
      </c>
      <c r="F403" t="s">
        <v>362</v>
      </c>
      <c r="G403" t="s">
        <v>363</v>
      </c>
      <c r="H403">
        <v>43</v>
      </c>
      <c r="I403">
        <v>1399</v>
      </c>
      <c r="J403" t="s">
        <v>2170</v>
      </c>
      <c r="K403" t="s">
        <v>599</v>
      </c>
      <c r="L403" t="s">
        <v>2171</v>
      </c>
      <c r="M403" t="s">
        <v>82</v>
      </c>
      <c r="N403">
        <v>16404</v>
      </c>
      <c r="O403" t="s">
        <v>83</v>
      </c>
      <c r="Q403" t="s">
        <v>381</v>
      </c>
      <c r="R403" t="s">
        <v>2172</v>
      </c>
      <c r="S403" t="s">
        <v>2173</v>
      </c>
      <c r="T403" s="6">
        <v>2100000000</v>
      </c>
      <c r="U403" s="45">
        <f>VLOOKUP(B403,realPrices!C:G,5,0)</f>
        <v>2635999999</v>
      </c>
      <c r="W403" t="str">
        <f t="shared" si="6"/>
        <v>PU1 OHVG CNG1399</v>
      </c>
      <c r="X403">
        <f>VLOOKUP(W403,Sheet10!D:F,2,0)*10000000</f>
        <v>2830000000</v>
      </c>
      <c r="Y403" t="s">
        <v>114</v>
      </c>
      <c r="Z403"/>
    </row>
    <row r="404" spans="1:26" x14ac:dyDescent="0.25">
      <c r="A404" t="s">
        <v>376</v>
      </c>
      <c r="B404" t="s">
        <v>2174</v>
      </c>
      <c r="C404">
        <v>164</v>
      </c>
      <c r="D404" t="s">
        <v>63</v>
      </c>
      <c r="E404" t="s">
        <v>78</v>
      </c>
      <c r="F404" t="s">
        <v>362</v>
      </c>
      <c r="G404" t="s">
        <v>363</v>
      </c>
      <c r="H404">
        <v>33</v>
      </c>
      <c r="I404">
        <v>1399</v>
      </c>
      <c r="J404" t="s">
        <v>2175</v>
      </c>
      <c r="K404" t="s">
        <v>599</v>
      </c>
      <c r="L404" t="s">
        <v>2176</v>
      </c>
      <c r="M404" t="s">
        <v>82</v>
      </c>
      <c r="N404">
        <v>16404</v>
      </c>
      <c r="O404" t="s">
        <v>83</v>
      </c>
      <c r="Q404" t="s">
        <v>381</v>
      </c>
      <c r="R404" t="s">
        <v>2177</v>
      </c>
      <c r="S404" t="s">
        <v>2178</v>
      </c>
      <c r="T404" s="6">
        <v>2100000000</v>
      </c>
      <c r="U404" s="45">
        <f>VLOOKUP(B404,realPrices!C:G,5,0)</f>
        <v>2500000000</v>
      </c>
      <c r="W404" t="str">
        <f t="shared" si="6"/>
        <v>PU1 OHVG CNG1399</v>
      </c>
      <c r="X404">
        <f>VLOOKUP(W404,Sheet10!D:F,2,0)*10000000</f>
        <v>2830000000</v>
      </c>
      <c r="Y404" t="s">
        <v>114</v>
      </c>
      <c r="Z404"/>
    </row>
    <row r="405" spans="1:26" x14ac:dyDescent="0.25">
      <c r="A405" t="s">
        <v>376</v>
      </c>
      <c r="B405" t="s">
        <v>2179</v>
      </c>
      <c r="C405">
        <v>164</v>
      </c>
      <c r="D405" t="s">
        <v>63</v>
      </c>
      <c r="E405" t="s">
        <v>78</v>
      </c>
      <c r="F405" t="s">
        <v>362</v>
      </c>
      <c r="G405" t="s">
        <v>363</v>
      </c>
      <c r="H405">
        <v>27</v>
      </c>
      <c r="I405">
        <v>1399</v>
      </c>
      <c r="J405" t="s">
        <v>2180</v>
      </c>
      <c r="K405" t="s">
        <v>599</v>
      </c>
      <c r="L405" t="s">
        <v>2181</v>
      </c>
      <c r="M405" t="s">
        <v>82</v>
      </c>
      <c r="N405">
        <v>16404</v>
      </c>
      <c r="O405" t="s">
        <v>83</v>
      </c>
      <c r="Q405" t="s">
        <v>381</v>
      </c>
      <c r="R405" t="s">
        <v>2182</v>
      </c>
      <c r="S405" t="s">
        <v>2183</v>
      </c>
      <c r="T405" s="6">
        <v>2100000000</v>
      </c>
      <c r="U405" s="45">
        <f>VLOOKUP(B405,realPrices!C:G,5,0)</f>
        <v>2625999899</v>
      </c>
      <c r="W405" t="str">
        <f t="shared" si="6"/>
        <v>PU1 OHVG CNG1399</v>
      </c>
      <c r="X405">
        <f>VLOOKUP(W405,Sheet10!D:F,2,0)*10000000</f>
        <v>2830000000</v>
      </c>
      <c r="Y405" t="s">
        <v>114</v>
      </c>
      <c r="Z405"/>
    </row>
    <row r="406" spans="1:26" x14ac:dyDescent="0.25">
      <c r="A406" t="s">
        <v>376</v>
      </c>
      <c r="B406" t="s">
        <v>2184</v>
      </c>
      <c r="C406">
        <v>164</v>
      </c>
      <c r="D406" t="s">
        <v>63</v>
      </c>
      <c r="E406" t="s">
        <v>78</v>
      </c>
      <c r="F406" t="s">
        <v>362</v>
      </c>
      <c r="G406" t="s">
        <v>363</v>
      </c>
      <c r="H406">
        <v>27</v>
      </c>
      <c r="I406">
        <v>1399</v>
      </c>
      <c r="J406" t="s">
        <v>2185</v>
      </c>
      <c r="K406" t="s">
        <v>599</v>
      </c>
      <c r="L406" t="s">
        <v>2186</v>
      </c>
      <c r="M406" t="s">
        <v>82</v>
      </c>
      <c r="N406">
        <v>16404</v>
      </c>
      <c r="O406" t="s">
        <v>83</v>
      </c>
      <c r="Q406" t="s">
        <v>381</v>
      </c>
      <c r="R406" t="s">
        <v>2187</v>
      </c>
      <c r="S406" t="s">
        <v>2188</v>
      </c>
      <c r="T406" s="6">
        <v>2100000000</v>
      </c>
      <c r="U406" s="45">
        <f>VLOOKUP(B406,realPrices!C:G,5,0)</f>
        <v>2387999000</v>
      </c>
      <c r="W406" t="str">
        <f t="shared" si="6"/>
        <v>PU1 OHVG CNG1399</v>
      </c>
      <c r="X406">
        <f>VLOOKUP(W406,Sheet10!D:F,2,0)*10000000</f>
        <v>2830000000</v>
      </c>
      <c r="Y406" t="s">
        <v>114</v>
      </c>
      <c r="Z406"/>
    </row>
    <row r="407" spans="1:26" x14ac:dyDescent="0.25">
      <c r="A407" t="s">
        <v>2189</v>
      </c>
      <c r="B407" t="s">
        <v>2190</v>
      </c>
      <c r="C407">
        <v>282</v>
      </c>
      <c r="D407" t="s">
        <v>240</v>
      </c>
      <c r="E407" t="s">
        <v>64</v>
      </c>
      <c r="F407" t="s">
        <v>205</v>
      </c>
      <c r="G407" t="s">
        <v>2191</v>
      </c>
      <c r="H407">
        <v>36239</v>
      </c>
      <c r="I407">
        <v>1400</v>
      </c>
      <c r="J407" t="s">
        <v>2192</v>
      </c>
      <c r="K407" t="s">
        <v>2193</v>
      </c>
      <c r="L407" t="s">
        <v>2194</v>
      </c>
      <c r="M407" t="s">
        <v>312</v>
      </c>
      <c r="N407">
        <v>28242</v>
      </c>
      <c r="O407" t="s">
        <v>70</v>
      </c>
      <c r="Q407" t="s">
        <v>2195</v>
      </c>
      <c r="R407" t="s">
        <v>2196</v>
      </c>
      <c r="S407" t="s">
        <v>2197</v>
      </c>
      <c r="T407" s="6">
        <v>2100000000</v>
      </c>
      <c r="U407" s="45">
        <f>VLOOKUP(B407,realPrices!C:G,5,0)</f>
        <v>2737199999</v>
      </c>
      <c r="W407" t="str">
        <f t="shared" si="6"/>
        <v>PARS XU71400</v>
      </c>
      <c r="X407" t="e">
        <f>VLOOKUP(W407,Sheet10!D:F,2,0)*10000000</f>
        <v>#N/A</v>
      </c>
      <c r="Y407" t="s">
        <v>74</v>
      </c>
      <c r="Z407"/>
    </row>
    <row r="408" spans="1:26" x14ac:dyDescent="0.25">
      <c r="A408" t="s">
        <v>376</v>
      </c>
      <c r="B408" t="s">
        <v>2198</v>
      </c>
      <c r="C408">
        <v>164</v>
      </c>
      <c r="D408" t="s">
        <v>63</v>
      </c>
      <c r="E408" t="s">
        <v>78</v>
      </c>
      <c r="F408" t="s">
        <v>362</v>
      </c>
      <c r="G408" t="s">
        <v>363</v>
      </c>
      <c r="H408">
        <v>23</v>
      </c>
      <c r="I408">
        <v>1399</v>
      </c>
      <c r="J408" t="s">
        <v>2199</v>
      </c>
      <c r="K408" t="s">
        <v>599</v>
      </c>
      <c r="L408" t="s">
        <v>2200</v>
      </c>
      <c r="M408" t="s">
        <v>82</v>
      </c>
      <c r="N408">
        <v>16404</v>
      </c>
      <c r="O408" t="s">
        <v>83</v>
      </c>
      <c r="Q408" t="s">
        <v>381</v>
      </c>
      <c r="R408" t="s">
        <v>2201</v>
      </c>
      <c r="S408" t="s">
        <v>2202</v>
      </c>
      <c r="T408" s="6">
        <v>2100000000</v>
      </c>
      <c r="U408" s="45">
        <f>VLOOKUP(B408,realPrices!C:G,5,0)</f>
        <v>2507777777</v>
      </c>
      <c r="W408" t="str">
        <f t="shared" si="6"/>
        <v>PU1 OHVG CNG1399</v>
      </c>
      <c r="X408">
        <f>VLOOKUP(W408,Sheet10!D:F,2,0)*10000000</f>
        <v>2830000000</v>
      </c>
      <c r="Y408" t="s">
        <v>114</v>
      </c>
      <c r="Z408"/>
    </row>
    <row r="409" spans="1:26" x14ac:dyDescent="0.25">
      <c r="A409" t="s">
        <v>376</v>
      </c>
      <c r="B409" t="s">
        <v>2203</v>
      </c>
      <c r="C409">
        <v>164</v>
      </c>
      <c r="D409" t="s">
        <v>63</v>
      </c>
      <c r="E409" t="s">
        <v>78</v>
      </c>
      <c r="F409" t="s">
        <v>362</v>
      </c>
      <c r="G409" t="s">
        <v>363</v>
      </c>
      <c r="H409">
        <v>25</v>
      </c>
      <c r="I409">
        <v>1399</v>
      </c>
      <c r="J409" t="s">
        <v>2204</v>
      </c>
      <c r="K409" t="s">
        <v>599</v>
      </c>
      <c r="L409" t="s">
        <v>2205</v>
      </c>
      <c r="M409" t="s">
        <v>82</v>
      </c>
      <c r="N409">
        <v>16404</v>
      </c>
      <c r="O409" t="s">
        <v>83</v>
      </c>
      <c r="Q409" t="s">
        <v>381</v>
      </c>
      <c r="R409" t="s">
        <v>2206</v>
      </c>
      <c r="S409" t="s">
        <v>184</v>
      </c>
      <c r="T409" s="6">
        <v>2100000000</v>
      </c>
      <c r="U409" s="45">
        <f>VLOOKUP(B409,realPrices!C:G,5,0)</f>
        <v>2605999999</v>
      </c>
      <c r="W409" t="str">
        <f t="shared" si="6"/>
        <v>PU1 OHVG CNG1399</v>
      </c>
      <c r="X409">
        <f>VLOOKUP(W409,Sheet10!D:F,2,0)*10000000</f>
        <v>2830000000</v>
      </c>
      <c r="Y409" t="s">
        <v>114</v>
      </c>
      <c r="Z409"/>
    </row>
    <row r="410" spans="1:26" x14ac:dyDescent="0.25">
      <c r="A410" t="s">
        <v>376</v>
      </c>
      <c r="B410" t="s">
        <v>2207</v>
      </c>
      <c r="C410">
        <v>164</v>
      </c>
      <c r="D410" t="s">
        <v>63</v>
      </c>
      <c r="E410" t="s">
        <v>78</v>
      </c>
      <c r="F410" t="s">
        <v>362</v>
      </c>
      <c r="G410" t="s">
        <v>363</v>
      </c>
      <c r="H410">
        <v>43</v>
      </c>
      <c r="I410">
        <v>1399</v>
      </c>
      <c r="J410" t="s">
        <v>2208</v>
      </c>
      <c r="K410" t="s">
        <v>2209</v>
      </c>
      <c r="L410" t="s">
        <v>2210</v>
      </c>
      <c r="M410" t="s">
        <v>82</v>
      </c>
      <c r="N410">
        <v>16404</v>
      </c>
      <c r="O410" t="s">
        <v>83</v>
      </c>
      <c r="Q410" t="s">
        <v>381</v>
      </c>
      <c r="R410" t="s">
        <v>2211</v>
      </c>
      <c r="S410" t="s">
        <v>190</v>
      </c>
      <c r="T410" s="6">
        <v>2100000000</v>
      </c>
      <c r="U410" s="45">
        <f>VLOOKUP(B410,realPrices!C:G,5,0)</f>
        <v>2308759898</v>
      </c>
      <c r="W410" t="str">
        <f t="shared" si="6"/>
        <v>PU1 OHVG CNG1399</v>
      </c>
      <c r="X410">
        <f>VLOOKUP(W410,Sheet10!D:F,2,0)*10000000</f>
        <v>2830000000</v>
      </c>
      <c r="Y410" t="s">
        <v>114</v>
      </c>
      <c r="Z410"/>
    </row>
    <row r="411" spans="1:26" x14ac:dyDescent="0.25">
      <c r="A411" t="s">
        <v>376</v>
      </c>
      <c r="B411" t="s">
        <v>2212</v>
      </c>
      <c r="C411">
        <v>164</v>
      </c>
      <c r="D411" t="s">
        <v>63</v>
      </c>
      <c r="E411" t="s">
        <v>78</v>
      </c>
      <c r="F411" t="s">
        <v>362</v>
      </c>
      <c r="G411" t="s">
        <v>363</v>
      </c>
      <c r="H411">
        <v>40</v>
      </c>
      <c r="I411">
        <v>1399</v>
      </c>
      <c r="J411" t="s">
        <v>2213</v>
      </c>
      <c r="K411" t="s">
        <v>2214</v>
      </c>
      <c r="L411" t="s">
        <v>2215</v>
      </c>
      <c r="M411" t="s">
        <v>82</v>
      </c>
      <c r="N411">
        <v>16404</v>
      </c>
      <c r="O411" t="s">
        <v>83</v>
      </c>
      <c r="Q411" t="s">
        <v>381</v>
      </c>
      <c r="R411" t="s">
        <v>2216</v>
      </c>
      <c r="S411" t="s">
        <v>135</v>
      </c>
      <c r="T411" s="6">
        <v>2100000000</v>
      </c>
      <c r="U411" s="45">
        <f>VLOOKUP(B411,realPrices!C:G,5,0)</f>
        <v>2615999999</v>
      </c>
      <c r="W411" t="str">
        <f t="shared" si="6"/>
        <v>PU1 OHVG CNG1399</v>
      </c>
      <c r="X411">
        <f>VLOOKUP(W411,Sheet10!D:F,2,0)*10000000</f>
        <v>2830000000</v>
      </c>
      <c r="Y411" t="s">
        <v>114</v>
      </c>
      <c r="Z411"/>
    </row>
    <row r="412" spans="1:26" x14ac:dyDescent="0.25">
      <c r="A412" t="s">
        <v>376</v>
      </c>
      <c r="B412" t="s">
        <v>2217</v>
      </c>
      <c r="C412">
        <v>164</v>
      </c>
      <c r="D412" t="s">
        <v>63</v>
      </c>
      <c r="E412" t="s">
        <v>78</v>
      </c>
      <c r="F412" t="s">
        <v>362</v>
      </c>
      <c r="G412" t="s">
        <v>363</v>
      </c>
      <c r="H412">
        <v>35</v>
      </c>
      <c r="I412">
        <v>1399</v>
      </c>
      <c r="J412" t="s">
        <v>2218</v>
      </c>
      <c r="K412" t="s">
        <v>2219</v>
      </c>
      <c r="L412" t="s">
        <v>2220</v>
      </c>
      <c r="M412" t="s">
        <v>82</v>
      </c>
      <c r="N412">
        <v>16404</v>
      </c>
      <c r="O412" t="s">
        <v>83</v>
      </c>
      <c r="Q412" t="s">
        <v>381</v>
      </c>
      <c r="R412" t="s">
        <v>2221</v>
      </c>
      <c r="S412" t="s">
        <v>655</v>
      </c>
      <c r="T412" s="6">
        <v>2100000000</v>
      </c>
      <c r="U412" s="45">
        <f>VLOOKUP(B412,realPrices!C:G,5,0)</f>
        <v>2290000000</v>
      </c>
      <c r="W412" t="str">
        <f t="shared" si="6"/>
        <v>PU1 OHVG CNG1399</v>
      </c>
      <c r="X412">
        <f>VLOOKUP(W412,Sheet10!D:F,2,0)*10000000</f>
        <v>2830000000</v>
      </c>
      <c r="Y412" t="s">
        <v>114</v>
      </c>
      <c r="Z412"/>
    </row>
    <row r="413" spans="1:26" x14ac:dyDescent="0.25">
      <c r="A413" t="s">
        <v>376</v>
      </c>
      <c r="B413" t="s">
        <v>2222</v>
      </c>
      <c r="C413">
        <v>164</v>
      </c>
      <c r="D413" t="s">
        <v>63</v>
      </c>
      <c r="E413" t="s">
        <v>78</v>
      </c>
      <c r="F413" t="s">
        <v>362</v>
      </c>
      <c r="G413" t="s">
        <v>363</v>
      </c>
      <c r="H413">
        <v>24</v>
      </c>
      <c r="I413">
        <v>1399</v>
      </c>
      <c r="J413" t="s">
        <v>2223</v>
      </c>
      <c r="K413" t="s">
        <v>1496</v>
      </c>
      <c r="L413" t="s">
        <v>2224</v>
      </c>
      <c r="M413" t="s">
        <v>82</v>
      </c>
      <c r="N413">
        <v>16404</v>
      </c>
      <c r="O413" t="s">
        <v>83</v>
      </c>
      <c r="Q413" t="s">
        <v>381</v>
      </c>
      <c r="R413" t="s">
        <v>2225</v>
      </c>
      <c r="S413" t="s">
        <v>673</v>
      </c>
      <c r="T413" s="6">
        <v>2100000000</v>
      </c>
      <c r="U413" s="45">
        <f>VLOOKUP(B413,realPrices!C:G,5,0)</f>
        <v>2456000000</v>
      </c>
      <c r="W413" t="str">
        <f t="shared" si="6"/>
        <v>PU1 OHVG CNG1399</v>
      </c>
      <c r="X413">
        <f>VLOOKUP(W413,Sheet10!D:F,2,0)*10000000</f>
        <v>2830000000</v>
      </c>
      <c r="Y413" t="s">
        <v>114</v>
      </c>
      <c r="Z413"/>
    </row>
    <row r="414" spans="1:26" x14ac:dyDescent="0.25">
      <c r="A414" t="s">
        <v>661</v>
      </c>
      <c r="B414" t="s">
        <v>2226</v>
      </c>
      <c r="C414">
        <v>256</v>
      </c>
      <c r="D414" t="s">
        <v>178</v>
      </c>
      <c r="E414" t="s">
        <v>64</v>
      </c>
      <c r="F414" t="s">
        <v>362</v>
      </c>
      <c r="G414" t="s">
        <v>363</v>
      </c>
      <c r="H414">
        <v>50</v>
      </c>
      <c r="I414">
        <v>1398</v>
      </c>
      <c r="J414" t="s">
        <v>2227</v>
      </c>
      <c r="K414" t="s">
        <v>2228</v>
      </c>
      <c r="L414" t="s">
        <v>2229</v>
      </c>
      <c r="M414" t="s">
        <v>140</v>
      </c>
      <c r="N414">
        <v>25637</v>
      </c>
      <c r="O414" t="s">
        <v>70</v>
      </c>
      <c r="Q414" t="s">
        <v>666</v>
      </c>
      <c r="R414" t="s">
        <v>2230</v>
      </c>
      <c r="S414" t="s">
        <v>2231</v>
      </c>
      <c r="T414" s="6">
        <v>2100000000</v>
      </c>
      <c r="U414" s="45">
        <f>VLOOKUP(B414,realPrices!C:G,5,0)</f>
        <v>3459000000</v>
      </c>
      <c r="W414" t="str">
        <f t="shared" si="6"/>
        <v>405 GLX XU71398</v>
      </c>
      <c r="X414" t="e">
        <f>VLOOKUP(W414,Sheet10!D:F,2,0)*10000000</f>
        <v>#N/A</v>
      </c>
      <c r="Y414" t="s">
        <v>114</v>
      </c>
      <c r="Z414"/>
    </row>
    <row r="415" spans="1:26" x14ac:dyDescent="0.25">
      <c r="A415" t="s">
        <v>376</v>
      </c>
      <c r="B415" t="s">
        <v>2232</v>
      </c>
      <c r="C415">
        <v>164</v>
      </c>
      <c r="D415" t="s">
        <v>63</v>
      </c>
      <c r="E415" t="s">
        <v>78</v>
      </c>
      <c r="F415" t="s">
        <v>362</v>
      </c>
      <c r="G415" t="s">
        <v>363</v>
      </c>
      <c r="H415">
        <v>30</v>
      </c>
      <c r="I415">
        <v>1399</v>
      </c>
      <c r="J415" t="s">
        <v>2233</v>
      </c>
      <c r="K415" t="s">
        <v>2234</v>
      </c>
      <c r="L415" t="s">
        <v>2235</v>
      </c>
      <c r="M415" t="s">
        <v>82</v>
      </c>
      <c r="N415">
        <v>16404</v>
      </c>
      <c r="O415" t="s">
        <v>83</v>
      </c>
      <c r="Q415" t="s">
        <v>381</v>
      </c>
      <c r="R415" t="s">
        <v>2236</v>
      </c>
      <c r="S415" t="s">
        <v>678</v>
      </c>
      <c r="T415" s="6">
        <v>2100000000</v>
      </c>
      <c r="U415" s="45">
        <f>VLOOKUP(B415,realPrices!C:G,5,0)</f>
        <v>2352000000</v>
      </c>
      <c r="W415" t="str">
        <f t="shared" si="6"/>
        <v>PU1 OHVG CNG1399</v>
      </c>
      <c r="X415">
        <f>VLOOKUP(W415,Sheet10!D:F,2,0)*10000000</f>
        <v>2830000000</v>
      </c>
      <c r="Y415" t="s">
        <v>114</v>
      </c>
      <c r="Z415"/>
    </row>
    <row r="416" spans="1:26" x14ac:dyDescent="0.25">
      <c r="A416" t="s">
        <v>376</v>
      </c>
      <c r="B416" t="s">
        <v>2237</v>
      </c>
      <c r="C416">
        <v>164</v>
      </c>
      <c r="D416" t="s">
        <v>63</v>
      </c>
      <c r="E416" t="s">
        <v>78</v>
      </c>
      <c r="F416" t="s">
        <v>362</v>
      </c>
      <c r="G416" t="s">
        <v>363</v>
      </c>
      <c r="H416">
        <v>34</v>
      </c>
      <c r="I416">
        <v>1399</v>
      </c>
      <c r="J416" t="s">
        <v>2238</v>
      </c>
      <c r="K416" t="s">
        <v>834</v>
      </c>
      <c r="L416" t="s">
        <v>2239</v>
      </c>
      <c r="M416" t="s">
        <v>82</v>
      </c>
      <c r="N416">
        <v>16404</v>
      </c>
      <c r="O416" t="s">
        <v>83</v>
      </c>
      <c r="Q416" t="s">
        <v>381</v>
      </c>
      <c r="R416" t="s">
        <v>2240</v>
      </c>
      <c r="S416" t="s">
        <v>683</v>
      </c>
      <c r="T416" s="6">
        <v>2100000000</v>
      </c>
      <c r="U416" s="45">
        <f>VLOOKUP(B416,realPrices!C:G,5,0)</f>
        <v>2320056000</v>
      </c>
      <c r="W416" t="str">
        <f t="shared" si="6"/>
        <v>PU1 OHVG CNG1399</v>
      </c>
      <c r="X416">
        <f>VLOOKUP(W416,Sheet10!D:F,2,0)*10000000</f>
        <v>2830000000</v>
      </c>
      <c r="Y416" t="s">
        <v>114</v>
      </c>
      <c r="Z416"/>
    </row>
    <row r="417" spans="1:26" x14ac:dyDescent="0.25">
      <c r="A417" t="s">
        <v>376</v>
      </c>
      <c r="B417" t="s">
        <v>2241</v>
      </c>
      <c r="C417">
        <v>164</v>
      </c>
      <c r="D417" t="s">
        <v>63</v>
      </c>
      <c r="E417" t="s">
        <v>78</v>
      </c>
      <c r="F417" t="s">
        <v>362</v>
      </c>
      <c r="G417" t="s">
        <v>363</v>
      </c>
      <c r="H417">
        <v>38</v>
      </c>
      <c r="I417">
        <v>1399</v>
      </c>
      <c r="J417" t="s">
        <v>2242</v>
      </c>
      <c r="K417" t="s">
        <v>2243</v>
      </c>
      <c r="L417" t="s">
        <v>2244</v>
      </c>
      <c r="M417" t="s">
        <v>82</v>
      </c>
      <c r="N417">
        <v>16404</v>
      </c>
      <c r="O417" t="s">
        <v>83</v>
      </c>
      <c r="Q417" t="s">
        <v>381</v>
      </c>
      <c r="R417" t="s">
        <v>2245</v>
      </c>
      <c r="S417" t="s">
        <v>688</v>
      </c>
      <c r="T417" s="6">
        <v>2100000000</v>
      </c>
      <c r="U417" s="45">
        <f>VLOOKUP(B417,realPrices!C:G,5,0)</f>
        <v>2400000000</v>
      </c>
      <c r="W417" t="str">
        <f t="shared" si="6"/>
        <v>PU1 OHVG CNG1399</v>
      </c>
      <c r="X417">
        <f>VLOOKUP(W417,Sheet10!D:F,2,0)*10000000</f>
        <v>2830000000</v>
      </c>
      <c r="Y417" t="s">
        <v>114</v>
      </c>
      <c r="Z417"/>
    </row>
    <row r="418" spans="1:26" x14ac:dyDescent="0.25">
      <c r="A418" t="s">
        <v>376</v>
      </c>
      <c r="B418" t="s">
        <v>2246</v>
      </c>
      <c r="C418">
        <v>164</v>
      </c>
      <c r="D418" t="s">
        <v>63</v>
      </c>
      <c r="E418" t="s">
        <v>78</v>
      </c>
      <c r="F418" t="s">
        <v>362</v>
      </c>
      <c r="G418" t="s">
        <v>363</v>
      </c>
      <c r="H418">
        <v>40</v>
      </c>
      <c r="I418">
        <v>1399</v>
      </c>
      <c r="J418" t="s">
        <v>2247</v>
      </c>
      <c r="K418" t="s">
        <v>1114</v>
      </c>
      <c r="L418" t="s">
        <v>2248</v>
      </c>
      <c r="M418" t="s">
        <v>82</v>
      </c>
      <c r="N418">
        <v>16404</v>
      </c>
      <c r="O418" t="s">
        <v>83</v>
      </c>
      <c r="Q418" t="s">
        <v>381</v>
      </c>
      <c r="R418" t="s">
        <v>2249</v>
      </c>
      <c r="S418" t="s">
        <v>693</v>
      </c>
      <c r="T418" s="6">
        <v>2100000000</v>
      </c>
      <c r="U418" s="45">
        <f>VLOOKUP(B418,realPrices!C:G,5,0)</f>
        <v>2395000000</v>
      </c>
      <c r="W418" t="str">
        <f t="shared" si="6"/>
        <v>PU1 OHVG CNG1399</v>
      </c>
      <c r="X418">
        <f>VLOOKUP(W418,Sheet10!D:F,2,0)*10000000</f>
        <v>2830000000</v>
      </c>
      <c r="Y418" t="s">
        <v>114</v>
      </c>
      <c r="Z418"/>
    </row>
    <row r="419" spans="1:26" x14ac:dyDescent="0.25">
      <c r="A419" t="s">
        <v>376</v>
      </c>
      <c r="B419" t="s">
        <v>2250</v>
      </c>
      <c r="C419">
        <v>164</v>
      </c>
      <c r="D419" t="s">
        <v>63</v>
      </c>
      <c r="E419" t="s">
        <v>78</v>
      </c>
      <c r="F419" t="s">
        <v>362</v>
      </c>
      <c r="G419" t="s">
        <v>363</v>
      </c>
      <c r="H419">
        <v>25</v>
      </c>
      <c r="I419">
        <v>1399</v>
      </c>
      <c r="J419" t="s">
        <v>2251</v>
      </c>
      <c r="K419" t="s">
        <v>2252</v>
      </c>
      <c r="L419" t="s">
        <v>2253</v>
      </c>
      <c r="M419" t="s">
        <v>82</v>
      </c>
      <c r="N419">
        <v>16404</v>
      </c>
      <c r="O419" t="s">
        <v>83</v>
      </c>
      <c r="Q419" t="s">
        <v>381</v>
      </c>
      <c r="R419" t="s">
        <v>2254</v>
      </c>
      <c r="S419" t="s">
        <v>698</v>
      </c>
      <c r="T419" s="6">
        <v>2100000000</v>
      </c>
      <c r="U419" s="45">
        <f>VLOOKUP(B419,realPrices!C:G,5,0)</f>
        <v>2500000000</v>
      </c>
      <c r="W419" t="str">
        <f t="shared" si="6"/>
        <v>PU1 OHVG CNG1399</v>
      </c>
      <c r="X419">
        <f>VLOOKUP(W419,Sheet10!D:F,2,0)*10000000</f>
        <v>2830000000</v>
      </c>
      <c r="Y419" t="s">
        <v>114</v>
      </c>
      <c r="Z419"/>
    </row>
    <row r="420" spans="1:26" x14ac:dyDescent="0.25">
      <c r="A420" t="s">
        <v>376</v>
      </c>
      <c r="B420" t="s">
        <v>2255</v>
      </c>
      <c r="C420">
        <v>164</v>
      </c>
      <c r="D420" t="s">
        <v>63</v>
      </c>
      <c r="E420" t="s">
        <v>78</v>
      </c>
      <c r="F420" t="s">
        <v>362</v>
      </c>
      <c r="G420" t="s">
        <v>363</v>
      </c>
      <c r="H420">
        <v>30</v>
      </c>
      <c r="I420">
        <v>1399</v>
      </c>
      <c r="J420" t="s">
        <v>2256</v>
      </c>
      <c r="K420" t="s">
        <v>1114</v>
      </c>
      <c r="L420" t="s">
        <v>2257</v>
      </c>
      <c r="M420" t="s">
        <v>82</v>
      </c>
      <c r="N420">
        <v>16404</v>
      </c>
      <c r="O420" t="s">
        <v>83</v>
      </c>
      <c r="Q420" t="s">
        <v>381</v>
      </c>
      <c r="R420" t="s">
        <v>2258</v>
      </c>
      <c r="S420" t="s">
        <v>703</v>
      </c>
      <c r="T420" s="6">
        <v>2100000000</v>
      </c>
      <c r="U420" s="45">
        <f>VLOOKUP(B420,realPrices!C:G,5,0)</f>
        <v>2420000000</v>
      </c>
      <c r="W420" t="str">
        <f t="shared" si="6"/>
        <v>PU1 OHVG CNG1399</v>
      </c>
      <c r="X420">
        <f>VLOOKUP(W420,Sheet10!D:F,2,0)*10000000</f>
        <v>2830000000</v>
      </c>
      <c r="Y420" t="s">
        <v>114</v>
      </c>
      <c r="Z420"/>
    </row>
    <row r="421" spans="1:26" x14ac:dyDescent="0.25">
      <c r="A421" t="s">
        <v>376</v>
      </c>
      <c r="B421" t="s">
        <v>2259</v>
      </c>
      <c r="C421">
        <v>164</v>
      </c>
      <c r="D421" t="s">
        <v>63</v>
      </c>
      <c r="E421" t="s">
        <v>78</v>
      </c>
      <c r="F421" t="s">
        <v>362</v>
      </c>
      <c r="G421" t="s">
        <v>363</v>
      </c>
      <c r="H421">
        <v>34</v>
      </c>
      <c r="I421">
        <v>1399</v>
      </c>
      <c r="J421" t="s">
        <v>2260</v>
      </c>
      <c r="K421" t="s">
        <v>2001</v>
      </c>
      <c r="L421" t="s">
        <v>2261</v>
      </c>
      <c r="M421" t="s">
        <v>82</v>
      </c>
      <c r="N421">
        <v>16404</v>
      </c>
      <c r="O421" t="s">
        <v>83</v>
      </c>
      <c r="Q421" t="s">
        <v>381</v>
      </c>
      <c r="R421" t="s">
        <v>2262</v>
      </c>
      <c r="S421" t="s">
        <v>708</v>
      </c>
      <c r="T421" s="6">
        <v>2100000000</v>
      </c>
      <c r="U421" s="45">
        <f>VLOOKUP(B421,realPrices!C:G,5,0)</f>
        <v>2538000000</v>
      </c>
      <c r="W421" t="str">
        <f t="shared" si="6"/>
        <v>PU1 OHVG CNG1399</v>
      </c>
      <c r="X421">
        <f>VLOOKUP(W421,Sheet10!D:F,2,0)*10000000</f>
        <v>2830000000</v>
      </c>
      <c r="Y421" t="s">
        <v>114</v>
      </c>
      <c r="Z421"/>
    </row>
    <row r="422" spans="1:26" x14ac:dyDescent="0.25">
      <c r="A422" t="s">
        <v>376</v>
      </c>
      <c r="B422" t="s">
        <v>2263</v>
      </c>
      <c r="C422">
        <v>164</v>
      </c>
      <c r="D422" t="s">
        <v>63</v>
      </c>
      <c r="E422" t="s">
        <v>78</v>
      </c>
      <c r="F422" t="s">
        <v>362</v>
      </c>
      <c r="G422" t="s">
        <v>363</v>
      </c>
      <c r="H422">
        <v>27</v>
      </c>
      <c r="I422">
        <v>1399</v>
      </c>
      <c r="J422" t="s">
        <v>2264</v>
      </c>
      <c r="K422" t="s">
        <v>2265</v>
      </c>
      <c r="L422" t="s">
        <v>2266</v>
      </c>
      <c r="M422" t="s">
        <v>82</v>
      </c>
      <c r="N422">
        <v>16404</v>
      </c>
      <c r="O422" t="s">
        <v>83</v>
      </c>
      <c r="Q422" t="s">
        <v>381</v>
      </c>
      <c r="R422" t="s">
        <v>2267</v>
      </c>
      <c r="S422" t="s">
        <v>722</v>
      </c>
      <c r="T422" s="6">
        <v>2100000000</v>
      </c>
      <c r="U422" s="45">
        <f>VLOOKUP(B422,realPrices!C:G,5,0)</f>
        <v>2359999999</v>
      </c>
      <c r="W422" t="str">
        <f t="shared" si="6"/>
        <v>PU1 OHVG CNG1399</v>
      </c>
      <c r="X422">
        <f>VLOOKUP(W422,Sheet10!D:F,2,0)*10000000</f>
        <v>2830000000</v>
      </c>
      <c r="Y422" t="s">
        <v>114</v>
      </c>
    </row>
    <row r="423" spans="1:26" x14ac:dyDescent="0.25">
      <c r="A423" t="s">
        <v>376</v>
      </c>
      <c r="B423" t="s">
        <v>585</v>
      </c>
      <c r="C423">
        <v>164</v>
      </c>
      <c r="D423" t="s">
        <v>63</v>
      </c>
      <c r="E423" t="s">
        <v>78</v>
      </c>
      <c r="F423" t="s">
        <v>362</v>
      </c>
      <c r="G423" t="s">
        <v>363</v>
      </c>
      <c r="H423">
        <v>55</v>
      </c>
      <c r="I423">
        <v>1399</v>
      </c>
      <c r="J423" t="s">
        <v>586</v>
      </c>
      <c r="K423" t="s">
        <v>522</v>
      </c>
      <c r="L423" t="s">
        <v>587</v>
      </c>
      <c r="M423" t="s">
        <v>82</v>
      </c>
      <c r="N423">
        <v>16404</v>
      </c>
      <c r="O423" t="s">
        <v>83</v>
      </c>
      <c r="Q423" t="s">
        <v>381</v>
      </c>
      <c r="R423" t="s">
        <v>588</v>
      </c>
      <c r="S423" t="s">
        <v>727</v>
      </c>
      <c r="T423" s="6">
        <v>2100000000</v>
      </c>
      <c r="U423" s="45">
        <f>VLOOKUP(B423,realPrices!C:G,5,0)</f>
        <v>2169999999</v>
      </c>
      <c r="W423" t="str">
        <f t="shared" si="6"/>
        <v>PU1 OHVG CNG1399</v>
      </c>
      <c r="X423">
        <f>VLOOKUP(W423,Sheet10!D:F,2,0)*10000000</f>
        <v>2830000000</v>
      </c>
      <c r="Y423" t="s">
        <v>114</v>
      </c>
    </row>
    <row r="424" spans="1:26" x14ac:dyDescent="0.25">
      <c r="A424" t="s">
        <v>376</v>
      </c>
      <c r="B424" t="s">
        <v>2268</v>
      </c>
      <c r="C424">
        <v>164</v>
      </c>
      <c r="D424" t="s">
        <v>63</v>
      </c>
      <c r="E424" t="s">
        <v>78</v>
      </c>
      <c r="F424" t="s">
        <v>362</v>
      </c>
      <c r="G424" t="s">
        <v>363</v>
      </c>
      <c r="H424">
        <v>27</v>
      </c>
      <c r="I424">
        <v>1399</v>
      </c>
      <c r="J424" t="s">
        <v>2269</v>
      </c>
      <c r="K424" t="s">
        <v>599</v>
      </c>
      <c r="L424" t="s">
        <v>2270</v>
      </c>
      <c r="M424" t="s">
        <v>82</v>
      </c>
      <c r="N424">
        <v>16404</v>
      </c>
      <c r="O424" t="s">
        <v>83</v>
      </c>
      <c r="Q424" t="s">
        <v>381</v>
      </c>
      <c r="R424" t="s">
        <v>2271</v>
      </c>
      <c r="S424" t="s">
        <v>732</v>
      </c>
      <c r="T424" s="6">
        <v>2100000000</v>
      </c>
      <c r="U424" s="45">
        <f>VLOOKUP(B424,realPrices!C:G,5,0)</f>
        <v>2400000000</v>
      </c>
      <c r="W424" t="str">
        <f t="shared" si="6"/>
        <v>PU1 OHVG CNG1399</v>
      </c>
      <c r="X424">
        <f>VLOOKUP(W424,Sheet10!D:F,2,0)*10000000</f>
        <v>2830000000</v>
      </c>
      <c r="Y424" t="s">
        <v>114</v>
      </c>
    </row>
    <row r="425" spans="1:26" x14ac:dyDescent="0.25">
      <c r="A425" t="s">
        <v>376</v>
      </c>
      <c r="B425" t="s">
        <v>2272</v>
      </c>
      <c r="C425">
        <v>164</v>
      </c>
      <c r="D425" t="s">
        <v>63</v>
      </c>
      <c r="E425" t="s">
        <v>78</v>
      </c>
      <c r="F425" t="s">
        <v>362</v>
      </c>
      <c r="G425" t="s">
        <v>363</v>
      </c>
      <c r="H425">
        <v>27</v>
      </c>
      <c r="I425">
        <v>1399</v>
      </c>
      <c r="J425" t="s">
        <v>2273</v>
      </c>
      <c r="K425" t="s">
        <v>599</v>
      </c>
      <c r="L425" t="s">
        <v>2274</v>
      </c>
      <c r="M425" t="s">
        <v>82</v>
      </c>
      <c r="N425">
        <v>16404</v>
      </c>
      <c r="O425" t="s">
        <v>83</v>
      </c>
      <c r="Q425" t="s">
        <v>381</v>
      </c>
      <c r="R425" t="s">
        <v>2275</v>
      </c>
      <c r="S425" t="s">
        <v>737</v>
      </c>
      <c r="T425" s="6">
        <v>2100000000</v>
      </c>
      <c r="U425" s="45">
        <f>VLOOKUP(B425,realPrices!C:G,5,0)</f>
        <v>2412345678</v>
      </c>
      <c r="W425" t="str">
        <f t="shared" si="6"/>
        <v>PU1 OHVG CNG1399</v>
      </c>
      <c r="X425">
        <f>VLOOKUP(W425,Sheet10!D:F,2,0)*10000000</f>
        <v>2830000000</v>
      </c>
      <c r="Y425" t="s">
        <v>114</v>
      </c>
    </row>
    <row r="426" spans="1:26" x14ac:dyDescent="0.25">
      <c r="A426" t="s">
        <v>376</v>
      </c>
      <c r="B426" t="s">
        <v>2276</v>
      </c>
      <c r="C426">
        <v>164</v>
      </c>
      <c r="D426" t="s">
        <v>63</v>
      </c>
      <c r="E426" t="s">
        <v>78</v>
      </c>
      <c r="F426" t="s">
        <v>362</v>
      </c>
      <c r="G426" t="s">
        <v>363</v>
      </c>
      <c r="H426">
        <v>42</v>
      </c>
      <c r="I426">
        <v>1399</v>
      </c>
      <c r="J426" t="s">
        <v>2277</v>
      </c>
      <c r="K426" t="s">
        <v>522</v>
      </c>
      <c r="L426" t="s">
        <v>2278</v>
      </c>
      <c r="M426" t="s">
        <v>82</v>
      </c>
      <c r="N426">
        <v>16404</v>
      </c>
      <c r="O426" t="s">
        <v>83</v>
      </c>
      <c r="Q426" t="s">
        <v>381</v>
      </c>
      <c r="R426" t="s">
        <v>2279</v>
      </c>
      <c r="S426" t="s">
        <v>742</v>
      </c>
      <c r="T426" s="6">
        <v>2100000000</v>
      </c>
      <c r="U426" s="45">
        <f>VLOOKUP(B426,realPrices!C:G,5,0)</f>
        <v>2418000000</v>
      </c>
      <c r="W426" t="str">
        <f t="shared" si="6"/>
        <v>PU1 OHVG CNG1399</v>
      </c>
      <c r="X426">
        <f>VLOOKUP(W426,Sheet10!D:F,2,0)*10000000</f>
        <v>2830000000</v>
      </c>
      <c r="Y426" t="s">
        <v>114</v>
      </c>
    </row>
    <row r="427" spans="1:26" x14ac:dyDescent="0.25">
      <c r="A427" t="s">
        <v>376</v>
      </c>
      <c r="B427" t="s">
        <v>2280</v>
      </c>
      <c r="C427">
        <v>164</v>
      </c>
      <c r="D427" t="s">
        <v>63</v>
      </c>
      <c r="E427" t="s">
        <v>78</v>
      </c>
      <c r="F427" t="s">
        <v>362</v>
      </c>
      <c r="G427" t="s">
        <v>363</v>
      </c>
      <c r="H427">
        <v>27</v>
      </c>
      <c r="I427">
        <v>1399</v>
      </c>
      <c r="J427" t="s">
        <v>2281</v>
      </c>
      <c r="K427" t="s">
        <v>599</v>
      </c>
      <c r="L427" t="s">
        <v>2282</v>
      </c>
      <c r="M427" t="s">
        <v>82</v>
      </c>
      <c r="N427">
        <v>16404</v>
      </c>
      <c r="O427" t="s">
        <v>83</v>
      </c>
      <c r="Q427" t="s">
        <v>381</v>
      </c>
      <c r="R427" t="s">
        <v>2283</v>
      </c>
      <c r="S427" t="s">
        <v>747</v>
      </c>
      <c r="T427" s="6">
        <v>2100000000</v>
      </c>
      <c r="U427" s="45">
        <f>VLOOKUP(B427,realPrices!C:G,5,0)</f>
        <v>2550000000</v>
      </c>
      <c r="W427" t="str">
        <f t="shared" si="6"/>
        <v>PU1 OHVG CNG1399</v>
      </c>
      <c r="X427">
        <f>VLOOKUP(W427,Sheet10!D:F,2,0)*10000000</f>
        <v>2830000000</v>
      </c>
      <c r="Y427" t="s">
        <v>114</v>
      </c>
    </row>
    <row r="428" spans="1:26" x14ac:dyDescent="0.25">
      <c r="A428" t="s">
        <v>376</v>
      </c>
      <c r="B428" t="s">
        <v>2284</v>
      </c>
      <c r="C428">
        <v>164</v>
      </c>
      <c r="D428" t="s">
        <v>63</v>
      </c>
      <c r="E428" t="s">
        <v>78</v>
      </c>
      <c r="F428" t="s">
        <v>362</v>
      </c>
      <c r="G428" t="s">
        <v>363</v>
      </c>
      <c r="H428">
        <v>29</v>
      </c>
      <c r="I428">
        <v>1399</v>
      </c>
      <c r="J428" t="s">
        <v>2285</v>
      </c>
      <c r="K428" t="s">
        <v>599</v>
      </c>
      <c r="L428" t="s">
        <v>2286</v>
      </c>
      <c r="M428" t="s">
        <v>82</v>
      </c>
      <c r="N428">
        <v>16404</v>
      </c>
      <c r="O428" t="s">
        <v>83</v>
      </c>
      <c r="Q428" t="s">
        <v>381</v>
      </c>
      <c r="R428" t="s">
        <v>2287</v>
      </c>
      <c r="S428" t="s">
        <v>752</v>
      </c>
      <c r="T428" s="6">
        <v>2100000000</v>
      </c>
      <c r="U428" s="45">
        <f>VLOOKUP(B428,realPrices!C:G,5,0)</f>
        <v>2487999000</v>
      </c>
      <c r="W428" t="str">
        <f t="shared" si="6"/>
        <v>PU1 OHVG CNG1399</v>
      </c>
      <c r="X428">
        <f>VLOOKUP(W428,Sheet10!D:F,2,0)*10000000</f>
        <v>2830000000</v>
      </c>
      <c r="Y428" t="s">
        <v>114</v>
      </c>
    </row>
    <row r="429" spans="1:26" x14ac:dyDescent="0.25">
      <c r="A429" t="s">
        <v>376</v>
      </c>
      <c r="B429" t="s">
        <v>2288</v>
      </c>
      <c r="C429">
        <v>164</v>
      </c>
      <c r="D429" t="s">
        <v>63</v>
      </c>
      <c r="E429" t="s">
        <v>78</v>
      </c>
      <c r="F429" t="s">
        <v>362</v>
      </c>
      <c r="G429" t="s">
        <v>363</v>
      </c>
      <c r="H429">
        <v>25</v>
      </c>
      <c r="I429">
        <v>1399</v>
      </c>
      <c r="J429" t="s">
        <v>2289</v>
      </c>
      <c r="K429" t="s">
        <v>2290</v>
      </c>
      <c r="L429" t="s">
        <v>2291</v>
      </c>
      <c r="M429" t="s">
        <v>82</v>
      </c>
      <c r="N429">
        <v>16404</v>
      </c>
      <c r="O429" t="s">
        <v>83</v>
      </c>
      <c r="Q429" t="s">
        <v>381</v>
      </c>
      <c r="R429" t="s">
        <v>2292</v>
      </c>
      <c r="S429" t="s">
        <v>757</v>
      </c>
      <c r="T429" s="6">
        <v>2100000000</v>
      </c>
      <c r="U429" s="45">
        <f>VLOOKUP(B429,realPrices!C:G,5,0)</f>
        <v>2467999000</v>
      </c>
      <c r="W429" t="str">
        <f t="shared" si="6"/>
        <v>PU1 OHVG CNG1399</v>
      </c>
      <c r="X429">
        <f>VLOOKUP(W429,Sheet10!D:F,2,0)*10000000</f>
        <v>2830000000</v>
      </c>
      <c r="Y429" t="s">
        <v>114</v>
      </c>
    </row>
    <row r="430" spans="1:26" x14ac:dyDescent="0.25">
      <c r="A430" t="s">
        <v>376</v>
      </c>
      <c r="B430" t="s">
        <v>2293</v>
      </c>
      <c r="C430">
        <v>164</v>
      </c>
      <c r="D430" t="s">
        <v>63</v>
      </c>
      <c r="E430" t="s">
        <v>78</v>
      </c>
      <c r="F430" t="s">
        <v>362</v>
      </c>
      <c r="G430" t="s">
        <v>363</v>
      </c>
      <c r="H430">
        <v>52</v>
      </c>
      <c r="I430">
        <v>1399</v>
      </c>
      <c r="J430" t="s">
        <v>2294</v>
      </c>
      <c r="K430" t="s">
        <v>1114</v>
      </c>
      <c r="L430" t="s">
        <v>2295</v>
      </c>
      <c r="M430" t="s">
        <v>82</v>
      </c>
      <c r="N430">
        <v>16404</v>
      </c>
      <c r="O430" t="s">
        <v>83</v>
      </c>
      <c r="Q430" t="s">
        <v>381</v>
      </c>
      <c r="R430" t="s">
        <v>2296</v>
      </c>
      <c r="S430" t="s">
        <v>762</v>
      </c>
      <c r="T430" s="6">
        <v>2100000000</v>
      </c>
      <c r="U430" s="45">
        <f>VLOOKUP(B430,realPrices!C:G,5,0)</f>
        <v>2467999000</v>
      </c>
      <c r="W430" t="str">
        <f t="shared" si="6"/>
        <v>PU1 OHVG CNG1399</v>
      </c>
      <c r="X430">
        <f>VLOOKUP(W430,Sheet10!D:F,2,0)*10000000</f>
        <v>2830000000</v>
      </c>
      <c r="Y430" t="s">
        <v>114</v>
      </c>
    </row>
    <row r="431" spans="1:26" x14ac:dyDescent="0.25">
      <c r="A431" t="s">
        <v>376</v>
      </c>
      <c r="B431" t="s">
        <v>2297</v>
      </c>
      <c r="C431">
        <v>164</v>
      </c>
      <c r="D431" t="s">
        <v>63</v>
      </c>
      <c r="E431" t="s">
        <v>78</v>
      </c>
      <c r="F431" t="s">
        <v>362</v>
      </c>
      <c r="G431" t="s">
        <v>363</v>
      </c>
      <c r="H431">
        <v>27</v>
      </c>
      <c r="I431">
        <v>1399</v>
      </c>
      <c r="J431" t="s">
        <v>2298</v>
      </c>
      <c r="K431" t="s">
        <v>599</v>
      </c>
      <c r="L431" t="s">
        <v>2299</v>
      </c>
      <c r="M431" t="s">
        <v>82</v>
      </c>
      <c r="N431">
        <v>16404</v>
      </c>
      <c r="O431" t="s">
        <v>83</v>
      </c>
      <c r="Q431" t="s">
        <v>381</v>
      </c>
      <c r="R431" t="s">
        <v>2300</v>
      </c>
      <c r="S431" t="s">
        <v>1123</v>
      </c>
      <c r="T431" s="6">
        <v>2100000000</v>
      </c>
      <c r="U431" s="45">
        <f>VLOOKUP(B431,realPrices!C:G,5,0)</f>
        <v>2467999000</v>
      </c>
      <c r="W431" t="str">
        <f t="shared" si="6"/>
        <v>PU1 OHVG CNG1399</v>
      </c>
      <c r="X431">
        <f>VLOOKUP(W431,Sheet10!D:F,2,0)*10000000</f>
        <v>2830000000</v>
      </c>
      <c r="Y431" t="s">
        <v>114</v>
      </c>
    </row>
    <row r="432" spans="1:26" x14ac:dyDescent="0.25">
      <c r="A432" t="s">
        <v>376</v>
      </c>
      <c r="B432" t="s">
        <v>2301</v>
      </c>
      <c r="C432">
        <v>164</v>
      </c>
      <c r="D432" t="s">
        <v>63</v>
      </c>
      <c r="E432" t="s">
        <v>78</v>
      </c>
      <c r="F432" t="s">
        <v>362</v>
      </c>
      <c r="G432" t="s">
        <v>363</v>
      </c>
      <c r="H432">
        <v>25</v>
      </c>
      <c r="I432">
        <v>1399</v>
      </c>
      <c r="J432" t="s">
        <v>2302</v>
      </c>
      <c r="K432" t="s">
        <v>599</v>
      </c>
      <c r="L432" t="s">
        <v>2303</v>
      </c>
      <c r="M432" t="s">
        <v>82</v>
      </c>
      <c r="N432">
        <v>16404</v>
      </c>
      <c r="O432" t="s">
        <v>83</v>
      </c>
      <c r="Q432" t="s">
        <v>381</v>
      </c>
      <c r="R432" t="s">
        <v>2304</v>
      </c>
      <c r="S432" t="s">
        <v>933</v>
      </c>
      <c r="T432" s="6">
        <v>2100000000</v>
      </c>
      <c r="U432" s="45">
        <f>VLOOKUP(B432,realPrices!C:G,5,0)</f>
        <v>2555222100</v>
      </c>
      <c r="W432" t="str">
        <f t="shared" si="6"/>
        <v>PU1 OHVG CNG1399</v>
      </c>
      <c r="X432">
        <f>VLOOKUP(W432,Sheet10!D:F,2,0)*10000000</f>
        <v>2830000000</v>
      </c>
      <c r="Y432" t="s">
        <v>114</v>
      </c>
    </row>
    <row r="433" spans="1:25" x14ac:dyDescent="0.25">
      <c r="A433" t="s">
        <v>376</v>
      </c>
      <c r="B433" t="s">
        <v>2305</v>
      </c>
      <c r="C433">
        <v>164</v>
      </c>
      <c r="D433" t="s">
        <v>63</v>
      </c>
      <c r="E433" t="s">
        <v>78</v>
      </c>
      <c r="F433" t="s">
        <v>362</v>
      </c>
      <c r="G433" t="s">
        <v>363</v>
      </c>
      <c r="H433">
        <v>27</v>
      </c>
      <c r="I433">
        <v>1399</v>
      </c>
      <c r="J433" t="s">
        <v>2306</v>
      </c>
      <c r="K433" t="s">
        <v>599</v>
      </c>
      <c r="L433" t="s">
        <v>2307</v>
      </c>
      <c r="M433" t="s">
        <v>82</v>
      </c>
      <c r="N433">
        <v>16404</v>
      </c>
      <c r="O433" t="s">
        <v>83</v>
      </c>
      <c r="Q433" t="s">
        <v>381</v>
      </c>
      <c r="R433" t="s">
        <v>2308</v>
      </c>
      <c r="S433" t="s">
        <v>1086</v>
      </c>
      <c r="T433" s="6">
        <v>2100000000</v>
      </c>
      <c r="U433" s="45">
        <f>VLOOKUP(B433,realPrices!C:G,5,0)</f>
        <v>2477999000</v>
      </c>
      <c r="W433" t="str">
        <f t="shared" si="6"/>
        <v>PU1 OHVG CNG1399</v>
      </c>
      <c r="X433">
        <f>VLOOKUP(W433,Sheet10!D:F,2,0)*10000000</f>
        <v>2830000000</v>
      </c>
      <c r="Y433" t="s">
        <v>114</v>
      </c>
    </row>
    <row r="434" spans="1:25" x14ac:dyDescent="0.25">
      <c r="A434" t="s">
        <v>376</v>
      </c>
      <c r="B434" t="s">
        <v>2309</v>
      </c>
      <c r="C434">
        <v>164</v>
      </c>
      <c r="D434" t="s">
        <v>63</v>
      </c>
      <c r="E434" t="s">
        <v>78</v>
      </c>
      <c r="F434" t="s">
        <v>362</v>
      </c>
      <c r="G434" t="s">
        <v>363</v>
      </c>
      <c r="H434">
        <v>33</v>
      </c>
      <c r="I434">
        <v>1399</v>
      </c>
      <c r="J434" t="s">
        <v>2310</v>
      </c>
      <c r="K434" t="s">
        <v>834</v>
      </c>
      <c r="L434" t="s">
        <v>2311</v>
      </c>
      <c r="M434" t="s">
        <v>82</v>
      </c>
      <c r="N434">
        <v>16404</v>
      </c>
      <c r="O434" t="s">
        <v>83</v>
      </c>
      <c r="Q434" t="s">
        <v>381</v>
      </c>
      <c r="R434" t="s">
        <v>2312</v>
      </c>
      <c r="S434" t="s">
        <v>884</v>
      </c>
      <c r="T434" s="6">
        <v>2100000000</v>
      </c>
      <c r="U434" s="45">
        <f>VLOOKUP(B434,realPrices!C:G,5,0)</f>
        <v>2278999999</v>
      </c>
      <c r="W434" t="str">
        <f t="shared" si="6"/>
        <v>PU1 OHVG CNG1399</v>
      </c>
      <c r="X434">
        <f>VLOOKUP(W434,Sheet10!D:F,2,0)*10000000</f>
        <v>2830000000</v>
      </c>
      <c r="Y434" t="s">
        <v>114</v>
      </c>
    </row>
    <row r="435" spans="1:25" x14ac:dyDescent="0.25">
      <c r="A435" t="s">
        <v>376</v>
      </c>
      <c r="B435" t="s">
        <v>2313</v>
      </c>
      <c r="C435">
        <v>164</v>
      </c>
      <c r="D435" t="s">
        <v>63</v>
      </c>
      <c r="E435" t="s">
        <v>78</v>
      </c>
      <c r="F435" t="s">
        <v>362</v>
      </c>
      <c r="G435" t="s">
        <v>363</v>
      </c>
      <c r="H435">
        <v>27</v>
      </c>
      <c r="I435">
        <v>1399</v>
      </c>
      <c r="J435" t="s">
        <v>2314</v>
      </c>
      <c r="K435" t="s">
        <v>599</v>
      </c>
      <c r="L435" t="s">
        <v>2315</v>
      </c>
      <c r="M435" t="s">
        <v>82</v>
      </c>
      <c r="N435">
        <v>16404</v>
      </c>
      <c r="O435" t="s">
        <v>83</v>
      </c>
      <c r="Q435" t="s">
        <v>381</v>
      </c>
      <c r="R435" t="s">
        <v>2316</v>
      </c>
      <c r="S435" t="s">
        <v>847</v>
      </c>
      <c r="T435" s="6">
        <v>2100000000</v>
      </c>
      <c r="U435" s="45">
        <f>VLOOKUP(B435,realPrices!C:G,5,0)</f>
        <v>2511212127</v>
      </c>
      <c r="W435" t="str">
        <f t="shared" si="6"/>
        <v>PU1 OHVG CNG1399</v>
      </c>
      <c r="X435">
        <f>VLOOKUP(W435,Sheet10!D:F,2,0)*10000000</f>
        <v>2830000000</v>
      </c>
      <c r="Y435" t="s">
        <v>114</v>
      </c>
    </row>
    <row r="436" spans="1:25" x14ac:dyDescent="0.25">
      <c r="A436" t="s">
        <v>376</v>
      </c>
      <c r="B436" t="s">
        <v>2317</v>
      </c>
      <c r="C436">
        <v>164</v>
      </c>
      <c r="D436" t="s">
        <v>63</v>
      </c>
      <c r="E436" t="s">
        <v>78</v>
      </c>
      <c r="F436" t="s">
        <v>362</v>
      </c>
      <c r="G436" t="s">
        <v>363</v>
      </c>
      <c r="H436">
        <v>36</v>
      </c>
      <c r="I436">
        <v>1399</v>
      </c>
      <c r="J436" t="s">
        <v>2318</v>
      </c>
      <c r="K436" t="s">
        <v>599</v>
      </c>
      <c r="L436" t="s">
        <v>2319</v>
      </c>
      <c r="M436" t="s">
        <v>82</v>
      </c>
      <c r="N436">
        <v>16404</v>
      </c>
      <c r="O436" t="s">
        <v>83</v>
      </c>
      <c r="Q436" t="s">
        <v>381</v>
      </c>
      <c r="R436" t="s">
        <v>2320</v>
      </c>
      <c r="S436" t="s">
        <v>974</v>
      </c>
      <c r="T436" s="6">
        <v>2100000000</v>
      </c>
      <c r="U436" s="45">
        <f>VLOOKUP(B436,realPrices!C:G,5,0)</f>
        <v>2400000999</v>
      </c>
      <c r="W436" t="str">
        <f t="shared" si="6"/>
        <v>PU1 OHVG CNG1399</v>
      </c>
      <c r="X436">
        <f>VLOOKUP(W436,Sheet10!D:F,2,0)*10000000</f>
        <v>2830000000</v>
      </c>
      <c r="Y436" t="s">
        <v>114</v>
      </c>
    </row>
    <row r="437" spans="1:25" x14ac:dyDescent="0.25">
      <c r="A437" t="s">
        <v>376</v>
      </c>
      <c r="B437" t="s">
        <v>2321</v>
      </c>
      <c r="C437">
        <v>164</v>
      </c>
      <c r="D437" t="s">
        <v>63</v>
      </c>
      <c r="E437" t="s">
        <v>78</v>
      </c>
      <c r="F437" t="s">
        <v>362</v>
      </c>
      <c r="G437" t="s">
        <v>363</v>
      </c>
      <c r="H437">
        <v>25</v>
      </c>
      <c r="I437">
        <v>1399</v>
      </c>
      <c r="J437" t="s">
        <v>2322</v>
      </c>
      <c r="K437" t="s">
        <v>2323</v>
      </c>
      <c r="L437" t="s">
        <v>2324</v>
      </c>
      <c r="M437" t="s">
        <v>82</v>
      </c>
      <c r="N437">
        <v>16404</v>
      </c>
      <c r="O437" t="s">
        <v>83</v>
      </c>
      <c r="Q437" t="s">
        <v>381</v>
      </c>
      <c r="R437" t="s">
        <v>2325</v>
      </c>
      <c r="S437" t="s">
        <v>1267</v>
      </c>
      <c r="T437" s="6">
        <v>2100000000</v>
      </c>
      <c r="U437" s="45">
        <f>VLOOKUP(B437,realPrices!C:G,5,0)</f>
        <v>2458000000</v>
      </c>
      <c r="W437" t="str">
        <f t="shared" si="6"/>
        <v>PU1 OHVG CNG1399</v>
      </c>
      <c r="X437">
        <f>VLOOKUP(W437,Sheet10!D:F,2,0)*10000000</f>
        <v>2830000000</v>
      </c>
      <c r="Y437" t="s">
        <v>114</v>
      </c>
    </row>
    <row r="438" spans="1:25" x14ac:dyDescent="0.25">
      <c r="A438" t="s">
        <v>376</v>
      </c>
      <c r="B438" t="s">
        <v>2326</v>
      </c>
      <c r="C438">
        <v>164</v>
      </c>
      <c r="D438" t="s">
        <v>63</v>
      </c>
      <c r="E438" t="s">
        <v>78</v>
      </c>
      <c r="F438" t="s">
        <v>362</v>
      </c>
      <c r="G438" t="s">
        <v>363</v>
      </c>
      <c r="H438">
        <v>27</v>
      </c>
      <c r="I438">
        <v>1399</v>
      </c>
      <c r="J438" t="s">
        <v>2327</v>
      </c>
      <c r="K438" t="s">
        <v>599</v>
      </c>
      <c r="L438" t="s">
        <v>2328</v>
      </c>
      <c r="M438" t="s">
        <v>82</v>
      </c>
      <c r="N438">
        <v>16404</v>
      </c>
      <c r="O438" t="s">
        <v>83</v>
      </c>
      <c r="Q438" t="s">
        <v>381</v>
      </c>
      <c r="R438" t="s">
        <v>2329</v>
      </c>
      <c r="S438" t="s">
        <v>1312</v>
      </c>
      <c r="T438" s="6">
        <v>2100000000</v>
      </c>
      <c r="U438" s="45">
        <f>VLOOKUP(B438,realPrices!C:G,5,0)</f>
        <v>2451999999</v>
      </c>
      <c r="W438" t="str">
        <f t="shared" si="6"/>
        <v>PU1 OHVG CNG1399</v>
      </c>
      <c r="X438">
        <f>VLOOKUP(W438,Sheet10!D:F,2,0)*10000000</f>
        <v>2830000000</v>
      </c>
      <c r="Y438" t="s">
        <v>114</v>
      </c>
    </row>
    <row r="439" spans="1:25" x14ac:dyDescent="0.25">
      <c r="A439" t="s">
        <v>376</v>
      </c>
      <c r="B439" t="s">
        <v>2330</v>
      </c>
      <c r="C439">
        <v>164</v>
      </c>
      <c r="D439" t="s">
        <v>63</v>
      </c>
      <c r="E439" t="s">
        <v>78</v>
      </c>
      <c r="F439" t="s">
        <v>362</v>
      </c>
      <c r="G439" t="s">
        <v>363</v>
      </c>
      <c r="H439">
        <v>27</v>
      </c>
      <c r="I439">
        <v>1399</v>
      </c>
      <c r="J439" t="s">
        <v>2331</v>
      </c>
      <c r="K439" t="s">
        <v>599</v>
      </c>
      <c r="L439" t="s">
        <v>2332</v>
      </c>
      <c r="M439" t="s">
        <v>82</v>
      </c>
      <c r="N439">
        <v>16404</v>
      </c>
      <c r="O439" t="s">
        <v>83</v>
      </c>
      <c r="Q439" t="s">
        <v>381</v>
      </c>
      <c r="R439" t="s">
        <v>2333</v>
      </c>
      <c r="S439" t="s">
        <v>958</v>
      </c>
      <c r="T439" s="6">
        <v>2100000000</v>
      </c>
      <c r="U439" s="45">
        <f>VLOOKUP(B439,realPrices!C:G,5,0)</f>
        <v>2540000000</v>
      </c>
      <c r="W439" t="str">
        <f t="shared" si="6"/>
        <v>PU1 OHVG CNG1399</v>
      </c>
      <c r="X439">
        <f>VLOOKUP(W439,Sheet10!D:F,2,0)*10000000</f>
        <v>2830000000</v>
      </c>
      <c r="Y439" t="s">
        <v>114</v>
      </c>
    </row>
    <row r="440" spans="1:25" x14ac:dyDescent="0.25">
      <c r="A440" t="s">
        <v>376</v>
      </c>
      <c r="B440" t="s">
        <v>2334</v>
      </c>
      <c r="C440">
        <v>164</v>
      </c>
      <c r="D440" t="s">
        <v>63</v>
      </c>
      <c r="E440" t="s">
        <v>78</v>
      </c>
      <c r="F440" t="s">
        <v>362</v>
      </c>
      <c r="G440" t="s">
        <v>363</v>
      </c>
      <c r="H440">
        <v>29</v>
      </c>
      <c r="I440">
        <v>1399</v>
      </c>
      <c r="J440" t="s">
        <v>2335</v>
      </c>
      <c r="K440" t="s">
        <v>2336</v>
      </c>
      <c r="L440" t="s">
        <v>2337</v>
      </c>
      <c r="M440" t="s">
        <v>82</v>
      </c>
      <c r="N440">
        <v>16404</v>
      </c>
      <c r="O440" t="s">
        <v>83</v>
      </c>
      <c r="Q440" t="s">
        <v>381</v>
      </c>
      <c r="R440" t="s">
        <v>2338</v>
      </c>
      <c r="S440" t="s">
        <v>1361</v>
      </c>
      <c r="T440" s="6">
        <v>2100000000</v>
      </c>
      <c r="U440" s="45">
        <f>VLOOKUP(B440,realPrices!C:G,5,0)</f>
        <v>2530000000</v>
      </c>
      <c r="W440" t="str">
        <f t="shared" si="6"/>
        <v>PU1 OHVG CNG1399</v>
      </c>
      <c r="X440">
        <f>VLOOKUP(W440,Sheet10!D:F,2,0)*10000000</f>
        <v>2830000000</v>
      </c>
      <c r="Y440" t="s">
        <v>114</v>
      </c>
    </row>
    <row r="441" spans="1:25" x14ac:dyDescent="0.25">
      <c r="A441" t="s">
        <v>376</v>
      </c>
      <c r="B441" t="s">
        <v>2339</v>
      </c>
      <c r="C441">
        <v>164</v>
      </c>
      <c r="D441" t="s">
        <v>63</v>
      </c>
      <c r="E441" t="s">
        <v>78</v>
      </c>
      <c r="F441" t="s">
        <v>362</v>
      </c>
      <c r="G441" t="s">
        <v>363</v>
      </c>
      <c r="H441">
        <v>30</v>
      </c>
      <c r="I441">
        <v>1399</v>
      </c>
      <c r="J441" t="s">
        <v>2340</v>
      </c>
      <c r="K441" t="s">
        <v>599</v>
      </c>
      <c r="L441" t="s">
        <v>2341</v>
      </c>
      <c r="M441" t="s">
        <v>82</v>
      </c>
      <c r="N441">
        <v>16404</v>
      </c>
      <c r="O441" t="s">
        <v>83</v>
      </c>
      <c r="Q441" t="s">
        <v>381</v>
      </c>
      <c r="R441" t="s">
        <v>2342</v>
      </c>
      <c r="S441" t="s">
        <v>1401</v>
      </c>
      <c r="T441" s="6">
        <v>2100000000</v>
      </c>
      <c r="U441" s="45">
        <f>VLOOKUP(B441,realPrices!C:G,5,0)</f>
        <v>2425000000</v>
      </c>
      <c r="W441" t="str">
        <f t="shared" si="6"/>
        <v>PU1 OHVG CNG1399</v>
      </c>
      <c r="X441">
        <f>VLOOKUP(W441,Sheet10!D:F,2,0)*10000000</f>
        <v>2830000000</v>
      </c>
      <c r="Y441" t="s">
        <v>114</v>
      </c>
    </row>
    <row r="442" spans="1:25" x14ac:dyDescent="0.25">
      <c r="A442" t="s">
        <v>376</v>
      </c>
      <c r="B442" t="s">
        <v>2343</v>
      </c>
      <c r="C442">
        <v>164</v>
      </c>
      <c r="D442" t="s">
        <v>63</v>
      </c>
      <c r="E442" t="s">
        <v>78</v>
      </c>
      <c r="F442" t="s">
        <v>362</v>
      </c>
      <c r="G442" t="s">
        <v>363</v>
      </c>
      <c r="H442">
        <v>22</v>
      </c>
      <c r="I442">
        <v>1399</v>
      </c>
      <c r="J442" t="s">
        <v>2344</v>
      </c>
      <c r="K442" t="s">
        <v>599</v>
      </c>
      <c r="L442" t="s">
        <v>2345</v>
      </c>
      <c r="M442" t="s">
        <v>82</v>
      </c>
      <c r="N442">
        <v>16404</v>
      </c>
      <c r="O442" t="s">
        <v>83</v>
      </c>
      <c r="Q442" t="s">
        <v>381</v>
      </c>
      <c r="R442" t="s">
        <v>2346</v>
      </c>
      <c r="S442" t="s">
        <v>1307</v>
      </c>
      <c r="T442" s="6">
        <v>2100000000</v>
      </c>
      <c r="U442" s="45">
        <f>VLOOKUP(B442,realPrices!C:G,5,0)</f>
        <v>2420000000</v>
      </c>
      <c r="W442" t="str">
        <f t="shared" si="6"/>
        <v>PU1 OHVG CNG1399</v>
      </c>
      <c r="X442">
        <f>VLOOKUP(W442,Sheet10!D:F,2,0)*10000000</f>
        <v>2830000000</v>
      </c>
      <c r="Y442" t="s">
        <v>114</v>
      </c>
    </row>
    <row r="443" spans="1:25" x14ac:dyDescent="0.25">
      <c r="A443" t="s">
        <v>376</v>
      </c>
      <c r="B443" t="s">
        <v>2347</v>
      </c>
      <c r="C443">
        <v>164</v>
      </c>
      <c r="D443" t="s">
        <v>63</v>
      </c>
      <c r="E443" t="s">
        <v>78</v>
      </c>
      <c r="F443" t="s">
        <v>362</v>
      </c>
      <c r="G443" t="s">
        <v>363</v>
      </c>
      <c r="H443">
        <v>23</v>
      </c>
      <c r="I443">
        <v>1399</v>
      </c>
      <c r="J443" t="s">
        <v>2348</v>
      </c>
      <c r="K443" t="s">
        <v>599</v>
      </c>
      <c r="L443" t="s">
        <v>2349</v>
      </c>
      <c r="M443" t="s">
        <v>82</v>
      </c>
      <c r="N443">
        <v>16404</v>
      </c>
      <c r="O443" t="s">
        <v>83</v>
      </c>
      <c r="Q443" t="s">
        <v>381</v>
      </c>
      <c r="R443" t="s">
        <v>2350</v>
      </c>
      <c r="S443" t="s">
        <v>1206</v>
      </c>
      <c r="T443" s="6">
        <v>2100000000</v>
      </c>
      <c r="U443" s="45">
        <f>VLOOKUP(B443,realPrices!C:G,5,0)</f>
        <v>2403000000</v>
      </c>
      <c r="W443" t="str">
        <f t="shared" si="6"/>
        <v>PU1 OHVG CNG1399</v>
      </c>
      <c r="X443">
        <f>VLOOKUP(W443,Sheet10!D:F,2,0)*10000000</f>
        <v>2830000000</v>
      </c>
      <c r="Y443" t="s">
        <v>114</v>
      </c>
    </row>
    <row r="444" spans="1:25" x14ac:dyDescent="0.25">
      <c r="A444" t="s">
        <v>376</v>
      </c>
      <c r="B444" t="s">
        <v>2351</v>
      </c>
      <c r="C444">
        <v>164</v>
      </c>
      <c r="D444" t="s">
        <v>63</v>
      </c>
      <c r="E444" t="s">
        <v>78</v>
      </c>
      <c r="F444" t="s">
        <v>362</v>
      </c>
      <c r="G444" t="s">
        <v>363</v>
      </c>
      <c r="H444">
        <v>36</v>
      </c>
      <c r="I444">
        <v>1399</v>
      </c>
      <c r="J444" t="s">
        <v>2352</v>
      </c>
      <c r="K444" t="s">
        <v>599</v>
      </c>
      <c r="L444" t="s">
        <v>2353</v>
      </c>
      <c r="M444" t="s">
        <v>82</v>
      </c>
      <c r="N444">
        <v>16404</v>
      </c>
      <c r="O444" t="s">
        <v>83</v>
      </c>
      <c r="Q444" t="s">
        <v>381</v>
      </c>
      <c r="R444" t="s">
        <v>2354</v>
      </c>
      <c r="S444" t="s">
        <v>787</v>
      </c>
      <c r="T444" s="6">
        <v>2100000000</v>
      </c>
      <c r="U444" s="45">
        <f>VLOOKUP(B444,realPrices!C:G,5,0)</f>
        <v>2403000000</v>
      </c>
      <c r="W444" t="str">
        <f t="shared" si="6"/>
        <v>PU1 OHVG CNG1399</v>
      </c>
      <c r="X444">
        <f>VLOOKUP(W444,Sheet10!D:F,2,0)*10000000</f>
        <v>2830000000</v>
      </c>
      <c r="Y444" t="s">
        <v>114</v>
      </c>
    </row>
    <row r="445" spans="1:25" x14ac:dyDescent="0.25">
      <c r="A445" t="s">
        <v>376</v>
      </c>
      <c r="B445" t="s">
        <v>2355</v>
      </c>
      <c r="C445">
        <v>164</v>
      </c>
      <c r="D445" t="s">
        <v>63</v>
      </c>
      <c r="E445" t="s">
        <v>78</v>
      </c>
      <c r="F445" t="s">
        <v>362</v>
      </c>
      <c r="G445" t="s">
        <v>363</v>
      </c>
      <c r="H445">
        <v>25</v>
      </c>
      <c r="I445">
        <v>1399</v>
      </c>
      <c r="J445" t="s">
        <v>2356</v>
      </c>
      <c r="K445" t="s">
        <v>599</v>
      </c>
      <c r="L445" t="s">
        <v>2357</v>
      </c>
      <c r="M445" t="s">
        <v>82</v>
      </c>
      <c r="N445">
        <v>16404</v>
      </c>
      <c r="O445" t="s">
        <v>83</v>
      </c>
      <c r="Q445" t="s">
        <v>381</v>
      </c>
      <c r="R445" t="s">
        <v>2358</v>
      </c>
      <c r="S445" t="s">
        <v>1174</v>
      </c>
      <c r="T445" s="6">
        <v>2100000000</v>
      </c>
      <c r="U445" s="45">
        <f>VLOOKUP(B445,realPrices!C:G,5,0)</f>
        <v>2501009999</v>
      </c>
      <c r="W445" t="str">
        <f t="shared" si="6"/>
        <v>PU1 OHVG CNG1399</v>
      </c>
      <c r="X445">
        <f>VLOOKUP(W445,Sheet10!D:F,2,0)*10000000</f>
        <v>2830000000</v>
      </c>
      <c r="Y445" t="s">
        <v>114</v>
      </c>
    </row>
    <row r="446" spans="1:25" x14ac:dyDescent="0.25">
      <c r="A446" t="s">
        <v>376</v>
      </c>
      <c r="B446" t="s">
        <v>2359</v>
      </c>
      <c r="C446">
        <v>164</v>
      </c>
      <c r="D446" t="s">
        <v>63</v>
      </c>
      <c r="E446" t="s">
        <v>78</v>
      </c>
      <c r="F446" t="s">
        <v>362</v>
      </c>
      <c r="G446" t="s">
        <v>363</v>
      </c>
      <c r="H446">
        <v>29</v>
      </c>
      <c r="I446">
        <v>1399</v>
      </c>
      <c r="J446" t="s">
        <v>2360</v>
      </c>
      <c r="K446" t="s">
        <v>599</v>
      </c>
      <c r="L446" t="s">
        <v>2361</v>
      </c>
      <c r="M446" t="s">
        <v>82</v>
      </c>
      <c r="N446">
        <v>16404</v>
      </c>
      <c r="O446" t="s">
        <v>83</v>
      </c>
      <c r="Q446" t="s">
        <v>381</v>
      </c>
      <c r="R446" t="s">
        <v>2362</v>
      </c>
      <c r="S446" t="s">
        <v>1041</v>
      </c>
      <c r="T446" s="6">
        <v>2100000000</v>
      </c>
      <c r="U446" s="45">
        <f>VLOOKUP(B446,realPrices!C:G,5,0)</f>
        <v>2502200000</v>
      </c>
      <c r="W446" t="str">
        <f t="shared" si="6"/>
        <v>PU1 OHVG CNG1399</v>
      </c>
      <c r="X446">
        <f>VLOOKUP(W446,Sheet10!D:F,2,0)*10000000</f>
        <v>2830000000</v>
      </c>
      <c r="Y446" t="s">
        <v>114</v>
      </c>
    </row>
    <row r="447" spans="1:25" x14ac:dyDescent="0.25">
      <c r="A447" t="s">
        <v>376</v>
      </c>
      <c r="B447" t="s">
        <v>2363</v>
      </c>
      <c r="C447">
        <v>164</v>
      </c>
      <c r="D447" t="s">
        <v>63</v>
      </c>
      <c r="E447" t="s">
        <v>78</v>
      </c>
      <c r="F447" t="s">
        <v>362</v>
      </c>
      <c r="G447" t="s">
        <v>363</v>
      </c>
      <c r="H447">
        <v>28</v>
      </c>
      <c r="I447">
        <v>1399</v>
      </c>
      <c r="J447" t="s">
        <v>2364</v>
      </c>
      <c r="K447" t="s">
        <v>522</v>
      </c>
      <c r="L447" t="s">
        <v>2365</v>
      </c>
      <c r="M447" t="s">
        <v>82</v>
      </c>
      <c r="N447">
        <v>16404</v>
      </c>
      <c r="O447" t="s">
        <v>83</v>
      </c>
      <c r="Q447" t="s">
        <v>381</v>
      </c>
      <c r="R447" t="s">
        <v>2366</v>
      </c>
      <c r="S447" t="s">
        <v>1417</v>
      </c>
      <c r="T447" s="6">
        <v>2100000000</v>
      </c>
      <c r="U447" s="45">
        <f>VLOOKUP(B447,realPrices!C:G,5,0)</f>
        <v>3000000000</v>
      </c>
      <c r="W447" t="str">
        <f t="shared" si="6"/>
        <v>PU1 OHVG CNG1399</v>
      </c>
      <c r="X447">
        <f>VLOOKUP(W447,Sheet10!D:F,2,0)*10000000</f>
        <v>2830000000</v>
      </c>
      <c r="Y447" t="s">
        <v>114</v>
      </c>
    </row>
    <row r="448" spans="1:25" x14ac:dyDescent="0.25">
      <c r="A448" t="s">
        <v>376</v>
      </c>
      <c r="B448" t="s">
        <v>2367</v>
      </c>
      <c r="C448">
        <v>164</v>
      </c>
      <c r="D448" t="s">
        <v>63</v>
      </c>
      <c r="E448" t="s">
        <v>78</v>
      </c>
      <c r="F448" t="s">
        <v>362</v>
      </c>
      <c r="G448" t="s">
        <v>363</v>
      </c>
      <c r="H448">
        <v>23</v>
      </c>
      <c r="I448">
        <v>1399</v>
      </c>
      <c r="J448" t="s">
        <v>2368</v>
      </c>
      <c r="K448" t="s">
        <v>599</v>
      </c>
      <c r="L448" t="s">
        <v>2369</v>
      </c>
      <c r="M448" t="s">
        <v>82</v>
      </c>
      <c r="N448">
        <v>16404</v>
      </c>
      <c r="O448" t="s">
        <v>83</v>
      </c>
      <c r="Q448" t="s">
        <v>381</v>
      </c>
      <c r="R448" t="s">
        <v>2370</v>
      </c>
      <c r="S448" t="s">
        <v>1159</v>
      </c>
      <c r="T448" s="6">
        <v>2100000000</v>
      </c>
      <c r="U448" s="45">
        <f>VLOOKUP(B448,realPrices!C:G,5,0)</f>
        <v>2423000000</v>
      </c>
      <c r="W448" t="str">
        <f t="shared" si="6"/>
        <v>PU1 OHVG CNG1399</v>
      </c>
      <c r="X448">
        <f>VLOOKUP(W448,Sheet10!D:F,2,0)*10000000</f>
        <v>2830000000</v>
      </c>
      <c r="Y448" t="s">
        <v>114</v>
      </c>
    </row>
    <row r="449" spans="1:25" x14ac:dyDescent="0.25">
      <c r="A449" t="s">
        <v>376</v>
      </c>
      <c r="B449" t="s">
        <v>2371</v>
      </c>
      <c r="C449">
        <v>164</v>
      </c>
      <c r="D449" t="s">
        <v>63</v>
      </c>
      <c r="E449" t="s">
        <v>78</v>
      </c>
      <c r="F449" t="s">
        <v>362</v>
      </c>
      <c r="G449" t="s">
        <v>363</v>
      </c>
      <c r="H449">
        <v>32</v>
      </c>
      <c r="I449">
        <v>1399</v>
      </c>
      <c r="J449" t="s">
        <v>2372</v>
      </c>
      <c r="K449" t="s">
        <v>599</v>
      </c>
      <c r="L449" t="s">
        <v>2373</v>
      </c>
      <c r="M449" t="s">
        <v>82</v>
      </c>
      <c r="N449">
        <v>16404</v>
      </c>
      <c r="O449" t="s">
        <v>83</v>
      </c>
      <c r="Q449" t="s">
        <v>381</v>
      </c>
      <c r="R449" t="s">
        <v>2374</v>
      </c>
      <c r="S449" t="s">
        <v>1407</v>
      </c>
      <c r="T449" s="6">
        <v>2100000000</v>
      </c>
      <c r="U449" s="45">
        <f>VLOOKUP(B449,realPrices!C:G,5,0)</f>
        <v>2424222200</v>
      </c>
      <c r="W449" t="str">
        <f t="shared" si="6"/>
        <v>PU1 OHVG CNG1399</v>
      </c>
      <c r="X449">
        <f>VLOOKUP(W449,Sheet10!D:F,2,0)*10000000</f>
        <v>2830000000</v>
      </c>
      <c r="Y449" t="s">
        <v>114</v>
      </c>
    </row>
    <row r="450" spans="1:25" x14ac:dyDescent="0.25">
      <c r="A450" t="s">
        <v>376</v>
      </c>
      <c r="B450" t="s">
        <v>2375</v>
      </c>
      <c r="C450">
        <v>164</v>
      </c>
      <c r="D450" t="s">
        <v>63</v>
      </c>
      <c r="E450" t="s">
        <v>78</v>
      </c>
      <c r="F450" t="s">
        <v>362</v>
      </c>
      <c r="G450" t="s">
        <v>363</v>
      </c>
      <c r="H450">
        <v>25</v>
      </c>
      <c r="I450">
        <v>1399</v>
      </c>
      <c r="J450" t="s">
        <v>2376</v>
      </c>
      <c r="K450" t="s">
        <v>2377</v>
      </c>
      <c r="L450" t="s">
        <v>2378</v>
      </c>
      <c r="M450" t="s">
        <v>82</v>
      </c>
      <c r="N450">
        <v>16404</v>
      </c>
      <c r="O450" t="s">
        <v>83</v>
      </c>
      <c r="Q450" t="s">
        <v>381</v>
      </c>
      <c r="R450" t="s">
        <v>2379</v>
      </c>
      <c r="S450" t="s">
        <v>1272</v>
      </c>
      <c r="T450" s="6">
        <v>2100000000</v>
      </c>
      <c r="U450" s="45">
        <f>VLOOKUP(B450,realPrices!C:G,5,0)</f>
        <v>2423000000</v>
      </c>
      <c r="W450" t="str">
        <f t="shared" ref="W450:W513" si="7">M450&amp;I450</f>
        <v>PU1 OHVG CNG1399</v>
      </c>
      <c r="X450">
        <f>VLOOKUP(W450,Sheet10!D:F,2,0)*10000000</f>
        <v>2830000000</v>
      </c>
      <c r="Y450" t="s">
        <v>114</v>
      </c>
    </row>
    <row r="451" spans="1:25" x14ac:dyDescent="0.25">
      <c r="A451" t="s">
        <v>376</v>
      </c>
      <c r="B451" t="s">
        <v>2380</v>
      </c>
      <c r="C451">
        <v>164</v>
      </c>
      <c r="D451" t="s">
        <v>63</v>
      </c>
      <c r="E451" t="s">
        <v>78</v>
      </c>
      <c r="F451" t="s">
        <v>362</v>
      </c>
      <c r="G451" t="s">
        <v>363</v>
      </c>
      <c r="H451">
        <v>32</v>
      </c>
      <c r="I451">
        <v>1399</v>
      </c>
      <c r="J451" t="s">
        <v>2381</v>
      </c>
      <c r="K451" t="s">
        <v>599</v>
      </c>
      <c r="L451" t="s">
        <v>2382</v>
      </c>
      <c r="M451" t="s">
        <v>82</v>
      </c>
      <c r="N451">
        <v>16404</v>
      </c>
      <c r="O451" t="s">
        <v>83</v>
      </c>
      <c r="Q451" t="s">
        <v>381</v>
      </c>
      <c r="R451" t="s">
        <v>2383</v>
      </c>
      <c r="S451" t="s">
        <v>923</v>
      </c>
      <c r="T451" s="6">
        <v>2100000000</v>
      </c>
      <c r="U451" s="45">
        <f>VLOOKUP(B451,realPrices!C:G,5,0)</f>
        <v>2467999000</v>
      </c>
      <c r="W451" t="str">
        <f t="shared" si="7"/>
        <v>PU1 OHVG CNG1399</v>
      </c>
      <c r="X451">
        <f>VLOOKUP(W451,Sheet10!D:F,2,0)*10000000</f>
        <v>2830000000</v>
      </c>
      <c r="Y451" t="s">
        <v>114</v>
      </c>
    </row>
    <row r="452" spans="1:25" x14ac:dyDescent="0.25">
      <c r="A452" t="s">
        <v>376</v>
      </c>
      <c r="B452" t="s">
        <v>2384</v>
      </c>
      <c r="C452">
        <v>164</v>
      </c>
      <c r="D452" t="s">
        <v>63</v>
      </c>
      <c r="E452" t="s">
        <v>78</v>
      </c>
      <c r="F452" t="s">
        <v>362</v>
      </c>
      <c r="G452" t="s">
        <v>363</v>
      </c>
      <c r="H452">
        <v>25</v>
      </c>
      <c r="I452">
        <v>1399</v>
      </c>
      <c r="J452" t="s">
        <v>2385</v>
      </c>
      <c r="K452" t="s">
        <v>599</v>
      </c>
      <c r="L452" t="s">
        <v>2386</v>
      </c>
      <c r="M452" t="s">
        <v>82</v>
      </c>
      <c r="N452">
        <v>16404</v>
      </c>
      <c r="O452" t="s">
        <v>83</v>
      </c>
      <c r="Q452" t="s">
        <v>381</v>
      </c>
      <c r="R452" t="s">
        <v>2387</v>
      </c>
      <c r="S452" t="s">
        <v>806</v>
      </c>
      <c r="T452" s="6">
        <v>2100000000</v>
      </c>
      <c r="U452" s="45">
        <f>VLOOKUP(B452,realPrices!C:G,5,0)</f>
        <v>2469999999</v>
      </c>
      <c r="W452" t="str">
        <f t="shared" si="7"/>
        <v>PU1 OHVG CNG1399</v>
      </c>
      <c r="X452">
        <f>VLOOKUP(W452,Sheet10!D:F,2,0)*10000000</f>
        <v>2830000000</v>
      </c>
      <c r="Y452" t="s">
        <v>114</v>
      </c>
    </row>
    <row r="453" spans="1:25" x14ac:dyDescent="0.25">
      <c r="A453" t="s">
        <v>376</v>
      </c>
      <c r="B453" t="s">
        <v>2388</v>
      </c>
      <c r="C453">
        <v>164</v>
      </c>
      <c r="D453" t="s">
        <v>63</v>
      </c>
      <c r="E453" t="s">
        <v>78</v>
      </c>
      <c r="F453" t="s">
        <v>362</v>
      </c>
      <c r="G453" t="s">
        <v>363</v>
      </c>
      <c r="H453">
        <v>27</v>
      </c>
      <c r="I453">
        <v>1399</v>
      </c>
      <c r="J453" t="s">
        <v>2389</v>
      </c>
      <c r="K453" t="s">
        <v>1746</v>
      </c>
      <c r="L453" t="s">
        <v>2390</v>
      </c>
      <c r="M453" t="s">
        <v>82</v>
      </c>
      <c r="N453">
        <v>16404</v>
      </c>
      <c r="O453" t="s">
        <v>83</v>
      </c>
      <c r="Q453" t="s">
        <v>381</v>
      </c>
      <c r="R453" t="s">
        <v>2391</v>
      </c>
      <c r="S453" t="s">
        <v>1318</v>
      </c>
      <c r="T453" s="6">
        <v>2100000000</v>
      </c>
      <c r="U453" s="45">
        <f>VLOOKUP(B453,realPrices!C:G,5,0)</f>
        <v>2469999999</v>
      </c>
      <c r="W453" t="str">
        <f t="shared" si="7"/>
        <v>PU1 OHVG CNG1399</v>
      </c>
      <c r="X453">
        <f>VLOOKUP(W453,Sheet10!D:F,2,0)*10000000</f>
        <v>2830000000</v>
      </c>
      <c r="Y453" t="s">
        <v>114</v>
      </c>
    </row>
    <row r="454" spans="1:25" x14ac:dyDescent="0.25">
      <c r="A454" t="s">
        <v>376</v>
      </c>
      <c r="B454" t="s">
        <v>2392</v>
      </c>
      <c r="C454">
        <v>164</v>
      </c>
      <c r="D454" t="s">
        <v>63</v>
      </c>
      <c r="E454" t="s">
        <v>78</v>
      </c>
      <c r="F454" t="s">
        <v>362</v>
      </c>
      <c r="G454" t="s">
        <v>363</v>
      </c>
      <c r="H454">
        <v>32</v>
      </c>
      <c r="I454">
        <v>1399</v>
      </c>
      <c r="J454" t="s">
        <v>2393</v>
      </c>
      <c r="K454" t="s">
        <v>1114</v>
      </c>
      <c r="L454" t="s">
        <v>2394</v>
      </c>
      <c r="M454" t="s">
        <v>82</v>
      </c>
      <c r="N454">
        <v>16404</v>
      </c>
      <c r="O454" t="s">
        <v>83</v>
      </c>
      <c r="Q454" t="s">
        <v>381</v>
      </c>
      <c r="R454" t="s">
        <v>2395</v>
      </c>
      <c r="S454" t="s">
        <v>1366</v>
      </c>
      <c r="T454" s="6">
        <v>2100000000</v>
      </c>
      <c r="U454" s="45">
        <f>VLOOKUP(B454,realPrices!C:G,5,0)</f>
        <v>2467999000</v>
      </c>
      <c r="W454" t="str">
        <f t="shared" si="7"/>
        <v>PU1 OHVG CNG1399</v>
      </c>
      <c r="X454">
        <f>VLOOKUP(W454,Sheet10!D:F,2,0)*10000000</f>
        <v>2830000000</v>
      </c>
      <c r="Y454" t="s">
        <v>114</v>
      </c>
    </row>
    <row r="455" spans="1:25" x14ac:dyDescent="0.25">
      <c r="A455" t="s">
        <v>376</v>
      </c>
      <c r="B455" t="s">
        <v>2396</v>
      </c>
      <c r="C455">
        <v>164</v>
      </c>
      <c r="D455" t="s">
        <v>63</v>
      </c>
      <c r="E455" t="s">
        <v>78</v>
      </c>
      <c r="F455" t="s">
        <v>362</v>
      </c>
      <c r="G455" t="s">
        <v>363</v>
      </c>
      <c r="H455">
        <v>23</v>
      </c>
      <c r="I455">
        <v>1399</v>
      </c>
      <c r="J455" t="s">
        <v>2397</v>
      </c>
      <c r="K455" t="s">
        <v>1114</v>
      </c>
      <c r="L455" t="s">
        <v>2398</v>
      </c>
      <c r="M455" t="s">
        <v>82</v>
      </c>
      <c r="N455">
        <v>16404</v>
      </c>
      <c r="O455" t="s">
        <v>83</v>
      </c>
      <c r="Q455" t="s">
        <v>381</v>
      </c>
      <c r="R455" t="s">
        <v>2399</v>
      </c>
      <c r="S455" t="s">
        <v>554</v>
      </c>
      <c r="T455" s="6">
        <v>2100000000</v>
      </c>
      <c r="U455" s="45">
        <f>VLOOKUP(B455,realPrices!C:G,5,0)</f>
        <v>2433000000</v>
      </c>
      <c r="W455" t="str">
        <f t="shared" si="7"/>
        <v>PU1 OHVG CNG1399</v>
      </c>
      <c r="X455">
        <f>VLOOKUP(W455,Sheet10!D:F,2,0)*10000000</f>
        <v>2830000000</v>
      </c>
      <c r="Y455" t="s">
        <v>114</v>
      </c>
    </row>
    <row r="456" spans="1:25" x14ac:dyDescent="0.25">
      <c r="A456" t="s">
        <v>376</v>
      </c>
      <c r="B456" t="s">
        <v>2400</v>
      </c>
      <c r="C456">
        <v>164</v>
      </c>
      <c r="D456" t="s">
        <v>63</v>
      </c>
      <c r="E456" t="s">
        <v>78</v>
      </c>
      <c r="F456" t="s">
        <v>362</v>
      </c>
      <c r="G456" t="s">
        <v>363</v>
      </c>
      <c r="H456">
        <v>52</v>
      </c>
      <c r="I456">
        <v>1399</v>
      </c>
      <c r="J456" t="s">
        <v>2401</v>
      </c>
      <c r="K456" t="s">
        <v>1114</v>
      </c>
      <c r="L456" t="s">
        <v>2402</v>
      </c>
      <c r="M456" t="s">
        <v>82</v>
      </c>
      <c r="N456">
        <v>16404</v>
      </c>
      <c r="O456" t="s">
        <v>83</v>
      </c>
      <c r="Q456" t="s">
        <v>381</v>
      </c>
      <c r="R456" t="s">
        <v>2403</v>
      </c>
      <c r="S456" t="s">
        <v>1066</v>
      </c>
      <c r="T456" s="6">
        <v>2100000000</v>
      </c>
      <c r="U456" s="45">
        <f>VLOOKUP(B456,realPrices!C:G,5,0)</f>
        <v>2552000000</v>
      </c>
      <c r="W456" t="str">
        <f t="shared" si="7"/>
        <v>PU1 OHVG CNG1399</v>
      </c>
      <c r="X456">
        <f>VLOOKUP(W456,Sheet10!D:F,2,0)*10000000</f>
        <v>2830000000</v>
      </c>
      <c r="Y456" t="s">
        <v>114</v>
      </c>
    </row>
    <row r="457" spans="1:25" x14ac:dyDescent="0.25">
      <c r="A457" t="s">
        <v>376</v>
      </c>
      <c r="B457" t="s">
        <v>2404</v>
      </c>
      <c r="C457">
        <v>164</v>
      </c>
      <c r="D457" t="s">
        <v>63</v>
      </c>
      <c r="E457" t="s">
        <v>78</v>
      </c>
      <c r="F457" t="s">
        <v>362</v>
      </c>
      <c r="G457" t="s">
        <v>363</v>
      </c>
      <c r="H457">
        <v>31</v>
      </c>
      <c r="I457">
        <v>1399</v>
      </c>
      <c r="J457" t="s">
        <v>2405</v>
      </c>
      <c r="K457" t="s">
        <v>1114</v>
      </c>
      <c r="L457" t="s">
        <v>2406</v>
      </c>
      <c r="M457" t="s">
        <v>82</v>
      </c>
      <c r="N457">
        <v>16404</v>
      </c>
      <c r="O457" t="s">
        <v>83</v>
      </c>
      <c r="Q457" t="s">
        <v>381</v>
      </c>
      <c r="R457" t="s">
        <v>2407</v>
      </c>
      <c r="S457" t="s">
        <v>1334</v>
      </c>
      <c r="T457" s="6">
        <v>2100000000</v>
      </c>
      <c r="U457" s="45">
        <f>VLOOKUP(B457,realPrices!C:G,5,0)</f>
        <v>2532000000</v>
      </c>
      <c r="W457" t="str">
        <f t="shared" si="7"/>
        <v>PU1 OHVG CNG1399</v>
      </c>
      <c r="X457">
        <f>VLOOKUP(W457,Sheet10!D:F,2,0)*10000000</f>
        <v>2830000000</v>
      </c>
      <c r="Y457" t="s">
        <v>114</v>
      </c>
    </row>
    <row r="458" spans="1:25" x14ac:dyDescent="0.25">
      <c r="A458" t="s">
        <v>1418</v>
      </c>
      <c r="B458" t="s">
        <v>2408</v>
      </c>
      <c r="C458">
        <v>351</v>
      </c>
      <c r="D458" t="s">
        <v>63</v>
      </c>
      <c r="E458" t="s">
        <v>64</v>
      </c>
      <c r="F458" t="s">
        <v>318</v>
      </c>
      <c r="H458">
        <v>21</v>
      </c>
      <c r="I458">
        <v>1401</v>
      </c>
      <c r="J458" t="s">
        <v>2409</v>
      </c>
      <c r="K458" t="s">
        <v>2410</v>
      </c>
      <c r="M458" t="s">
        <v>400</v>
      </c>
      <c r="N458">
        <v>35101</v>
      </c>
      <c r="O458" t="s">
        <v>70</v>
      </c>
      <c r="Q458" t="s">
        <v>401</v>
      </c>
      <c r="R458" t="s">
        <v>2411</v>
      </c>
      <c r="S458" t="s">
        <v>2085</v>
      </c>
      <c r="T458" s="6">
        <v>2100000000</v>
      </c>
      <c r="U458" s="45">
        <f>VLOOKUP(B458,realPrices!C:G,5,0)</f>
        <v>2855550000</v>
      </c>
      <c r="W458" t="str">
        <f t="shared" si="7"/>
        <v>PARS XU7 P1401</v>
      </c>
      <c r="X458">
        <f>VLOOKUP(W458,Sheet10!D:F,2,0)*10000000</f>
        <v>4500000000</v>
      </c>
      <c r="Y458" t="s">
        <v>74</v>
      </c>
    </row>
    <row r="459" spans="1:25" x14ac:dyDescent="0.25">
      <c r="A459" t="s">
        <v>191</v>
      </c>
      <c r="B459" t="s">
        <v>2412</v>
      </c>
      <c r="C459">
        <v>285</v>
      </c>
      <c r="D459" t="s">
        <v>63</v>
      </c>
      <c r="E459" t="s">
        <v>64</v>
      </c>
      <c r="F459" t="s">
        <v>362</v>
      </c>
      <c r="H459">
        <v>24</v>
      </c>
      <c r="I459">
        <v>1400</v>
      </c>
      <c r="J459" t="s">
        <v>2413</v>
      </c>
      <c r="K459" t="s">
        <v>2414</v>
      </c>
      <c r="M459" t="s">
        <v>198</v>
      </c>
      <c r="N459">
        <v>28520</v>
      </c>
      <c r="O459" t="s">
        <v>70</v>
      </c>
      <c r="Q459" t="s">
        <v>199</v>
      </c>
      <c r="R459" t="s">
        <v>2415</v>
      </c>
      <c r="S459" t="s">
        <v>2050</v>
      </c>
      <c r="T459" s="6">
        <v>2100000000</v>
      </c>
      <c r="U459" s="45">
        <f>VLOOKUP(B459,realPrices!C:G,5,0)</f>
        <v>3465000000</v>
      </c>
      <c r="W459" t="str">
        <f t="shared" si="7"/>
        <v>PARS TU51400</v>
      </c>
      <c r="X459">
        <f>VLOOKUP(W459,Sheet10!D:F,2,0)*10000000</f>
        <v>5100000000</v>
      </c>
      <c r="Y459" t="s">
        <v>74</v>
      </c>
    </row>
    <row r="460" spans="1:25" x14ac:dyDescent="0.25">
      <c r="A460" t="s">
        <v>2416</v>
      </c>
      <c r="B460" t="s">
        <v>2417</v>
      </c>
      <c r="C460">
        <v>575</v>
      </c>
      <c r="D460" t="s">
        <v>259</v>
      </c>
      <c r="E460" t="s">
        <v>64</v>
      </c>
      <c r="F460" t="s">
        <v>362</v>
      </c>
      <c r="H460">
        <v>1087</v>
      </c>
      <c r="I460">
        <v>1400</v>
      </c>
      <c r="J460" t="s">
        <v>2418</v>
      </c>
      <c r="K460" t="s">
        <v>2419</v>
      </c>
      <c r="M460" t="s">
        <v>367</v>
      </c>
      <c r="N460">
        <v>57519</v>
      </c>
      <c r="O460" t="s">
        <v>70</v>
      </c>
      <c r="Q460" t="s">
        <v>2420</v>
      </c>
      <c r="R460" t="s">
        <v>2421</v>
      </c>
      <c r="S460" t="s">
        <v>2422</v>
      </c>
      <c r="T460" s="6">
        <v>2100000000</v>
      </c>
      <c r="U460" s="45">
        <f>VLOOKUP(B460,realPrices!C:G,5,0)</f>
        <v>2890000000</v>
      </c>
      <c r="W460" t="str">
        <f t="shared" si="7"/>
        <v>SOREN EF71400</v>
      </c>
      <c r="X460">
        <f>VLOOKUP(W460,Sheet10!D:F,2,0)*10000000</f>
        <v>4350000000</v>
      </c>
      <c r="Y460" t="s">
        <v>74</v>
      </c>
    </row>
    <row r="461" spans="1:25" x14ac:dyDescent="0.25">
      <c r="A461" t="s">
        <v>325</v>
      </c>
      <c r="B461" t="s">
        <v>2423</v>
      </c>
      <c r="C461">
        <v>260</v>
      </c>
      <c r="D461" t="s">
        <v>63</v>
      </c>
      <c r="E461" t="s">
        <v>64</v>
      </c>
      <c r="F461" t="s">
        <v>318</v>
      </c>
      <c r="H461">
        <v>8</v>
      </c>
      <c r="I461">
        <v>1400</v>
      </c>
      <c r="J461" t="s">
        <v>2424</v>
      </c>
      <c r="K461" t="s">
        <v>2425</v>
      </c>
      <c r="M461" t="s">
        <v>329</v>
      </c>
      <c r="N461">
        <v>26031</v>
      </c>
      <c r="O461" t="s">
        <v>303</v>
      </c>
      <c r="Q461" t="s">
        <v>330</v>
      </c>
      <c r="R461" t="s">
        <v>2426</v>
      </c>
      <c r="S461" t="s">
        <v>2427</v>
      </c>
      <c r="T461" s="6">
        <v>2100000000</v>
      </c>
      <c r="U461" s="45">
        <f>VLOOKUP(B461,realPrices!C:G,5,0)</f>
        <v>2751500000</v>
      </c>
      <c r="W461" t="str">
        <f t="shared" si="7"/>
        <v>206TU31400</v>
      </c>
      <c r="X461" t="e">
        <f>VLOOKUP(W461,Sheet10!D:F,2,0)*10000000</f>
        <v>#N/A</v>
      </c>
      <c r="Y461" t="s">
        <v>74</v>
      </c>
    </row>
    <row r="462" spans="1:25" x14ac:dyDescent="0.25">
      <c r="A462" t="s">
        <v>2189</v>
      </c>
      <c r="B462" t="s">
        <v>2428</v>
      </c>
      <c r="C462">
        <v>282</v>
      </c>
      <c r="D462" t="s">
        <v>240</v>
      </c>
      <c r="E462" t="s">
        <v>64</v>
      </c>
      <c r="F462" t="s">
        <v>420</v>
      </c>
      <c r="G462" t="s">
        <v>2429</v>
      </c>
      <c r="H462">
        <v>7255</v>
      </c>
      <c r="I462">
        <v>1400</v>
      </c>
      <c r="J462" t="s">
        <v>2430</v>
      </c>
      <c r="K462" t="s">
        <v>2431</v>
      </c>
      <c r="L462" t="s">
        <v>2432</v>
      </c>
      <c r="M462" t="s">
        <v>312</v>
      </c>
      <c r="N462">
        <v>28242</v>
      </c>
      <c r="O462" t="s">
        <v>70</v>
      </c>
      <c r="Q462" t="s">
        <v>2195</v>
      </c>
      <c r="R462" t="s">
        <v>2433</v>
      </c>
      <c r="S462" t="s">
        <v>2434</v>
      </c>
      <c r="T462" s="6">
        <v>2150000000</v>
      </c>
      <c r="U462" s="45">
        <f>VLOOKUP(B462,realPrices!C:G,5,0)</f>
        <v>2888000000</v>
      </c>
      <c r="W462" t="str">
        <f t="shared" si="7"/>
        <v>PARS XU71400</v>
      </c>
      <c r="X462" t="e">
        <f>VLOOKUP(W462,Sheet10!D:F,2,0)*10000000</f>
        <v>#N/A</v>
      </c>
      <c r="Y462" t="s">
        <v>74</v>
      </c>
    </row>
    <row r="463" spans="1:25" x14ac:dyDescent="0.25">
      <c r="A463" t="s">
        <v>1418</v>
      </c>
      <c r="B463" t="s">
        <v>2435</v>
      </c>
      <c r="C463">
        <v>351</v>
      </c>
      <c r="D463" t="s">
        <v>63</v>
      </c>
      <c r="E463" t="s">
        <v>64</v>
      </c>
      <c r="F463" t="s">
        <v>2436</v>
      </c>
      <c r="H463">
        <v>1693</v>
      </c>
      <c r="I463">
        <v>1401</v>
      </c>
      <c r="J463" t="s">
        <v>2437</v>
      </c>
      <c r="K463" t="s">
        <v>2438</v>
      </c>
      <c r="M463" t="s">
        <v>400</v>
      </c>
      <c r="N463">
        <v>35101</v>
      </c>
      <c r="O463" t="s">
        <v>70</v>
      </c>
      <c r="Q463" t="s">
        <v>401</v>
      </c>
      <c r="R463" t="s">
        <v>2439</v>
      </c>
      <c r="S463" t="s">
        <v>2440</v>
      </c>
      <c r="T463" s="6">
        <v>2150000000</v>
      </c>
      <c r="U463" s="45">
        <f>VLOOKUP(B463,realPrices!C:G,5,0)</f>
        <v>2672000000</v>
      </c>
      <c r="W463" t="str">
        <f t="shared" si="7"/>
        <v>PARS XU7 P1401</v>
      </c>
      <c r="X463">
        <f>VLOOKUP(W463,Sheet10!D:F,2,0)*10000000</f>
        <v>4500000000</v>
      </c>
      <c r="Y463" t="s">
        <v>74</v>
      </c>
    </row>
    <row r="464" spans="1:25" x14ac:dyDescent="0.25">
      <c r="A464" t="s">
        <v>2441</v>
      </c>
      <c r="B464" t="s">
        <v>2442</v>
      </c>
      <c r="C464">
        <v>293</v>
      </c>
      <c r="D464" t="s">
        <v>63</v>
      </c>
      <c r="E464" t="s">
        <v>64</v>
      </c>
      <c r="F464" t="s">
        <v>362</v>
      </c>
      <c r="G464" t="s">
        <v>2443</v>
      </c>
      <c r="H464">
        <v>4</v>
      </c>
      <c r="I464">
        <v>1400</v>
      </c>
      <c r="J464" t="s">
        <v>2444</v>
      </c>
      <c r="K464" t="s">
        <v>2445</v>
      </c>
      <c r="L464" t="s">
        <v>2446</v>
      </c>
      <c r="M464" t="s">
        <v>244</v>
      </c>
      <c r="N464">
        <v>29357</v>
      </c>
      <c r="O464" t="s">
        <v>70</v>
      </c>
      <c r="Q464" t="s">
        <v>2447</v>
      </c>
      <c r="R464" t="s">
        <v>2448</v>
      </c>
      <c r="S464" t="s">
        <v>2449</v>
      </c>
      <c r="T464" s="6">
        <v>2200000000</v>
      </c>
      <c r="U464" s="45">
        <f>VLOOKUP(B464,realPrices!C:G,5,0)</f>
        <v>3055000000</v>
      </c>
      <c r="W464" t="str">
        <f t="shared" si="7"/>
        <v>LX XU71400</v>
      </c>
      <c r="X464" t="e">
        <f>VLOOKUP(W464,Sheet10!D:F,2,0)*10000000</f>
        <v>#N/A</v>
      </c>
      <c r="Y464" t="s">
        <v>74</v>
      </c>
    </row>
    <row r="465" spans="1:25" x14ac:dyDescent="0.25">
      <c r="A465" t="s">
        <v>2450</v>
      </c>
      <c r="B465" t="s">
        <v>2451</v>
      </c>
      <c r="C465">
        <v>701</v>
      </c>
      <c r="D465" t="s">
        <v>259</v>
      </c>
      <c r="E465" t="s">
        <v>64</v>
      </c>
      <c r="F465" t="s">
        <v>205</v>
      </c>
      <c r="G465" t="s">
        <v>2452</v>
      </c>
      <c r="H465">
        <v>52167</v>
      </c>
      <c r="I465">
        <v>1398</v>
      </c>
      <c r="J465" t="s">
        <v>2453</v>
      </c>
      <c r="K465" t="s">
        <v>2454</v>
      </c>
      <c r="L465" t="s">
        <v>2455</v>
      </c>
      <c r="M465" t="s">
        <v>408</v>
      </c>
      <c r="N465">
        <v>70118</v>
      </c>
      <c r="O465" t="s">
        <v>70</v>
      </c>
      <c r="Q465" t="s">
        <v>2456</v>
      </c>
      <c r="R465" t="s">
        <v>2457</v>
      </c>
      <c r="S465" t="s">
        <v>2458</v>
      </c>
      <c r="T465" s="6">
        <v>2200000000</v>
      </c>
      <c r="U465" s="45">
        <f>VLOOKUP(B465,realPrices!C:G,5,0)</f>
        <v>3134736252</v>
      </c>
      <c r="W465" t="str">
        <f t="shared" si="7"/>
        <v>DENA EF71398</v>
      </c>
      <c r="X465" t="e">
        <f>VLOOKUP(W465,Sheet10!D:F,2,0)*10000000</f>
        <v>#N/A</v>
      </c>
      <c r="Y465" t="s">
        <v>74</v>
      </c>
    </row>
    <row r="466" spans="1:25" x14ac:dyDescent="0.25">
      <c r="A466" t="s">
        <v>2459</v>
      </c>
      <c r="B466" t="s">
        <v>2460</v>
      </c>
      <c r="C466">
        <v>272</v>
      </c>
      <c r="D466" t="s">
        <v>2461</v>
      </c>
      <c r="E466" t="s">
        <v>78</v>
      </c>
      <c r="F466" t="s">
        <v>420</v>
      </c>
      <c r="G466" t="s">
        <v>206</v>
      </c>
      <c r="H466">
        <v>30348</v>
      </c>
      <c r="I466">
        <v>1399</v>
      </c>
      <c r="J466" t="s">
        <v>2462</v>
      </c>
      <c r="K466" t="s">
        <v>2463</v>
      </c>
      <c r="L466" t="s">
        <v>2464</v>
      </c>
      <c r="M466" t="s">
        <v>181</v>
      </c>
      <c r="N466">
        <v>27235</v>
      </c>
      <c r="O466" t="s">
        <v>70</v>
      </c>
      <c r="Q466" t="s">
        <v>2150</v>
      </c>
      <c r="R466" t="s">
        <v>2465</v>
      </c>
      <c r="S466" t="s">
        <v>2466</v>
      </c>
      <c r="T466" s="6">
        <v>2200000000</v>
      </c>
      <c r="U466" s="45">
        <f>VLOOKUP(B466,realPrices!C:G,5,0)</f>
        <v>3409000000</v>
      </c>
      <c r="W466" t="str">
        <f t="shared" si="7"/>
        <v>405GLX XU7 CNG1399</v>
      </c>
      <c r="X466" t="e">
        <f>VLOOKUP(W466,Sheet10!D:F,2,0)*10000000</f>
        <v>#N/A</v>
      </c>
      <c r="Y466" t="s">
        <v>114</v>
      </c>
    </row>
    <row r="467" spans="1:25" x14ac:dyDescent="0.25">
      <c r="A467" t="s">
        <v>2467</v>
      </c>
      <c r="B467" t="s">
        <v>2468</v>
      </c>
      <c r="C467">
        <v>268</v>
      </c>
      <c r="D467" t="s">
        <v>63</v>
      </c>
      <c r="E467" t="s">
        <v>64</v>
      </c>
      <c r="F467" t="s">
        <v>98</v>
      </c>
      <c r="G467" t="s">
        <v>222</v>
      </c>
      <c r="H467">
        <v>172025</v>
      </c>
      <c r="I467">
        <v>1395</v>
      </c>
      <c r="J467" t="s">
        <v>2469</v>
      </c>
      <c r="K467" t="s">
        <v>2470</v>
      </c>
      <c r="L467" t="s">
        <v>2471</v>
      </c>
      <c r="M467" t="s">
        <v>2472</v>
      </c>
      <c r="N467">
        <v>26815</v>
      </c>
      <c r="O467" t="s">
        <v>303</v>
      </c>
      <c r="Q467" t="s">
        <v>2473</v>
      </c>
      <c r="R467" t="s">
        <v>2474</v>
      </c>
      <c r="S467" t="s">
        <v>2475</v>
      </c>
      <c r="T467" s="6">
        <v>2200000000</v>
      </c>
      <c r="U467" s="45">
        <f>VLOOKUP(B467,realPrices!C:G,5,0)</f>
        <v>3388000009</v>
      </c>
      <c r="W467" t="str">
        <f t="shared" si="7"/>
        <v>206TU51395</v>
      </c>
      <c r="X467">
        <f>VLOOKUP(W467,Sheet10!D:F,2,0)*10000000</f>
        <v>3500000000</v>
      </c>
      <c r="Y467" t="s">
        <v>114</v>
      </c>
    </row>
    <row r="468" spans="1:25" x14ac:dyDescent="0.25">
      <c r="A468" t="s">
        <v>2476</v>
      </c>
      <c r="B468" t="s">
        <v>2477</v>
      </c>
      <c r="C468">
        <v>575</v>
      </c>
      <c r="D468" t="s">
        <v>63</v>
      </c>
      <c r="E468" t="s">
        <v>64</v>
      </c>
      <c r="F468" t="s">
        <v>2436</v>
      </c>
      <c r="H468">
        <v>572</v>
      </c>
      <c r="I468">
        <v>1401</v>
      </c>
      <c r="J468" t="s">
        <v>2478</v>
      </c>
      <c r="K468" t="s">
        <v>2479</v>
      </c>
      <c r="M468" t="s">
        <v>367</v>
      </c>
      <c r="N468">
        <v>57519</v>
      </c>
      <c r="O468" t="s">
        <v>70</v>
      </c>
      <c r="Q468" t="s">
        <v>2420</v>
      </c>
      <c r="R468" t="s">
        <v>2480</v>
      </c>
      <c r="S468" t="s">
        <v>2481</v>
      </c>
      <c r="T468" s="6">
        <v>2200000000</v>
      </c>
      <c r="U468" s="45">
        <f>VLOOKUP(B468,realPrices!C:G,5,0)</f>
        <v>3109876549</v>
      </c>
      <c r="W468" t="str">
        <f t="shared" si="7"/>
        <v>SOREN EF71401</v>
      </c>
      <c r="X468">
        <f>VLOOKUP(W468,Sheet10!D:F,2,0)*10000000</f>
        <v>4650000000</v>
      </c>
      <c r="Y468" t="s">
        <v>74</v>
      </c>
    </row>
    <row r="469" spans="1:25" x14ac:dyDescent="0.25">
      <c r="A469" t="s">
        <v>1418</v>
      </c>
      <c r="B469" t="s">
        <v>2482</v>
      </c>
      <c r="C469">
        <v>351</v>
      </c>
      <c r="D469" t="s">
        <v>63</v>
      </c>
      <c r="E469" t="s">
        <v>64</v>
      </c>
      <c r="F469" t="s">
        <v>491</v>
      </c>
      <c r="H469">
        <v>17</v>
      </c>
      <c r="I469">
        <v>1401</v>
      </c>
      <c r="J469" t="s">
        <v>2483</v>
      </c>
      <c r="K469" t="s">
        <v>2484</v>
      </c>
      <c r="M469" t="s">
        <v>400</v>
      </c>
      <c r="N469">
        <v>35101</v>
      </c>
      <c r="O469" t="s">
        <v>70</v>
      </c>
      <c r="Q469" t="s">
        <v>401</v>
      </c>
      <c r="R469" t="s">
        <v>2485</v>
      </c>
      <c r="S469" t="s">
        <v>2486</v>
      </c>
      <c r="T469" s="6">
        <v>2250000000</v>
      </c>
      <c r="U469" s="45">
        <f>VLOOKUP(B469,realPrices!C:G,5,0)</f>
        <v>2977700000</v>
      </c>
      <c r="W469" t="str">
        <f t="shared" si="7"/>
        <v>PARS XU7 P1401</v>
      </c>
      <c r="X469">
        <f>VLOOKUP(W469,Sheet10!D:F,2,0)*10000000</f>
        <v>4500000000</v>
      </c>
      <c r="Y469" t="s">
        <v>74</v>
      </c>
    </row>
    <row r="470" spans="1:25" x14ac:dyDescent="0.25">
      <c r="A470" t="s">
        <v>2487</v>
      </c>
      <c r="B470" t="s">
        <v>2488</v>
      </c>
      <c r="C470">
        <v>575</v>
      </c>
      <c r="D470" t="s">
        <v>77</v>
      </c>
      <c r="E470" t="s">
        <v>64</v>
      </c>
      <c r="F470" t="s">
        <v>205</v>
      </c>
      <c r="G470" t="s">
        <v>2489</v>
      </c>
      <c r="H470">
        <v>1738</v>
      </c>
      <c r="I470">
        <v>1401</v>
      </c>
      <c r="J470" t="s">
        <v>2490</v>
      </c>
      <c r="K470" t="s">
        <v>2491</v>
      </c>
      <c r="L470" t="s">
        <v>2492</v>
      </c>
      <c r="M470" t="s">
        <v>367</v>
      </c>
      <c r="N470">
        <v>57519</v>
      </c>
      <c r="O470" t="s">
        <v>70</v>
      </c>
      <c r="Q470" t="s">
        <v>2420</v>
      </c>
      <c r="R470" t="s">
        <v>2493</v>
      </c>
      <c r="S470" t="s">
        <v>2494</v>
      </c>
      <c r="T470" s="6">
        <v>2300000000</v>
      </c>
      <c r="U470" s="45">
        <f>VLOOKUP(B470,realPrices!C:G,5,0)</f>
        <v>3013333333</v>
      </c>
      <c r="W470" t="str">
        <f t="shared" si="7"/>
        <v>SOREN EF71401</v>
      </c>
      <c r="X470">
        <f>VLOOKUP(W470,Sheet10!D:F,2,0)*10000000</f>
        <v>4650000000</v>
      </c>
      <c r="Y470" t="s">
        <v>74</v>
      </c>
    </row>
    <row r="471" spans="1:25" x14ac:dyDescent="0.25">
      <c r="A471" t="s">
        <v>191</v>
      </c>
      <c r="B471" t="s">
        <v>2495</v>
      </c>
      <c r="C471">
        <v>285</v>
      </c>
      <c r="D471" t="s">
        <v>63</v>
      </c>
      <c r="E471" t="s">
        <v>64</v>
      </c>
      <c r="F471" t="s">
        <v>193</v>
      </c>
      <c r="G471" t="s">
        <v>2496</v>
      </c>
      <c r="H471">
        <v>999999</v>
      </c>
      <c r="I471">
        <v>1401</v>
      </c>
      <c r="J471" t="s">
        <v>2497</v>
      </c>
      <c r="K471" t="s">
        <v>2498</v>
      </c>
      <c r="L471" t="s">
        <v>2499</v>
      </c>
      <c r="M471" t="s">
        <v>198</v>
      </c>
      <c r="N471">
        <v>28520</v>
      </c>
      <c r="O471" t="s">
        <v>70</v>
      </c>
      <c r="Q471" t="s">
        <v>199</v>
      </c>
      <c r="R471" t="s">
        <v>2500</v>
      </c>
      <c r="S471" t="s">
        <v>2501</v>
      </c>
      <c r="T471" s="6">
        <v>2300000000</v>
      </c>
      <c r="U471" s="45">
        <f>VLOOKUP(B471,realPrices!C:G,5,0)</f>
        <v>3090000000</v>
      </c>
      <c r="W471" t="str">
        <f t="shared" si="7"/>
        <v>PARS TU51401</v>
      </c>
      <c r="X471">
        <f>VLOOKUP(W471,Sheet10!D:F,2,0)*10000000</f>
        <v>5250000000</v>
      </c>
      <c r="Y471" t="s">
        <v>114</v>
      </c>
    </row>
    <row r="472" spans="1:25" x14ac:dyDescent="0.25">
      <c r="A472" t="s">
        <v>2502</v>
      </c>
      <c r="B472" t="s">
        <v>2503</v>
      </c>
      <c r="C472">
        <v>256</v>
      </c>
      <c r="D472" t="s">
        <v>2461</v>
      </c>
      <c r="E472" t="s">
        <v>64</v>
      </c>
      <c r="F472" t="s">
        <v>362</v>
      </c>
      <c r="G472" t="s">
        <v>363</v>
      </c>
      <c r="H472">
        <v>68</v>
      </c>
      <c r="I472">
        <v>1399</v>
      </c>
      <c r="J472" t="s">
        <v>2504</v>
      </c>
      <c r="K472" t="s">
        <v>2505</v>
      </c>
      <c r="L472" t="s">
        <v>2506</v>
      </c>
      <c r="M472" t="s">
        <v>140</v>
      </c>
      <c r="N472">
        <v>25637</v>
      </c>
      <c r="O472" t="s">
        <v>70</v>
      </c>
      <c r="Q472" t="s">
        <v>666</v>
      </c>
      <c r="R472" t="s">
        <v>2507</v>
      </c>
      <c r="S472" t="s">
        <v>2508</v>
      </c>
      <c r="T472" s="6">
        <v>2300000000</v>
      </c>
      <c r="U472" s="45">
        <f>VLOOKUP(B472,realPrices!C:G,5,0)</f>
        <v>3667900000</v>
      </c>
      <c r="W472" t="str">
        <f t="shared" si="7"/>
        <v>405 GLX XU71399</v>
      </c>
      <c r="X472">
        <f>VLOOKUP(W472,Sheet10!D:F,2,0)*10000000</f>
        <v>4200000000</v>
      </c>
      <c r="Y472" t="s">
        <v>114</v>
      </c>
    </row>
    <row r="473" spans="1:25" x14ac:dyDescent="0.25">
      <c r="A473" t="s">
        <v>325</v>
      </c>
      <c r="B473" t="s">
        <v>2509</v>
      </c>
      <c r="C473">
        <v>260</v>
      </c>
      <c r="D473" t="s">
        <v>63</v>
      </c>
      <c r="E473" t="s">
        <v>64</v>
      </c>
      <c r="F473" t="s">
        <v>491</v>
      </c>
      <c r="H473">
        <v>23</v>
      </c>
      <c r="I473">
        <v>1401</v>
      </c>
      <c r="J473" t="s">
        <v>2510</v>
      </c>
      <c r="K473" t="s">
        <v>2511</v>
      </c>
      <c r="M473" t="s">
        <v>329</v>
      </c>
      <c r="N473">
        <v>26031</v>
      </c>
      <c r="O473" t="s">
        <v>303</v>
      </c>
      <c r="Q473" t="s">
        <v>330</v>
      </c>
      <c r="R473" t="s">
        <v>2512</v>
      </c>
      <c r="S473" t="s">
        <v>2513</v>
      </c>
      <c r="T473" s="6">
        <v>2300000000</v>
      </c>
      <c r="U473" s="45">
        <f>VLOOKUP(B473,realPrices!C:G,5,0)</f>
        <v>2921210000</v>
      </c>
      <c r="W473" t="str">
        <f t="shared" si="7"/>
        <v>206TU31401</v>
      </c>
      <c r="X473" t="e">
        <f>VLOOKUP(W473,Sheet10!D:F,2,0)*10000000</f>
        <v>#N/A</v>
      </c>
      <c r="Y473" t="s">
        <v>74</v>
      </c>
    </row>
    <row r="474" spans="1:25" x14ac:dyDescent="0.25">
      <c r="A474" t="s">
        <v>316</v>
      </c>
      <c r="B474" t="s">
        <v>2514</v>
      </c>
      <c r="C474">
        <v>610</v>
      </c>
      <c r="D474" t="s">
        <v>63</v>
      </c>
      <c r="E474" t="s">
        <v>64</v>
      </c>
      <c r="F474" t="s">
        <v>362</v>
      </c>
      <c r="H474">
        <v>71</v>
      </c>
      <c r="I474">
        <v>1400</v>
      </c>
      <c r="J474" t="s">
        <v>2515</v>
      </c>
      <c r="K474" t="s">
        <v>2516</v>
      </c>
      <c r="M474" t="s">
        <v>321</v>
      </c>
      <c r="N474">
        <v>61015</v>
      </c>
      <c r="O474" t="s">
        <v>70</v>
      </c>
      <c r="Q474" t="s">
        <v>322</v>
      </c>
      <c r="R474" t="s">
        <v>2517</v>
      </c>
      <c r="S474" t="s">
        <v>2518</v>
      </c>
      <c r="T474" s="6">
        <v>2300000000</v>
      </c>
      <c r="U474" s="45">
        <f>VLOOKUP(B474,realPrices!C:G,5,0)</f>
        <v>2789900000</v>
      </c>
      <c r="W474" t="str">
        <f t="shared" si="7"/>
        <v>TU51400</v>
      </c>
      <c r="X474" t="e">
        <f>VLOOKUP(W474,Sheet10!D:F,2,0)*10000000</f>
        <v>#N/A</v>
      </c>
      <c r="Y474" t="s">
        <v>74</v>
      </c>
    </row>
    <row r="475" spans="1:25" x14ac:dyDescent="0.25">
      <c r="A475" t="s">
        <v>2476</v>
      </c>
      <c r="B475" t="s">
        <v>2519</v>
      </c>
      <c r="C475">
        <v>575</v>
      </c>
      <c r="D475" t="s">
        <v>63</v>
      </c>
      <c r="E475" t="s">
        <v>64</v>
      </c>
      <c r="F475" t="s">
        <v>362</v>
      </c>
      <c r="H475">
        <v>3221</v>
      </c>
      <c r="I475">
        <v>1400</v>
      </c>
      <c r="J475" t="s">
        <v>2520</v>
      </c>
      <c r="K475" t="s">
        <v>2521</v>
      </c>
      <c r="M475" t="s">
        <v>367</v>
      </c>
      <c r="N475">
        <v>57519</v>
      </c>
      <c r="O475" t="s">
        <v>70</v>
      </c>
      <c r="Q475" t="s">
        <v>2420</v>
      </c>
      <c r="R475" t="s">
        <v>2522</v>
      </c>
      <c r="S475" t="s">
        <v>2523</v>
      </c>
      <c r="T475" s="6">
        <v>2300000000</v>
      </c>
      <c r="U475" s="45">
        <f>VLOOKUP(B475,realPrices!C:G,5,0)</f>
        <v>2911111111</v>
      </c>
      <c r="W475" t="str">
        <f t="shared" si="7"/>
        <v>SOREN EF71400</v>
      </c>
      <c r="X475">
        <f>VLOOKUP(W475,Sheet10!D:F,2,0)*10000000</f>
        <v>4350000000</v>
      </c>
      <c r="Y475" t="s">
        <v>74</v>
      </c>
    </row>
    <row r="476" spans="1:25" x14ac:dyDescent="0.25">
      <c r="A476" t="s">
        <v>2476</v>
      </c>
      <c r="B476" t="s">
        <v>2524</v>
      </c>
      <c r="C476">
        <v>575</v>
      </c>
      <c r="D476" t="s">
        <v>63</v>
      </c>
      <c r="E476" t="s">
        <v>64</v>
      </c>
      <c r="F476" t="s">
        <v>491</v>
      </c>
      <c r="H476">
        <v>2082</v>
      </c>
      <c r="I476">
        <v>1400</v>
      </c>
      <c r="J476" t="s">
        <v>2525</v>
      </c>
      <c r="K476" t="s">
        <v>2526</v>
      </c>
      <c r="M476" t="s">
        <v>367</v>
      </c>
      <c r="N476">
        <v>57519</v>
      </c>
      <c r="O476" t="s">
        <v>70</v>
      </c>
      <c r="Q476" t="s">
        <v>2420</v>
      </c>
      <c r="R476" t="s">
        <v>2527</v>
      </c>
      <c r="S476" t="s">
        <v>2528</v>
      </c>
      <c r="T476" s="6">
        <v>2300000000</v>
      </c>
      <c r="U476" s="45">
        <f>VLOOKUP(B476,realPrices!C:G,5,0)</f>
        <v>2790000000</v>
      </c>
      <c r="W476" t="str">
        <f t="shared" si="7"/>
        <v>SOREN EF71400</v>
      </c>
      <c r="X476">
        <f>VLOOKUP(W476,Sheet10!D:F,2,0)*10000000</f>
        <v>4350000000</v>
      </c>
      <c r="Y476" t="s">
        <v>74</v>
      </c>
    </row>
    <row r="477" spans="1:25" x14ac:dyDescent="0.25">
      <c r="A477" t="s">
        <v>1418</v>
      </c>
      <c r="B477" t="s">
        <v>2529</v>
      </c>
      <c r="C477">
        <v>351</v>
      </c>
      <c r="D477" t="s">
        <v>63</v>
      </c>
      <c r="E477" t="s">
        <v>64</v>
      </c>
      <c r="F477" t="s">
        <v>491</v>
      </c>
      <c r="H477">
        <v>986</v>
      </c>
      <c r="I477">
        <v>1401</v>
      </c>
      <c r="J477" t="s">
        <v>2530</v>
      </c>
      <c r="K477" t="s">
        <v>2531</v>
      </c>
      <c r="M477" t="s">
        <v>400</v>
      </c>
      <c r="N477">
        <v>35101</v>
      </c>
      <c r="O477" t="s">
        <v>70</v>
      </c>
      <c r="Q477" t="s">
        <v>401</v>
      </c>
      <c r="R477" t="s">
        <v>2532</v>
      </c>
      <c r="S477" t="s">
        <v>2533</v>
      </c>
      <c r="T477" s="6">
        <v>2300000000</v>
      </c>
      <c r="U477" s="45">
        <f>VLOOKUP(B477,realPrices!C:G,5,0)</f>
        <v>2763339999</v>
      </c>
      <c r="W477" t="str">
        <f t="shared" si="7"/>
        <v>PARS XU7 P1401</v>
      </c>
      <c r="X477">
        <f>VLOOKUP(W477,Sheet10!D:F,2,0)*10000000</f>
        <v>4500000000</v>
      </c>
      <c r="Y477" t="s">
        <v>74</v>
      </c>
    </row>
    <row r="478" spans="1:25" x14ac:dyDescent="0.25">
      <c r="A478" t="s">
        <v>2476</v>
      </c>
      <c r="B478" t="s">
        <v>2534</v>
      </c>
      <c r="C478">
        <v>575</v>
      </c>
      <c r="D478" t="s">
        <v>63</v>
      </c>
      <c r="E478" t="s">
        <v>64</v>
      </c>
      <c r="F478" t="s">
        <v>362</v>
      </c>
      <c r="H478">
        <v>1781</v>
      </c>
      <c r="I478">
        <v>1400</v>
      </c>
      <c r="J478" t="s">
        <v>2535</v>
      </c>
      <c r="K478" t="s">
        <v>2536</v>
      </c>
      <c r="M478" t="s">
        <v>367</v>
      </c>
      <c r="N478">
        <v>57519</v>
      </c>
      <c r="O478" t="s">
        <v>70</v>
      </c>
      <c r="Q478" t="s">
        <v>2420</v>
      </c>
      <c r="R478" t="s">
        <v>2537</v>
      </c>
      <c r="S478" t="s">
        <v>2538</v>
      </c>
      <c r="T478" s="6">
        <v>2300000000</v>
      </c>
      <c r="U478" s="45">
        <f>VLOOKUP(B478,realPrices!C:G,5,0)</f>
        <v>2830000000</v>
      </c>
      <c r="W478" t="str">
        <f t="shared" si="7"/>
        <v>SOREN EF71400</v>
      </c>
      <c r="X478">
        <f>VLOOKUP(W478,Sheet10!D:F,2,0)*10000000</f>
        <v>4350000000</v>
      </c>
      <c r="Y478" t="s">
        <v>74</v>
      </c>
    </row>
    <row r="479" spans="1:25" x14ac:dyDescent="0.25">
      <c r="A479" t="s">
        <v>191</v>
      </c>
      <c r="B479" t="s">
        <v>2539</v>
      </c>
      <c r="C479">
        <v>285</v>
      </c>
      <c r="D479" t="s">
        <v>63</v>
      </c>
      <c r="E479" t="s">
        <v>64</v>
      </c>
      <c r="F479" t="s">
        <v>318</v>
      </c>
      <c r="H479">
        <v>7</v>
      </c>
      <c r="I479">
        <v>1401</v>
      </c>
      <c r="J479" t="s">
        <v>2540</v>
      </c>
      <c r="K479" t="s">
        <v>2541</v>
      </c>
      <c r="M479" t="s">
        <v>198</v>
      </c>
      <c r="N479">
        <v>28520</v>
      </c>
      <c r="O479" t="s">
        <v>70</v>
      </c>
      <c r="Q479" t="s">
        <v>199</v>
      </c>
      <c r="R479" t="s">
        <v>2542</v>
      </c>
      <c r="S479" t="s">
        <v>2055</v>
      </c>
      <c r="T479" s="6">
        <v>2300000000</v>
      </c>
      <c r="U479" s="45">
        <f>VLOOKUP(B479,realPrices!C:G,5,0)</f>
        <v>3175000000</v>
      </c>
      <c r="W479" t="str">
        <f t="shared" si="7"/>
        <v>PARS TU51401</v>
      </c>
      <c r="X479">
        <f>VLOOKUP(W479,Sheet10!D:F,2,0)*10000000</f>
        <v>5250000000</v>
      </c>
      <c r="Y479" t="s">
        <v>74</v>
      </c>
    </row>
    <row r="480" spans="1:25" x14ac:dyDescent="0.25">
      <c r="A480" t="s">
        <v>2476</v>
      </c>
      <c r="B480" t="s">
        <v>2543</v>
      </c>
      <c r="C480">
        <v>575</v>
      </c>
      <c r="D480" t="s">
        <v>63</v>
      </c>
      <c r="E480" t="s">
        <v>64</v>
      </c>
      <c r="F480" t="s">
        <v>420</v>
      </c>
      <c r="G480" t="s">
        <v>2544</v>
      </c>
      <c r="H480">
        <v>114</v>
      </c>
      <c r="I480">
        <v>1401</v>
      </c>
      <c r="J480" t="s">
        <v>2545</v>
      </c>
      <c r="K480" t="s">
        <v>2546</v>
      </c>
      <c r="L480" t="s">
        <v>2547</v>
      </c>
      <c r="M480" t="s">
        <v>367</v>
      </c>
      <c r="N480">
        <v>57519</v>
      </c>
      <c r="O480" t="s">
        <v>70</v>
      </c>
      <c r="Q480" t="s">
        <v>2420</v>
      </c>
      <c r="R480" t="s">
        <v>2548</v>
      </c>
      <c r="S480" t="s">
        <v>2549</v>
      </c>
      <c r="T480" s="6">
        <v>2350000000</v>
      </c>
      <c r="U480" s="45">
        <f>VLOOKUP(B480,realPrices!C:G,5,0)</f>
        <v>3256789874</v>
      </c>
      <c r="W480" t="str">
        <f t="shared" si="7"/>
        <v>SOREN EF71401</v>
      </c>
      <c r="X480">
        <f>VLOOKUP(W480,Sheet10!D:F,2,0)*10000000</f>
        <v>4650000000</v>
      </c>
      <c r="Y480" t="s">
        <v>74</v>
      </c>
    </row>
    <row r="481" spans="1:25" x14ac:dyDescent="0.25">
      <c r="A481" t="s">
        <v>2487</v>
      </c>
      <c r="B481" t="s">
        <v>2550</v>
      </c>
      <c r="C481">
        <v>575</v>
      </c>
      <c r="D481" t="s">
        <v>77</v>
      </c>
      <c r="E481" t="s">
        <v>64</v>
      </c>
      <c r="F481" t="s">
        <v>420</v>
      </c>
      <c r="G481" t="s">
        <v>2551</v>
      </c>
      <c r="H481">
        <v>5481</v>
      </c>
      <c r="I481">
        <v>1401</v>
      </c>
      <c r="J481" t="s">
        <v>2552</v>
      </c>
      <c r="K481" t="s">
        <v>2553</v>
      </c>
      <c r="L481" t="s">
        <v>2554</v>
      </c>
      <c r="M481" t="s">
        <v>367</v>
      </c>
      <c r="N481">
        <v>57519</v>
      </c>
      <c r="O481" t="s">
        <v>70</v>
      </c>
      <c r="Q481" t="s">
        <v>2420</v>
      </c>
      <c r="R481" t="s">
        <v>2555</v>
      </c>
      <c r="S481" t="s">
        <v>2556</v>
      </c>
      <c r="T481" s="6">
        <v>2350000000</v>
      </c>
      <c r="U481" s="45">
        <f>VLOOKUP(B481,realPrices!C:G,5,0)</f>
        <v>3318050000</v>
      </c>
      <c r="W481" t="str">
        <f t="shared" si="7"/>
        <v>SOREN EF71401</v>
      </c>
      <c r="X481">
        <f>VLOOKUP(W481,Sheet10!D:F,2,0)*10000000</f>
        <v>4650000000</v>
      </c>
      <c r="Y481" t="s">
        <v>74</v>
      </c>
    </row>
    <row r="482" spans="1:25" x14ac:dyDescent="0.25">
      <c r="A482" t="s">
        <v>661</v>
      </c>
      <c r="B482" t="s">
        <v>2557</v>
      </c>
      <c r="C482">
        <v>256</v>
      </c>
      <c r="D482" t="s">
        <v>178</v>
      </c>
      <c r="E482" t="s">
        <v>64</v>
      </c>
      <c r="F482" t="s">
        <v>362</v>
      </c>
      <c r="G482" t="s">
        <v>363</v>
      </c>
      <c r="H482">
        <v>7</v>
      </c>
      <c r="I482">
        <v>1399</v>
      </c>
      <c r="J482" t="s">
        <v>2558</v>
      </c>
      <c r="K482" t="s">
        <v>2559</v>
      </c>
      <c r="L482" t="s">
        <v>2560</v>
      </c>
      <c r="M482" t="s">
        <v>140</v>
      </c>
      <c r="N482">
        <v>25637</v>
      </c>
      <c r="O482" t="s">
        <v>70</v>
      </c>
      <c r="Q482" t="s">
        <v>666</v>
      </c>
      <c r="R482" t="s">
        <v>2561</v>
      </c>
      <c r="S482" t="s">
        <v>2562</v>
      </c>
      <c r="T482" s="6">
        <v>2350000000</v>
      </c>
      <c r="U482" s="45">
        <f>VLOOKUP(B482,realPrices!C:G,5,0)</f>
        <v>3626777777</v>
      </c>
      <c r="W482" t="str">
        <f t="shared" si="7"/>
        <v>405 GLX XU71399</v>
      </c>
      <c r="X482">
        <f>VLOOKUP(W482,Sheet10!D:F,2,0)*10000000</f>
        <v>4200000000</v>
      </c>
      <c r="Y482" t="s">
        <v>114</v>
      </c>
    </row>
    <row r="483" spans="1:25" x14ac:dyDescent="0.25">
      <c r="A483" t="s">
        <v>1418</v>
      </c>
      <c r="B483" t="s">
        <v>2563</v>
      </c>
      <c r="C483">
        <v>351</v>
      </c>
      <c r="D483" t="s">
        <v>63</v>
      </c>
      <c r="E483" t="s">
        <v>64</v>
      </c>
      <c r="F483" t="s">
        <v>491</v>
      </c>
      <c r="H483">
        <v>26</v>
      </c>
      <c r="I483">
        <v>1401</v>
      </c>
      <c r="J483" t="s">
        <v>2564</v>
      </c>
      <c r="K483" t="s">
        <v>2565</v>
      </c>
      <c r="M483" t="s">
        <v>400</v>
      </c>
      <c r="N483">
        <v>35101</v>
      </c>
      <c r="O483" t="s">
        <v>70</v>
      </c>
      <c r="Q483" t="s">
        <v>401</v>
      </c>
      <c r="R483" t="s">
        <v>2566</v>
      </c>
      <c r="S483" t="s">
        <v>2567</v>
      </c>
      <c r="T483" s="6">
        <v>2350000000</v>
      </c>
      <c r="U483" s="45">
        <f>VLOOKUP(B483,realPrices!C:G,5,0)</f>
        <v>2949999999</v>
      </c>
      <c r="W483" t="str">
        <f t="shared" si="7"/>
        <v>PARS XU7 P1401</v>
      </c>
      <c r="X483">
        <f>VLOOKUP(W483,Sheet10!D:F,2,0)*10000000</f>
        <v>4500000000</v>
      </c>
      <c r="Y483" t="s">
        <v>74</v>
      </c>
    </row>
    <row r="484" spans="1:25" x14ac:dyDescent="0.25">
      <c r="A484" t="s">
        <v>2568</v>
      </c>
      <c r="B484" t="s">
        <v>2569</v>
      </c>
      <c r="C484">
        <v>351</v>
      </c>
      <c r="D484" t="s">
        <v>63</v>
      </c>
      <c r="E484" t="s">
        <v>64</v>
      </c>
      <c r="F484" t="s">
        <v>2436</v>
      </c>
      <c r="H484">
        <v>30</v>
      </c>
      <c r="I484">
        <v>1401</v>
      </c>
      <c r="J484" t="s">
        <v>2570</v>
      </c>
      <c r="K484" t="s">
        <v>2571</v>
      </c>
      <c r="M484" t="s">
        <v>400</v>
      </c>
      <c r="N484">
        <v>35103</v>
      </c>
      <c r="O484" t="s">
        <v>70</v>
      </c>
      <c r="Q484" t="s">
        <v>2572</v>
      </c>
      <c r="R484" t="s">
        <v>2573</v>
      </c>
      <c r="S484" t="s">
        <v>2574</v>
      </c>
      <c r="T484" s="6">
        <v>2350000000</v>
      </c>
      <c r="U484" s="45">
        <f>VLOOKUP(B484,realPrices!C:G,5,0)</f>
        <v>3000100000</v>
      </c>
      <c r="W484" t="str">
        <f t="shared" si="7"/>
        <v>PARS XU7 P1401</v>
      </c>
      <c r="X484">
        <f>VLOOKUP(W484,Sheet10!D:F,2,0)*10000000</f>
        <v>4500000000</v>
      </c>
      <c r="Y484" t="s">
        <v>74</v>
      </c>
    </row>
    <row r="485" spans="1:25" x14ac:dyDescent="0.25">
      <c r="A485" t="s">
        <v>2568</v>
      </c>
      <c r="B485" t="s">
        <v>2575</v>
      </c>
      <c r="C485">
        <v>351</v>
      </c>
      <c r="D485" t="s">
        <v>63</v>
      </c>
      <c r="E485" t="s">
        <v>64</v>
      </c>
      <c r="F485" t="s">
        <v>420</v>
      </c>
      <c r="H485">
        <v>28</v>
      </c>
      <c r="I485">
        <v>1401</v>
      </c>
      <c r="J485" t="s">
        <v>2576</v>
      </c>
      <c r="K485" t="s">
        <v>2577</v>
      </c>
      <c r="M485" t="s">
        <v>400</v>
      </c>
      <c r="N485">
        <v>35103</v>
      </c>
      <c r="O485" t="s">
        <v>70</v>
      </c>
      <c r="Q485" t="s">
        <v>2572</v>
      </c>
      <c r="R485" t="s">
        <v>2578</v>
      </c>
      <c r="S485" t="s">
        <v>2579</v>
      </c>
      <c r="T485" s="6">
        <v>2350000000</v>
      </c>
      <c r="U485" s="45">
        <f>VLOOKUP(B485,realPrices!C:G,5,0)</f>
        <v>2981111111</v>
      </c>
      <c r="W485" t="str">
        <f t="shared" si="7"/>
        <v>PARS XU7 P1401</v>
      </c>
      <c r="X485">
        <f>VLOOKUP(W485,Sheet10!D:F,2,0)*10000000</f>
        <v>4500000000</v>
      </c>
      <c r="Y485" t="s">
        <v>74</v>
      </c>
    </row>
    <row r="486" spans="1:25" x14ac:dyDescent="0.25">
      <c r="A486" t="s">
        <v>1418</v>
      </c>
      <c r="B486" t="s">
        <v>2580</v>
      </c>
      <c r="C486">
        <v>351</v>
      </c>
      <c r="D486" t="s">
        <v>63</v>
      </c>
      <c r="E486" t="s">
        <v>64</v>
      </c>
      <c r="F486" t="s">
        <v>420</v>
      </c>
      <c r="H486">
        <v>87</v>
      </c>
      <c r="I486">
        <v>1401</v>
      </c>
      <c r="J486" t="s">
        <v>2581</v>
      </c>
      <c r="K486" t="s">
        <v>2582</v>
      </c>
      <c r="M486" t="s">
        <v>400</v>
      </c>
      <c r="N486">
        <v>35101</v>
      </c>
      <c r="O486" t="s">
        <v>70</v>
      </c>
      <c r="Q486" t="s">
        <v>401</v>
      </c>
      <c r="R486" t="s">
        <v>2583</v>
      </c>
      <c r="S486" t="s">
        <v>2584</v>
      </c>
      <c r="T486" s="6">
        <v>2350000000</v>
      </c>
      <c r="U486" s="45">
        <f>VLOOKUP(B486,realPrices!C:G,5,0)</f>
        <v>3035000000</v>
      </c>
      <c r="W486" t="str">
        <f t="shared" si="7"/>
        <v>PARS XU7 P1401</v>
      </c>
      <c r="X486">
        <f>VLOOKUP(W486,Sheet10!D:F,2,0)*10000000</f>
        <v>4500000000</v>
      </c>
      <c r="Y486" t="s">
        <v>74</v>
      </c>
    </row>
    <row r="487" spans="1:25" x14ac:dyDescent="0.25">
      <c r="A487" t="s">
        <v>2476</v>
      </c>
      <c r="B487" t="s">
        <v>2585</v>
      </c>
      <c r="C487">
        <v>575</v>
      </c>
      <c r="D487" t="s">
        <v>63</v>
      </c>
      <c r="E487" t="s">
        <v>64</v>
      </c>
      <c r="F487" t="s">
        <v>2436</v>
      </c>
      <c r="H487">
        <v>3603</v>
      </c>
      <c r="I487">
        <v>1401</v>
      </c>
      <c r="J487" t="s">
        <v>2586</v>
      </c>
      <c r="K487" t="s">
        <v>2587</v>
      </c>
      <c r="M487" t="s">
        <v>367</v>
      </c>
      <c r="N487">
        <v>57519</v>
      </c>
      <c r="O487" t="s">
        <v>70</v>
      </c>
      <c r="Q487" t="s">
        <v>2420</v>
      </c>
      <c r="R487" t="s">
        <v>2588</v>
      </c>
      <c r="S487" t="s">
        <v>2589</v>
      </c>
      <c r="T487" s="6">
        <v>2350000000</v>
      </c>
      <c r="U487" s="45">
        <f>VLOOKUP(B487,realPrices!C:G,5,0)</f>
        <v>2644400001</v>
      </c>
      <c r="W487" t="str">
        <f t="shared" si="7"/>
        <v>SOREN EF71401</v>
      </c>
      <c r="X487">
        <f>VLOOKUP(W487,Sheet10!D:F,2,0)*10000000</f>
        <v>4650000000</v>
      </c>
      <c r="Y487" t="s">
        <v>74</v>
      </c>
    </row>
    <row r="488" spans="1:25" x14ac:dyDescent="0.25">
      <c r="A488" t="s">
        <v>325</v>
      </c>
      <c r="B488" t="s">
        <v>2590</v>
      </c>
      <c r="C488">
        <v>260</v>
      </c>
      <c r="D488" t="s">
        <v>63</v>
      </c>
      <c r="E488" t="s">
        <v>64</v>
      </c>
      <c r="F488" t="s">
        <v>362</v>
      </c>
      <c r="H488">
        <v>3062</v>
      </c>
      <c r="I488">
        <v>1400</v>
      </c>
      <c r="J488" t="s">
        <v>2591</v>
      </c>
      <c r="K488" t="s">
        <v>2592</v>
      </c>
      <c r="M488" t="s">
        <v>329</v>
      </c>
      <c r="N488">
        <v>26031</v>
      </c>
      <c r="O488" t="s">
        <v>303</v>
      </c>
      <c r="Q488" t="s">
        <v>330</v>
      </c>
      <c r="R488" t="s">
        <v>2593</v>
      </c>
      <c r="S488" t="s">
        <v>2594</v>
      </c>
      <c r="T488" s="6">
        <v>2350000000</v>
      </c>
      <c r="U488" s="45">
        <f>VLOOKUP(B488,realPrices!C:G,5,0)</f>
        <v>3080111111</v>
      </c>
      <c r="W488" t="str">
        <f t="shared" si="7"/>
        <v>206TU31400</v>
      </c>
      <c r="X488" t="e">
        <f>VLOOKUP(W488,Sheet10!D:F,2,0)*10000000</f>
        <v>#N/A</v>
      </c>
      <c r="Y488" t="s">
        <v>74</v>
      </c>
    </row>
    <row r="489" spans="1:25" x14ac:dyDescent="0.25">
      <c r="A489" t="s">
        <v>2476</v>
      </c>
      <c r="B489" t="s">
        <v>2595</v>
      </c>
      <c r="C489">
        <v>575</v>
      </c>
      <c r="D489" t="s">
        <v>63</v>
      </c>
      <c r="E489" t="s">
        <v>64</v>
      </c>
      <c r="F489" t="s">
        <v>2596</v>
      </c>
      <c r="G489" t="s">
        <v>2597</v>
      </c>
      <c r="H489">
        <v>5500</v>
      </c>
      <c r="I489">
        <v>1400</v>
      </c>
      <c r="J489" t="s">
        <v>2598</v>
      </c>
      <c r="K489" t="s">
        <v>2599</v>
      </c>
      <c r="L489" t="s">
        <v>2600</v>
      </c>
      <c r="M489" t="s">
        <v>367</v>
      </c>
      <c r="N489">
        <v>57519</v>
      </c>
      <c r="O489" t="s">
        <v>70</v>
      </c>
      <c r="Q489" t="s">
        <v>2420</v>
      </c>
      <c r="R489" t="s">
        <v>2601</v>
      </c>
      <c r="S489" t="s">
        <v>2602</v>
      </c>
      <c r="T489" s="6">
        <v>2370000000</v>
      </c>
      <c r="U489" s="45">
        <f>VLOOKUP(B489,realPrices!C:G,5,0)</f>
        <v>3081000000</v>
      </c>
      <c r="W489" t="str">
        <f t="shared" si="7"/>
        <v>SOREN EF71400</v>
      </c>
      <c r="X489">
        <f>VLOOKUP(W489,Sheet10!D:F,2,0)*10000000</f>
        <v>4350000000</v>
      </c>
      <c r="Y489" t="s">
        <v>74</v>
      </c>
    </row>
    <row r="490" spans="1:25" x14ac:dyDescent="0.25">
      <c r="A490" t="s">
        <v>316</v>
      </c>
      <c r="B490" t="s">
        <v>2603</v>
      </c>
      <c r="C490">
        <v>610</v>
      </c>
      <c r="D490" t="s">
        <v>63</v>
      </c>
      <c r="E490" t="s">
        <v>64</v>
      </c>
      <c r="F490" t="s">
        <v>491</v>
      </c>
      <c r="H490">
        <v>43</v>
      </c>
      <c r="I490">
        <v>1401</v>
      </c>
      <c r="J490" t="s">
        <v>2604</v>
      </c>
      <c r="K490" t="s">
        <v>2605</v>
      </c>
      <c r="M490" t="s">
        <v>321</v>
      </c>
      <c r="N490">
        <v>61015</v>
      </c>
      <c r="O490" t="s">
        <v>70</v>
      </c>
      <c r="Q490" t="s">
        <v>322</v>
      </c>
      <c r="R490" t="s">
        <v>2606</v>
      </c>
      <c r="S490" t="s">
        <v>2607</v>
      </c>
      <c r="T490" s="6">
        <v>2370000000</v>
      </c>
      <c r="U490" s="45">
        <f>VLOOKUP(B490,realPrices!C:G,5,0)</f>
        <v>2956666666</v>
      </c>
      <c r="W490" t="str">
        <f t="shared" si="7"/>
        <v>TU51401</v>
      </c>
      <c r="X490">
        <f>VLOOKUP(W490,Sheet10!D:F,2,0)*10000000</f>
        <v>4450000000</v>
      </c>
      <c r="Y490" t="s">
        <v>74</v>
      </c>
    </row>
    <row r="491" spans="1:25" x14ac:dyDescent="0.25">
      <c r="A491" t="s">
        <v>316</v>
      </c>
      <c r="B491" t="s">
        <v>2608</v>
      </c>
      <c r="C491">
        <v>610</v>
      </c>
      <c r="D491" t="s">
        <v>63</v>
      </c>
      <c r="E491" t="s">
        <v>64</v>
      </c>
      <c r="F491" t="s">
        <v>362</v>
      </c>
      <c r="H491">
        <v>63</v>
      </c>
      <c r="I491">
        <v>1400</v>
      </c>
      <c r="J491" t="s">
        <v>2609</v>
      </c>
      <c r="K491" t="s">
        <v>2610</v>
      </c>
      <c r="M491" t="s">
        <v>321</v>
      </c>
      <c r="N491">
        <v>61015</v>
      </c>
      <c r="O491" t="s">
        <v>70</v>
      </c>
      <c r="Q491" t="s">
        <v>322</v>
      </c>
      <c r="R491" t="s">
        <v>2611</v>
      </c>
      <c r="S491" t="s">
        <v>2612</v>
      </c>
      <c r="T491" s="6">
        <v>2370000000</v>
      </c>
      <c r="U491" s="45">
        <f>VLOOKUP(B491,realPrices!C:G,5,0)</f>
        <v>2920089400</v>
      </c>
      <c r="W491" t="str">
        <f t="shared" si="7"/>
        <v>TU51400</v>
      </c>
      <c r="X491" t="e">
        <f>VLOOKUP(W491,Sheet10!D:F,2,0)*10000000</f>
        <v>#N/A</v>
      </c>
      <c r="Y491" t="s">
        <v>74</v>
      </c>
    </row>
    <row r="492" spans="1:25" x14ac:dyDescent="0.25">
      <c r="A492" t="s">
        <v>316</v>
      </c>
      <c r="B492" t="s">
        <v>2613</v>
      </c>
      <c r="C492">
        <v>610</v>
      </c>
      <c r="D492" t="s">
        <v>63</v>
      </c>
      <c r="E492" t="s">
        <v>64</v>
      </c>
      <c r="F492" t="s">
        <v>362</v>
      </c>
      <c r="H492">
        <v>88</v>
      </c>
      <c r="I492">
        <v>1400</v>
      </c>
      <c r="J492" t="s">
        <v>2614</v>
      </c>
      <c r="K492" t="s">
        <v>2615</v>
      </c>
      <c r="M492" t="s">
        <v>321</v>
      </c>
      <c r="N492">
        <v>61015</v>
      </c>
      <c r="O492" t="s">
        <v>70</v>
      </c>
      <c r="Q492" t="s">
        <v>322</v>
      </c>
      <c r="R492" t="s">
        <v>2616</v>
      </c>
      <c r="S492" t="s">
        <v>2617</v>
      </c>
      <c r="T492" s="6">
        <v>2380000000</v>
      </c>
      <c r="U492" s="45">
        <f>VLOOKUP(B492,realPrices!C:G,5,0)</f>
        <v>2959999999</v>
      </c>
      <c r="W492" t="str">
        <f t="shared" si="7"/>
        <v>TU51400</v>
      </c>
      <c r="X492" t="e">
        <f>VLOOKUP(W492,Sheet10!D:F,2,0)*10000000</f>
        <v>#N/A</v>
      </c>
      <c r="Y492" t="s">
        <v>74</v>
      </c>
    </row>
    <row r="493" spans="1:25" x14ac:dyDescent="0.25">
      <c r="A493" t="s">
        <v>2189</v>
      </c>
      <c r="B493" t="s">
        <v>2618</v>
      </c>
      <c r="C493">
        <v>282</v>
      </c>
      <c r="D493" t="s">
        <v>240</v>
      </c>
      <c r="E493" t="s">
        <v>64</v>
      </c>
      <c r="F493" t="s">
        <v>420</v>
      </c>
      <c r="G493" t="s">
        <v>623</v>
      </c>
      <c r="H493">
        <v>14</v>
      </c>
      <c r="I493">
        <v>1401</v>
      </c>
      <c r="J493" t="s">
        <v>2619</v>
      </c>
      <c r="K493" t="s">
        <v>2620</v>
      </c>
      <c r="L493" t="s">
        <v>2621</v>
      </c>
      <c r="M493" t="s">
        <v>312</v>
      </c>
      <c r="N493">
        <v>28242</v>
      </c>
      <c r="O493" t="s">
        <v>70</v>
      </c>
      <c r="Q493" t="s">
        <v>2195</v>
      </c>
      <c r="R493" t="s">
        <v>2622</v>
      </c>
      <c r="S493" t="s">
        <v>2623</v>
      </c>
      <c r="T493" s="6">
        <v>2400000000</v>
      </c>
      <c r="U493" s="45">
        <f>VLOOKUP(B493,realPrices!C:G,5,0)</f>
        <v>3131000000</v>
      </c>
      <c r="W493" t="str">
        <f t="shared" si="7"/>
        <v>PARS XU71401</v>
      </c>
      <c r="X493" t="e">
        <f>VLOOKUP(W493,Sheet10!D:F,2,0)*10000000</f>
        <v>#N/A</v>
      </c>
      <c r="Y493" t="s">
        <v>74</v>
      </c>
    </row>
    <row r="494" spans="1:25" x14ac:dyDescent="0.25">
      <c r="A494" t="s">
        <v>2502</v>
      </c>
      <c r="B494" t="s">
        <v>2624</v>
      </c>
      <c r="C494">
        <v>256</v>
      </c>
      <c r="D494" t="s">
        <v>2461</v>
      </c>
      <c r="E494" t="s">
        <v>64</v>
      </c>
      <c r="F494" t="s">
        <v>362</v>
      </c>
      <c r="G494" t="s">
        <v>363</v>
      </c>
      <c r="H494">
        <v>12</v>
      </c>
      <c r="I494">
        <v>1399</v>
      </c>
      <c r="J494" t="s">
        <v>2625</v>
      </c>
      <c r="K494" t="s">
        <v>2626</v>
      </c>
      <c r="L494" t="s">
        <v>2627</v>
      </c>
      <c r="M494" t="s">
        <v>140</v>
      </c>
      <c r="N494">
        <v>25637</v>
      </c>
      <c r="O494" t="s">
        <v>70</v>
      </c>
      <c r="Q494" t="s">
        <v>666</v>
      </c>
      <c r="R494" t="s">
        <v>2628</v>
      </c>
      <c r="S494" t="s">
        <v>2629</v>
      </c>
      <c r="T494" s="6">
        <v>2400000000</v>
      </c>
      <c r="U494" s="45">
        <f>VLOOKUP(B494,realPrices!C:G,5,0)</f>
        <v>3749000000</v>
      </c>
      <c r="W494" t="str">
        <f t="shared" si="7"/>
        <v>405 GLX XU71399</v>
      </c>
      <c r="X494">
        <f>VLOOKUP(W494,Sheet10!D:F,2,0)*10000000</f>
        <v>4200000000</v>
      </c>
      <c r="Y494" t="s">
        <v>114</v>
      </c>
    </row>
    <row r="495" spans="1:25" x14ac:dyDescent="0.25">
      <c r="A495" t="s">
        <v>2476</v>
      </c>
      <c r="B495" t="s">
        <v>2630</v>
      </c>
      <c r="C495">
        <v>575</v>
      </c>
      <c r="D495" t="s">
        <v>63</v>
      </c>
      <c r="E495" t="s">
        <v>64</v>
      </c>
      <c r="F495" t="s">
        <v>362</v>
      </c>
      <c r="H495">
        <v>23</v>
      </c>
      <c r="I495">
        <v>1400</v>
      </c>
      <c r="J495" t="s">
        <v>2631</v>
      </c>
      <c r="K495" t="s">
        <v>2632</v>
      </c>
      <c r="M495" t="s">
        <v>367</v>
      </c>
      <c r="N495">
        <v>57519</v>
      </c>
      <c r="O495" t="s">
        <v>70</v>
      </c>
      <c r="Q495" t="s">
        <v>2420</v>
      </c>
      <c r="R495" t="s">
        <v>2633</v>
      </c>
      <c r="S495" t="s">
        <v>2634</v>
      </c>
      <c r="T495" s="6">
        <v>2400000000</v>
      </c>
      <c r="U495" s="45">
        <f>VLOOKUP(B495,realPrices!C:G,5,0)</f>
        <v>2961000000</v>
      </c>
      <c r="W495" t="str">
        <f t="shared" si="7"/>
        <v>SOREN EF71400</v>
      </c>
      <c r="X495">
        <f>VLOOKUP(W495,Sheet10!D:F,2,0)*10000000</f>
        <v>4350000000</v>
      </c>
      <c r="Y495" t="s">
        <v>74</v>
      </c>
    </row>
    <row r="496" spans="1:25" x14ac:dyDescent="0.25">
      <c r="A496" t="s">
        <v>1418</v>
      </c>
      <c r="B496" t="s">
        <v>2635</v>
      </c>
      <c r="C496">
        <v>351</v>
      </c>
      <c r="D496" t="s">
        <v>63</v>
      </c>
      <c r="E496" t="s">
        <v>64</v>
      </c>
      <c r="F496" t="s">
        <v>420</v>
      </c>
      <c r="H496">
        <v>32</v>
      </c>
      <c r="I496">
        <v>1401</v>
      </c>
      <c r="J496" t="s">
        <v>2636</v>
      </c>
      <c r="K496" t="s">
        <v>2637</v>
      </c>
      <c r="M496" t="s">
        <v>400</v>
      </c>
      <c r="N496">
        <v>35101</v>
      </c>
      <c r="O496" t="s">
        <v>70</v>
      </c>
      <c r="Q496" t="s">
        <v>401</v>
      </c>
      <c r="R496" t="s">
        <v>2638</v>
      </c>
      <c r="S496" t="s">
        <v>2639</v>
      </c>
      <c r="T496" s="6">
        <v>2400000000</v>
      </c>
      <c r="U496" s="45">
        <f>VLOOKUP(B496,realPrices!C:G,5,0)</f>
        <v>2936899999</v>
      </c>
      <c r="W496" t="str">
        <f t="shared" si="7"/>
        <v>PARS XU7 P1401</v>
      </c>
      <c r="X496">
        <f>VLOOKUP(W496,Sheet10!D:F,2,0)*10000000</f>
        <v>4500000000</v>
      </c>
      <c r="Y496" t="s">
        <v>74</v>
      </c>
    </row>
    <row r="497" spans="1:25" x14ac:dyDescent="0.25">
      <c r="A497" t="s">
        <v>2476</v>
      </c>
      <c r="B497" t="s">
        <v>2640</v>
      </c>
      <c r="C497">
        <v>575</v>
      </c>
      <c r="D497" t="s">
        <v>63</v>
      </c>
      <c r="E497" t="s">
        <v>64</v>
      </c>
      <c r="F497" t="s">
        <v>362</v>
      </c>
      <c r="H497">
        <v>30</v>
      </c>
      <c r="I497">
        <v>1400</v>
      </c>
      <c r="J497" t="s">
        <v>2641</v>
      </c>
      <c r="K497" t="s">
        <v>2632</v>
      </c>
      <c r="M497" t="s">
        <v>367</v>
      </c>
      <c r="N497">
        <v>57519</v>
      </c>
      <c r="O497" t="s">
        <v>70</v>
      </c>
      <c r="Q497" t="s">
        <v>2420</v>
      </c>
      <c r="R497" t="s">
        <v>2642</v>
      </c>
      <c r="S497" t="s">
        <v>2643</v>
      </c>
      <c r="T497" s="6">
        <v>2400000000</v>
      </c>
      <c r="U497" s="45">
        <f>VLOOKUP(B497,realPrices!C:G,5,0)</f>
        <v>3265500000</v>
      </c>
      <c r="W497" t="str">
        <f t="shared" si="7"/>
        <v>SOREN EF71400</v>
      </c>
      <c r="X497">
        <f>VLOOKUP(W497,Sheet10!D:F,2,0)*10000000</f>
        <v>4350000000</v>
      </c>
      <c r="Y497" t="s">
        <v>74</v>
      </c>
    </row>
    <row r="498" spans="1:25" x14ac:dyDescent="0.25">
      <c r="A498" t="s">
        <v>2644</v>
      </c>
      <c r="B498" t="s">
        <v>2645</v>
      </c>
      <c r="C498">
        <v>575</v>
      </c>
      <c r="D498" t="s">
        <v>259</v>
      </c>
      <c r="E498" t="s">
        <v>64</v>
      </c>
      <c r="F498" t="s">
        <v>362</v>
      </c>
      <c r="H498">
        <v>28</v>
      </c>
      <c r="I498">
        <v>1400</v>
      </c>
      <c r="J498" t="s">
        <v>2646</v>
      </c>
      <c r="K498" t="s">
        <v>2647</v>
      </c>
      <c r="M498" t="s">
        <v>367</v>
      </c>
      <c r="N498">
        <v>57523</v>
      </c>
      <c r="O498" t="s">
        <v>70</v>
      </c>
      <c r="Q498" t="s">
        <v>2648</v>
      </c>
      <c r="R498" t="s">
        <v>2649</v>
      </c>
      <c r="S498" t="s">
        <v>2650</v>
      </c>
      <c r="T498" s="6">
        <v>2400000000</v>
      </c>
      <c r="U498" s="45">
        <f>VLOOKUP(B498,realPrices!C:G,5,0)</f>
        <v>3299999999</v>
      </c>
      <c r="W498" t="str">
        <f t="shared" si="7"/>
        <v>SOREN EF71400</v>
      </c>
      <c r="X498">
        <f>VLOOKUP(W498,Sheet10!D:F,2,0)*10000000</f>
        <v>4350000000</v>
      </c>
      <c r="Y498" t="s">
        <v>74</v>
      </c>
    </row>
    <row r="499" spans="1:25" x14ac:dyDescent="0.25">
      <c r="A499" t="s">
        <v>396</v>
      </c>
      <c r="B499" t="s">
        <v>2651</v>
      </c>
      <c r="C499">
        <v>351</v>
      </c>
      <c r="D499" t="s">
        <v>259</v>
      </c>
      <c r="E499" t="s">
        <v>64</v>
      </c>
      <c r="F499" t="s">
        <v>491</v>
      </c>
      <c r="H499">
        <v>28</v>
      </c>
      <c r="I499">
        <v>1401</v>
      </c>
      <c r="J499" t="s">
        <v>2652</v>
      </c>
      <c r="K499" t="s">
        <v>2653</v>
      </c>
      <c r="M499" t="s">
        <v>400</v>
      </c>
      <c r="N499">
        <v>35101</v>
      </c>
      <c r="O499" t="s">
        <v>70</v>
      </c>
      <c r="Q499" t="s">
        <v>401</v>
      </c>
      <c r="R499" t="s">
        <v>2654</v>
      </c>
      <c r="S499" t="s">
        <v>2655</v>
      </c>
      <c r="T499" s="6">
        <v>2400000000</v>
      </c>
      <c r="U499" s="45">
        <f>VLOOKUP(B499,realPrices!C:G,5,0)</f>
        <v>3171111111</v>
      </c>
      <c r="W499" t="str">
        <f t="shared" si="7"/>
        <v>PARS XU7 P1401</v>
      </c>
      <c r="X499">
        <f>VLOOKUP(W499,Sheet10!D:F,2,0)*10000000</f>
        <v>4500000000</v>
      </c>
      <c r="Y499" t="s">
        <v>74</v>
      </c>
    </row>
    <row r="500" spans="1:25" x14ac:dyDescent="0.25">
      <c r="A500" t="s">
        <v>2476</v>
      </c>
      <c r="B500" t="s">
        <v>2656</v>
      </c>
      <c r="C500">
        <v>575</v>
      </c>
      <c r="D500" t="s">
        <v>63</v>
      </c>
      <c r="E500" t="s">
        <v>64</v>
      </c>
      <c r="F500" t="s">
        <v>362</v>
      </c>
      <c r="H500">
        <v>30</v>
      </c>
      <c r="I500">
        <v>1400</v>
      </c>
      <c r="J500" t="s">
        <v>2657</v>
      </c>
      <c r="K500" t="s">
        <v>2658</v>
      </c>
      <c r="M500" t="s">
        <v>367</v>
      </c>
      <c r="N500">
        <v>57519</v>
      </c>
      <c r="O500" t="s">
        <v>70</v>
      </c>
      <c r="Q500" t="s">
        <v>2420</v>
      </c>
      <c r="R500" t="s">
        <v>2659</v>
      </c>
      <c r="S500" t="s">
        <v>2660</v>
      </c>
      <c r="T500" s="6">
        <v>2400000000</v>
      </c>
      <c r="U500" s="45">
        <f>VLOOKUP(B500,realPrices!C:G,5,0)</f>
        <v>3077700000</v>
      </c>
      <c r="W500" t="str">
        <f t="shared" si="7"/>
        <v>SOREN EF71400</v>
      </c>
      <c r="X500">
        <f>VLOOKUP(W500,Sheet10!D:F,2,0)*10000000</f>
        <v>4350000000</v>
      </c>
      <c r="Y500" t="s">
        <v>74</v>
      </c>
    </row>
    <row r="501" spans="1:25" x14ac:dyDescent="0.25">
      <c r="A501" t="s">
        <v>2416</v>
      </c>
      <c r="B501" t="s">
        <v>2661</v>
      </c>
      <c r="C501">
        <v>575</v>
      </c>
      <c r="D501" t="s">
        <v>259</v>
      </c>
      <c r="E501" t="s">
        <v>64</v>
      </c>
      <c r="F501" t="s">
        <v>491</v>
      </c>
      <c r="H501">
        <v>46</v>
      </c>
      <c r="I501">
        <v>1401</v>
      </c>
      <c r="J501" t="s">
        <v>2662</v>
      </c>
      <c r="K501" t="s">
        <v>2663</v>
      </c>
      <c r="M501" t="s">
        <v>367</v>
      </c>
      <c r="N501">
        <v>57519</v>
      </c>
      <c r="O501" t="s">
        <v>70</v>
      </c>
      <c r="Q501" t="s">
        <v>2420</v>
      </c>
      <c r="R501" t="s">
        <v>2664</v>
      </c>
      <c r="S501" t="s">
        <v>2665</v>
      </c>
      <c r="T501" s="6">
        <v>2400000000</v>
      </c>
      <c r="U501" s="45">
        <f>VLOOKUP(B501,realPrices!C:G,5,0)</f>
        <v>2867799999</v>
      </c>
      <c r="W501" t="str">
        <f t="shared" si="7"/>
        <v>SOREN EF71401</v>
      </c>
      <c r="X501">
        <f>VLOOKUP(W501,Sheet10!D:F,2,0)*10000000</f>
        <v>4650000000</v>
      </c>
      <c r="Y501" t="s">
        <v>74</v>
      </c>
    </row>
    <row r="502" spans="1:25" x14ac:dyDescent="0.25">
      <c r="A502" t="s">
        <v>2476</v>
      </c>
      <c r="B502" t="s">
        <v>2666</v>
      </c>
      <c r="C502">
        <v>575</v>
      </c>
      <c r="D502" t="s">
        <v>63</v>
      </c>
      <c r="E502" t="s">
        <v>64</v>
      </c>
      <c r="F502" t="s">
        <v>491</v>
      </c>
      <c r="H502">
        <v>5298</v>
      </c>
      <c r="I502">
        <v>1400</v>
      </c>
      <c r="J502" t="s">
        <v>2667</v>
      </c>
      <c r="K502" t="s">
        <v>2668</v>
      </c>
      <c r="M502" t="s">
        <v>367</v>
      </c>
      <c r="N502">
        <v>57519</v>
      </c>
      <c r="O502" t="s">
        <v>70</v>
      </c>
      <c r="Q502" t="s">
        <v>2420</v>
      </c>
      <c r="R502" t="s">
        <v>2669</v>
      </c>
      <c r="S502" t="s">
        <v>2670</v>
      </c>
      <c r="T502" s="6">
        <v>2400000000</v>
      </c>
      <c r="U502" s="45">
        <f>VLOOKUP(B502,realPrices!C:G,5,0)</f>
        <v>2577777777</v>
      </c>
      <c r="W502" t="str">
        <f t="shared" si="7"/>
        <v>SOREN EF71400</v>
      </c>
      <c r="X502">
        <f>VLOOKUP(W502,Sheet10!D:F,2,0)*10000000</f>
        <v>4350000000</v>
      </c>
      <c r="Y502" t="s">
        <v>74</v>
      </c>
    </row>
    <row r="503" spans="1:25" x14ac:dyDescent="0.25">
      <c r="A503" t="s">
        <v>2476</v>
      </c>
      <c r="B503" t="s">
        <v>2671</v>
      </c>
      <c r="C503">
        <v>575</v>
      </c>
      <c r="D503" t="s">
        <v>63</v>
      </c>
      <c r="E503" t="s">
        <v>64</v>
      </c>
      <c r="F503" t="s">
        <v>491</v>
      </c>
      <c r="H503">
        <v>732</v>
      </c>
      <c r="I503">
        <v>1401</v>
      </c>
      <c r="J503" t="s">
        <v>2672</v>
      </c>
      <c r="K503" t="s">
        <v>2673</v>
      </c>
      <c r="M503" t="s">
        <v>367</v>
      </c>
      <c r="N503">
        <v>57519</v>
      </c>
      <c r="O503" t="s">
        <v>70</v>
      </c>
      <c r="Q503" t="s">
        <v>2420</v>
      </c>
      <c r="R503" t="s">
        <v>2674</v>
      </c>
      <c r="S503" t="s">
        <v>2675</v>
      </c>
      <c r="T503" s="6">
        <v>2400000000</v>
      </c>
      <c r="U503" s="45">
        <f>VLOOKUP(B503,realPrices!C:G,5,0)</f>
        <v>3075555555</v>
      </c>
      <c r="W503" t="str">
        <f t="shared" si="7"/>
        <v>SOREN EF71401</v>
      </c>
      <c r="X503">
        <f>VLOOKUP(W503,Sheet10!D:F,2,0)*10000000</f>
        <v>4650000000</v>
      </c>
      <c r="Y503" t="s">
        <v>74</v>
      </c>
    </row>
    <row r="504" spans="1:25" x14ac:dyDescent="0.25">
      <c r="A504" t="s">
        <v>316</v>
      </c>
      <c r="B504" t="s">
        <v>2676</v>
      </c>
      <c r="C504">
        <v>610</v>
      </c>
      <c r="D504" t="s">
        <v>63</v>
      </c>
      <c r="E504" t="s">
        <v>64</v>
      </c>
      <c r="F504" t="s">
        <v>362</v>
      </c>
      <c r="H504">
        <v>1120</v>
      </c>
      <c r="I504">
        <v>1400</v>
      </c>
      <c r="J504" t="s">
        <v>2677</v>
      </c>
      <c r="K504" t="s">
        <v>2678</v>
      </c>
      <c r="M504" t="s">
        <v>321</v>
      </c>
      <c r="N504">
        <v>61015</v>
      </c>
      <c r="O504" t="s">
        <v>70</v>
      </c>
      <c r="Q504" t="s">
        <v>322</v>
      </c>
      <c r="R504" t="s">
        <v>2679</v>
      </c>
      <c r="S504" t="s">
        <v>2680</v>
      </c>
      <c r="T504" s="6">
        <v>2400000000</v>
      </c>
      <c r="U504" s="45">
        <f>VLOOKUP(B504,realPrices!C:G,5,0)</f>
        <v>2928999899</v>
      </c>
      <c r="W504" t="str">
        <f t="shared" si="7"/>
        <v>TU51400</v>
      </c>
      <c r="X504" t="e">
        <f>VLOOKUP(W504,Sheet10!D:F,2,0)*10000000</f>
        <v>#N/A</v>
      </c>
      <c r="Y504" t="s">
        <v>74</v>
      </c>
    </row>
    <row r="505" spans="1:25" x14ac:dyDescent="0.25">
      <c r="A505" t="s">
        <v>316</v>
      </c>
      <c r="B505" t="s">
        <v>2681</v>
      </c>
      <c r="C505">
        <v>610</v>
      </c>
      <c r="D505" t="s">
        <v>63</v>
      </c>
      <c r="E505" t="s">
        <v>64</v>
      </c>
      <c r="F505" t="s">
        <v>362</v>
      </c>
      <c r="H505">
        <v>113</v>
      </c>
      <c r="I505">
        <v>1400</v>
      </c>
      <c r="J505" t="s">
        <v>2682</v>
      </c>
      <c r="K505" t="s">
        <v>2683</v>
      </c>
      <c r="M505" t="s">
        <v>321</v>
      </c>
      <c r="N505">
        <v>61015</v>
      </c>
      <c r="O505" t="s">
        <v>70</v>
      </c>
      <c r="Q505" t="s">
        <v>322</v>
      </c>
      <c r="R505" t="s">
        <v>2684</v>
      </c>
      <c r="S505" t="s">
        <v>2685</v>
      </c>
      <c r="T505" s="6">
        <v>2400000000</v>
      </c>
      <c r="U505" s="45">
        <f>VLOOKUP(B505,realPrices!C:G,5,0)</f>
        <v>2988999999</v>
      </c>
      <c r="W505" t="str">
        <f t="shared" si="7"/>
        <v>TU51400</v>
      </c>
      <c r="X505" t="e">
        <f>VLOOKUP(W505,Sheet10!D:F,2,0)*10000000</f>
        <v>#N/A</v>
      </c>
      <c r="Y505" t="s">
        <v>74</v>
      </c>
    </row>
    <row r="506" spans="1:25" x14ac:dyDescent="0.25">
      <c r="A506" t="s">
        <v>1418</v>
      </c>
      <c r="B506" t="s">
        <v>2686</v>
      </c>
      <c r="C506">
        <v>351</v>
      </c>
      <c r="D506" t="s">
        <v>63</v>
      </c>
      <c r="E506" t="s">
        <v>64</v>
      </c>
      <c r="F506" t="s">
        <v>420</v>
      </c>
      <c r="H506">
        <v>17</v>
      </c>
      <c r="I506">
        <v>1401</v>
      </c>
      <c r="J506" t="s">
        <v>2687</v>
      </c>
      <c r="K506" t="s">
        <v>2688</v>
      </c>
      <c r="M506" t="s">
        <v>400</v>
      </c>
      <c r="N506">
        <v>35101</v>
      </c>
      <c r="O506" t="s">
        <v>70</v>
      </c>
      <c r="Q506" t="s">
        <v>401</v>
      </c>
      <c r="R506" t="s">
        <v>2689</v>
      </c>
      <c r="S506" t="s">
        <v>2690</v>
      </c>
      <c r="T506" s="6">
        <v>2400000000</v>
      </c>
      <c r="U506" s="45">
        <f>VLOOKUP(B506,realPrices!C:G,5,0)</f>
        <v>3110009990</v>
      </c>
      <c r="W506" t="str">
        <f t="shared" si="7"/>
        <v>PARS XU7 P1401</v>
      </c>
      <c r="X506">
        <f>VLOOKUP(W506,Sheet10!D:F,2,0)*10000000</f>
        <v>4500000000</v>
      </c>
      <c r="Y506" t="s">
        <v>74</v>
      </c>
    </row>
    <row r="507" spans="1:25" x14ac:dyDescent="0.25">
      <c r="A507" t="s">
        <v>191</v>
      </c>
      <c r="B507" t="s">
        <v>2691</v>
      </c>
      <c r="C507">
        <v>285</v>
      </c>
      <c r="D507" t="s">
        <v>63</v>
      </c>
      <c r="E507" t="s">
        <v>64</v>
      </c>
      <c r="F507" t="s">
        <v>318</v>
      </c>
      <c r="H507">
        <v>9</v>
      </c>
      <c r="I507">
        <v>1401</v>
      </c>
      <c r="J507" t="s">
        <v>2692</v>
      </c>
      <c r="K507" t="s">
        <v>2693</v>
      </c>
      <c r="M507" t="s">
        <v>198</v>
      </c>
      <c r="N507">
        <v>28520</v>
      </c>
      <c r="O507" t="s">
        <v>70</v>
      </c>
      <c r="Q507" t="s">
        <v>199</v>
      </c>
      <c r="R507" t="s">
        <v>2694</v>
      </c>
      <c r="S507" t="s">
        <v>2060</v>
      </c>
      <c r="T507" s="6">
        <v>2400000000</v>
      </c>
      <c r="U507" s="45">
        <f>VLOOKUP(B507,realPrices!C:G,5,0)</f>
        <v>3150000000</v>
      </c>
      <c r="W507" t="str">
        <f t="shared" si="7"/>
        <v>PARS TU51401</v>
      </c>
      <c r="X507">
        <f>VLOOKUP(W507,Sheet10!D:F,2,0)*10000000</f>
        <v>5250000000</v>
      </c>
      <c r="Y507" t="s">
        <v>74</v>
      </c>
    </row>
    <row r="508" spans="1:25" x14ac:dyDescent="0.25">
      <c r="A508" t="s">
        <v>1418</v>
      </c>
      <c r="B508" t="s">
        <v>2695</v>
      </c>
      <c r="C508">
        <v>351</v>
      </c>
      <c r="D508" t="s">
        <v>63</v>
      </c>
      <c r="E508" t="s">
        <v>64</v>
      </c>
      <c r="F508" t="s">
        <v>2696</v>
      </c>
      <c r="H508">
        <v>25</v>
      </c>
      <c r="I508">
        <v>1401</v>
      </c>
      <c r="J508" t="s">
        <v>2697</v>
      </c>
      <c r="K508" t="s">
        <v>2698</v>
      </c>
      <c r="M508" t="s">
        <v>400</v>
      </c>
      <c r="N508">
        <v>35101</v>
      </c>
      <c r="O508" t="s">
        <v>70</v>
      </c>
      <c r="Q508" t="s">
        <v>401</v>
      </c>
      <c r="R508" t="s">
        <v>2699</v>
      </c>
      <c r="S508" t="s">
        <v>2700</v>
      </c>
      <c r="T508" s="6">
        <v>2450000000</v>
      </c>
      <c r="U508" s="45">
        <f>VLOOKUP(B508,realPrices!C:G,5,0)</f>
        <v>3108760000</v>
      </c>
      <c r="W508" t="str">
        <f t="shared" si="7"/>
        <v>PARS XU7 P1401</v>
      </c>
      <c r="X508">
        <f>VLOOKUP(W508,Sheet10!D:F,2,0)*10000000</f>
        <v>4500000000</v>
      </c>
      <c r="Y508" t="s">
        <v>74</v>
      </c>
    </row>
    <row r="509" spans="1:25" x14ac:dyDescent="0.25">
      <c r="A509" t="s">
        <v>2476</v>
      </c>
      <c r="B509" t="s">
        <v>2701</v>
      </c>
      <c r="C509">
        <v>575</v>
      </c>
      <c r="D509" t="s">
        <v>63</v>
      </c>
      <c r="E509" t="s">
        <v>64</v>
      </c>
      <c r="F509" t="s">
        <v>491</v>
      </c>
      <c r="H509">
        <v>22</v>
      </c>
      <c r="I509">
        <v>1401</v>
      </c>
      <c r="J509" t="s">
        <v>2702</v>
      </c>
      <c r="K509" t="s">
        <v>2703</v>
      </c>
      <c r="M509" t="s">
        <v>367</v>
      </c>
      <c r="N509">
        <v>57519</v>
      </c>
      <c r="O509" t="s">
        <v>70</v>
      </c>
      <c r="Q509" t="s">
        <v>2420</v>
      </c>
      <c r="R509" t="s">
        <v>2704</v>
      </c>
      <c r="S509" t="s">
        <v>2705</v>
      </c>
      <c r="T509" s="6">
        <v>2450000000</v>
      </c>
      <c r="U509" s="45">
        <f>VLOOKUP(B509,realPrices!C:G,5,0)</f>
        <v>3112560000</v>
      </c>
      <c r="W509" t="str">
        <f t="shared" si="7"/>
        <v>SOREN EF71401</v>
      </c>
      <c r="X509">
        <f>VLOOKUP(W509,Sheet10!D:F,2,0)*10000000</f>
        <v>4650000000</v>
      </c>
      <c r="Y509" t="s">
        <v>74</v>
      </c>
    </row>
    <row r="510" spans="1:25" x14ac:dyDescent="0.25">
      <c r="A510" t="s">
        <v>2706</v>
      </c>
      <c r="B510" t="s">
        <v>2707</v>
      </c>
      <c r="C510">
        <v>351</v>
      </c>
      <c r="D510" t="s">
        <v>77</v>
      </c>
      <c r="E510" t="s">
        <v>64</v>
      </c>
      <c r="F510" t="s">
        <v>420</v>
      </c>
      <c r="H510">
        <v>19</v>
      </c>
      <c r="I510">
        <v>1401</v>
      </c>
      <c r="J510" t="s">
        <v>2708</v>
      </c>
      <c r="K510" t="s">
        <v>2709</v>
      </c>
      <c r="M510" t="s">
        <v>400</v>
      </c>
      <c r="N510">
        <v>35101</v>
      </c>
      <c r="O510" t="s">
        <v>70</v>
      </c>
      <c r="Q510" t="s">
        <v>401</v>
      </c>
      <c r="R510" t="s">
        <v>2710</v>
      </c>
      <c r="S510" t="s">
        <v>2711</v>
      </c>
      <c r="T510" s="6">
        <v>2450000000</v>
      </c>
      <c r="U510" s="45">
        <f>VLOOKUP(B510,realPrices!C:G,5,0)</f>
        <v>2955000000</v>
      </c>
      <c r="W510" t="str">
        <f t="shared" si="7"/>
        <v>PARS XU7 P1401</v>
      </c>
      <c r="X510">
        <f>VLOOKUP(W510,Sheet10!D:F,2,0)*10000000</f>
        <v>4500000000</v>
      </c>
      <c r="Y510" t="s">
        <v>74</v>
      </c>
    </row>
    <row r="511" spans="1:25" x14ac:dyDescent="0.25">
      <c r="A511" t="s">
        <v>316</v>
      </c>
      <c r="B511" t="s">
        <v>2712</v>
      </c>
      <c r="C511">
        <v>610</v>
      </c>
      <c r="D511" t="s">
        <v>63</v>
      </c>
      <c r="E511" t="s">
        <v>64</v>
      </c>
      <c r="F511" t="s">
        <v>491</v>
      </c>
      <c r="H511">
        <v>23</v>
      </c>
      <c r="I511">
        <v>1401</v>
      </c>
      <c r="J511" t="s">
        <v>2713</v>
      </c>
      <c r="K511" t="s">
        <v>2714</v>
      </c>
      <c r="M511" t="s">
        <v>321</v>
      </c>
      <c r="N511">
        <v>61015</v>
      </c>
      <c r="O511" t="s">
        <v>70</v>
      </c>
      <c r="Q511" t="s">
        <v>322</v>
      </c>
      <c r="R511" t="s">
        <v>2715</v>
      </c>
      <c r="S511" t="s">
        <v>2716</v>
      </c>
      <c r="T511" s="6">
        <v>2450000000</v>
      </c>
      <c r="U511" s="45">
        <f>VLOOKUP(B511,realPrices!C:G,5,0)</f>
        <v>2950000000</v>
      </c>
      <c r="W511" t="str">
        <f t="shared" si="7"/>
        <v>TU51401</v>
      </c>
      <c r="X511">
        <f>VLOOKUP(W511,Sheet10!D:F,2,0)*10000000</f>
        <v>4450000000</v>
      </c>
      <c r="Y511" t="s">
        <v>74</v>
      </c>
    </row>
    <row r="512" spans="1:25" x14ac:dyDescent="0.25">
      <c r="A512" t="s">
        <v>2706</v>
      </c>
      <c r="B512" t="s">
        <v>2717</v>
      </c>
      <c r="C512">
        <v>351</v>
      </c>
      <c r="D512" t="s">
        <v>77</v>
      </c>
      <c r="E512" t="s">
        <v>64</v>
      </c>
      <c r="F512" t="s">
        <v>420</v>
      </c>
      <c r="H512">
        <v>21</v>
      </c>
      <c r="I512">
        <v>1401</v>
      </c>
      <c r="J512" t="s">
        <v>2718</v>
      </c>
      <c r="K512" t="s">
        <v>2719</v>
      </c>
      <c r="M512" t="s">
        <v>400</v>
      </c>
      <c r="N512">
        <v>35101</v>
      </c>
      <c r="O512" t="s">
        <v>70</v>
      </c>
      <c r="Q512" t="s">
        <v>401</v>
      </c>
      <c r="R512" t="s">
        <v>2720</v>
      </c>
      <c r="S512" t="s">
        <v>2721</v>
      </c>
      <c r="T512" s="6">
        <v>2450000000</v>
      </c>
      <c r="U512" s="45">
        <f>VLOOKUP(B512,realPrices!C:G,5,0)</f>
        <v>2956800000</v>
      </c>
      <c r="W512" t="str">
        <f t="shared" si="7"/>
        <v>PARS XU7 P1401</v>
      </c>
      <c r="X512">
        <f>VLOOKUP(W512,Sheet10!D:F,2,0)*10000000</f>
        <v>4500000000</v>
      </c>
      <c r="Y512" t="s">
        <v>74</v>
      </c>
    </row>
    <row r="513" spans="1:25" x14ac:dyDescent="0.25">
      <c r="A513" t="s">
        <v>2706</v>
      </c>
      <c r="B513" t="s">
        <v>2722</v>
      </c>
      <c r="C513">
        <v>351</v>
      </c>
      <c r="D513" t="s">
        <v>77</v>
      </c>
      <c r="E513" t="s">
        <v>64</v>
      </c>
      <c r="F513" t="s">
        <v>420</v>
      </c>
      <c r="H513">
        <v>19</v>
      </c>
      <c r="I513">
        <v>1401</v>
      </c>
      <c r="J513" t="s">
        <v>2723</v>
      </c>
      <c r="K513" t="s">
        <v>2724</v>
      </c>
      <c r="M513" t="s">
        <v>400</v>
      </c>
      <c r="N513">
        <v>35101</v>
      </c>
      <c r="O513" t="s">
        <v>70</v>
      </c>
      <c r="Q513" t="s">
        <v>401</v>
      </c>
      <c r="R513" t="s">
        <v>2725</v>
      </c>
      <c r="S513" t="s">
        <v>2726</v>
      </c>
      <c r="T513" s="6">
        <v>2450000000</v>
      </c>
      <c r="U513" s="45">
        <f>VLOOKUP(B513,realPrices!C:G,5,0)</f>
        <v>3109999999</v>
      </c>
      <c r="W513" t="str">
        <f t="shared" si="7"/>
        <v>PARS XU7 P1401</v>
      </c>
      <c r="X513">
        <f>VLOOKUP(W513,Sheet10!D:F,2,0)*10000000</f>
        <v>4500000000</v>
      </c>
      <c r="Y513" t="s">
        <v>74</v>
      </c>
    </row>
    <row r="514" spans="1:25" x14ac:dyDescent="0.25">
      <c r="A514" t="s">
        <v>1418</v>
      </c>
      <c r="B514" t="s">
        <v>2727</v>
      </c>
      <c r="C514">
        <v>351</v>
      </c>
      <c r="D514" t="s">
        <v>63</v>
      </c>
      <c r="E514" t="s">
        <v>64</v>
      </c>
      <c r="F514" t="s">
        <v>2696</v>
      </c>
      <c r="H514">
        <v>30</v>
      </c>
      <c r="I514">
        <v>1401</v>
      </c>
      <c r="J514" t="s">
        <v>2728</v>
      </c>
      <c r="K514" t="s">
        <v>2729</v>
      </c>
      <c r="M514" t="s">
        <v>400</v>
      </c>
      <c r="N514">
        <v>35101</v>
      </c>
      <c r="O514" t="s">
        <v>70</v>
      </c>
      <c r="Q514" t="s">
        <v>401</v>
      </c>
      <c r="R514" t="s">
        <v>2730</v>
      </c>
      <c r="S514" t="s">
        <v>2731</v>
      </c>
      <c r="T514" s="6">
        <v>2450000000</v>
      </c>
      <c r="U514" s="45">
        <f>VLOOKUP(B514,realPrices!C:G,5,0)</f>
        <v>3089999999</v>
      </c>
      <c r="W514" t="str">
        <f t="shared" ref="W514:W577" si="8">M514&amp;I514</f>
        <v>PARS XU7 P1401</v>
      </c>
      <c r="X514">
        <f>VLOOKUP(W514,Sheet10!D:F,2,0)*10000000</f>
        <v>4500000000</v>
      </c>
      <c r="Y514" t="s">
        <v>74</v>
      </c>
    </row>
    <row r="515" spans="1:25" x14ac:dyDescent="0.25">
      <c r="A515" t="s">
        <v>2706</v>
      </c>
      <c r="B515" t="s">
        <v>2732</v>
      </c>
      <c r="C515">
        <v>351</v>
      </c>
      <c r="D515" t="s">
        <v>77</v>
      </c>
      <c r="E515" t="s">
        <v>64</v>
      </c>
      <c r="F515" t="s">
        <v>420</v>
      </c>
      <c r="H515">
        <v>27</v>
      </c>
      <c r="I515">
        <v>1401</v>
      </c>
      <c r="J515" t="s">
        <v>2733</v>
      </c>
      <c r="K515" t="s">
        <v>2734</v>
      </c>
      <c r="M515" t="s">
        <v>400</v>
      </c>
      <c r="N515">
        <v>35101</v>
      </c>
      <c r="O515" t="s">
        <v>70</v>
      </c>
      <c r="Q515" t="s">
        <v>401</v>
      </c>
      <c r="R515" t="s">
        <v>2735</v>
      </c>
      <c r="S515" t="s">
        <v>2736</v>
      </c>
      <c r="T515" s="6">
        <v>2450000000</v>
      </c>
      <c r="U515" s="45">
        <f>VLOOKUP(B515,realPrices!C:G,5,0)</f>
        <v>3055500000</v>
      </c>
      <c r="W515" t="str">
        <f t="shared" si="8"/>
        <v>PARS XU7 P1401</v>
      </c>
      <c r="X515">
        <f>VLOOKUP(W515,Sheet10!D:F,2,0)*10000000</f>
        <v>4500000000</v>
      </c>
      <c r="Y515" t="s">
        <v>74</v>
      </c>
    </row>
    <row r="516" spans="1:25" x14ac:dyDescent="0.25">
      <c r="A516" t="s">
        <v>396</v>
      </c>
      <c r="B516" t="s">
        <v>2737</v>
      </c>
      <c r="C516">
        <v>351</v>
      </c>
      <c r="D516" t="s">
        <v>259</v>
      </c>
      <c r="E516" t="s">
        <v>64</v>
      </c>
      <c r="F516" t="s">
        <v>420</v>
      </c>
      <c r="H516">
        <v>34</v>
      </c>
      <c r="I516">
        <v>1401</v>
      </c>
      <c r="J516" t="s">
        <v>2738</v>
      </c>
      <c r="K516" t="s">
        <v>2739</v>
      </c>
      <c r="M516" t="s">
        <v>400</v>
      </c>
      <c r="N516">
        <v>35101</v>
      </c>
      <c r="O516" t="s">
        <v>70</v>
      </c>
      <c r="Q516" t="s">
        <v>401</v>
      </c>
      <c r="R516" t="s">
        <v>2740</v>
      </c>
      <c r="S516" t="s">
        <v>2741</v>
      </c>
      <c r="T516" s="6">
        <v>2450000000</v>
      </c>
      <c r="U516" s="45">
        <f>VLOOKUP(B516,realPrices!C:G,5,0)</f>
        <v>3161510000</v>
      </c>
      <c r="W516" t="str">
        <f t="shared" si="8"/>
        <v>PARS XU7 P1401</v>
      </c>
      <c r="X516">
        <f>VLOOKUP(W516,Sheet10!D:F,2,0)*10000000</f>
        <v>4500000000</v>
      </c>
      <c r="Y516" t="s">
        <v>74</v>
      </c>
    </row>
    <row r="517" spans="1:25" x14ac:dyDescent="0.25">
      <c r="A517" t="s">
        <v>2706</v>
      </c>
      <c r="B517" t="s">
        <v>2742</v>
      </c>
      <c r="C517">
        <v>351</v>
      </c>
      <c r="D517" t="s">
        <v>77</v>
      </c>
      <c r="E517" t="s">
        <v>64</v>
      </c>
      <c r="F517" t="s">
        <v>420</v>
      </c>
      <c r="H517">
        <v>44</v>
      </c>
      <c r="I517">
        <v>1401</v>
      </c>
      <c r="J517" t="s">
        <v>2743</v>
      </c>
      <c r="K517" t="s">
        <v>2744</v>
      </c>
      <c r="M517" t="s">
        <v>400</v>
      </c>
      <c r="N517">
        <v>35101</v>
      </c>
      <c r="O517" t="s">
        <v>70</v>
      </c>
      <c r="Q517" t="s">
        <v>401</v>
      </c>
      <c r="R517" t="s">
        <v>2745</v>
      </c>
      <c r="S517" t="s">
        <v>2746</v>
      </c>
      <c r="T517" s="6">
        <v>2450000000</v>
      </c>
      <c r="U517" s="45">
        <f>VLOOKUP(B517,realPrices!C:G,5,0)</f>
        <v>2809999990</v>
      </c>
      <c r="W517" t="str">
        <f t="shared" si="8"/>
        <v>PARS XU7 P1401</v>
      </c>
      <c r="X517">
        <f>VLOOKUP(W517,Sheet10!D:F,2,0)*10000000</f>
        <v>4500000000</v>
      </c>
      <c r="Y517" t="s">
        <v>74</v>
      </c>
    </row>
    <row r="518" spans="1:25" x14ac:dyDescent="0.25">
      <c r="A518" t="s">
        <v>1418</v>
      </c>
      <c r="B518" t="s">
        <v>2747</v>
      </c>
      <c r="C518">
        <v>351</v>
      </c>
      <c r="D518" t="s">
        <v>63</v>
      </c>
      <c r="E518" t="s">
        <v>64</v>
      </c>
      <c r="F518" t="s">
        <v>420</v>
      </c>
      <c r="H518">
        <v>113</v>
      </c>
      <c r="I518">
        <v>1401</v>
      </c>
      <c r="J518" t="s">
        <v>2748</v>
      </c>
      <c r="K518" t="s">
        <v>2749</v>
      </c>
      <c r="M518" t="s">
        <v>400</v>
      </c>
      <c r="N518">
        <v>35101</v>
      </c>
      <c r="O518" t="s">
        <v>70</v>
      </c>
      <c r="Q518" t="s">
        <v>401</v>
      </c>
      <c r="R518" t="s">
        <v>2750</v>
      </c>
      <c r="S518" t="s">
        <v>2751</v>
      </c>
      <c r="T518" s="6">
        <v>2450000000</v>
      </c>
      <c r="U518" s="45">
        <f>VLOOKUP(B518,realPrices!C:G,5,0)</f>
        <v>3035000000</v>
      </c>
      <c r="W518" t="str">
        <f t="shared" si="8"/>
        <v>PARS XU7 P1401</v>
      </c>
      <c r="X518">
        <f>VLOOKUP(W518,Sheet10!D:F,2,0)*10000000</f>
        <v>4500000000</v>
      </c>
      <c r="Y518" t="s">
        <v>74</v>
      </c>
    </row>
    <row r="519" spans="1:25" x14ac:dyDescent="0.25">
      <c r="A519" t="s">
        <v>2476</v>
      </c>
      <c r="B519" t="s">
        <v>2752</v>
      </c>
      <c r="C519">
        <v>575</v>
      </c>
      <c r="D519" t="s">
        <v>63</v>
      </c>
      <c r="E519" t="s">
        <v>64</v>
      </c>
      <c r="F519" t="s">
        <v>491</v>
      </c>
      <c r="H519">
        <v>95</v>
      </c>
      <c r="I519">
        <v>1401</v>
      </c>
      <c r="J519" t="s">
        <v>2753</v>
      </c>
      <c r="K519" t="s">
        <v>2754</v>
      </c>
      <c r="M519" t="s">
        <v>367</v>
      </c>
      <c r="N519">
        <v>57519</v>
      </c>
      <c r="O519" t="s">
        <v>70</v>
      </c>
      <c r="Q519" t="s">
        <v>2420</v>
      </c>
      <c r="R519" t="s">
        <v>2755</v>
      </c>
      <c r="S519" t="s">
        <v>2756</v>
      </c>
      <c r="T519" s="6">
        <v>2450000000</v>
      </c>
      <c r="U519" s="45">
        <f>VLOOKUP(B519,realPrices!C:G,5,0)</f>
        <v>3126666600</v>
      </c>
      <c r="W519" t="str">
        <f t="shared" si="8"/>
        <v>SOREN EF71401</v>
      </c>
      <c r="X519">
        <f>VLOOKUP(W519,Sheet10!D:F,2,0)*10000000</f>
        <v>4650000000</v>
      </c>
      <c r="Y519" t="s">
        <v>74</v>
      </c>
    </row>
    <row r="520" spans="1:25" x14ac:dyDescent="0.25">
      <c r="A520" t="s">
        <v>2476</v>
      </c>
      <c r="B520" t="s">
        <v>2757</v>
      </c>
      <c r="C520">
        <v>575</v>
      </c>
      <c r="D520" t="s">
        <v>63</v>
      </c>
      <c r="E520" t="s">
        <v>64</v>
      </c>
      <c r="F520" t="s">
        <v>2436</v>
      </c>
      <c r="H520">
        <v>2393</v>
      </c>
      <c r="I520">
        <v>1401</v>
      </c>
      <c r="J520" t="s">
        <v>2758</v>
      </c>
      <c r="K520" t="s">
        <v>2759</v>
      </c>
      <c r="M520" t="s">
        <v>367</v>
      </c>
      <c r="N520">
        <v>57519</v>
      </c>
      <c r="O520" t="s">
        <v>70</v>
      </c>
      <c r="Q520" t="s">
        <v>2420</v>
      </c>
      <c r="R520" t="s">
        <v>2760</v>
      </c>
      <c r="S520" t="s">
        <v>2761</v>
      </c>
      <c r="T520" s="6">
        <v>2450000000</v>
      </c>
      <c r="U520" s="45">
        <f>VLOOKUP(B520,realPrices!C:G,5,0)</f>
        <v>2862555555</v>
      </c>
      <c r="W520" t="str">
        <f t="shared" si="8"/>
        <v>SOREN EF71401</v>
      </c>
      <c r="X520">
        <f>VLOOKUP(W520,Sheet10!D:F,2,0)*10000000</f>
        <v>4650000000</v>
      </c>
      <c r="Y520" t="s">
        <v>74</v>
      </c>
    </row>
    <row r="521" spans="1:25" x14ac:dyDescent="0.25">
      <c r="A521" t="s">
        <v>1418</v>
      </c>
      <c r="B521" t="s">
        <v>2762</v>
      </c>
      <c r="C521">
        <v>351</v>
      </c>
      <c r="D521" t="s">
        <v>63</v>
      </c>
      <c r="E521" t="s">
        <v>64</v>
      </c>
      <c r="F521" t="s">
        <v>420</v>
      </c>
      <c r="H521">
        <v>18</v>
      </c>
      <c r="I521">
        <v>1401</v>
      </c>
      <c r="J521" t="s">
        <v>2763</v>
      </c>
      <c r="K521" t="s">
        <v>2764</v>
      </c>
      <c r="M521" t="s">
        <v>400</v>
      </c>
      <c r="N521">
        <v>35101</v>
      </c>
      <c r="O521" t="s">
        <v>70</v>
      </c>
      <c r="Q521" t="s">
        <v>401</v>
      </c>
      <c r="R521" t="s">
        <v>2765</v>
      </c>
      <c r="S521" t="s">
        <v>143</v>
      </c>
      <c r="T521" s="6">
        <v>2450000000</v>
      </c>
      <c r="U521" s="45">
        <f>VLOOKUP(B521,realPrices!C:G,5,0)</f>
        <v>3125000000</v>
      </c>
      <c r="W521" t="str">
        <f t="shared" si="8"/>
        <v>PARS XU7 P1401</v>
      </c>
      <c r="X521">
        <f>VLOOKUP(W521,Sheet10!D:F,2,0)*10000000</f>
        <v>4500000000</v>
      </c>
      <c r="Y521" t="s">
        <v>74</v>
      </c>
    </row>
    <row r="522" spans="1:25" x14ac:dyDescent="0.25">
      <c r="A522" t="s">
        <v>2706</v>
      </c>
      <c r="B522" t="s">
        <v>2766</v>
      </c>
      <c r="C522">
        <v>351</v>
      </c>
      <c r="D522" t="s">
        <v>77</v>
      </c>
      <c r="E522" t="s">
        <v>64</v>
      </c>
      <c r="F522" t="s">
        <v>420</v>
      </c>
      <c r="H522">
        <v>17</v>
      </c>
      <c r="I522">
        <v>1401</v>
      </c>
      <c r="J522" t="s">
        <v>2767</v>
      </c>
      <c r="K522" t="s">
        <v>2768</v>
      </c>
      <c r="M522" t="s">
        <v>400</v>
      </c>
      <c r="N522">
        <v>35101</v>
      </c>
      <c r="O522" t="s">
        <v>70</v>
      </c>
      <c r="Q522" t="s">
        <v>401</v>
      </c>
      <c r="R522" t="s">
        <v>2769</v>
      </c>
      <c r="S522" t="s">
        <v>2770</v>
      </c>
      <c r="T522" s="6">
        <v>2450000000</v>
      </c>
      <c r="U522" s="45">
        <f>VLOOKUP(B522,realPrices!C:G,5,0)</f>
        <v>3037878789</v>
      </c>
      <c r="W522" t="str">
        <f t="shared" si="8"/>
        <v>PARS XU7 P1401</v>
      </c>
      <c r="X522">
        <f>VLOOKUP(W522,Sheet10!D:F,2,0)*10000000</f>
        <v>4500000000</v>
      </c>
      <c r="Y522" t="s">
        <v>74</v>
      </c>
    </row>
    <row r="523" spans="1:25" x14ac:dyDescent="0.25">
      <c r="A523" t="s">
        <v>2706</v>
      </c>
      <c r="B523" t="s">
        <v>2771</v>
      </c>
      <c r="C523">
        <v>351</v>
      </c>
      <c r="D523" t="s">
        <v>77</v>
      </c>
      <c r="E523" t="s">
        <v>64</v>
      </c>
      <c r="F523" t="s">
        <v>420</v>
      </c>
      <c r="H523">
        <v>16</v>
      </c>
      <c r="I523">
        <v>1401</v>
      </c>
      <c r="J523" t="s">
        <v>2772</v>
      </c>
      <c r="K523" t="s">
        <v>2773</v>
      </c>
      <c r="M523" t="s">
        <v>400</v>
      </c>
      <c r="N523">
        <v>35101</v>
      </c>
      <c r="O523" t="s">
        <v>70</v>
      </c>
      <c r="Q523" t="s">
        <v>401</v>
      </c>
      <c r="R523" t="s">
        <v>2774</v>
      </c>
      <c r="S523" t="s">
        <v>2775</v>
      </c>
      <c r="T523" s="6">
        <v>2450000000</v>
      </c>
      <c r="U523" s="45">
        <f>VLOOKUP(B523,realPrices!C:G,5,0)</f>
        <v>2977446555</v>
      </c>
      <c r="W523" t="str">
        <f t="shared" si="8"/>
        <v>PARS XU7 P1401</v>
      </c>
      <c r="X523">
        <f>VLOOKUP(W523,Sheet10!D:F,2,0)*10000000</f>
        <v>4500000000</v>
      </c>
      <c r="Y523" t="s">
        <v>74</v>
      </c>
    </row>
    <row r="524" spans="1:25" x14ac:dyDescent="0.25">
      <c r="A524" t="s">
        <v>316</v>
      </c>
      <c r="B524" t="s">
        <v>2776</v>
      </c>
      <c r="C524">
        <v>610</v>
      </c>
      <c r="D524" t="s">
        <v>63</v>
      </c>
      <c r="E524" t="s">
        <v>64</v>
      </c>
      <c r="F524" t="s">
        <v>491</v>
      </c>
      <c r="H524">
        <v>21</v>
      </c>
      <c r="I524">
        <v>1401</v>
      </c>
      <c r="J524" t="s">
        <v>2777</v>
      </c>
      <c r="K524" t="s">
        <v>2778</v>
      </c>
      <c r="M524" t="s">
        <v>321</v>
      </c>
      <c r="N524">
        <v>61015</v>
      </c>
      <c r="O524" t="s">
        <v>70</v>
      </c>
      <c r="Q524" t="s">
        <v>322</v>
      </c>
      <c r="R524" t="s">
        <v>2779</v>
      </c>
      <c r="S524" t="s">
        <v>2780</v>
      </c>
      <c r="T524" s="6">
        <v>2470000000</v>
      </c>
      <c r="U524" s="45">
        <f>VLOOKUP(B524,realPrices!C:G,5,0)</f>
        <v>3069990000</v>
      </c>
      <c r="W524" t="str">
        <f t="shared" si="8"/>
        <v>TU51401</v>
      </c>
      <c r="X524">
        <f>VLOOKUP(W524,Sheet10!D:F,2,0)*10000000</f>
        <v>4450000000</v>
      </c>
      <c r="Y524" t="s">
        <v>74</v>
      </c>
    </row>
    <row r="525" spans="1:25" x14ac:dyDescent="0.25">
      <c r="A525" t="s">
        <v>316</v>
      </c>
      <c r="B525" t="s">
        <v>2781</v>
      </c>
      <c r="C525">
        <v>610</v>
      </c>
      <c r="D525" t="s">
        <v>63</v>
      </c>
      <c r="E525" t="s">
        <v>64</v>
      </c>
      <c r="F525" t="s">
        <v>491</v>
      </c>
      <c r="H525">
        <v>21</v>
      </c>
      <c r="I525">
        <v>1401</v>
      </c>
      <c r="J525" t="s">
        <v>2782</v>
      </c>
      <c r="K525" t="s">
        <v>2783</v>
      </c>
      <c r="M525" t="s">
        <v>321</v>
      </c>
      <c r="N525">
        <v>61015</v>
      </c>
      <c r="O525" t="s">
        <v>70</v>
      </c>
      <c r="Q525" t="s">
        <v>322</v>
      </c>
      <c r="R525" t="s">
        <v>2784</v>
      </c>
      <c r="S525" t="s">
        <v>2785</v>
      </c>
      <c r="T525" s="6">
        <v>2470000000</v>
      </c>
      <c r="U525" s="45">
        <f>VLOOKUP(B525,realPrices!C:G,5,0)</f>
        <v>3020000000</v>
      </c>
      <c r="W525" t="str">
        <f t="shared" si="8"/>
        <v>TU51401</v>
      </c>
      <c r="X525">
        <f>VLOOKUP(W525,Sheet10!D:F,2,0)*10000000</f>
        <v>4450000000</v>
      </c>
      <c r="Y525" t="s">
        <v>74</v>
      </c>
    </row>
    <row r="526" spans="1:25" x14ac:dyDescent="0.25">
      <c r="A526" t="s">
        <v>325</v>
      </c>
      <c r="B526" t="s">
        <v>2786</v>
      </c>
      <c r="C526">
        <v>260</v>
      </c>
      <c r="D526" t="s">
        <v>63</v>
      </c>
      <c r="E526" t="s">
        <v>64</v>
      </c>
      <c r="F526" t="s">
        <v>491</v>
      </c>
      <c r="H526">
        <v>26</v>
      </c>
      <c r="I526">
        <v>1401</v>
      </c>
      <c r="J526" t="s">
        <v>2787</v>
      </c>
      <c r="K526" t="s">
        <v>2788</v>
      </c>
      <c r="M526" t="s">
        <v>329</v>
      </c>
      <c r="N526">
        <v>26031</v>
      </c>
      <c r="O526" t="s">
        <v>303</v>
      </c>
      <c r="Q526" t="s">
        <v>330</v>
      </c>
      <c r="R526" t="s">
        <v>2789</v>
      </c>
      <c r="S526" t="s">
        <v>2790</v>
      </c>
      <c r="T526" s="6">
        <v>2480000000</v>
      </c>
      <c r="U526" s="45">
        <f>VLOOKUP(B526,realPrices!C:G,5,0)</f>
        <v>2710000000</v>
      </c>
      <c r="W526" t="str">
        <f t="shared" si="8"/>
        <v>206TU31401</v>
      </c>
      <c r="X526" t="e">
        <f>VLOOKUP(W526,Sheet10!D:F,2,0)*10000000</f>
        <v>#N/A</v>
      </c>
      <c r="Y526" t="s">
        <v>74</v>
      </c>
    </row>
    <row r="527" spans="1:25" x14ac:dyDescent="0.25">
      <c r="A527" t="s">
        <v>316</v>
      </c>
      <c r="B527" t="s">
        <v>2791</v>
      </c>
      <c r="C527">
        <v>610</v>
      </c>
      <c r="D527" t="s">
        <v>63</v>
      </c>
      <c r="E527" t="s">
        <v>64</v>
      </c>
      <c r="F527" t="s">
        <v>491</v>
      </c>
      <c r="H527">
        <v>26</v>
      </c>
      <c r="I527">
        <v>1401</v>
      </c>
      <c r="J527" t="s">
        <v>2792</v>
      </c>
      <c r="K527" t="s">
        <v>2793</v>
      </c>
      <c r="M527" t="s">
        <v>321</v>
      </c>
      <c r="N527">
        <v>61015</v>
      </c>
      <c r="O527" t="s">
        <v>70</v>
      </c>
      <c r="Q527" t="s">
        <v>322</v>
      </c>
      <c r="R527" t="s">
        <v>2794</v>
      </c>
      <c r="S527" t="s">
        <v>2795</v>
      </c>
      <c r="T527" s="6">
        <v>2480000000</v>
      </c>
      <c r="U527" s="45">
        <f>VLOOKUP(B527,realPrices!C:G,5,0)</f>
        <v>3028888888</v>
      </c>
      <c r="W527" t="str">
        <f t="shared" si="8"/>
        <v>TU51401</v>
      </c>
      <c r="X527">
        <f>VLOOKUP(W527,Sheet10!D:F,2,0)*10000000</f>
        <v>4450000000</v>
      </c>
      <c r="Y527" t="s">
        <v>74</v>
      </c>
    </row>
    <row r="528" spans="1:25" x14ac:dyDescent="0.25">
      <c r="A528" t="s">
        <v>2796</v>
      </c>
      <c r="B528" t="s">
        <v>2797</v>
      </c>
      <c r="C528">
        <v>575</v>
      </c>
      <c r="D528" t="s">
        <v>63</v>
      </c>
      <c r="E528" t="s">
        <v>64</v>
      </c>
      <c r="F528" t="s">
        <v>362</v>
      </c>
      <c r="G528" t="s">
        <v>363</v>
      </c>
      <c r="H528">
        <v>68</v>
      </c>
      <c r="I528">
        <v>1398</v>
      </c>
      <c r="J528" t="s">
        <v>2798</v>
      </c>
      <c r="K528" t="s">
        <v>2799</v>
      </c>
      <c r="L528" t="s">
        <v>2800</v>
      </c>
      <c r="M528" t="s">
        <v>367</v>
      </c>
      <c r="N528">
        <v>57516</v>
      </c>
      <c r="O528" t="s">
        <v>70</v>
      </c>
      <c r="Q528" t="s">
        <v>2801</v>
      </c>
      <c r="R528" t="s">
        <v>2802</v>
      </c>
      <c r="S528" t="s">
        <v>2803</v>
      </c>
      <c r="T528" s="6">
        <v>2500000000</v>
      </c>
      <c r="U528" s="45">
        <f>VLOOKUP(B528,realPrices!C:G,5,0)</f>
        <v>4146777777</v>
      </c>
      <c r="W528" t="str">
        <f t="shared" si="8"/>
        <v>SOREN EF71398</v>
      </c>
      <c r="X528">
        <f>VLOOKUP(W528,Sheet10!D:F,2,0)*10000000</f>
        <v>3800000000</v>
      </c>
      <c r="Y528" t="s">
        <v>114</v>
      </c>
    </row>
    <row r="529" spans="1:25" x14ac:dyDescent="0.25">
      <c r="A529" t="s">
        <v>2804</v>
      </c>
      <c r="B529" t="s">
        <v>2805</v>
      </c>
      <c r="C529">
        <v>701</v>
      </c>
      <c r="D529" t="s">
        <v>240</v>
      </c>
      <c r="E529" t="s">
        <v>64</v>
      </c>
      <c r="F529" t="s">
        <v>98</v>
      </c>
      <c r="G529" t="s">
        <v>1427</v>
      </c>
      <c r="H529">
        <v>175907</v>
      </c>
      <c r="I529">
        <v>1394</v>
      </c>
      <c r="J529" t="s">
        <v>2806</v>
      </c>
      <c r="K529" t="s">
        <v>2807</v>
      </c>
      <c r="L529" t="s">
        <v>2808</v>
      </c>
      <c r="M529" t="s">
        <v>408</v>
      </c>
      <c r="N529">
        <v>70101</v>
      </c>
      <c r="O529" t="s">
        <v>70</v>
      </c>
      <c r="Q529" t="s">
        <v>627</v>
      </c>
      <c r="R529" t="s">
        <v>2809</v>
      </c>
      <c r="S529" t="s">
        <v>2810</v>
      </c>
      <c r="T529" s="6">
        <v>2500000000</v>
      </c>
      <c r="U529" s="45">
        <f>VLOOKUP(B529,realPrices!C:G,5,0)</f>
        <v>3821111111</v>
      </c>
      <c r="W529" t="str">
        <f t="shared" si="8"/>
        <v>DENA EF71394</v>
      </c>
      <c r="X529" t="e">
        <f>VLOOKUP(W529,Sheet10!D:F,2,0)*10000000</f>
        <v>#N/A</v>
      </c>
      <c r="Y529" t="s">
        <v>114</v>
      </c>
    </row>
    <row r="530" spans="1:25" x14ac:dyDescent="0.25">
      <c r="A530" t="s">
        <v>2476</v>
      </c>
      <c r="B530" t="s">
        <v>2811</v>
      </c>
      <c r="C530">
        <v>575</v>
      </c>
      <c r="D530" t="s">
        <v>63</v>
      </c>
      <c r="E530" t="s">
        <v>64</v>
      </c>
      <c r="F530" t="s">
        <v>2696</v>
      </c>
      <c r="H530">
        <v>24</v>
      </c>
      <c r="I530">
        <v>1401</v>
      </c>
      <c r="J530" t="s">
        <v>2812</v>
      </c>
      <c r="K530" t="s">
        <v>2813</v>
      </c>
      <c r="M530" t="s">
        <v>367</v>
      </c>
      <c r="N530">
        <v>57519</v>
      </c>
      <c r="O530" t="s">
        <v>70</v>
      </c>
      <c r="Q530" t="s">
        <v>2420</v>
      </c>
      <c r="R530" t="s">
        <v>2814</v>
      </c>
      <c r="S530" t="s">
        <v>2815</v>
      </c>
      <c r="T530" s="6">
        <v>2500000000</v>
      </c>
      <c r="U530" s="45">
        <f>VLOOKUP(B530,realPrices!C:G,5,0)</f>
        <v>3111000000</v>
      </c>
      <c r="W530" t="str">
        <f t="shared" si="8"/>
        <v>SOREN EF71401</v>
      </c>
      <c r="X530">
        <f>VLOOKUP(W530,Sheet10!D:F,2,0)*10000000</f>
        <v>4650000000</v>
      </c>
      <c r="Y530" t="s">
        <v>74</v>
      </c>
    </row>
    <row r="531" spans="1:25" x14ac:dyDescent="0.25">
      <c r="A531" t="s">
        <v>325</v>
      </c>
      <c r="B531" t="s">
        <v>2816</v>
      </c>
      <c r="C531">
        <v>260</v>
      </c>
      <c r="D531" t="s">
        <v>63</v>
      </c>
      <c r="E531" t="s">
        <v>64</v>
      </c>
      <c r="F531" t="s">
        <v>491</v>
      </c>
      <c r="H531">
        <v>20</v>
      </c>
      <c r="I531">
        <v>1401</v>
      </c>
      <c r="J531" t="s">
        <v>2817</v>
      </c>
      <c r="K531" t="s">
        <v>2818</v>
      </c>
      <c r="M531" t="s">
        <v>329</v>
      </c>
      <c r="N531">
        <v>26031</v>
      </c>
      <c r="O531" t="s">
        <v>303</v>
      </c>
      <c r="Q531" t="s">
        <v>330</v>
      </c>
      <c r="R531" t="s">
        <v>2819</v>
      </c>
      <c r="S531" t="s">
        <v>2820</v>
      </c>
      <c r="T531" s="6">
        <v>2500000000</v>
      </c>
      <c r="U531" s="45">
        <f>VLOOKUP(B531,realPrices!C:G,5,0)</f>
        <v>2980000000</v>
      </c>
      <c r="W531" t="str">
        <f t="shared" si="8"/>
        <v>206TU31401</v>
      </c>
      <c r="X531" t="e">
        <f>VLOOKUP(W531,Sheet10!D:F,2,0)*10000000</f>
        <v>#N/A</v>
      </c>
      <c r="Y531" t="s">
        <v>74</v>
      </c>
    </row>
    <row r="532" spans="1:25" x14ac:dyDescent="0.25">
      <c r="A532" t="s">
        <v>325</v>
      </c>
      <c r="B532" t="s">
        <v>2821</v>
      </c>
      <c r="C532">
        <v>260</v>
      </c>
      <c r="D532" t="s">
        <v>63</v>
      </c>
      <c r="E532" t="s">
        <v>64</v>
      </c>
      <c r="F532" t="s">
        <v>420</v>
      </c>
      <c r="H532">
        <v>25</v>
      </c>
      <c r="I532">
        <v>1401</v>
      </c>
      <c r="J532" t="s">
        <v>2822</v>
      </c>
      <c r="K532" t="s">
        <v>2823</v>
      </c>
      <c r="M532" t="s">
        <v>329</v>
      </c>
      <c r="N532">
        <v>26031</v>
      </c>
      <c r="O532" t="s">
        <v>303</v>
      </c>
      <c r="Q532" t="s">
        <v>330</v>
      </c>
      <c r="R532" t="s">
        <v>2824</v>
      </c>
      <c r="S532" t="s">
        <v>2825</v>
      </c>
      <c r="T532" s="6">
        <v>2500000000</v>
      </c>
      <c r="U532" s="45">
        <f>VLOOKUP(B532,realPrices!C:G,5,0)</f>
        <v>2988888800</v>
      </c>
      <c r="W532" t="str">
        <f t="shared" si="8"/>
        <v>206TU31401</v>
      </c>
      <c r="X532" t="e">
        <f>VLOOKUP(W532,Sheet10!D:F,2,0)*10000000</f>
        <v>#N/A</v>
      </c>
      <c r="Y532" t="s">
        <v>74</v>
      </c>
    </row>
    <row r="533" spans="1:25" x14ac:dyDescent="0.25">
      <c r="A533" t="s">
        <v>396</v>
      </c>
      <c r="B533" t="s">
        <v>2826</v>
      </c>
      <c r="C533">
        <v>351</v>
      </c>
      <c r="D533" t="s">
        <v>259</v>
      </c>
      <c r="E533" t="s">
        <v>64</v>
      </c>
      <c r="F533" t="s">
        <v>420</v>
      </c>
      <c r="H533">
        <v>23</v>
      </c>
      <c r="I533">
        <v>1401</v>
      </c>
      <c r="J533" t="s">
        <v>2827</v>
      </c>
      <c r="K533" t="s">
        <v>2828</v>
      </c>
      <c r="M533" t="s">
        <v>400</v>
      </c>
      <c r="N533">
        <v>35101</v>
      </c>
      <c r="O533" t="s">
        <v>70</v>
      </c>
      <c r="Q533" t="s">
        <v>401</v>
      </c>
      <c r="R533" t="s">
        <v>2829</v>
      </c>
      <c r="S533" t="s">
        <v>2830</v>
      </c>
      <c r="T533" s="6">
        <v>2500000000</v>
      </c>
      <c r="U533" s="45">
        <f>VLOOKUP(B533,realPrices!C:G,5,0)</f>
        <v>3141000000</v>
      </c>
      <c r="W533" t="str">
        <f t="shared" si="8"/>
        <v>PARS XU7 P1401</v>
      </c>
      <c r="X533">
        <f>VLOOKUP(W533,Sheet10!D:F,2,0)*10000000</f>
        <v>4500000000</v>
      </c>
      <c r="Y533" t="s">
        <v>74</v>
      </c>
    </row>
    <row r="534" spans="1:25" x14ac:dyDescent="0.25">
      <c r="A534" t="s">
        <v>2476</v>
      </c>
      <c r="B534" t="s">
        <v>2831</v>
      </c>
      <c r="C534">
        <v>575</v>
      </c>
      <c r="D534" t="s">
        <v>63</v>
      </c>
      <c r="E534" t="s">
        <v>64</v>
      </c>
      <c r="F534" t="s">
        <v>2696</v>
      </c>
      <c r="H534">
        <v>22</v>
      </c>
      <c r="I534">
        <v>1401</v>
      </c>
      <c r="J534" t="s">
        <v>2832</v>
      </c>
      <c r="K534" t="s">
        <v>2833</v>
      </c>
      <c r="M534" t="s">
        <v>367</v>
      </c>
      <c r="N534">
        <v>57519</v>
      </c>
      <c r="O534" t="s">
        <v>70</v>
      </c>
      <c r="Q534" t="s">
        <v>2420</v>
      </c>
      <c r="R534" t="s">
        <v>2834</v>
      </c>
      <c r="S534" t="s">
        <v>2835</v>
      </c>
      <c r="T534" s="6">
        <v>2500000000</v>
      </c>
      <c r="U534" s="45">
        <f>VLOOKUP(B534,realPrices!C:G,5,0)</f>
        <v>3129999999</v>
      </c>
      <c r="W534" t="str">
        <f t="shared" si="8"/>
        <v>SOREN EF71401</v>
      </c>
      <c r="X534">
        <f>VLOOKUP(W534,Sheet10!D:F,2,0)*10000000</f>
        <v>4650000000</v>
      </c>
      <c r="Y534" t="s">
        <v>74</v>
      </c>
    </row>
    <row r="535" spans="1:25" x14ac:dyDescent="0.25">
      <c r="A535" t="s">
        <v>316</v>
      </c>
      <c r="B535" t="s">
        <v>2836</v>
      </c>
      <c r="C535">
        <v>610</v>
      </c>
      <c r="D535" t="s">
        <v>63</v>
      </c>
      <c r="E535" t="s">
        <v>64</v>
      </c>
      <c r="F535" t="s">
        <v>420</v>
      </c>
      <c r="H535">
        <v>21</v>
      </c>
      <c r="I535">
        <v>1401</v>
      </c>
      <c r="J535" t="s">
        <v>2837</v>
      </c>
      <c r="K535" t="s">
        <v>2838</v>
      </c>
      <c r="M535" t="s">
        <v>321</v>
      </c>
      <c r="N535">
        <v>61015</v>
      </c>
      <c r="O535" t="s">
        <v>70</v>
      </c>
      <c r="Q535" t="s">
        <v>322</v>
      </c>
      <c r="R535" t="s">
        <v>2839</v>
      </c>
      <c r="S535" t="s">
        <v>2840</v>
      </c>
      <c r="T535" s="6">
        <v>2500000000</v>
      </c>
      <c r="U535" s="45">
        <f>VLOOKUP(B535,realPrices!C:G,5,0)</f>
        <v>3085999999</v>
      </c>
      <c r="W535" t="str">
        <f t="shared" si="8"/>
        <v>TU51401</v>
      </c>
      <c r="X535">
        <f>VLOOKUP(W535,Sheet10!D:F,2,0)*10000000</f>
        <v>4450000000</v>
      </c>
      <c r="Y535" t="s">
        <v>74</v>
      </c>
    </row>
    <row r="536" spans="1:25" x14ac:dyDescent="0.25">
      <c r="A536" t="s">
        <v>325</v>
      </c>
      <c r="B536" t="s">
        <v>2841</v>
      </c>
      <c r="C536">
        <v>260</v>
      </c>
      <c r="D536" t="s">
        <v>63</v>
      </c>
      <c r="E536" t="s">
        <v>64</v>
      </c>
      <c r="F536" t="s">
        <v>2696</v>
      </c>
      <c r="H536">
        <v>18</v>
      </c>
      <c r="I536">
        <v>1401</v>
      </c>
      <c r="J536" t="s">
        <v>2842</v>
      </c>
      <c r="K536" t="s">
        <v>2843</v>
      </c>
      <c r="M536" t="s">
        <v>329</v>
      </c>
      <c r="N536">
        <v>26031</v>
      </c>
      <c r="O536" t="s">
        <v>303</v>
      </c>
      <c r="Q536" t="s">
        <v>330</v>
      </c>
      <c r="R536" t="s">
        <v>2844</v>
      </c>
      <c r="S536" t="s">
        <v>2845</v>
      </c>
      <c r="T536" s="6">
        <v>2500000000</v>
      </c>
      <c r="U536" s="45">
        <f>VLOOKUP(B536,realPrices!C:G,5,0)</f>
        <v>3001000000</v>
      </c>
      <c r="W536" t="str">
        <f t="shared" si="8"/>
        <v>206TU31401</v>
      </c>
      <c r="X536" t="e">
        <f>VLOOKUP(W536,Sheet10!D:F,2,0)*10000000</f>
        <v>#N/A</v>
      </c>
      <c r="Y536" t="s">
        <v>74</v>
      </c>
    </row>
    <row r="537" spans="1:25" x14ac:dyDescent="0.25">
      <c r="A537" t="s">
        <v>325</v>
      </c>
      <c r="B537" t="s">
        <v>2846</v>
      </c>
      <c r="C537">
        <v>260</v>
      </c>
      <c r="D537" t="s">
        <v>63</v>
      </c>
      <c r="E537" t="s">
        <v>64</v>
      </c>
      <c r="F537" t="s">
        <v>420</v>
      </c>
      <c r="H537">
        <v>32</v>
      </c>
      <c r="I537">
        <v>1401</v>
      </c>
      <c r="J537" t="s">
        <v>2847</v>
      </c>
      <c r="K537" t="s">
        <v>2848</v>
      </c>
      <c r="M537" t="s">
        <v>329</v>
      </c>
      <c r="N537">
        <v>26031</v>
      </c>
      <c r="O537" t="s">
        <v>303</v>
      </c>
      <c r="Q537" t="s">
        <v>330</v>
      </c>
      <c r="R537" t="s">
        <v>2849</v>
      </c>
      <c r="S537" t="s">
        <v>2850</v>
      </c>
      <c r="T537" s="6">
        <v>2500000000</v>
      </c>
      <c r="U537" s="45">
        <f>VLOOKUP(B537,realPrices!C:G,5,0)</f>
        <v>3234987500</v>
      </c>
      <c r="W537" t="str">
        <f t="shared" si="8"/>
        <v>206TU31401</v>
      </c>
      <c r="X537" t="e">
        <f>VLOOKUP(W537,Sheet10!D:F,2,0)*10000000</f>
        <v>#N/A</v>
      </c>
      <c r="Y537" t="s">
        <v>74</v>
      </c>
    </row>
    <row r="538" spans="1:25" x14ac:dyDescent="0.25">
      <c r="A538" t="s">
        <v>2476</v>
      </c>
      <c r="B538" t="s">
        <v>2851</v>
      </c>
      <c r="C538">
        <v>575</v>
      </c>
      <c r="D538" t="s">
        <v>63</v>
      </c>
      <c r="E538" t="s">
        <v>64</v>
      </c>
      <c r="F538" t="s">
        <v>420</v>
      </c>
      <c r="H538">
        <v>29</v>
      </c>
      <c r="I538">
        <v>1401</v>
      </c>
      <c r="J538" t="s">
        <v>2852</v>
      </c>
      <c r="K538" t="s">
        <v>2853</v>
      </c>
      <c r="M538" t="s">
        <v>367</v>
      </c>
      <c r="N538">
        <v>57519</v>
      </c>
      <c r="O538" t="s">
        <v>70</v>
      </c>
      <c r="Q538" t="s">
        <v>2420</v>
      </c>
      <c r="R538" t="s">
        <v>2854</v>
      </c>
      <c r="S538" t="s">
        <v>2855</v>
      </c>
      <c r="T538" s="6">
        <v>2500000000</v>
      </c>
      <c r="U538" s="45">
        <f>VLOOKUP(B538,realPrices!C:G,5,0)</f>
        <v>3933339999</v>
      </c>
      <c r="W538" t="str">
        <f t="shared" si="8"/>
        <v>SOREN EF71401</v>
      </c>
      <c r="X538">
        <f>VLOOKUP(W538,Sheet10!D:F,2,0)*10000000</f>
        <v>4650000000</v>
      </c>
      <c r="Y538" t="s">
        <v>74</v>
      </c>
    </row>
    <row r="539" spans="1:25" x14ac:dyDescent="0.25">
      <c r="A539" t="s">
        <v>325</v>
      </c>
      <c r="B539" t="s">
        <v>2856</v>
      </c>
      <c r="C539">
        <v>260</v>
      </c>
      <c r="D539" t="s">
        <v>63</v>
      </c>
      <c r="E539" t="s">
        <v>64</v>
      </c>
      <c r="F539" t="s">
        <v>2436</v>
      </c>
      <c r="H539">
        <v>28</v>
      </c>
      <c r="I539">
        <v>1401</v>
      </c>
      <c r="J539" t="s">
        <v>2857</v>
      </c>
      <c r="K539" t="s">
        <v>2858</v>
      </c>
      <c r="M539" t="s">
        <v>329</v>
      </c>
      <c r="N539">
        <v>26031</v>
      </c>
      <c r="O539" t="s">
        <v>303</v>
      </c>
      <c r="Q539" t="s">
        <v>330</v>
      </c>
      <c r="R539" t="s">
        <v>2859</v>
      </c>
      <c r="S539" t="s">
        <v>2860</v>
      </c>
      <c r="T539" s="6">
        <v>2500000000</v>
      </c>
      <c r="U539" s="45">
        <f>VLOOKUP(B539,realPrices!C:G,5,0)</f>
        <v>3062000000</v>
      </c>
      <c r="W539" t="str">
        <f t="shared" si="8"/>
        <v>206TU31401</v>
      </c>
      <c r="X539" t="e">
        <f>VLOOKUP(W539,Sheet10!D:F,2,0)*10000000</f>
        <v>#N/A</v>
      </c>
      <c r="Y539" t="s">
        <v>74</v>
      </c>
    </row>
    <row r="540" spans="1:25" x14ac:dyDescent="0.25">
      <c r="A540" t="s">
        <v>2861</v>
      </c>
      <c r="B540" t="s">
        <v>2862</v>
      </c>
      <c r="C540">
        <v>575</v>
      </c>
      <c r="D540" t="s">
        <v>2461</v>
      </c>
      <c r="E540" t="s">
        <v>64</v>
      </c>
      <c r="F540" t="s">
        <v>362</v>
      </c>
      <c r="H540">
        <v>27</v>
      </c>
      <c r="I540">
        <v>1400</v>
      </c>
      <c r="J540" t="s">
        <v>2863</v>
      </c>
      <c r="K540" t="s">
        <v>2864</v>
      </c>
      <c r="M540" t="s">
        <v>367</v>
      </c>
      <c r="N540">
        <v>57519</v>
      </c>
      <c r="O540" t="s">
        <v>70</v>
      </c>
      <c r="Q540" t="s">
        <v>2420</v>
      </c>
      <c r="R540" t="s">
        <v>2865</v>
      </c>
      <c r="S540" t="s">
        <v>2866</v>
      </c>
      <c r="T540" s="6">
        <v>2500000000</v>
      </c>
      <c r="U540" s="45">
        <f>VLOOKUP(B540,realPrices!C:G,5,0)</f>
        <v>3155800000</v>
      </c>
      <c r="W540" t="str">
        <f t="shared" si="8"/>
        <v>SOREN EF71400</v>
      </c>
      <c r="X540">
        <f>VLOOKUP(W540,Sheet10!D:F,2,0)*10000000</f>
        <v>4350000000</v>
      </c>
      <c r="Y540" t="s">
        <v>74</v>
      </c>
    </row>
    <row r="541" spans="1:25" x14ac:dyDescent="0.25">
      <c r="A541" t="s">
        <v>325</v>
      </c>
      <c r="B541" t="s">
        <v>2867</v>
      </c>
      <c r="C541">
        <v>260</v>
      </c>
      <c r="D541" t="s">
        <v>63</v>
      </c>
      <c r="E541" t="s">
        <v>64</v>
      </c>
      <c r="F541" t="s">
        <v>420</v>
      </c>
      <c r="H541">
        <v>27</v>
      </c>
      <c r="I541">
        <v>1401</v>
      </c>
      <c r="J541" t="s">
        <v>2868</v>
      </c>
      <c r="K541" t="s">
        <v>2869</v>
      </c>
      <c r="M541" t="s">
        <v>329</v>
      </c>
      <c r="N541">
        <v>26031</v>
      </c>
      <c r="O541" t="s">
        <v>303</v>
      </c>
      <c r="Q541" t="s">
        <v>330</v>
      </c>
      <c r="R541" t="s">
        <v>2870</v>
      </c>
      <c r="S541" t="s">
        <v>2871</v>
      </c>
      <c r="T541" s="6">
        <v>2500000000</v>
      </c>
      <c r="U541" s="45">
        <f>VLOOKUP(B541,realPrices!C:G,5,0)</f>
        <v>3033333333</v>
      </c>
      <c r="W541" t="str">
        <f t="shared" si="8"/>
        <v>206TU31401</v>
      </c>
      <c r="X541" t="e">
        <f>VLOOKUP(W541,Sheet10!D:F,2,0)*10000000</f>
        <v>#N/A</v>
      </c>
      <c r="Y541" t="s">
        <v>74</v>
      </c>
    </row>
    <row r="542" spans="1:25" x14ac:dyDescent="0.25">
      <c r="A542" t="s">
        <v>325</v>
      </c>
      <c r="B542" t="s">
        <v>2872</v>
      </c>
      <c r="C542">
        <v>260</v>
      </c>
      <c r="D542" t="s">
        <v>63</v>
      </c>
      <c r="E542" t="s">
        <v>64</v>
      </c>
      <c r="F542" t="s">
        <v>2596</v>
      </c>
      <c r="H542">
        <v>38</v>
      </c>
      <c r="I542">
        <v>1401</v>
      </c>
      <c r="J542" t="s">
        <v>2873</v>
      </c>
      <c r="K542" t="s">
        <v>2874</v>
      </c>
      <c r="M542" t="s">
        <v>329</v>
      </c>
      <c r="N542">
        <v>26031</v>
      </c>
      <c r="O542" t="s">
        <v>303</v>
      </c>
      <c r="Q542" t="s">
        <v>330</v>
      </c>
      <c r="R542" t="s">
        <v>2875</v>
      </c>
      <c r="S542" t="s">
        <v>2876</v>
      </c>
      <c r="T542" s="6">
        <v>2500000000</v>
      </c>
      <c r="U542" s="45">
        <f>VLOOKUP(B542,realPrices!C:G,5,0)</f>
        <v>3064999999</v>
      </c>
      <c r="W542" t="str">
        <f t="shared" si="8"/>
        <v>206TU31401</v>
      </c>
      <c r="X542" t="e">
        <f>VLOOKUP(W542,Sheet10!D:F,2,0)*10000000</f>
        <v>#N/A</v>
      </c>
      <c r="Y542" t="s">
        <v>74</v>
      </c>
    </row>
    <row r="543" spans="1:25" x14ac:dyDescent="0.25">
      <c r="A543" t="s">
        <v>325</v>
      </c>
      <c r="B543" t="s">
        <v>2877</v>
      </c>
      <c r="C543">
        <v>260</v>
      </c>
      <c r="D543" t="s">
        <v>63</v>
      </c>
      <c r="E543" t="s">
        <v>64</v>
      </c>
      <c r="F543" t="s">
        <v>420</v>
      </c>
      <c r="H543">
        <v>43</v>
      </c>
      <c r="I543">
        <v>1401</v>
      </c>
      <c r="J543" t="s">
        <v>2878</v>
      </c>
      <c r="K543" t="s">
        <v>2879</v>
      </c>
      <c r="M543" t="s">
        <v>329</v>
      </c>
      <c r="N543">
        <v>26031</v>
      </c>
      <c r="O543" t="s">
        <v>303</v>
      </c>
      <c r="Q543" t="s">
        <v>330</v>
      </c>
      <c r="R543" t="s">
        <v>2880</v>
      </c>
      <c r="S543" t="s">
        <v>2881</v>
      </c>
      <c r="T543" s="6">
        <v>2500000000</v>
      </c>
      <c r="U543" s="45">
        <f>VLOOKUP(B543,realPrices!C:G,5,0)</f>
        <v>3028999999</v>
      </c>
      <c r="W543" t="str">
        <f t="shared" si="8"/>
        <v>206TU31401</v>
      </c>
      <c r="X543" t="e">
        <f>VLOOKUP(W543,Sheet10!D:F,2,0)*10000000</f>
        <v>#N/A</v>
      </c>
      <c r="Y543" t="s">
        <v>74</v>
      </c>
    </row>
    <row r="544" spans="1:25" x14ac:dyDescent="0.25">
      <c r="A544" t="s">
        <v>2476</v>
      </c>
      <c r="B544" t="s">
        <v>2882</v>
      </c>
      <c r="C544">
        <v>575</v>
      </c>
      <c r="D544" t="s">
        <v>63</v>
      </c>
      <c r="E544" t="s">
        <v>64</v>
      </c>
      <c r="F544" t="s">
        <v>2436</v>
      </c>
      <c r="H544">
        <v>45</v>
      </c>
      <c r="I544">
        <v>1401</v>
      </c>
      <c r="J544" t="s">
        <v>2883</v>
      </c>
      <c r="K544" t="s">
        <v>2884</v>
      </c>
      <c r="M544" t="s">
        <v>367</v>
      </c>
      <c r="N544">
        <v>57519</v>
      </c>
      <c r="O544" t="s">
        <v>70</v>
      </c>
      <c r="Q544" t="s">
        <v>2420</v>
      </c>
      <c r="R544" t="s">
        <v>2885</v>
      </c>
      <c r="S544" t="s">
        <v>2886</v>
      </c>
      <c r="T544" s="6">
        <v>2500000000</v>
      </c>
      <c r="U544" s="45">
        <f>VLOOKUP(B544,realPrices!C:G,5,0)</f>
        <v>3030000000</v>
      </c>
      <c r="W544" t="str">
        <f t="shared" si="8"/>
        <v>SOREN EF71401</v>
      </c>
      <c r="X544">
        <f>VLOOKUP(W544,Sheet10!D:F,2,0)*10000000</f>
        <v>4650000000</v>
      </c>
      <c r="Y544" t="s">
        <v>74</v>
      </c>
    </row>
    <row r="545" spans="1:25" x14ac:dyDescent="0.25">
      <c r="A545" t="s">
        <v>2706</v>
      </c>
      <c r="B545" t="s">
        <v>2887</v>
      </c>
      <c r="C545">
        <v>351</v>
      </c>
      <c r="D545" t="s">
        <v>77</v>
      </c>
      <c r="E545" t="s">
        <v>64</v>
      </c>
      <c r="F545" t="s">
        <v>420</v>
      </c>
      <c r="H545">
        <v>89</v>
      </c>
      <c r="I545">
        <v>1401</v>
      </c>
      <c r="J545" t="s">
        <v>2888</v>
      </c>
      <c r="K545" t="s">
        <v>2889</v>
      </c>
      <c r="M545" t="s">
        <v>400</v>
      </c>
      <c r="N545">
        <v>35101</v>
      </c>
      <c r="O545" t="s">
        <v>70</v>
      </c>
      <c r="Q545" t="s">
        <v>401</v>
      </c>
      <c r="R545" t="s">
        <v>2890</v>
      </c>
      <c r="S545" t="s">
        <v>2891</v>
      </c>
      <c r="T545" s="6">
        <v>2500000000</v>
      </c>
      <c r="U545" s="45">
        <f>VLOOKUP(B545,realPrices!C:G,5,0)</f>
        <v>3010000000</v>
      </c>
      <c r="W545" t="str">
        <f t="shared" si="8"/>
        <v>PARS XU7 P1401</v>
      </c>
      <c r="X545">
        <f>VLOOKUP(W545,Sheet10!D:F,2,0)*10000000</f>
        <v>4500000000</v>
      </c>
      <c r="Y545" t="s">
        <v>74</v>
      </c>
    </row>
    <row r="546" spans="1:25" x14ac:dyDescent="0.25">
      <c r="A546" t="s">
        <v>2892</v>
      </c>
      <c r="B546" t="s">
        <v>2893</v>
      </c>
      <c r="C546">
        <v>260</v>
      </c>
      <c r="D546" t="s">
        <v>77</v>
      </c>
      <c r="E546" t="s">
        <v>64</v>
      </c>
      <c r="F546" t="s">
        <v>420</v>
      </c>
      <c r="H546">
        <v>54</v>
      </c>
      <c r="I546">
        <v>1401</v>
      </c>
      <c r="J546" t="s">
        <v>2894</v>
      </c>
      <c r="K546" t="s">
        <v>2895</v>
      </c>
      <c r="M546" t="s">
        <v>329</v>
      </c>
      <c r="N546">
        <v>26031</v>
      </c>
      <c r="O546" t="s">
        <v>303</v>
      </c>
      <c r="Q546" t="s">
        <v>330</v>
      </c>
      <c r="R546" t="s">
        <v>2896</v>
      </c>
      <c r="S546" t="s">
        <v>2897</v>
      </c>
      <c r="T546" s="6">
        <v>2500000000</v>
      </c>
      <c r="U546" s="45">
        <f>VLOOKUP(B546,realPrices!C:G,5,0)</f>
        <v>2979999999</v>
      </c>
      <c r="W546" t="str">
        <f t="shared" si="8"/>
        <v>206TU31401</v>
      </c>
      <c r="X546" t="e">
        <f>VLOOKUP(W546,Sheet10!D:F,2,0)*10000000</f>
        <v>#N/A</v>
      </c>
      <c r="Y546" t="s">
        <v>74</v>
      </c>
    </row>
    <row r="547" spans="1:25" x14ac:dyDescent="0.25">
      <c r="A547" t="s">
        <v>2898</v>
      </c>
      <c r="B547" t="s">
        <v>2899</v>
      </c>
      <c r="C547">
        <v>351</v>
      </c>
      <c r="D547" t="s">
        <v>240</v>
      </c>
      <c r="E547" t="s">
        <v>64</v>
      </c>
      <c r="F547" t="s">
        <v>491</v>
      </c>
      <c r="H547">
        <v>73</v>
      </c>
      <c r="I547">
        <v>1401</v>
      </c>
      <c r="J547" t="s">
        <v>2900</v>
      </c>
      <c r="K547" t="s">
        <v>2901</v>
      </c>
      <c r="M547" t="s">
        <v>400</v>
      </c>
      <c r="N547">
        <v>35103</v>
      </c>
      <c r="O547" t="s">
        <v>70</v>
      </c>
      <c r="Q547" t="s">
        <v>2572</v>
      </c>
      <c r="R547" t="s">
        <v>2902</v>
      </c>
      <c r="S547" t="s">
        <v>2903</v>
      </c>
      <c r="T547" s="6">
        <v>2500000000</v>
      </c>
      <c r="U547" s="45">
        <f>VLOOKUP(B547,realPrices!C:G,5,0)</f>
        <v>2920009000</v>
      </c>
      <c r="W547" t="str">
        <f t="shared" si="8"/>
        <v>PARS XU7 P1401</v>
      </c>
      <c r="X547">
        <f>VLOOKUP(W547,Sheet10!D:F,2,0)*10000000</f>
        <v>4500000000</v>
      </c>
      <c r="Y547" t="s">
        <v>74</v>
      </c>
    </row>
    <row r="548" spans="1:25" x14ac:dyDescent="0.25">
      <c r="A548" t="s">
        <v>2706</v>
      </c>
      <c r="B548" t="s">
        <v>2904</v>
      </c>
      <c r="C548">
        <v>351</v>
      </c>
      <c r="D548" t="s">
        <v>77</v>
      </c>
      <c r="E548" t="s">
        <v>64</v>
      </c>
      <c r="F548" t="s">
        <v>420</v>
      </c>
      <c r="H548">
        <v>1618</v>
      </c>
      <c r="I548">
        <v>1401</v>
      </c>
      <c r="J548" t="s">
        <v>2905</v>
      </c>
      <c r="K548" t="s">
        <v>2906</v>
      </c>
      <c r="M548" t="s">
        <v>400</v>
      </c>
      <c r="N548">
        <v>35101</v>
      </c>
      <c r="O548" t="s">
        <v>70</v>
      </c>
      <c r="Q548" t="s">
        <v>401</v>
      </c>
      <c r="R548" t="s">
        <v>2907</v>
      </c>
      <c r="S548" t="s">
        <v>2908</v>
      </c>
      <c r="T548" s="6">
        <v>2500000000</v>
      </c>
      <c r="U548" s="45">
        <f>VLOOKUP(B548,realPrices!C:G,5,0)</f>
        <v>3171000000</v>
      </c>
      <c r="W548" t="str">
        <f t="shared" si="8"/>
        <v>PARS XU7 P1401</v>
      </c>
      <c r="X548">
        <f>VLOOKUP(W548,Sheet10!D:F,2,0)*10000000</f>
        <v>4500000000</v>
      </c>
      <c r="Y548" t="s">
        <v>74</v>
      </c>
    </row>
    <row r="549" spans="1:25" x14ac:dyDescent="0.25">
      <c r="A549" t="s">
        <v>2476</v>
      </c>
      <c r="B549" t="s">
        <v>2909</v>
      </c>
      <c r="C549">
        <v>575</v>
      </c>
      <c r="D549" t="s">
        <v>63</v>
      </c>
      <c r="E549" t="s">
        <v>64</v>
      </c>
      <c r="F549" t="s">
        <v>491</v>
      </c>
      <c r="H549">
        <v>725</v>
      </c>
      <c r="I549">
        <v>1401</v>
      </c>
      <c r="J549" t="s">
        <v>2910</v>
      </c>
      <c r="K549" t="s">
        <v>2911</v>
      </c>
      <c r="M549" t="s">
        <v>367</v>
      </c>
      <c r="N549">
        <v>57519</v>
      </c>
      <c r="O549" t="s">
        <v>70</v>
      </c>
      <c r="Q549" t="s">
        <v>2420</v>
      </c>
      <c r="R549" t="s">
        <v>2912</v>
      </c>
      <c r="S549" t="s">
        <v>2913</v>
      </c>
      <c r="T549" s="6">
        <v>2500000000</v>
      </c>
      <c r="U549" s="45">
        <f>VLOOKUP(B549,realPrices!C:G,5,0)</f>
        <v>2853332220</v>
      </c>
      <c r="W549" t="str">
        <f t="shared" si="8"/>
        <v>SOREN EF71401</v>
      </c>
      <c r="X549">
        <f>VLOOKUP(W549,Sheet10!D:F,2,0)*10000000</f>
        <v>4650000000</v>
      </c>
      <c r="Y549" t="s">
        <v>74</v>
      </c>
    </row>
    <row r="550" spans="1:25" x14ac:dyDescent="0.25">
      <c r="A550" t="s">
        <v>2706</v>
      </c>
      <c r="B550" t="s">
        <v>2914</v>
      </c>
      <c r="C550">
        <v>351</v>
      </c>
      <c r="D550" t="s">
        <v>77</v>
      </c>
      <c r="E550" t="s">
        <v>64</v>
      </c>
      <c r="F550" t="s">
        <v>420</v>
      </c>
      <c r="H550">
        <v>333</v>
      </c>
      <c r="I550">
        <v>1401</v>
      </c>
      <c r="J550" t="s">
        <v>2915</v>
      </c>
      <c r="K550" t="s">
        <v>2916</v>
      </c>
      <c r="M550" t="s">
        <v>400</v>
      </c>
      <c r="N550">
        <v>35101</v>
      </c>
      <c r="O550" t="s">
        <v>70</v>
      </c>
      <c r="Q550" t="s">
        <v>401</v>
      </c>
      <c r="R550" t="s">
        <v>2917</v>
      </c>
      <c r="S550" t="s">
        <v>2918</v>
      </c>
      <c r="T550" s="6">
        <v>2500000000</v>
      </c>
      <c r="U550" s="45">
        <f>VLOOKUP(B550,realPrices!C:G,5,0)</f>
        <v>3080000123</v>
      </c>
      <c r="W550" t="str">
        <f t="shared" si="8"/>
        <v>PARS XU7 P1401</v>
      </c>
      <c r="X550">
        <f>VLOOKUP(W550,Sheet10!D:F,2,0)*10000000</f>
        <v>4500000000</v>
      </c>
      <c r="Y550" t="s">
        <v>74</v>
      </c>
    </row>
    <row r="551" spans="1:25" x14ac:dyDescent="0.25">
      <c r="A551" t="s">
        <v>2568</v>
      </c>
      <c r="B551" t="s">
        <v>2919</v>
      </c>
      <c r="C551">
        <v>351</v>
      </c>
      <c r="D551" t="s">
        <v>63</v>
      </c>
      <c r="E551" t="s">
        <v>64</v>
      </c>
      <c r="F551" t="s">
        <v>2696</v>
      </c>
      <c r="H551">
        <v>4</v>
      </c>
      <c r="I551">
        <v>1401</v>
      </c>
      <c r="J551" t="s">
        <v>2920</v>
      </c>
      <c r="K551" t="s">
        <v>2921</v>
      </c>
      <c r="M551" t="s">
        <v>400</v>
      </c>
      <c r="N551">
        <v>35103</v>
      </c>
      <c r="O551" t="s">
        <v>70</v>
      </c>
      <c r="Q551" t="s">
        <v>2572</v>
      </c>
      <c r="R551" t="s">
        <v>2922</v>
      </c>
      <c r="S551" t="s">
        <v>2105</v>
      </c>
      <c r="T551" s="6">
        <v>2500000000</v>
      </c>
      <c r="U551" s="45">
        <f>VLOOKUP(B551,realPrices!C:G,5,0)</f>
        <v>2935000000</v>
      </c>
      <c r="W551" t="str">
        <f t="shared" si="8"/>
        <v>PARS XU7 P1401</v>
      </c>
      <c r="X551">
        <f>VLOOKUP(W551,Sheet10!D:F,2,0)*10000000</f>
        <v>4500000000</v>
      </c>
      <c r="Y551" t="s">
        <v>74</v>
      </c>
    </row>
    <row r="552" spans="1:25" x14ac:dyDescent="0.25">
      <c r="A552" t="s">
        <v>1418</v>
      </c>
      <c r="B552" t="s">
        <v>2923</v>
      </c>
      <c r="C552">
        <v>351</v>
      </c>
      <c r="D552" t="s">
        <v>63</v>
      </c>
      <c r="E552" t="s">
        <v>64</v>
      </c>
      <c r="F552" t="s">
        <v>318</v>
      </c>
      <c r="H552">
        <v>2</v>
      </c>
      <c r="I552">
        <v>1401</v>
      </c>
      <c r="J552" t="s">
        <v>2924</v>
      </c>
      <c r="K552" t="s">
        <v>2925</v>
      </c>
      <c r="M552" t="s">
        <v>400</v>
      </c>
      <c r="N552">
        <v>35101</v>
      </c>
      <c r="O552" t="s">
        <v>70</v>
      </c>
      <c r="Q552" t="s">
        <v>401</v>
      </c>
      <c r="R552" t="s">
        <v>2926</v>
      </c>
      <c r="S552" t="s">
        <v>2075</v>
      </c>
      <c r="T552" s="6">
        <v>2500000000</v>
      </c>
      <c r="U552" s="45">
        <f>VLOOKUP(B552,realPrices!C:G,5,0)</f>
        <v>2663800000</v>
      </c>
      <c r="W552" t="str">
        <f t="shared" si="8"/>
        <v>PARS XU7 P1401</v>
      </c>
      <c r="X552">
        <f>VLOOKUP(W552,Sheet10!D:F,2,0)*10000000</f>
        <v>4500000000</v>
      </c>
      <c r="Y552" t="s">
        <v>74</v>
      </c>
    </row>
    <row r="553" spans="1:25" x14ac:dyDescent="0.25">
      <c r="A553" t="s">
        <v>396</v>
      </c>
      <c r="B553" t="s">
        <v>2927</v>
      </c>
      <c r="C553">
        <v>351</v>
      </c>
      <c r="D553" t="s">
        <v>259</v>
      </c>
      <c r="E553" t="s">
        <v>64</v>
      </c>
      <c r="F553" t="s">
        <v>2696</v>
      </c>
      <c r="H553">
        <v>14</v>
      </c>
      <c r="I553">
        <v>1401</v>
      </c>
      <c r="J553" t="s">
        <v>2928</v>
      </c>
      <c r="K553" t="s">
        <v>2929</v>
      </c>
      <c r="M553" t="s">
        <v>400</v>
      </c>
      <c r="N553">
        <v>35101</v>
      </c>
      <c r="O553" t="s">
        <v>70</v>
      </c>
      <c r="Q553" t="s">
        <v>401</v>
      </c>
      <c r="R553" t="s">
        <v>2930</v>
      </c>
      <c r="S553" t="s">
        <v>2090</v>
      </c>
      <c r="T553" s="6">
        <v>2500000000</v>
      </c>
      <c r="U553" s="45">
        <f>VLOOKUP(B553,realPrices!C:G,5,0)</f>
        <v>2786500000</v>
      </c>
      <c r="W553" t="str">
        <f t="shared" si="8"/>
        <v>PARS XU7 P1401</v>
      </c>
      <c r="X553">
        <f>VLOOKUP(W553,Sheet10!D:F,2,0)*10000000</f>
        <v>4500000000</v>
      </c>
      <c r="Y553" t="s">
        <v>74</v>
      </c>
    </row>
    <row r="554" spans="1:25" x14ac:dyDescent="0.25">
      <c r="A554" t="s">
        <v>316</v>
      </c>
      <c r="B554" t="s">
        <v>2931</v>
      </c>
      <c r="C554">
        <v>610</v>
      </c>
      <c r="D554" t="s">
        <v>63</v>
      </c>
      <c r="E554" t="s">
        <v>64</v>
      </c>
      <c r="F554" t="s">
        <v>2696</v>
      </c>
      <c r="H554">
        <v>32</v>
      </c>
      <c r="I554">
        <v>1401</v>
      </c>
      <c r="J554" t="s">
        <v>2932</v>
      </c>
      <c r="K554" t="s">
        <v>2933</v>
      </c>
      <c r="M554" t="s">
        <v>321</v>
      </c>
      <c r="N554">
        <v>61015</v>
      </c>
      <c r="O554" t="s">
        <v>70</v>
      </c>
      <c r="Q554" t="s">
        <v>322</v>
      </c>
      <c r="R554" t="s">
        <v>2934</v>
      </c>
      <c r="S554" t="s">
        <v>2935</v>
      </c>
      <c r="T554" s="6">
        <v>2520000000</v>
      </c>
      <c r="U554" s="45">
        <f>VLOOKUP(B554,realPrices!C:G,5,0)</f>
        <v>3780000000</v>
      </c>
      <c r="W554" t="str">
        <f t="shared" si="8"/>
        <v>TU51401</v>
      </c>
      <c r="X554">
        <f>VLOOKUP(W554,Sheet10!D:F,2,0)*10000000</f>
        <v>4450000000</v>
      </c>
      <c r="Y554" t="s">
        <v>74</v>
      </c>
    </row>
    <row r="555" spans="1:25" x14ac:dyDescent="0.25">
      <c r="A555" t="s">
        <v>325</v>
      </c>
      <c r="B555" t="s">
        <v>2936</v>
      </c>
      <c r="C555">
        <v>260</v>
      </c>
      <c r="D555" t="s">
        <v>63</v>
      </c>
      <c r="E555" t="s">
        <v>64</v>
      </c>
      <c r="F555" t="s">
        <v>420</v>
      </c>
      <c r="H555">
        <v>22</v>
      </c>
      <c r="I555">
        <v>1401</v>
      </c>
      <c r="J555" t="s">
        <v>2937</v>
      </c>
      <c r="K555" t="s">
        <v>2848</v>
      </c>
      <c r="M555" t="s">
        <v>329</v>
      </c>
      <c r="N555">
        <v>26031</v>
      </c>
      <c r="O555" t="s">
        <v>303</v>
      </c>
      <c r="Q555" t="s">
        <v>330</v>
      </c>
      <c r="R555" t="s">
        <v>2938</v>
      </c>
      <c r="S555" t="s">
        <v>2939</v>
      </c>
      <c r="T555" s="6">
        <v>2530000000</v>
      </c>
      <c r="U555" s="45">
        <f>VLOOKUP(B555,realPrices!C:G,5,0)</f>
        <v>3052210000</v>
      </c>
      <c r="W555" t="str">
        <f t="shared" si="8"/>
        <v>206TU31401</v>
      </c>
      <c r="X555" t="e">
        <f>VLOOKUP(W555,Sheet10!D:F,2,0)*10000000</f>
        <v>#N/A</v>
      </c>
      <c r="Y555" t="s">
        <v>74</v>
      </c>
    </row>
    <row r="556" spans="1:25" x14ac:dyDescent="0.25">
      <c r="A556" t="s">
        <v>2940</v>
      </c>
      <c r="B556" t="s">
        <v>2941</v>
      </c>
      <c r="C556">
        <v>703</v>
      </c>
      <c r="D556" t="s">
        <v>259</v>
      </c>
      <c r="E556" t="s">
        <v>64</v>
      </c>
      <c r="F556" t="s">
        <v>420</v>
      </c>
      <c r="G556" t="s">
        <v>2942</v>
      </c>
      <c r="H556">
        <v>49567</v>
      </c>
      <c r="I556">
        <v>1398</v>
      </c>
      <c r="J556" t="s">
        <v>2943</v>
      </c>
      <c r="K556" t="s">
        <v>2944</v>
      </c>
      <c r="L556" t="s">
        <v>2945</v>
      </c>
      <c r="M556" t="s">
        <v>2946</v>
      </c>
      <c r="N556">
        <v>70309</v>
      </c>
      <c r="O556" t="s">
        <v>70</v>
      </c>
      <c r="Q556" t="s">
        <v>2947</v>
      </c>
      <c r="R556" t="s">
        <v>2948</v>
      </c>
      <c r="S556" t="s">
        <v>2949</v>
      </c>
      <c r="T556" s="6">
        <v>2550000000</v>
      </c>
      <c r="U556" s="45">
        <f>VLOOKUP(B556,realPrices!C:G,5,0)</f>
        <v>3666666666</v>
      </c>
      <c r="W556" t="str">
        <f t="shared" si="8"/>
        <v>DENA+EF7-MT1398</v>
      </c>
      <c r="X556">
        <f>VLOOKUP(W556,Sheet10!D:F,2,0)*10000000</f>
        <v>6000000000</v>
      </c>
      <c r="Y556" t="s">
        <v>74</v>
      </c>
    </row>
    <row r="557" spans="1:25" x14ac:dyDescent="0.25">
      <c r="A557" t="s">
        <v>191</v>
      </c>
      <c r="B557" t="s">
        <v>2950</v>
      </c>
      <c r="C557">
        <v>285</v>
      </c>
      <c r="D557" t="s">
        <v>63</v>
      </c>
      <c r="E557" t="s">
        <v>64</v>
      </c>
      <c r="F557" t="s">
        <v>491</v>
      </c>
      <c r="H557">
        <v>20</v>
      </c>
      <c r="I557">
        <v>1401</v>
      </c>
      <c r="J557" t="s">
        <v>2951</v>
      </c>
      <c r="K557" t="s">
        <v>2952</v>
      </c>
      <c r="M557" t="s">
        <v>198</v>
      </c>
      <c r="N557">
        <v>28520</v>
      </c>
      <c r="O557" t="s">
        <v>70</v>
      </c>
      <c r="Q557" t="s">
        <v>199</v>
      </c>
      <c r="R557" t="s">
        <v>2953</v>
      </c>
      <c r="S557" t="s">
        <v>2065</v>
      </c>
      <c r="T557" s="6">
        <v>2550000000</v>
      </c>
      <c r="U557" s="45">
        <f>VLOOKUP(B557,realPrices!C:G,5,0)</f>
        <v>3711000001</v>
      </c>
      <c r="W557" t="str">
        <f t="shared" si="8"/>
        <v>PARS TU51401</v>
      </c>
      <c r="X557">
        <f>VLOOKUP(W557,Sheet10!D:F,2,0)*10000000</f>
        <v>5250000000</v>
      </c>
      <c r="Y557" t="s">
        <v>74</v>
      </c>
    </row>
    <row r="558" spans="1:25" x14ac:dyDescent="0.25">
      <c r="A558" t="s">
        <v>2568</v>
      </c>
      <c r="B558" t="s">
        <v>2954</v>
      </c>
      <c r="C558">
        <v>351</v>
      </c>
      <c r="D558" t="s">
        <v>63</v>
      </c>
      <c r="E558" t="s">
        <v>64</v>
      </c>
      <c r="F558" t="s">
        <v>420</v>
      </c>
      <c r="H558">
        <v>20</v>
      </c>
      <c r="I558">
        <v>1401</v>
      </c>
      <c r="J558" t="s">
        <v>2955</v>
      </c>
      <c r="K558" t="s">
        <v>2956</v>
      </c>
      <c r="M558" t="s">
        <v>400</v>
      </c>
      <c r="N558">
        <v>35103</v>
      </c>
      <c r="O558" t="s">
        <v>70</v>
      </c>
      <c r="Q558" t="s">
        <v>2572</v>
      </c>
      <c r="R558" t="s">
        <v>2957</v>
      </c>
      <c r="S558" t="s">
        <v>461</v>
      </c>
      <c r="T558" s="6">
        <v>2550000000</v>
      </c>
      <c r="U558" s="45">
        <f>VLOOKUP(B558,realPrices!C:G,5,0)</f>
        <v>3151500000</v>
      </c>
      <c r="W558" t="str">
        <f t="shared" si="8"/>
        <v>PARS XU7 P1401</v>
      </c>
      <c r="X558">
        <f>VLOOKUP(W558,Sheet10!D:F,2,0)*10000000</f>
        <v>4500000000</v>
      </c>
      <c r="Y558" t="s">
        <v>74</v>
      </c>
    </row>
    <row r="559" spans="1:25" x14ac:dyDescent="0.25">
      <c r="A559" t="s">
        <v>2958</v>
      </c>
      <c r="B559" t="s">
        <v>2959</v>
      </c>
      <c r="C559">
        <v>610</v>
      </c>
      <c r="D559" t="s">
        <v>240</v>
      </c>
      <c r="E559" t="s">
        <v>64</v>
      </c>
      <c r="F559" t="s">
        <v>2436</v>
      </c>
      <c r="H559">
        <v>35</v>
      </c>
      <c r="I559">
        <v>1401</v>
      </c>
      <c r="J559" t="s">
        <v>2960</v>
      </c>
      <c r="K559" t="s">
        <v>2961</v>
      </c>
      <c r="M559" t="s">
        <v>321</v>
      </c>
      <c r="N559">
        <v>61015</v>
      </c>
      <c r="O559" t="s">
        <v>70</v>
      </c>
      <c r="Q559" t="s">
        <v>322</v>
      </c>
      <c r="R559" t="s">
        <v>2962</v>
      </c>
      <c r="S559" t="s">
        <v>2963</v>
      </c>
      <c r="T559" s="6">
        <v>2550000000</v>
      </c>
      <c r="U559" s="45">
        <f>VLOOKUP(B559,realPrices!C:G,5,0)</f>
        <v>3058888888</v>
      </c>
      <c r="W559" t="str">
        <f t="shared" si="8"/>
        <v>TU51401</v>
      </c>
      <c r="X559">
        <f>VLOOKUP(W559,Sheet10!D:F,2,0)*10000000</f>
        <v>4450000000</v>
      </c>
      <c r="Y559" t="s">
        <v>74</v>
      </c>
    </row>
    <row r="560" spans="1:25" x14ac:dyDescent="0.25">
      <c r="A560" t="s">
        <v>2898</v>
      </c>
      <c r="B560" t="s">
        <v>2964</v>
      </c>
      <c r="C560">
        <v>351</v>
      </c>
      <c r="D560" t="s">
        <v>240</v>
      </c>
      <c r="E560" t="s">
        <v>64</v>
      </c>
      <c r="F560" t="s">
        <v>420</v>
      </c>
      <c r="H560">
        <v>100</v>
      </c>
      <c r="I560">
        <v>1401</v>
      </c>
      <c r="J560" t="s">
        <v>2965</v>
      </c>
      <c r="K560" t="s">
        <v>2966</v>
      </c>
      <c r="M560" t="s">
        <v>400</v>
      </c>
      <c r="N560">
        <v>35103</v>
      </c>
      <c r="O560" t="s">
        <v>70</v>
      </c>
      <c r="Q560" t="s">
        <v>2572</v>
      </c>
      <c r="R560" t="s">
        <v>2967</v>
      </c>
      <c r="S560" t="s">
        <v>2968</v>
      </c>
      <c r="T560" s="6">
        <v>2550000000</v>
      </c>
      <c r="U560" s="45">
        <f>VLOOKUP(B560,realPrices!C:G,5,0)</f>
        <v>3165000000</v>
      </c>
      <c r="W560" t="str">
        <f t="shared" si="8"/>
        <v>PARS XU7 P1401</v>
      </c>
      <c r="X560">
        <f>VLOOKUP(W560,Sheet10!D:F,2,0)*10000000</f>
        <v>4500000000</v>
      </c>
      <c r="Y560" t="s">
        <v>74</v>
      </c>
    </row>
    <row r="561" spans="1:25" x14ac:dyDescent="0.25">
      <c r="A561" t="s">
        <v>2969</v>
      </c>
      <c r="B561" t="s">
        <v>2970</v>
      </c>
      <c r="C561">
        <v>351</v>
      </c>
      <c r="D561" t="s">
        <v>77</v>
      </c>
      <c r="E561" t="s">
        <v>64</v>
      </c>
      <c r="F561" t="s">
        <v>420</v>
      </c>
      <c r="H561">
        <v>101</v>
      </c>
      <c r="I561">
        <v>1401</v>
      </c>
      <c r="J561" t="s">
        <v>2971</v>
      </c>
      <c r="K561" t="s">
        <v>2972</v>
      </c>
      <c r="M561" t="s">
        <v>400</v>
      </c>
      <c r="N561">
        <v>35103</v>
      </c>
      <c r="O561" t="s">
        <v>70</v>
      </c>
      <c r="Q561" t="s">
        <v>2572</v>
      </c>
      <c r="R561" t="s">
        <v>2973</v>
      </c>
      <c r="S561" t="s">
        <v>455</v>
      </c>
      <c r="T561" s="6">
        <v>2550000000</v>
      </c>
      <c r="U561" s="45">
        <f>VLOOKUP(B561,realPrices!C:G,5,0)</f>
        <v>3141140000</v>
      </c>
      <c r="W561" t="str">
        <f t="shared" si="8"/>
        <v>PARS XU7 P1401</v>
      </c>
      <c r="X561">
        <f>VLOOKUP(W561,Sheet10!D:F,2,0)*10000000</f>
        <v>4500000000</v>
      </c>
      <c r="Y561" t="s">
        <v>74</v>
      </c>
    </row>
    <row r="562" spans="1:25" x14ac:dyDescent="0.25">
      <c r="A562" t="s">
        <v>2568</v>
      </c>
      <c r="B562" t="s">
        <v>2974</v>
      </c>
      <c r="C562">
        <v>351</v>
      </c>
      <c r="D562" t="s">
        <v>63</v>
      </c>
      <c r="E562" t="s">
        <v>64</v>
      </c>
      <c r="F562" t="s">
        <v>420</v>
      </c>
      <c r="H562">
        <v>92</v>
      </c>
      <c r="I562">
        <v>1401</v>
      </c>
      <c r="J562" t="s">
        <v>2975</v>
      </c>
      <c r="K562" t="s">
        <v>2976</v>
      </c>
      <c r="M562" t="s">
        <v>400</v>
      </c>
      <c r="N562">
        <v>35103</v>
      </c>
      <c r="O562" t="s">
        <v>70</v>
      </c>
      <c r="Q562" t="s">
        <v>2572</v>
      </c>
      <c r="R562" t="s">
        <v>2977</v>
      </c>
      <c r="S562" t="s">
        <v>2978</v>
      </c>
      <c r="T562" s="6">
        <v>2550000000</v>
      </c>
      <c r="U562" s="45">
        <f>VLOOKUP(B562,realPrices!C:G,5,0)</f>
        <v>3205990000</v>
      </c>
      <c r="W562" t="str">
        <f t="shared" si="8"/>
        <v>PARS XU7 P1401</v>
      </c>
      <c r="X562">
        <f>VLOOKUP(W562,Sheet10!D:F,2,0)*10000000</f>
        <v>4500000000</v>
      </c>
      <c r="Y562" t="s">
        <v>74</v>
      </c>
    </row>
    <row r="563" spans="1:25" x14ac:dyDescent="0.25">
      <c r="A563" t="s">
        <v>2568</v>
      </c>
      <c r="B563" t="s">
        <v>2979</v>
      </c>
      <c r="C563">
        <v>351</v>
      </c>
      <c r="D563" t="s">
        <v>63</v>
      </c>
      <c r="E563" t="s">
        <v>64</v>
      </c>
      <c r="F563" t="s">
        <v>420</v>
      </c>
      <c r="H563">
        <v>71</v>
      </c>
      <c r="I563">
        <v>1401</v>
      </c>
      <c r="J563" t="s">
        <v>2980</v>
      </c>
      <c r="K563" t="s">
        <v>2981</v>
      </c>
      <c r="M563" t="s">
        <v>400</v>
      </c>
      <c r="N563">
        <v>35103</v>
      </c>
      <c r="O563" t="s">
        <v>70</v>
      </c>
      <c r="Q563" t="s">
        <v>2572</v>
      </c>
      <c r="R563" t="s">
        <v>2982</v>
      </c>
      <c r="S563" t="s">
        <v>450</v>
      </c>
      <c r="T563" s="6">
        <v>2550000000</v>
      </c>
      <c r="U563" s="45">
        <f>VLOOKUP(B563,realPrices!C:G,5,0)</f>
        <v>3176000000</v>
      </c>
      <c r="W563" t="str">
        <f t="shared" si="8"/>
        <v>PARS XU7 P1401</v>
      </c>
      <c r="X563">
        <f>VLOOKUP(W563,Sheet10!D:F,2,0)*10000000</f>
        <v>4500000000</v>
      </c>
      <c r="Y563" t="s">
        <v>74</v>
      </c>
    </row>
    <row r="564" spans="1:25" x14ac:dyDescent="0.25">
      <c r="A564" t="s">
        <v>2476</v>
      </c>
      <c r="B564" t="s">
        <v>2983</v>
      </c>
      <c r="C564">
        <v>575</v>
      </c>
      <c r="D564" t="s">
        <v>63</v>
      </c>
      <c r="E564" t="s">
        <v>64</v>
      </c>
      <c r="F564" t="s">
        <v>2436</v>
      </c>
      <c r="H564">
        <v>731</v>
      </c>
      <c r="I564">
        <v>1401</v>
      </c>
      <c r="J564" t="s">
        <v>2984</v>
      </c>
      <c r="K564" t="s">
        <v>2985</v>
      </c>
      <c r="M564" t="s">
        <v>367</v>
      </c>
      <c r="N564">
        <v>57519</v>
      </c>
      <c r="O564" t="s">
        <v>70</v>
      </c>
      <c r="Q564" t="s">
        <v>2420</v>
      </c>
      <c r="R564" t="s">
        <v>2986</v>
      </c>
      <c r="S564" t="s">
        <v>2987</v>
      </c>
      <c r="T564" s="6">
        <v>2550000000</v>
      </c>
      <c r="U564" s="45">
        <f>VLOOKUP(B564,realPrices!C:G,5,0)</f>
        <v>2798000001</v>
      </c>
      <c r="W564" t="str">
        <f t="shared" si="8"/>
        <v>SOREN EF71401</v>
      </c>
      <c r="X564">
        <f>VLOOKUP(W564,Sheet10!D:F,2,0)*10000000</f>
        <v>4650000000</v>
      </c>
      <c r="Y564" t="s">
        <v>74</v>
      </c>
    </row>
    <row r="565" spans="1:25" x14ac:dyDescent="0.25">
      <c r="A565" t="s">
        <v>2568</v>
      </c>
      <c r="B565" t="s">
        <v>2988</v>
      </c>
      <c r="C565">
        <v>351</v>
      </c>
      <c r="D565" t="s">
        <v>63</v>
      </c>
      <c r="E565" t="s">
        <v>64</v>
      </c>
      <c r="F565" t="s">
        <v>420</v>
      </c>
      <c r="H565">
        <v>129</v>
      </c>
      <c r="I565">
        <v>1401</v>
      </c>
      <c r="J565" t="s">
        <v>2989</v>
      </c>
      <c r="K565" t="s">
        <v>2990</v>
      </c>
      <c r="M565" t="s">
        <v>400</v>
      </c>
      <c r="N565">
        <v>35103</v>
      </c>
      <c r="O565" t="s">
        <v>70</v>
      </c>
      <c r="Q565" t="s">
        <v>2572</v>
      </c>
      <c r="R565" t="s">
        <v>2991</v>
      </c>
      <c r="S565" t="s">
        <v>466</v>
      </c>
      <c r="T565" s="6">
        <v>2550000000</v>
      </c>
      <c r="U565" s="45">
        <f>VLOOKUP(B565,realPrices!C:G,5,0)</f>
        <v>3081111111</v>
      </c>
      <c r="W565" t="str">
        <f t="shared" si="8"/>
        <v>PARS XU7 P1401</v>
      </c>
      <c r="X565">
        <f>VLOOKUP(W565,Sheet10!D:F,2,0)*10000000</f>
        <v>4500000000</v>
      </c>
      <c r="Y565" t="s">
        <v>74</v>
      </c>
    </row>
    <row r="566" spans="1:25" x14ac:dyDescent="0.25">
      <c r="A566" t="s">
        <v>2568</v>
      </c>
      <c r="B566" t="s">
        <v>2992</v>
      </c>
      <c r="C566">
        <v>351</v>
      </c>
      <c r="D566" t="s">
        <v>63</v>
      </c>
      <c r="E566" t="s">
        <v>64</v>
      </c>
      <c r="F566" t="s">
        <v>2696</v>
      </c>
      <c r="H566">
        <v>17</v>
      </c>
      <c r="I566">
        <v>1401</v>
      </c>
      <c r="J566" t="s">
        <v>2993</v>
      </c>
      <c r="K566" t="s">
        <v>2994</v>
      </c>
      <c r="M566" t="s">
        <v>400</v>
      </c>
      <c r="N566">
        <v>35103</v>
      </c>
      <c r="O566" t="s">
        <v>70</v>
      </c>
      <c r="Q566" t="s">
        <v>2572</v>
      </c>
      <c r="R566" t="s">
        <v>2995</v>
      </c>
      <c r="S566" t="s">
        <v>2996</v>
      </c>
      <c r="T566" s="6">
        <v>2550000000</v>
      </c>
      <c r="U566" s="45">
        <f>VLOOKUP(B566,realPrices!C:G,5,0)</f>
        <v>3002000000</v>
      </c>
      <c r="W566" t="str">
        <f t="shared" si="8"/>
        <v>PARS XU7 P1401</v>
      </c>
      <c r="X566">
        <f>VLOOKUP(W566,Sheet10!D:F,2,0)*10000000</f>
        <v>4500000000</v>
      </c>
      <c r="Y566" t="s">
        <v>74</v>
      </c>
    </row>
    <row r="567" spans="1:25" x14ac:dyDescent="0.25">
      <c r="A567" t="s">
        <v>2706</v>
      </c>
      <c r="B567" t="s">
        <v>2997</v>
      </c>
      <c r="C567">
        <v>351</v>
      </c>
      <c r="D567" t="s">
        <v>77</v>
      </c>
      <c r="E567" t="s">
        <v>64</v>
      </c>
      <c r="F567" t="s">
        <v>420</v>
      </c>
      <c r="H567">
        <v>12</v>
      </c>
      <c r="I567">
        <v>1401</v>
      </c>
      <c r="J567" t="s">
        <v>2998</v>
      </c>
      <c r="K567" t="s">
        <v>2999</v>
      </c>
      <c r="M567" t="s">
        <v>400</v>
      </c>
      <c r="N567">
        <v>35101</v>
      </c>
      <c r="O567" t="s">
        <v>70</v>
      </c>
      <c r="Q567" t="s">
        <v>401</v>
      </c>
      <c r="R567" t="s">
        <v>3000</v>
      </c>
      <c r="S567" t="s">
        <v>2095</v>
      </c>
      <c r="T567" s="6">
        <v>2550000000</v>
      </c>
      <c r="U567" s="45">
        <f>VLOOKUP(B567,realPrices!C:G,5,0)</f>
        <v>2961000000</v>
      </c>
      <c r="W567" t="str">
        <f t="shared" si="8"/>
        <v>PARS XU7 P1401</v>
      </c>
      <c r="X567">
        <f>VLOOKUP(W567,Sheet10!D:F,2,0)*10000000</f>
        <v>4500000000</v>
      </c>
      <c r="Y567" t="s">
        <v>74</v>
      </c>
    </row>
    <row r="568" spans="1:25" x14ac:dyDescent="0.25">
      <c r="A568" t="s">
        <v>316</v>
      </c>
      <c r="B568" t="s">
        <v>3001</v>
      </c>
      <c r="C568">
        <v>610</v>
      </c>
      <c r="D568" t="s">
        <v>63</v>
      </c>
      <c r="E568" t="s">
        <v>64</v>
      </c>
      <c r="F568" t="s">
        <v>420</v>
      </c>
      <c r="H568">
        <v>39</v>
      </c>
      <c r="I568">
        <v>1401</v>
      </c>
      <c r="J568" t="s">
        <v>3002</v>
      </c>
      <c r="K568" t="s">
        <v>3003</v>
      </c>
      <c r="M568" t="s">
        <v>321</v>
      </c>
      <c r="N568">
        <v>61015</v>
      </c>
      <c r="O568" t="s">
        <v>70</v>
      </c>
      <c r="Q568" t="s">
        <v>322</v>
      </c>
      <c r="R568" t="s">
        <v>3004</v>
      </c>
      <c r="S568" t="s">
        <v>3005</v>
      </c>
      <c r="T568" s="6">
        <v>2570000000</v>
      </c>
      <c r="U568" s="45">
        <f>VLOOKUP(B568,realPrices!C:G,5,0)</f>
        <v>2972850000</v>
      </c>
      <c r="W568" t="str">
        <f t="shared" si="8"/>
        <v>TU51401</v>
      </c>
      <c r="X568">
        <f>VLOOKUP(W568,Sheet10!D:F,2,0)*10000000</f>
        <v>4450000000</v>
      </c>
      <c r="Y568" t="s">
        <v>74</v>
      </c>
    </row>
    <row r="569" spans="1:25" x14ac:dyDescent="0.25">
      <c r="A569" t="s">
        <v>2898</v>
      </c>
      <c r="B569" t="s">
        <v>3006</v>
      </c>
      <c r="C569">
        <v>351</v>
      </c>
      <c r="D569" t="s">
        <v>240</v>
      </c>
      <c r="E569" t="s">
        <v>64</v>
      </c>
      <c r="F569" t="s">
        <v>420</v>
      </c>
      <c r="H569">
        <v>60</v>
      </c>
      <c r="I569">
        <v>1401</v>
      </c>
      <c r="J569" t="s">
        <v>3007</v>
      </c>
      <c r="K569" t="s">
        <v>3008</v>
      </c>
      <c r="M569" t="s">
        <v>400</v>
      </c>
      <c r="N569">
        <v>35103</v>
      </c>
      <c r="O569" t="s">
        <v>70</v>
      </c>
      <c r="Q569" t="s">
        <v>2572</v>
      </c>
      <c r="R569" t="s">
        <v>3009</v>
      </c>
      <c r="S569" t="s">
        <v>3010</v>
      </c>
      <c r="T569" s="6">
        <v>2580000000</v>
      </c>
      <c r="U569" s="45">
        <f>VLOOKUP(B569,realPrices!C:G,5,0)</f>
        <v>3215111111</v>
      </c>
      <c r="W569" t="str">
        <f t="shared" si="8"/>
        <v>PARS XU7 P1401</v>
      </c>
      <c r="X569">
        <f>VLOOKUP(W569,Sheet10!D:F,2,0)*10000000</f>
        <v>4500000000</v>
      </c>
      <c r="Y569" t="s">
        <v>74</v>
      </c>
    </row>
    <row r="570" spans="1:25" x14ac:dyDescent="0.25">
      <c r="A570" t="s">
        <v>3011</v>
      </c>
      <c r="B570" t="s">
        <v>3012</v>
      </c>
      <c r="C570">
        <v>610</v>
      </c>
      <c r="D570" t="s">
        <v>77</v>
      </c>
      <c r="E570" t="s">
        <v>64</v>
      </c>
      <c r="F570" t="s">
        <v>420</v>
      </c>
      <c r="H570">
        <v>57</v>
      </c>
      <c r="I570">
        <v>1401</v>
      </c>
      <c r="J570" t="s">
        <v>3013</v>
      </c>
      <c r="K570" t="s">
        <v>3014</v>
      </c>
      <c r="M570" t="s">
        <v>321</v>
      </c>
      <c r="N570">
        <v>61015</v>
      </c>
      <c r="O570" t="s">
        <v>70</v>
      </c>
      <c r="Q570" t="s">
        <v>322</v>
      </c>
      <c r="R570" t="s">
        <v>3015</v>
      </c>
      <c r="S570" t="s">
        <v>3016</v>
      </c>
      <c r="T570" s="6">
        <v>2580000000</v>
      </c>
      <c r="U570" s="45">
        <f>VLOOKUP(B570,realPrices!C:G,5,0)</f>
        <v>2965000000</v>
      </c>
      <c r="W570" t="str">
        <f t="shared" si="8"/>
        <v>TU51401</v>
      </c>
      <c r="X570">
        <f>VLOOKUP(W570,Sheet10!D:F,2,0)*10000000</f>
        <v>4450000000</v>
      </c>
      <c r="Y570" t="s">
        <v>74</v>
      </c>
    </row>
    <row r="571" spans="1:25" x14ac:dyDescent="0.25">
      <c r="A571" t="s">
        <v>2796</v>
      </c>
      <c r="B571" t="s">
        <v>3017</v>
      </c>
      <c r="C571">
        <v>575</v>
      </c>
      <c r="D571" t="s">
        <v>63</v>
      </c>
      <c r="E571" t="s">
        <v>64</v>
      </c>
      <c r="F571" t="s">
        <v>362</v>
      </c>
      <c r="G571" t="s">
        <v>363</v>
      </c>
      <c r="H571">
        <v>256</v>
      </c>
      <c r="I571">
        <v>1398</v>
      </c>
      <c r="J571" t="s">
        <v>3018</v>
      </c>
      <c r="K571" t="s">
        <v>3019</v>
      </c>
      <c r="L571" t="s">
        <v>3020</v>
      </c>
      <c r="M571" t="s">
        <v>367</v>
      </c>
      <c r="N571">
        <v>57516</v>
      </c>
      <c r="O571" t="s">
        <v>70</v>
      </c>
      <c r="Q571" t="s">
        <v>2801</v>
      </c>
      <c r="R571" t="s">
        <v>3021</v>
      </c>
      <c r="S571" t="s">
        <v>3022</v>
      </c>
      <c r="T571" s="6">
        <v>2600000000</v>
      </c>
      <c r="U571" s="45">
        <f>VLOOKUP(B571,realPrices!C:G,5,0)</f>
        <v>4076999999</v>
      </c>
      <c r="W571" t="str">
        <f t="shared" si="8"/>
        <v>SOREN EF71398</v>
      </c>
      <c r="X571">
        <f>VLOOKUP(W571,Sheet10!D:F,2,0)*10000000</f>
        <v>3800000000</v>
      </c>
      <c r="Y571" t="s">
        <v>114</v>
      </c>
    </row>
    <row r="572" spans="1:25" x14ac:dyDescent="0.25">
      <c r="A572" t="s">
        <v>2796</v>
      </c>
      <c r="B572" t="s">
        <v>3023</v>
      </c>
      <c r="C572">
        <v>575</v>
      </c>
      <c r="D572" t="s">
        <v>63</v>
      </c>
      <c r="E572" t="s">
        <v>64</v>
      </c>
      <c r="F572" t="s">
        <v>362</v>
      </c>
      <c r="G572" t="s">
        <v>363</v>
      </c>
      <c r="H572">
        <v>57</v>
      </c>
      <c r="I572">
        <v>1398</v>
      </c>
      <c r="J572" t="s">
        <v>3024</v>
      </c>
      <c r="K572" t="s">
        <v>3025</v>
      </c>
      <c r="L572" t="s">
        <v>3026</v>
      </c>
      <c r="M572" t="s">
        <v>367</v>
      </c>
      <c r="N572">
        <v>57516</v>
      </c>
      <c r="O572" t="s">
        <v>70</v>
      </c>
      <c r="Q572" t="s">
        <v>2801</v>
      </c>
      <c r="R572" t="s">
        <v>3027</v>
      </c>
      <c r="S572" t="s">
        <v>3028</v>
      </c>
      <c r="T572" s="6">
        <v>2600000000</v>
      </c>
      <c r="U572" s="45">
        <f>VLOOKUP(B572,realPrices!C:G,5,0)</f>
        <v>4490000000</v>
      </c>
      <c r="W572" t="str">
        <f t="shared" si="8"/>
        <v>SOREN EF71398</v>
      </c>
      <c r="X572">
        <f>VLOOKUP(W572,Sheet10!D:F,2,0)*10000000</f>
        <v>3800000000</v>
      </c>
      <c r="Y572" t="s">
        <v>114</v>
      </c>
    </row>
    <row r="573" spans="1:25" x14ac:dyDescent="0.25">
      <c r="A573" t="s">
        <v>2796</v>
      </c>
      <c r="B573" t="s">
        <v>3029</v>
      </c>
      <c r="C573">
        <v>575</v>
      </c>
      <c r="D573" t="s">
        <v>63</v>
      </c>
      <c r="E573" t="s">
        <v>64</v>
      </c>
      <c r="F573" t="s">
        <v>362</v>
      </c>
      <c r="G573" t="s">
        <v>363</v>
      </c>
      <c r="H573">
        <v>87</v>
      </c>
      <c r="I573">
        <v>1398</v>
      </c>
      <c r="J573" t="s">
        <v>3030</v>
      </c>
      <c r="K573" t="s">
        <v>3031</v>
      </c>
      <c r="L573" t="s">
        <v>3032</v>
      </c>
      <c r="M573" t="s">
        <v>367</v>
      </c>
      <c r="N573">
        <v>57516</v>
      </c>
      <c r="O573" t="s">
        <v>70</v>
      </c>
      <c r="Q573" t="s">
        <v>2801</v>
      </c>
      <c r="R573" t="s">
        <v>3033</v>
      </c>
      <c r="S573" t="s">
        <v>3034</v>
      </c>
      <c r="T573" s="6">
        <v>2600000000</v>
      </c>
      <c r="U573" s="45">
        <f>VLOOKUP(B573,realPrices!C:G,5,0)</f>
        <v>4119679900</v>
      </c>
      <c r="W573" t="str">
        <f t="shared" si="8"/>
        <v>SOREN EF71398</v>
      </c>
      <c r="X573">
        <f>VLOOKUP(W573,Sheet10!D:F,2,0)*10000000</f>
        <v>3800000000</v>
      </c>
      <c r="Y573" t="s">
        <v>114</v>
      </c>
    </row>
    <row r="574" spans="1:25" x14ac:dyDescent="0.25">
      <c r="A574" t="s">
        <v>2958</v>
      </c>
      <c r="B574" t="s">
        <v>3035</v>
      </c>
      <c r="C574">
        <v>610</v>
      </c>
      <c r="D574" t="s">
        <v>240</v>
      </c>
      <c r="E574" t="s">
        <v>64</v>
      </c>
      <c r="F574" t="s">
        <v>420</v>
      </c>
      <c r="H574">
        <v>27</v>
      </c>
      <c r="I574">
        <v>1401</v>
      </c>
      <c r="J574" t="s">
        <v>3036</v>
      </c>
      <c r="K574" t="s">
        <v>3037</v>
      </c>
      <c r="M574" t="s">
        <v>321</v>
      </c>
      <c r="N574">
        <v>61015</v>
      </c>
      <c r="O574" t="s">
        <v>70</v>
      </c>
      <c r="Q574" t="s">
        <v>322</v>
      </c>
      <c r="R574" t="s">
        <v>3038</v>
      </c>
      <c r="S574" t="s">
        <v>3039</v>
      </c>
      <c r="T574" s="6">
        <v>2600000000</v>
      </c>
      <c r="U574" s="45">
        <f>VLOOKUP(B574,realPrices!C:G,5,0)</f>
        <v>3020000000</v>
      </c>
      <c r="W574" t="str">
        <f t="shared" si="8"/>
        <v>TU51401</v>
      </c>
      <c r="X574">
        <f>VLOOKUP(W574,Sheet10!D:F,2,0)*10000000</f>
        <v>4450000000</v>
      </c>
      <c r="Y574" t="s">
        <v>74</v>
      </c>
    </row>
    <row r="575" spans="1:25" x14ac:dyDescent="0.25">
      <c r="A575" t="s">
        <v>2416</v>
      </c>
      <c r="B575" t="s">
        <v>3040</v>
      </c>
      <c r="C575">
        <v>575</v>
      </c>
      <c r="D575" t="s">
        <v>259</v>
      </c>
      <c r="E575" t="s">
        <v>64</v>
      </c>
      <c r="F575" t="s">
        <v>420</v>
      </c>
      <c r="H575">
        <v>33</v>
      </c>
      <c r="I575">
        <v>1401</v>
      </c>
      <c r="J575" t="s">
        <v>3041</v>
      </c>
      <c r="K575" t="s">
        <v>3042</v>
      </c>
      <c r="M575" t="s">
        <v>367</v>
      </c>
      <c r="N575">
        <v>57519</v>
      </c>
      <c r="O575" t="s">
        <v>70</v>
      </c>
      <c r="Q575" t="s">
        <v>2420</v>
      </c>
      <c r="R575" t="s">
        <v>3043</v>
      </c>
      <c r="S575" t="s">
        <v>3044</v>
      </c>
      <c r="T575" s="6">
        <v>2600000000</v>
      </c>
      <c r="U575" s="45">
        <f>VLOOKUP(B575,realPrices!C:G,5,0)</f>
        <v>3267322300</v>
      </c>
      <c r="W575" t="str">
        <f t="shared" si="8"/>
        <v>SOREN EF71401</v>
      </c>
      <c r="X575">
        <f>VLOOKUP(W575,Sheet10!D:F,2,0)*10000000</f>
        <v>4650000000</v>
      </c>
      <c r="Y575" t="s">
        <v>74</v>
      </c>
    </row>
    <row r="576" spans="1:25" x14ac:dyDescent="0.25">
      <c r="A576" t="s">
        <v>2476</v>
      </c>
      <c r="B576" t="s">
        <v>3045</v>
      </c>
      <c r="C576">
        <v>575</v>
      </c>
      <c r="D576" t="s">
        <v>63</v>
      </c>
      <c r="E576" t="s">
        <v>64</v>
      </c>
      <c r="F576" t="s">
        <v>420</v>
      </c>
      <c r="H576">
        <v>69</v>
      </c>
      <c r="I576">
        <v>1401</v>
      </c>
      <c r="J576" t="s">
        <v>3046</v>
      </c>
      <c r="K576" t="s">
        <v>3047</v>
      </c>
      <c r="M576" t="s">
        <v>367</v>
      </c>
      <c r="N576">
        <v>57519</v>
      </c>
      <c r="O576" t="s">
        <v>70</v>
      </c>
      <c r="Q576" t="s">
        <v>2420</v>
      </c>
      <c r="R576" t="s">
        <v>3048</v>
      </c>
      <c r="S576" t="s">
        <v>3049</v>
      </c>
      <c r="T576" s="6">
        <v>2600000000</v>
      </c>
      <c r="U576" s="45">
        <f>VLOOKUP(B576,realPrices!C:G,5,0)</f>
        <v>3321599999</v>
      </c>
      <c r="W576" t="str">
        <f t="shared" si="8"/>
        <v>SOREN EF71401</v>
      </c>
      <c r="X576">
        <f>VLOOKUP(W576,Sheet10!D:F,2,0)*10000000</f>
        <v>4650000000</v>
      </c>
      <c r="Y576" t="s">
        <v>74</v>
      </c>
    </row>
    <row r="577" spans="1:25" x14ac:dyDescent="0.25">
      <c r="A577" t="s">
        <v>1418</v>
      </c>
      <c r="B577" t="s">
        <v>3050</v>
      </c>
      <c r="C577">
        <v>351</v>
      </c>
      <c r="D577" t="s">
        <v>63</v>
      </c>
      <c r="E577" t="s">
        <v>64</v>
      </c>
      <c r="F577" t="s">
        <v>420</v>
      </c>
      <c r="H577">
        <v>8</v>
      </c>
      <c r="I577">
        <v>1401</v>
      </c>
      <c r="J577" t="s">
        <v>3051</v>
      </c>
      <c r="K577" t="s">
        <v>3052</v>
      </c>
      <c r="M577" t="s">
        <v>400</v>
      </c>
      <c r="N577">
        <v>35101</v>
      </c>
      <c r="O577" t="s">
        <v>70</v>
      </c>
      <c r="Q577" t="s">
        <v>401</v>
      </c>
      <c r="R577" t="s">
        <v>3053</v>
      </c>
      <c r="S577" t="s">
        <v>2080</v>
      </c>
      <c r="T577" s="6">
        <v>2600000000</v>
      </c>
      <c r="U577" s="45">
        <f>VLOOKUP(B577,realPrices!C:G,5,0)</f>
        <v>3678999000</v>
      </c>
      <c r="W577" t="str">
        <f t="shared" si="8"/>
        <v>PARS XU7 P1401</v>
      </c>
      <c r="X577">
        <f>VLOOKUP(W577,Sheet10!D:F,2,0)*10000000</f>
        <v>4500000000</v>
      </c>
      <c r="Y577" t="s">
        <v>74</v>
      </c>
    </row>
    <row r="578" spans="1:25" x14ac:dyDescent="0.25">
      <c r="A578" t="s">
        <v>2568</v>
      </c>
      <c r="B578" t="s">
        <v>3054</v>
      </c>
      <c r="C578">
        <v>351</v>
      </c>
      <c r="D578" t="s">
        <v>63</v>
      </c>
      <c r="E578" t="s">
        <v>64</v>
      </c>
      <c r="F578" t="s">
        <v>2696</v>
      </c>
      <c r="H578">
        <v>8</v>
      </c>
      <c r="I578">
        <v>1401</v>
      </c>
      <c r="J578" t="s">
        <v>3055</v>
      </c>
      <c r="K578" t="s">
        <v>3056</v>
      </c>
      <c r="M578" t="s">
        <v>400</v>
      </c>
      <c r="N578">
        <v>35103</v>
      </c>
      <c r="O578" t="s">
        <v>70</v>
      </c>
      <c r="Q578" t="s">
        <v>2572</v>
      </c>
      <c r="R578" t="s">
        <v>3057</v>
      </c>
      <c r="S578" t="s">
        <v>2114</v>
      </c>
      <c r="T578" s="6">
        <v>2600000000</v>
      </c>
      <c r="U578" s="45">
        <f>VLOOKUP(B578,realPrices!C:G,5,0)</f>
        <v>3117700000</v>
      </c>
      <c r="W578" t="str">
        <f t="shared" ref="W578:W641" si="9">M578&amp;I578</f>
        <v>PARS XU7 P1401</v>
      </c>
      <c r="X578">
        <f>VLOOKUP(W578,Sheet10!D:F,2,0)*10000000</f>
        <v>4500000000</v>
      </c>
      <c r="Y578" t="s">
        <v>74</v>
      </c>
    </row>
    <row r="579" spans="1:25" x14ac:dyDescent="0.25">
      <c r="A579" t="s">
        <v>2958</v>
      </c>
      <c r="B579" t="s">
        <v>3058</v>
      </c>
      <c r="C579">
        <v>610</v>
      </c>
      <c r="D579" t="s">
        <v>240</v>
      </c>
      <c r="E579" t="s">
        <v>64</v>
      </c>
      <c r="F579" t="s">
        <v>420</v>
      </c>
      <c r="H579">
        <v>23</v>
      </c>
      <c r="I579">
        <v>1401</v>
      </c>
      <c r="J579" t="s">
        <v>3059</v>
      </c>
      <c r="K579" t="s">
        <v>3060</v>
      </c>
      <c r="M579" t="s">
        <v>321</v>
      </c>
      <c r="N579">
        <v>61015</v>
      </c>
      <c r="O579" t="s">
        <v>70</v>
      </c>
      <c r="Q579" t="s">
        <v>322</v>
      </c>
      <c r="R579" t="s">
        <v>3061</v>
      </c>
      <c r="S579" t="s">
        <v>3062</v>
      </c>
      <c r="T579" s="6">
        <v>2620000000</v>
      </c>
      <c r="U579" s="45">
        <f>VLOOKUP(B579,realPrices!C:G,5,0)</f>
        <v>3150000000</v>
      </c>
      <c r="W579" t="str">
        <f t="shared" si="9"/>
        <v>TU51401</v>
      </c>
      <c r="X579">
        <f>VLOOKUP(W579,Sheet10!D:F,2,0)*10000000</f>
        <v>4450000000</v>
      </c>
      <c r="Y579" t="s">
        <v>74</v>
      </c>
    </row>
    <row r="580" spans="1:25" x14ac:dyDescent="0.25">
      <c r="A580" t="s">
        <v>2476</v>
      </c>
      <c r="B580" t="s">
        <v>3063</v>
      </c>
      <c r="C580">
        <v>575</v>
      </c>
      <c r="D580" t="s">
        <v>63</v>
      </c>
      <c r="E580" t="s">
        <v>64</v>
      </c>
      <c r="F580" t="s">
        <v>2696</v>
      </c>
      <c r="H580">
        <v>32</v>
      </c>
      <c r="I580">
        <v>1401</v>
      </c>
      <c r="J580" t="s">
        <v>3064</v>
      </c>
      <c r="K580" t="s">
        <v>3065</v>
      </c>
      <c r="M580" t="s">
        <v>367</v>
      </c>
      <c r="N580">
        <v>57519</v>
      </c>
      <c r="O580" t="s">
        <v>70</v>
      </c>
      <c r="Q580" t="s">
        <v>2420</v>
      </c>
      <c r="R580" t="s">
        <v>3066</v>
      </c>
      <c r="S580" t="s">
        <v>3067</v>
      </c>
      <c r="T580" s="6">
        <v>2630000000</v>
      </c>
      <c r="U580" s="45">
        <f>VLOOKUP(B580,realPrices!C:G,5,0)</f>
        <v>3339999999</v>
      </c>
      <c r="W580" t="str">
        <f t="shared" si="9"/>
        <v>SOREN EF71401</v>
      </c>
      <c r="X580">
        <f>VLOOKUP(W580,Sheet10!D:F,2,0)*10000000</f>
        <v>4650000000</v>
      </c>
      <c r="Y580" t="s">
        <v>74</v>
      </c>
    </row>
    <row r="581" spans="1:25" x14ac:dyDescent="0.25">
      <c r="A581" t="s">
        <v>2940</v>
      </c>
      <c r="B581" t="s">
        <v>3068</v>
      </c>
      <c r="C581">
        <v>703</v>
      </c>
      <c r="D581" t="s">
        <v>259</v>
      </c>
      <c r="E581" t="s">
        <v>64</v>
      </c>
      <c r="F581" t="s">
        <v>420</v>
      </c>
      <c r="G581" t="s">
        <v>3069</v>
      </c>
      <c r="H581">
        <v>42307</v>
      </c>
      <c r="I581">
        <v>1398</v>
      </c>
      <c r="J581" t="s">
        <v>3070</v>
      </c>
      <c r="K581" t="s">
        <v>3071</v>
      </c>
      <c r="L581" t="s">
        <v>3072</v>
      </c>
      <c r="M581" t="s">
        <v>2946</v>
      </c>
      <c r="N581">
        <v>70309</v>
      </c>
      <c r="O581" t="s">
        <v>70</v>
      </c>
      <c r="Q581" t="s">
        <v>2947</v>
      </c>
      <c r="R581" t="s">
        <v>3073</v>
      </c>
      <c r="S581" t="s">
        <v>3074</v>
      </c>
      <c r="T581" s="6">
        <v>2650000000</v>
      </c>
      <c r="U581" s="45">
        <f>VLOOKUP(B581,realPrices!C:G,5,0)</f>
        <v>3680000000</v>
      </c>
      <c r="W581" t="str">
        <f t="shared" si="9"/>
        <v>DENA+EF7-MT1398</v>
      </c>
      <c r="X581">
        <f>VLOOKUP(W581,Sheet10!D:F,2,0)*10000000</f>
        <v>6000000000</v>
      </c>
      <c r="Y581" t="s">
        <v>74</v>
      </c>
    </row>
    <row r="582" spans="1:25" x14ac:dyDescent="0.25">
      <c r="A582" t="s">
        <v>3075</v>
      </c>
      <c r="B582" t="s">
        <v>3076</v>
      </c>
      <c r="C582">
        <v>260</v>
      </c>
      <c r="D582" t="s">
        <v>63</v>
      </c>
      <c r="E582" t="s">
        <v>64</v>
      </c>
      <c r="F582" t="s">
        <v>98</v>
      </c>
      <c r="G582" t="s">
        <v>3077</v>
      </c>
      <c r="H582">
        <v>999999</v>
      </c>
      <c r="I582">
        <v>1397</v>
      </c>
      <c r="J582" t="s">
        <v>3078</v>
      </c>
      <c r="K582" t="s">
        <v>3079</v>
      </c>
      <c r="L582" t="s">
        <v>3080</v>
      </c>
      <c r="M582" t="s">
        <v>329</v>
      </c>
      <c r="N582">
        <v>26030</v>
      </c>
      <c r="O582" t="s">
        <v>303</v>
      </c>
      <c r="Q582" t="s">
        <v>3081</v>
      </c>
      <c r="R582" t="s">
        <v>3082</v>
      </c>
      <c r="S582" t="s">
        <v>3083</v>
      </c>
      <c r="T582" s="6">
        <v>2650000000</v>
      </c>
      <c r="U582" s="45">
        <f>VLOOKUP(B582,realPrices!C:G,5,0)</f>
        <v>3438800000</v>
      </c>
      <c r="W582" t="str">
        <f t="shared" si="9"/>
        <v>206TU31397</v>
      </c>
      <c r="X582">
        <f>VLOOKUP(W582,Sheet10!D:F,2,0)*10000000</f>
        <v>3400000000</v>
      </c>
      <c r="Y582" t="s">
        <v>114</v>
      </c>
    </row>
    <row r="583" spans="1:25" x14ac:dyDescent="0.25">
      <c r="A583" t="s">
        <v>3084</v>
      </c>
      <c r="B583" t="s">
        <v>3085</v>
      </c>
      <c r="C583">
        <v>298</v>
      </c>
      <c r="D583" t="s">
        <v>63</v>
      </c>
      <c r="E583" t="s">
        <v>78</v>
      </c>
      <c r="F583" t="s">
        <v>362</v>
      </c>
      <c r="G583" t="s">
        <v>363</v>
      </c>
      <c r="H583">
        <v>110</v>
      </c>
      <c r="I583">
        <v>1398</v>
      </c>
      <c r="J583" t="s">
        <v>3086</v>
      </c>
      <c r="K583" t="s">
        <v>3087</v>
      </c>
      <c r="L583" t="s">
        <v>3088</v>
      </c>
      <c r="M583" t="s">
        <v>3089</v>
      </c>
      <c r="N583">
        <v>29817</v>
      </c>
      <c r="O583" t="s">
        <v>70</v>
      </c>
      <c r="Q583" t="s">
        <v>3090</v>
      </c>
      <c r="R583" t="s">
        <v>3091</v>
      </c>
      <c r="S583" t="s">
        <v>3092</v>
      </c>
      <c r="T583" s="6">
        <v>2680000000</v>
      </c>
      <c r="U583" s="45">
        <f>VLOOKUP(B583,realPrices!C:G,5,0)</f>
        <v>3954421010</v>
      </c>
      <c r="W583" t="str">
        <f t="shared" si="9"/>
        <v>LX XU7 CNG1398</v>
      </c>
      <c r="X583">
        <f>VLOOKUP(W583,Sheet10!D:F,2,0)*10000000</f>
        <v>0</v>
      </c>
      <c r="Y583" t="s">
        <v>114</v>
      </c>
    </row>
    <row r="584" spans="1:25" x14ac:dyDescent="0.25">
      <c r="A584" t="s">
        <v>3093</v>
      </c>
      <c r="B584" t="s">
        <v>3094</v>
      </c>
      <c r="C584">
        <v>575</v>
      </c>
      <c r="D584" t="s">
        <v>63</v>
      </c>
      <c r="E584" t="s">
        <v>64</v>
      </c>
      <c r="F584" t="s">
        <v>420</v>
      </c>
      <c r="G584" t="s">
        <v>206</v>
      </c>
      <c r="H584">
        <v>39810</v>
      </c>
      <c r="I584">
        <v>1399</v>
      </c>
      <c r="J584" t="s">
        <v>3095</v>
      </c>
      <c r="K584" t="s">
        <v>3096</v>
      </c>
      <c r="L584" t="s">
        <v>3097</v>
      </c>
      <c r="M584" t="s">
        <v>367</v>
      </c>
      <c r="N584">
        <v>57521</v>
      </c>
      <c r="O584" t="s">
        <v>70</v>
      </c>
      <c r="Q584" t="s">
        <v>3098</v>
      </c>
      <c r="R584" t="s">
        <v>3099</v>
      </c>
      <c r="S584" t="s">
        <v>3100</v>
      </c>
      <c r="T584" s="6">
        <v>2700000000</v>
      </c>
      <c r="U584" s="45">
        <f>VLOOKUP(B584,realPrices!C:G,5,0)</f>
        <v>3818888889</v>
      </c>
      <c r="W584" t="str">
        <f t="shared" si="9"/>
        <v>SOREN EF71399</v>
      </c>
      <c r="X584">
        <f>VLOOKUP(W584,Sheet10!D:F,2,0)*10000000</f>
        <v>4000000000</v>
      </c>
      <c r="Y584" t="s">
        <v>114</v>
      </c>
    </row>
    <row r="585" spans="1:25" x14ac:dyDescent="0.25">
      <c r="A585" t="s">
        <v>2441</v>
      </c>
      <c r="B585" t="s">
        <v>2442</v>
      </c>
      <c r="C585">
        <v>293</v>
      </c>
      <c r="D585" t="s">
        <v>63</v>
      </c>
      <c r="E585" t="s">
        <v>64</v>
      </c>
      <c r="F585" t="s">
        <v>362</v>
      </c>
      <c r="G585" t="s">
        <v>2443</v>
      </c>
      <c r="H585">
        <v>4</v>
      </c>
      <c r="I585">
        <v>1400</v>
      </c>
      <c r="J585" t="s">
        <v>2444</v>
      </c>
      <c r="K585" t="s">
        <v>2445</v>
      </c>
      <c r="L585" t="s">
        <v>2446</v>
      </c>
      <c r="M585" t="s">
        <v>244</v>
      </c>
      <c r="N585">
        <v>29357</v>
      </c>
      <c r="O585" t="s">
        <v>70</v>
      </c>
      <c r="Q585" t="s">
        <v>2447</v>
      </c>
      <c r="R585" t="s">
        <v>2448</v>
      </c>
      <c r="S585" t="s">
        <v>3101</v>
      </c>
      <c r="T585" s="6">
        <v>2700000000</v>
      </c>
      <c r="U585" s="45">
        <f>VLOOKUP(B585,realPrices!C:G,5,0)</f>
        <v>3055000000</v>
      </c>
      <c r="W585" t="str">
        <f t="shared" si="9"/>
        <v>LX XU71400</v>
      </c>
      <c r="X585" t="e">
        <f>VLOOKUP(W585,Sheet10!D:F,2,0)*10000000</f>
        <v>#N/A</v>
      </c>
      <c r="Y585" t="s">
        <v>114</v>
      </c>
    </row>
    <row r="586" spans="1:25" x14ac:dyDescent="0.25">
      <c r="A586" t="s">
        <v>3084</v>
      </c>
      <c r="B586" t="s">
        <v>3102</v>
      </c>
      <c r="C586">
        <v>298</v>
      </c>
      <c r="D586" t="s">
        <v>63</v>
      </c>
      <c r="E586" t="s">
        <v>78</v>
      </c>
      <c r="F586" t="s">
        <v>362</v>
      </c>
      <c r="G586" t="s">
        <v>363</v>
      </c>
      <c r="H586">
        <v>100</v>
      </c>
      <c r="I586">
        <v>1398</v>
      </c>
      <c r="J586" t="s">
        <v>3103</v>
      </c>
      <c r="K586" t="s">
        <v>3104</v>
      </c>
      <c r="L586" t="s">
        <v>3105</v>
      </c>
      <c r="M586" t="s">
        <v>3089</v>
      </c>
      <c r="N586">
        <v>29817</v>
      </c>
      <c r="O586" t="s">
        <v>70</v>
      </c>
      <c r="Q586" t="s">
        <v>3090</v>
      </c>
      <c r="R586" t="s">
        <v>3106</v>
      </c>
      <c r="S586" t="s">
        <v>3107</v>
      </c>
      <c r="T586" s="6">
        <v>2700000000</v>
      </c>
      <c r="U586" s="45">
        <f>VLOOKUP(B586,realPrices!C:G,5,0)</f>
        <v>3818888899</v>
      </c>
      <c r="W586" t="str">
        <f t="shared" si="9"/>
        <v>LX XU7 CNG1398</v>
      </c>
      <c r="X586">
        <f>VLOOKUP(W586,Sheet10!D:F,2,0)*10000000</f>
        <v>0</v>
      </c>
      <c r="Y586" t="s">
        <v>114</v>
      </c>
    </row>
    <row r="587" spans="1:25" x14ac:dyDescent="0.25">
      <c r="A587" t="s">
        <v>3084</v>
      </c>
      <c r="B587" t="s">
        <v>3108</v>
      </c>
      <c r="C587">
        <v>298</v>
      </c>
      <c r="D587" t="s">
        <v>63</v>
      </c>
      <c r="E587" t="s">
        <v>78</v>
      </c>
      <c r="F587" t="s">
        <v>362</v>
      </c>
      <c r="G587" t="s">
        <v>363</v>
      </c>
      <c r="H587">
        <v>21</v>
      </c>
      <c r="I587">
        <v>1398</v>
      </c>
      <c r="J587" t="s">
        <v>3109</v>
      </c>
      <c r="K587" t="s">
        <v>3110</v>
      </c>
      <c r="L587" t="s">
        <v>3111</v>
      </c>
      <c r="M587" t="s">
        <v>3089</v>
      </c>
      <c r="N587">
        <v>29817</v>
      </c>
      <c r="O587" t="s">
        <v>70</v>
      </c>
      <c r="Q587" t="s">
        <v>3090</v>
      </c>
      <c r="R587" t="s">
        <v>3112</v>
      </c>
      <c r="S587" t="s">
        <v>3113</v>
      </c>
      <c r="T587" s="6">
        <v>2700000000</v>
      </c>
      <c r="U587" s="45">
        <f>VLOOKUP(B587,realPrices!C:G,5,0)</f>
        <v>3955010001</v>
      </c>
      <c r="W587" t="str">
        <f t="shared" si="9"/>
        <v>LX XU7 CNG1398</v>
      </c>
      <c r="X587">
        <f>VLOOKUP(W587,Sheet10!D:F,2,0)*10000000</f>
        <v>0</v>
      </c>
      <c r="Y587" t="s">
        <v>114</v>
      </c>
    </row>
    <row r="588" spans="1:25" x14ac:dyDescent="0.25">
      <c r="A588" t="s">
        <v>3084</v>
      </c>
      <c r="B588" t="s">
        <v>3114</v>
      </c>
      <c r="C588">
        <v>298</v>
      </c>
      <c r="D588" t="s">
        <v>63</v>
      </c>
      <c r="E588" t="s">
        <v>78</v>
      </c>
      <c r="F588" t="s">
        <v>362</v>
      </c>
      <c r="G588" t="s">
        <v>363</v>
      </c>
      <c r="H588">
        <v>24</v>
      </c>
      <c r="I588">
        <v>1398</v>
      </c>
      <c r="J588" t="s">
        <v>3115</v>
      </c>
      <c r="K588" t="s">
        <v>3116</v>
      </c>
      <c r="L588" t="s">
        <v>3117</v>
      </c>
      <c r="M588" t="s">
        <v>3089</v>
      </c>
      <c r="N588">
        <v>29817</v>
      </c>
      <c r="O588" t="s">
        <v>70</v>
      </c>
      <c r="Q588" t="s">
        <v>3090</v>
      </c>
      <c r="R588" t="s">
        <v>3118</v>
      </c>
      <c r="S588" t="s">
        <v>3119</v>
      </c>
      <c r="T588" s="6">
        <v>2700000000</v>
      </c>
      <c r="U588" s="45">
        <f>VLOOKUP(B588,realPrices!C:G,5,0)</f>
        <v>3965051000</v>
      </c>
      <c r="W588" t="str">
        <f t="shared" si="9"/>
        <v>LX XU7 CNG1398</v>
      </c>
      <c r="X588">
        <f>VLOOKUP(W588,Sheet10!D:F,2,0)*10000000</f>
        <v>0</v>
      </c>
      <c r="Y588" t="s">
        <v>114</v>
      </c>
    </row>
    <row r="589" spans="1:25" x14ac:dyDescent="0.25">
      <c r="A589" t="s">
        <v>3084</v>
      </c>
      <c r="B589" t="s">
        <v>3120</v>
      </c>
      <c r="C589">
        <v>298</v>
      </c>
      <c r="D589" t="s">
        <v>63</v>
      </c>
      <c r="E589" t="s">
        <v>78</v>
      </c>
      <c r="F589" t="s">
        <v>362</v>
      </c>
      <c r="G589" t="s">
        <v>363</v>
      </c>
      <c r="H589">
        <v>162</v>
      </c>
      <c r="I589">
        <v>1398</v>
      </c>
      <c r="J589" t="s">
        <v>3121</v>
      </c>
      <c r="K589" t="s">
        <v>3122</v>
      </c>
      <c r="L589" t="s">
        <v>3123</v>
      </c>
      <c r="M589" t="s">
        <v>3089</v>
      </c>
      <c r="N589">
        <v>29817</v>
      </c>
      <c r="O589" t="s">
        <v>70</v>
      </c>
      <c r="Q589" t="s">
        <v>3090</v>
      </c>
      <c r="R589" t="s">
        <v>3124</v>
      </c>
      <c r="S589" t="s">
        <v>3125</v>
      </c>
      <c r="T589" s="6">
        <v>2700000000</v>
      </c>
      <c r="U589" s="45">
        <f>VLOOKUP(B589,realPrices!C:G,5,0)</f>
        <v>3954325401</v>
      </c>
      <c r="W589" t="str">
        <f t="shared" si="9"/>
        <v>LX XU7 CNG1398</v>
      </c>
      <c r="X589">
        <f>VLOOKUP(W589,Sheet10!D:F,2,0)*10000000</f>
        <v>0</v>
      </c>
      <c r="Y589" t="s">
        <v>114</v>
      </c>
    </row>
    <row r="590" spans="1:25" x14ac:dyDescent="0.25">
      <c r="A590" t="s">
        <v>3126</v>
      </c>
      <c r="B590" t="s">
        <v>3127</v>
      </c>
      <c r="C590">
        <v>615</v>
      </c>
      <c r="D590" t="s">
        <v>240</v>
      </c>
      <c r="E590" t="s">
        <v>64</v>
      </c>
      <c r="F590" t="s">
        <v>491</v>
      </c>
      <c r="H590">
        <v>20</v>
      </c>
      <c r="I590">
        <v>1401</v>
      </c>
      <c r="J590" t="s">
        <v>3128</v>
      </c>
      <c r="K590" t="s">
        <v>3129</v>
      </c>
      <c r="M590" t="s">
        <v>3130</v>
      </c>
      <c r="N590">
        <v>61503</v>
      </c>
      <c r="O590" t="s">
        <v>70</v>
      </c>
      <c r="Q590" t="s">
        <v>3131</v>
      </c>
      <c r="R590" t="s">
        <v>3132</v>
      </c>
      <c r="S590" t="s">
        <v>3133</v>
      </c>
      <c r="T590" s="6">
        <v>2700000000</v>
      </c>
      <c r="U590" s="45">
        <f>VLOOKUP(B590,realPrices!C:G,5,0)</f>
        <v>3310000000</v>
      </c>
      <c r="W590" t="str">
        <f t="shared" si="9"/>
        <v>+TU51401</v>
      </c>
      <c r="X590">
        <f>VLOOKUP(W590,Sheet10!D:F,2,0)*10000000</f>
        <v>0</v>
      </c>
      <c r="Y590" t="s">
        <v>74</v>
      </c>
    </row>
    <row r="591" spans="1:25" x14ac:dyDescent="0.25">
      <c r="A591" t="s">
        <v>2476</v>
      </c>
      <c r="B591" t="s">
        <v>3134</v>
      </c>
      <c r="C591">
        <v>575</v>
      </c>
      <c r="D591" t="s">
        <v>63</v>
      </c>
      <c r="E591" t="s">
        <v>64</v>
      </c>
      <c r="F591" t="s">
        <v>2696</v>
      </c>
      <c r="H591">
        <v>33</v>
      </c>
      <c r="I591">
        <v>1401</v>
      </c>
      <c r="J591" t="s">
        <v>3135</v>
      </c>
      <c r="K591" t="s">
        <v>3136</v>
      </c>
      <c r="M591" t="s">
        <v>367</v>
      </c>
      <c r="N591">
        <v>57519</v>
      </c>
      <c r="O591" t="s">
        <v>70</v>
      </c>
      <c r="Q591" t="s">
        <v>2420</v>
      </c>
      <c r="R591" t="s">
        <v>3137</v>
      </c>
      <c r="S591" t="s">
        <v>3138</v>
      </c>
      <c r="T591" s="6">
        <v>2700000000</v>
      </c>
      <c r="U591" s="45">
        <f>VLOOKUP(B591,realPrices!C:G,5,0)</f>
        <v>3320000000</v>
      </c>
      <c r="W591" t="str">
        <f t="shared" si="9"/>
        <v>SOREN EF71401</v>
      </c>
      <c r="X591">
        <f>VLOOKUP(W591,Sheet10!D:F,2,0)*10000000</f>
        <v>4650000000</v>
      </c>
      <c r="Y591" t="s">
        <v>74</v>
      </c>
    </row>
    <row r="592" spans="1:25" x14ac:dyDescent="0.25">
      <c r="A592" t="s">
        <v>3139</v>
      </c>
      <c r="B592" t="s">
        <v>3140</v>
      </c>
      <c r="C592">
        <v>575</v>
      </c>
      <c r="D592" t="s">
        <v>77</v>
      </c>
      <c r="E592" t="s">
        <v>64</v>
      </c>
      <c r="F592" t="s">
        <v>420</v>
      </c>
      <c r="H592">
        <v>34</v>
      </c>
      <c r="I592">
        <v>1401</v>
      </c>
      <c r="J592" t="s">
        <v>3141</v>
      </c>
      <c r="K592" t="s">
        <v>3142</v>
      </c>
      <c r="M592" t="s">
        <v>367</v>
      </c>
      <c r="N592">
        <v>57523</v>
      </c>
      <c r="O592" t="s">
        <v>70</v>
      </c>
      <c r="Q592" t="s">
        <v>2648</v>
      </c>
      <c r="R592" t="s">
        <v>3143</v>
      </c>
      <c r="S592" t="s">
        <v>3144</v>
      </c>
      <c r="T592" s="6">
        <v>2700000000</v>
      </c>
      <c r="U592" s="45">
        <f>VLOOKUP(B592,realPrices!C:G,5,0)</f>
        <v>3451000000</v>
      </c>
      <c r="W592" t="str">
        <f t="shared" si="9"/>
        <v>SOREN EF71401</v>
      </c>
      <c r="X592">
        <f>VLOOKUP(W592,Sheet10!D:F,2,0)*10000000</f>
        <v>4650000000</v>
      </c>
      <c r="Y592" t="s">
        <v>74</v>
      </c>
    </row>
    <row r="593" spans="1:25" x14ac:dyDescent="0.25">
      <c r="A593" t="s">
        <v>2476</v>
      </c>
      <c r="B593" t="s">
        <v>3145</v>
      </c>
      <c r="C593">
        <v>575</v>
      </c>
      <c r="D593" t="s">
        <v>63</v>
      </c>
      <c r="E593" t="s">
        <v>64</v>
      </c>
      <c r="F593" t="s">
        <v>420</v>
      </c>
      <c r="H593">
        <v>41</v>
      </c>
      <c r="I593">
        <v>1401</v>
      </c>
      <c r="J593" t="s">
        <v>3146</v>
      </c>
      <c r="K593" t="s">
        <v>3147</v>
      </c>
      <c r="M593" t="s">
        <v>367</v>
      </c>
      <c r="N593">
        <v>57519</v>
      </c>
      <c r="O593" t="s">
        <v>70</v>
      </c>
      <c r="Q593" t="s">
        <v>2420</v>
      </c>
      <c r="R593" t="s">
        <v>3148</v>
      </c>
      <c r="S593" t="s">
        <v>3149</v>
      </c>
      <c r="T593" s="6">
        <v>2700000000</v>
      </c>
      <c r="U593" s="45">
        <f>VLOOKUP(B593,realPrices!C:G,5,0)</f>
        <v>3310021000</v>
      </c>
      <c r="W593" t="str">
        <f t="shared" si="9"/>
        <v>SOREN EF71401</v>
      </c>
      <c r="X593">
        <f>VLOOKUP(W593,Sheet10!D:F,2,0)*10000000</f>
        <v>4650000000</v>
      </c>
      <c r="Y593" t="s">
        <v>74</v>
      </c>
    </row>
    <row r="594" spans="1:25" x14ac:dyDescent="0.25">
      <c r="A594" t="s">
        <v>2476</v>
      </c>
      <c r="B594" t="s">
        <v>3150</v>
      </c>
      <c r="C594">
        <v>575</v>
      </c>
      <c r="D594" t="s">
        <v>63</v>
      </c>
      <c r="E594" t="s">
        <v>64</v>
      </c>
      <c r="F594" t="s">
        <v>2436</v>
      </c>
      <c r="H594">
        <v>581</v>
      </c>
      <c r="I594">
        <v>1401</v>
      </c>
      <c r="J594" t="s">
        <v>3151</v>
      </c>
      <c r="K594" t="s">
        <v>3152</v>
      </c>
      <c r="M594" t="s">
        <v>367</v>
      </c>
      <c r="N594">
        <v>57519</v>
      </c>
      <c r="O594" t="s">
        <v>70</v>
      </c>
      <c r="Q594" t="s">
        <v>2420</v>
      </c>
      <c r="R594" t="s">
        <v>3153</v>
      </c>
      <c r="S594" t="s">
        <v>3154</v>
      </c>
      <c r="T594" s="6">
        <v>2700000000</v>
      </c>
      <c r="U594" s="45">
        <f>VLOOKUP(B594,realPrices!C:G,5,0)</f>
        <v>3088523333</v>
      </c>
      <c r="W594" t="str">
        <f t="shared" si="9"/>
        <v>SOREN EF71401</v>
      </c>
      <c r="X594">
        <f>VLOOKUP(W594,Sheet10!D:F,2,0)*10000000</f>
        <v>4650000000</v>
      </c>
      <c r="Y594" t="s">
        <v>74</v>
      </c>
    </row>
    <row r="595" spans="1:25" x14ac:dyDescent="0.25">
      <c r="A595" t="s">
        <v>3126</v>
      </c>
      <c r="B595" t="s">
        <v>3155</v>
      </c>
      <c r="C595">
        <v>615</v>
      </c>
      <c r="D595" t="s">
        <v>240</v>
      </c>
      <c r="E595" t="s">
        <v>64</v>
      </c>
      <c r="F595" t="s">
        <v>491</v>
      </c>
      <c r="H595">
        <v>26</v>
      </c>
      <c r="I595">
        <v>1401</v>
      </c>
      <c r="J595" t="s">
        <v>3156</v>
      </c>
      <c r="K595" t="s">
        <v>3157</v>
      </c>
      <c r="M595" t="s">
        <v>3130</v>
      </c>
      <c r="N595">
        <v>61503</v>
      </c>
      <c r="O595" t="s">
        <v>70</v>
      </c>
      <c r="Q595" t="s">
        <v>3131</v>
      </c>
      <c r="R595" t="s">
        <v>3158</v>
      </c>
      <c r="S595" t="s">
        <v>3159</v>
      </c>
      <c r="T595" s="6">
        <v>2720000000</v>
      </c>
      <c r="U595" s="45">
        <f>VLOOKUP(B595,realPrices!C:G,5,0)</f>
        <v>3174687337</v>
      </c>
      <c r="W595" t="str">
        <f t="shared" si="9"/>
        <v>+TU51401</v>
      </c>
      <c r="X595">
        <f>VLOOKUP(W595,Sheet10!D:F,2,0)*10000000</f>
        <v>0</v>
      </c>
      <c r="Y595" t="s">
        <v>74</v>
      </c>
    </row>
    <row r="596" spans="1:25" x14ac:dyDescent="0.25">
      <c r="A596" t="s">
        <v>3160</v>
      </c>
      <c r="B596" t="s">
        <v>3161</v>
      </c>
      <c r="C596">
        <v>615</v>
      </c>
      <c r="D596" t="s">
        <v>63</v>
      </c>
      <c r="E596" t="s">
        <v>64</v>
      </c>
      <c r="F596" t="s">
        <v>420</v>
      </c>
      <c r="H596">
        <v>79</v>
      </c>
      <c r="I596">
        <v>1400</v>
      </c>
      <c r="J596" t="s">
        <v>3162</v>
      </c>
      <c r="K596" t="s">
        <v>3163</v>
      </c>
      <c r="M596" t="s">
        <v>3130</v>
      </c>
      <c r="N596">
        <v>61502</v>
      </c>
      <c r="O596" t="s">
        <v>70</v>
      </c>
      <c r="Q596" t="s">
        <v>3164</v>
      </c>
      <c r="R596" t="s">
        <v>3165</v>
      </c>
      <c r="S596" t="s">
        <v>3166</v>
      </c>
      <c r="T596" s="6">
        <v>2720000000</v>
      </c>
      <c r="U596" s="45">
        <f>VLOOKUP(B596,realPrices!C:G,5,0)</f>
        <v>3235000000</v>
      </c>
      <c r="W596" t="str">
        <f t="shared" si="9"/>
        <v>+TU51400</v>
      </c>
      <c r="X596" t="e">
        <f>VLOOKUP(W596,Sheet10!D:F,2,0)*10000000</f>
        <v>#N/A</v>
      </c>
      <c r="Y596" t="s">
        <v>74</v>
      </c>
    </row>
    <row r="597" spans="1:25" x14ac:dyDescent="0.25">
      <c r="A597" t="s">
        <v>3093</v>
      </c>
      <c r="B597" t="s">
        <v>3167</v>
      </c>
      <c r="C597">
        <v>575</v>
      </c>
      <c r="D597" t="s">
        <v>63</v>
      </c>
      <c r="E597" t="s">
        <v>64</v>
      </c>
      <c r="F597" t="s">
        <v>362</v>
      </c>
      <c r="G597" t="s">
        <v>363</v>
      </c>
      <c r="H597">
        <v>2033</v>
      </c>
      <c r="I597">
        <v>1399</v>
      </c>
      <c r="J597" t="s">
        <v>3168</v>
      </c>
      <c r="K597" t="s">
        <v>3169</v>
      </c>
      <c r="L597" t="s">
        <v>3170</v>
      </c>
      <c r="M597" t="s">
        <v>367</v>
      </c>
      <c r="N597">
        <v>57521</v>
      </c>
      <c r="O597" t="s">
        <v>70</v>
      </c>
      <c r="Q597" t="s">
        <v>3098</v>
      </c>
      <c r="R597" t="s">
        <v>3171</v>
      </c>
      <c r="S597" t="s">
        <v>3172</v>
      </c>
      <c r="T597" s="6">
        <v>2750000000</v>
      </c>
      <c r="U597" s="45">
        <f>VLOOKUP(B597,realPrices!C:G,5,0)</f>
        <v>3700999999</v>
      </c>
      <c r="W597" t="str">
        <f t="shared" si="9"/>
        <v>SOREN EF71399</v>
      </c>
      <c r="X597">
        <f>VLOOKUP(W597,Sheet10!D:F,2,0)*10000000</f>
        <v>4000000000</v>
      </c>
      <c r="Y597" t="s">
        <v>114</v>
      </c>
    </row>
    <row r="598" spans="1:25" x14ac:dyDescent="0.25">
      <c r="A598" t="s">
        <v>325</v>
      </c>
      <c r="B598" t="s">
        <v>3173</v>
      </c>
      <c r="C598">
        <v>260</v>
      </c>
      <c r="D598" t="s">
        <v>63</v>
      </c>
      <c r="E598" t="s">
        <v>64</v>
      </c>
      <c r="F598" t="s">
        <v>420</v>
      </c>
      <c r="G598" t="s">
        <v>3174</v>
      </c>
      <c r="H598">
        <v>38595</v>
      </c>
      <c r="I598">
        <v>1399</v>
      </c>
      <c r="J598" t="s">
        <v>3175</v>
      </c>
      <c r="K598" t="s">
        <v>3176</v>
      </c>
      <c r="L598" t="s">
        <v>2554</v>
      </c>
      <c r="M598" t="s">
        <v>329</v>
      </c>
      <c r="N598">
        <v>26031</v>
      </c>
      <c r="O598" t="s">
        <v>303</v>
      </c>
      <c r="Q598" t="s">
        <v>330</v>
      </c>
      <c r="R598" t="s">
        <v>3177</v>
      </c>
      <c r="S598" t="s">
        <v>3178</v>
      </c>
      <c r="T598" s="6">
        <v>2750000000</v>
      </c>
      <c r="U598" s="45">
        <f>VLOOKUP(B598,realPrices!C:G,5,0)</f>
        <v>3888000000</v>
      </c>
      <c r="W598" t="str">
        <f t="shared" si="9"/>
        <v>206TU31399</v>
      </c>
      <c r="X598">
        <f>VLOOKUP(W598,Sheet10!D:F,2,0)*10000000</f>
        <v>4250000000</v>
      </c>
      <c r="Y598" t="s">
        <v>114</v>
      </c>
    </row>
    <row r="599" spans="1:25" x14ac:dyDescent="0.25">
      <c r="A599" t="s">
        <v>3179</v>
      </c>
      <c r="B599" t="s">
        <v>3180</v>
      </c>
      <c r="C599">
        <v>615</v>
      </c>
      <c r="D599" t="s">
        <v>63</v>
      </c>
      <c r="E599" t="s">
        <v>64</v>
      </c>
      <c r="F599" t="s">
        <v>420</v>
      </c>
      <c r="H599">
        <v>22</v>
      </c>
      <c r="I599">
        <v>1401</v>
      </c>
      <c r="J599" t="s">
        <v>3181</v>
      </c>
      <c r="K599" t="s">
        <v>3182</v>
      </c>
      <c r="M599" t="s">
        <v>3130</v>
      </c>
      <c r="N599">
        <v>61503</v>
      </c>
      <c r="O599" t="s">
        <v>70</v>
      </c>
      <c r="Q599" t="s">
        <v>3131</v>
      </c>
      <c r="R599" t="s">
        <v>3183</v>
      </c>
      <c r="S599" t="s">
        <v>3184</v>
      </c>
      <c r="T599" s="6">
        <v>2750000000</v>
      </c>
      <c r="U599" s="45">
        <f>VLOOKUP(B599,realPrices!C:G,5,0)</f>
        <v>3558999999</v>
      </c>
      <c r="W599" t="str">
        <f t="shared" si="9"/>
        <v>+TU51401</v>
      </c>
      <c r="X599">
        <f>VLOOKUP(W599,Sheet10!D:F,2,0)*10000000</f>
        <v>0</v>
      </c>
      <c r="Y599" t="s">
        <v>74</v>
      </c>
    </row>
    <row r="600" spans="1:25" x14ac:dyDescent="0.25">
      <c r="A600" t="s">
        <v>3179</v>
      </c>
      <c r="B600" t="s">
        <v>3185</v>
      </c>
      <c r="C600">
        <v>615</v>
      </c>
      <c r="D600" t="s">
        <v>63</v>
      </c>
      <c r="E600" t="s">
        <v>64</v>
      </c>
      <c r="F600" t="s">
        <v>3186</v>
      </c>
      <c r="H600">
        <v>26</v>
      </c>
      <c r="I600">
        <v>1401</v>
      </c>
      <c r="J600" t="s">
        <v>3187</v>
      </c>
      <c r="K600" t="s">
        <v>3188</v>
      </c>
      <c r="M600" t="s">
        <v>3130</v>
      </c>
      <c r="N600">
        <v>61503</v>
      </c>
      <c r="O600" t="s">
        <v>70</v>
      </c>
      <c r="Q600" t="s">
        <v>3131</v>
      </c>
      <c r="R600" t="s">
        <v>3189</v>
      </c>
      <c r="S600" t="s">
        <v>3190</v>
      </c>
      <c r="T600" s="6">
        <v>2750000000</v>
      </c>
      <c r="U600" s="45">
        <f>VLOOKUP(B600,realPrices!C:G,5,0)</f>
        <v>3433333333</v>
      </c>
      <c r="W600" t="str">
        <f t="shared" si="9"/>
        <v>+TU51401</v>
      </c>
      <c r="X600">
        <f>VLOOKUP(W600,Sheet10!D:F,2,0)*10000000</f>
        <v>0</v>
      </c>
      <c r="Y600" t="s">
        <v>74</v>
      </c>
    </row>
    <row r="601" spans="1:25" x14ac:dyDescent="0.25">
      <c r="A601" t="s">
        <v>3179</v>
      </c>
      <c r="B601" t="s">
        <v>3191</v>
      </c>
      <c r="C601">
        <v>615</v>
      </c>
      <c r="D601" t="s">
        <v>63</v>
      </c>
      <c r="E601" t="s">
        <v>64</v>
      </c>
      <c r="F601" t="s">
        <v>420</v>
      </c>
      <c r="H601">
        <v>99</v>
      </c>
      <c r="I601">
        <v>1401</v>
      </c>
      <c r="J601" t="s">
        <v>3192</v>
      </c>
      <c r="K601" t="s">
        <v>3193</v>
      </c>
      <c r="M601" t="s">
        <v>3130</v>
      </c>
      <c r="N601">
        <v>61503</v>
      </c>
      <c r="O601" t="s">
        <v>70</v>
      </c>
      <c r="Q601" t="s">
        <v>3131</v>
      </c>
      <c r="R601" t="s">
        <v>3194</v>
      </c>
      <c r="S601" t="s">
        <v>3195</v>
      </c>
      <c r="T601" s="6">
        <v>2750000000</v>
      </c>
      <c r="U601" s="45">
        <f>VLOOKUP(B601,realPrices!C:G,5,0)</f>
        <v>3356789999</v>
      </c>
      <c r="W601" t="str">
        <f t="shared" si="9"/>
        <v>+TU51401</v>
      </c>
      <c r="X601">
        <f>VLOOKUP(W601,Sheet10!D:F,2,0)*10000000</f>
        <v>0</v>
      </c>
      <c r="Y601" t="s">
        <v>74</v>
      </c>
    </row>
    <row r="602" spans="1:25" x14ac:dyDescent="0.25">
      <c r="A602" t="s">
        <v>3126</v>
      </c>
      <c r="B602" t="s">
        <v>3196</v>
      </c>
      <c r="C602">
        <v>615</v>
      </c>
      <c r="D602" t="s">
        <v>240</v>
      </c>
      <c r="E602" t="s">
        <v>64</v>
      </c>
      <c r="F602" t="s">
        <v>420</v>
      </c>
      <c r="H602">
        <v>94</v>
      </c>
      <c r="I602">
        <v>1401</v>
      </c>
      <c r="J602" t="s">
        <v>3197</v>
      </c>
      <c r="K602" t="s">
        <v>3198</v>
      </c>
      <c r="M602" t="s">
        <v>3130</v>
      </c>
      <c r="N602">
        <v>61503</v>
      </c>
      <c r="O602" t="s">
        <v>70</v>
      </c>
      <c r="Q602" t="s">
        <v>3131</v>
      </c>
      <c r="R602" t="s">
        <v>3199</v>
      </c>
      <c r="S602" t="s">
        <v>3200</v>
      </c>
      <c r="T602" s="6">
        <v>2750000000</v>
      </c>
      <c r="U602" s="45">
        <f>VLOOKUP(B602,realPrices!C:G,5,0)</f>
        <v>3469876521</v>
      </c>
      <c r="W602" t="str">
        <f t="shared" si="9"/>
        <v>+TU51401</v>
      </c>
      <c r="X602">
        <f>VLOOKUP(W602,Sheet10!D:F,2,0)*10000000</f>
        <v>0</v>
      </c>
      <c r="Y602" t="s">
        <v>74</v>
      </c>
    </row>
    <row r="603" spans="1:25" x14ac:dyDescent="0.25">
      <c r="A603" t="s">
        <v>3201</v>
      </c>
      <c r="B603" t="s">
        <v>3202</v>
      </c>
      <c r="C603">
        <v>610</v>
      </c>
      <c r="D603" t="s">
        <v>3203</v>
      </c>
      <c r="E603" t="s">
        <v>64</v>
      </c>
      <c r="F603" t="s">
        <v>362</v>
      </c>
      <c r="G603" t="s">
        <v>363</v>
      </c>
      <c r="H603">
        <v>90</v>
      </c>
      <c r="I603">
        <v>1399</v>
      </c>
      <c r="J603" t="s">
        <v>3204</v>
      </c>
      <c r="K603" t="s">
        <v>3205</v>
      </c>
      <c r="L603" t="s">
        <v>3206</v>
      </c>
      <c r="M603" t="s">
        <v>321</v>
      </c>
      <c r="N603">
        <v>61014</v>
      </c>
      <c r="O603" t="s">
        <v>70</v>
      </c>
      <c r="Q603" t="s">
        <v>3207</v>
      </c>
      <c r="R603" t="s">
        <v>3208</v>
      </c>
      <c r="S603" t="s">
        <v>3209</v>
      </c>
      <c r="T603" s="6">
        <v>2800000000</v>
      </c>
      <c r="U603" s="45">
        <f>VLOOKUP(B603,realPrices!C:G,5,0)</f>
        <v>4172999999</v>
      </c>
      <c r="W603" t="str">
        <f t="shared" si="9"/>
        <v>TU51399</v>
      </c>
      <c r="X603">
        <f>VLOOKUP(W603,Sheet10!D:F,2,0)*10000000</f>
        <v>4100000000</v>
      </c>
      <c r="Y603" t="s">
        <v>114</v>
      </c>
    </row>
    <row r="604" spans="1:25" x14ac:dyDescent="0.25">
      <c r="A604" t="s">
        <v>3210</v>
      </c>
      <c r="B604" t="s">
        <v>3211</v>
      </c>
      <c r="C604">
        <v>285</v>
      </c>
      <c r="D604" t="s">
        <v>77</v>
      </c>
      <c r="E604" t="s">
        <v>64</v>
      </c>
      <c r="F604" t="s">
        <v>491</v>
      </c>
      <c r="H604">
        <v>21</v>
      </c>
      <c r="I604">
        <v>1401</v>
      </c>
      <c r="J604" t="s">
        <v>3212</v>
      </c>
      <c r="K604" t="s">
        <v>3213</v>
      </c>
      <c r="M604" t="s">
        <v>198</v>
      </c>
      <c r="N604">
        <v>28527</v>
      </c>
      <c r="O604" t="s">
        <v>70</v>
      </c>
      <c r="Q604" t="s">
        <v>3214</v>
      </c>
      <c r="R604" t="s">
        <v>3215</v>
      </c>
      <c r="S604" t="s">
        <v>3216</v>
      </c>
      <c r="T604" s="6">
        <v>2800000000</v>
      </c>
      <c r="U604" s="45">
        <f>VLOOKUP(B604,realPrices!C:G,5,0)</f>
        <v>3866666669</v>
      </c>
      <c r="W604" t="str">
        <f t="shared" si="9"/>
        <v>PARS TU51401</v>
      </c>
      <c r="X604">
        <f>VLOOKUP(W604,Sheet10!D:F,2,0)*10000000</f>
        <v>5250000000</v>
      </c>
      <c r="Y604" t="s">
        <v>74</v>
      </c>
    </row>
    <row r="605" spans="1:25" x14ac:dyDescent="0.25">
      <c r="A605" t="s">
        <v>3139</v>
      </c>
      <c r="B605" t="s">
        <v>3217</v>
      </c>
      <c r="C605">
        <v>575</v>
      </c>
      <c r="D605" t="s">
        <v>77</v>
      </c>
      <c r="E605" t="s">
        <v>64</v>
      </c>
      <c r="F605" t="s">
        <v>420</v>
      </c>
      <c r="H605">
        <v>112</v>
      </c>
      <c r="I605">
        <v>1401</v>
      </c>
      <c r="J605" t="s">
        <v>3218</v>
      </c>
      <c r="K605" t="s">
        <v>3219</v>
      </c>
      <c r="M605" t="s">
        <v>367</v>
      </c>
      <c r="N605">
        <v>57523</v>
      </c>
      <c r="O605" t="s">
        <v>70</v>
      </c>
      <c r="Q605" t="s">
        <v>2648</v>
      </c>
      <c r="R605" t="s">
        <v>3220</v>
      </c>
      <c r="S605" t="s">
        <v>3221</v>
      </c>
      <c r="T605" s="6">
        <v>2800000000</v>
      </c>
      <c r="U605" s="45">
        <f>VLOOKUP(B605,realPrices!C:G,5,0)</f>
        <v>3450799999</v>
      </c>
      <c r="W605" t="str">
        <f t="shared" si="9"/>
        <v>SOREN EF71401</v>
      </c>
      <c r="X605">
        <f>VLOOKUP(W605,Sheet10!D:F,2,0)*10000000</f>
        <v>4650000000</v>
      </c>
      <c r="Y605" t="s">
        <v>74</v>
      </c>
    </row>
    <row r="606" spans="1:25" x14ac:dyDescent="0.25">
      <c r="A606" t="s">
        <v>191</v>
      </c>
      <c r="B606" t="s">
        <v>3222</v>
      </c>
      <c r="C606">
        <v>285</v>
      </c>
      <c r="D606" t="s">
        <v>63</v>
      </c>
      <c r="E606" t="s">
        <v>64</v>
      </c>
      <c r="F606" t="s">
        <v>491</v>
      </c>
      <c r="H606">
        <v>567</v>
      </c>
      <c r="I606">
        <v>1400</v>
      </c>
      <c r="J606" t="s">
        <v>3223</v>
      </c>
      <c r="K606" t="s">
        <v>3224</v>
      </c>
      <c r="M606" t="s">
        <v>198</v>
      </c>
      <c r="N606">
        <v>28520</v>
      </c>
      <c r="O606" t="s">
        <v>70</v>
      </c>
      <c r="Q606" t="s">
        <v>199</v>
      </c>
      <c r="R606" t="s">
        <v>3225</v>
      </c>
      <c r="S606" t="s">
        <v>295</v>
      </c>
      <c r="T606" s="6">
        <v>2850000000</v>
      </c>
      <c r="U606" s="45">
        <f>VLOOKUP(B606,realPrices!C:G,5,0)</f>
        <v>3310000008</v>
      </c>
      <c r="W606" t="str">
        <f t="shared" si="9"/>
        <v>PARS TU51400</v>
      </c>
      <c r="X606">
        <f>VLOOKUP(W606,Sheet10!D:F,2,0)*10000000</f>
        <v>5100000000</v>
      </c>
      <c r="Y606" t="s">
        <v>74</v>
      </c>
    </row>
    <row r="607" spans="1:25" x14ac:dyDescent="0.25">
      <c r="A607" t="s">
        <v>191</v>
      </c>
      <c r="B607" t="s">
        <v>3226</v>
      </c>
      <c r="C607">
        <v>285</v>
      </c>
      <c r="D607" t="s">
        <v>63</v>
      </c>
      <c r="E607" t="s">
        <v>64</v>
      </c>
      <c r="F607" t="s">
        <v>205</v>
      </c>
      <c r="G607" t="s">
        <v>421</v>
      </c>
      <c r="H607">
        <v>16041</v>
      </c>
      <c r="I607">
        <v>1400</v>
      </c>
      <c r="J607" t="s">
        <v>3227</v>
      </c>
      <c r="K607" t="s">
        <v>3228</v>
      </c>
      <c r="L607" t="s">
        <v>3229</v>
      </c>
      <c r="M607" t="s">
        <v>198</v>
      </c>
      <c r="N607">
        <v>28520</v>
      </c>
      <c r="O607" t="s">
        <v>70</v>
      </c>
      <c r="Q607" t="s">
        <v>199</v>
      </c>
      <c r="R607" t="s">
        <v>3230</v>
      </c>
      <c r="S607" t="s">
        <v>3231</v>
      </c>
      <c r="T607" s="6">
        <v>2900000000</v>
      </c>
      <c r="U607" s="45">
        <f>VLOOKUP(B607,realPrices!C:G,5,0)</f>
        <v>3312525200</v>
      </c>
      <c r="W607" t="str">
        <f t="shared" si="9"/>
        <v>PARS TU51400</v>
      </c>
      <c r="X607">
        <f>VLOOKUP(W607,Sheet10!D:F,2,0)*10000000</f>
        <v>5100000000</v>
      </c>
      <c r="Y607" t="s">
        <v>74</v>
      </c>
    </row>
    <row r="608" spans="1:25" x14ac:dyDescent="0.25">
      <c r="A608" t="s">
        <v>2189</v>
      </c>
      <c r="B608" t="s">
        <v>2618</v>
      </c>
      <c r="C608">
        <v>282</v>
      </c>
      <c r="D608" t="s">
        <v>240</v>
      </c>
      <c r="E608" t="s">
        <v>64</v>
      </c>
      <c r="F608" t="s">
        <v>420</v>
      </c>
      <c r="G608" t="s">
        <v>623</v>
      </c>
      <c r="H608">
        <v>14</v>
      </c>
      <c r="I608">
        <v>1401</v>
      </c>
      <c r="J608" t="s">
        <v>2619</v>
      </c>
      <c r="K608" t="s">
        <v>3232</v>
      </c>
      <c r="L608" t="s">
        <v>2621</v>
      </c>
      <c r="M608" t="s">
        <v>312</v>
      </c>
      <c r="N608">
        <v>28242</v>
      </c>
      <c r="O608" t="s">
        <v>70</v>
      </c>
      <c r="Q608" t="s">
        <v>2195</v>
      </c>
      <c r="R608" t="s">
        <v>2622</v>
      </c>
      <c r="S608" t="s">
        <v>3233</v>
      </c>
      <c r="T608" s="6">
        <v>2900000000</v>
      </c>
      <c r="U608" s="45">
        <f>VLOOKUP(B608,realPrices!C:G,5,0)</f>
        <v>3131000000</v>
      </c>
      <c r="W608" t="str">
        <f t="shared" si="9"/>
        <v>PARS XU71401</v>
      </c>
      <c r="X608" t="e">
        <f>VLOOKUP(W608,Sheet10!D:F,2,0)*10000000</f>
        <v>#N/A</v>
      </c>
      <c r="Y608" t="s">
        <v>114</v>
      </c>
    </row>
    <row r="609" spans="1:25" x14ac:dyDescent="0.25">
      <c r="A609" t="s">
        <v>3234</v>
      </c>
      <c r="B609" t="s">
        <v>3235</v>
      </c>
      <c r="C609">
        <v>283</v>
      </c>
      <c r="D609" t="s">
        <v>63</v>
      </c>
      <c r="E609" t="s">
        <v>78</v>
      </c>
      <c r="F609" t="s">
        <v>2436</v>
      </c>
      <c r="G609" t="s">
        <v>3236</v>
      </c>
      <c r="H609">
        <v>53719</v>
      </c>
      <c r="I609">
        <v>1394</v>
      </c>
      <c r="J609" t="s">
        <v>3237</v>
      </c>
      <c r="K609" t="s">
        <v>3238</v>
      </c>
      <c r="L609" t="s">
        <v>1280</v>
      </c>
      <c r="M609" t="s">
        <v>3239</v>
      </c>
      <c r="N609">
        <v>28314</v>
      </c>
      <c r="O609" t="s">
        <v>70</v>
      </c>
      <c r="Q609" t="s">
        <v>3240</v>
      </c>
      <c r="R609" t="s">
        <v>3241</v>
      </c>
      <c r="S609" t="s">
        <v>3133</v>
      </c>
      <c r="T609" s="6">
        <v>2900000000</v>
      </c>
      <c r="U609" s="45">
        <f>VLOOKUP(B609,realPrices!C:G,5,0)</f>
        <v>3310429869</v>
      </c>
      <c r="W609" t="str">
        <f t="shared" si="9"/>
        <v>PARS XU7 CNG1394</v>
      </c>
      <c r="X609">
        <f>VLOOKUP(W609,Sheet10!D:F,2,0)*10000000</f>
        <v>0</v>
      </c>
      <c r="Y609" t="s">
        <v>114</v>
      </c>
    </row>
    <row r="610" spans="1:25" x14ac:dyDescent="0.25">
      <c r="A610" t="s">
        <v>3242</v>
      </c>
      <c r="B610" t="s">
        <v>3243</v>
      </c>
      <c r="C610">
        <v>600</v>
      </c>
      <c r="D610" t="s">
        <v>63</v>
      </c>
      <c r="E610" t="s">
        <v>64</v>
      </c>
      <c r="F610" t="s">
        <v>318</v>
      </c>
      <c r="H610">
        <v>25</v>
      </c>
      <c r="I610">
        <v>1400</v>
      </c>
      <c r="J610" t="s">
        <v>3244</v>
      </c>
      <c r="K610" t="s">
        <v>3245</v>
      </c>
      <c r="M610" t="s">
        <v>3246</v>
      </c>
      <c r="N610">
        <v>60010</v>
      </c>
      <c r="O610" t="s">
        <v>303</v>
      </c>
      <c r="Q610" t="s">
        <v>3247</v>
      </c>
      <c r="R610" t="s">
        <v>3248</v>
      </c>
      <c r="S610" t="s">
        <v>3249</v>
      </c>
      <c r="T610" s="6">
        <v>2900000000</v>
      </c>
      <c r="U610" s="45">
        <f>VLOOKUP(B610,realPrices!C:G,5,0)</f>
        <v>3769000000</v>
      </c>
      <c r="W610" t="str">
        <f t="shared" si="9"/>
        <v>207i-MT1400</v>
      </c>
      <c r="X610">
        <f>VLOOKUP(W610,Sheet10!D:F,2,0)*10000000</f>
        <v>5600000000</v>
      </c>
      <c r="Y610" t="s">
        <v>74</v>
      </c>
    </row>
    <row r="611" spans="1:25" x14ac:dyDescent="0.25">
      <c r="A611" t="s">
        <v>3250</v>
      </c>
      <c r="B611" t="s">
        <v>3251</v>
      </c>
      <c r="C611">
        <v>285</v>
      </c>
      <c r="D611" t="s">
        <v>77</v>
      </c>
      <c r="E611" t="s">
        <v>64</v>
      </c>
      <c r="F611" t="s">
        <v>491</v>
      </c>
      <c r="H611">
        <v>25</v>
      </c>
      <c r="I611">
        <v>1401</v>
      </c>
      <c r="J611" t="s">
        <v>3252</v>
      </c>
      <c r="K611" t="s">
        <v>3253</v>
      </c>
      <c r="M611" t="s">
        <v>198</v>
      </c>
      <c r="N611">
        <v>28520</v>
      </c>
      <c r="O611" t="s">
        <v>70</v>
      </c>
      <c r="Q611" t="s">
        <v>199</v>
      </c>
      <c r="R611" t="s">
        <v>3254</v>
      </c>
      <c r="S611" t="s">
        <v>3255</v>
      </c>
      <c r="T611" s="6">
        <v>2900000000</v>
      </c>
      <c r="U611" s="45">
        <f>VLOOKUP(B611,realPrices!C:G,5,0)</f>
        <v>3755950000</v>
      </c>
      <c r="W611" t="str">
        <f t="shared" si="9"/>
        <v>PARS TU51401</v>
      </c>
      <c r="X611">
        <f>VLOOKUP(W611,Sheet10!D:F,2,0)*10000000</f>
        <v>5250000000</v>
      </c>
      <c r="Y611" t="s">
        <v>74</v>
      </c>
    </row>
    <row r="612" spans="1:25" x14ac:dyDescent="0.25">
      <c r="A612" t="s">
        <v>191</v>
      </c>
      <c r="B612" t="s">
        <v>3256</v>
      </c>
      <c r="C612">
        <v>285</v>
      </c>
      <c r="D612" t="s">
        <v>63</v>
      </c>
      <c r="E612" t="s">
        <v>64</v>
      </c>
      <c r="F612" t="s">
        <v>362</v>
      </c>
      <c r="H612">
        <v>36</v>
      </c>
      <c r="I612">
        <v>1400</v>
      </c>
      <c r="J612" t="s">
        <v>3257</v>
      </c>
      <c r="K612" t="s">
        <v>3258</v>
      </c>
      <c r="M612" t="s">
        <v>198</v>
      </c>
      <c r="N612">
        <v>28520</v>
      </c>
      <c r="O612" t="s">
        <v>70</v>
      </c>
      <c r="Q612" t="s">
        <v>199</v>
      </c>
      <c r="R612" t="s">
        <v>3259</v>
      </c>
      <c r="S612" t="s">
        <v>2562</v>
      </c>
      <c r="T612" s="6">
        <v>2900000000</v>
      </c>
      <c r="U612" s="45">
        <f>VLOOKUP(B612,realPrices!C:G,5,0)</f>
        <v>3374557000</v>
      </c>
      <c r="W612" t="str">
        <f t="shared" si="9"/>
        <v>PARS TU51400</v>
      </c>
      <c r="X612">
        <f>VLOOKUP(W612,Sheet10!D:F,2,0)*10000000</f>
        <v>5100000000</v>
      </c>
      <c r="Y612" t="s">
        <v>74</v>
      </c>
    </row>
    <row r="613" spans="1:25" x14ac:dyDescent="0.25">
      <c r="A613" t="s">
        <v>191</v>
      </c>
      <c r="B613" t="s">
        <v>3260</v>
      </c>
      <c r="C613">
        <v>285</v>
      </c>
      <c r="D613" t="s">
        <v>63</v>
      </c>
      <c r="E613" t="s">
        <v>64</v>
      </c>
      <c r="F613" t="s">
        <v>362</v>
      </c>
      <c r="H613">
        <v>34</v>
      </c>
      <c r="I613">
        <v>1400</v>
      </c>
      <c r="J613" t="s">
        <v>3261</v>
      </c>
      <c r="K613" t="s">
        <v>3262</v>
      </c>
      <c r="M613" t="s">
        <v>198</v>
      </c>
      <c r="N613">
        <v>28520</v>
      </c>
      <c r="O613" t="s">
        <v>70</v>
      </c>
      <c r="Q613" t="s">
        <v>199</v>
      </c>
      <c r="R613" t="s">
        <v>3263</v>
      </c>
      <c r="S613" t="s">
        <v>3172</v>
      </c>
      <c r="T613" s="6">
        <v>2900000000</v>
      </c>
      <c r="U613" s="45">
        <f>VLOOKUP(B613,realPrices!C:G,5,0)</f>
        <v>3566666667</v>
      </c>
      <c r="W613" t="str">
        <f t="shared" si="9"/>
        <v>PARS TU51400</v>
      </c>
      <c r="X613">
        <f>VLOOKUP(W613,Sheet10!D:F,2,0)*10000000</f>
        <v>5100000000</v>
      </c>
      <c r="Y613" t="s">
        <v>74</v>
      </c>
    </row>
    <row r="614" spans="1:25" x14ac:dyDescent="0.25">
      <c r="A614" t="s">
        <v>191</v>
      </c>
      <c r="B614" t="s">
        <v>3264</v>
      </c>
      <c r="C614">
        <v>285</v>
      </c>
      <c r="D614" t="s">
        <v>63</v>
      </c>
      <c r="E614" t="s">
        <v>64</v>
      </c>
      <c r="F614" t="s">
        <v>2436</v>
      </c>
      <c r="H614">
        <v>79</v>
      </c>
      <c r="I614">
        <v>1400</v>
      </c>
      <c r="J614" t="s">
        <v>3265</v>
      </c>
      <c r="K614" t="s">
        <v>3266</v>
      </c>
      <c r="M614" t="s">
        <v>198</v>
      </c>
      <c r="N614">
        <v>28520</v>
      </c>
      <c r="O614" t="s">
        <v>70</v>
      </c>
      <c r="Q614" t="s">
        <v>199</v>
      </c>
      <c r="R614" t="s">
        <v>3267</v>
      </c>
      <c r="S614" t="s">
        <v>3268</v>
      </c>
      <c r="T614" s="6">
        <v>2900000000</v>
      </c>
      <c r="U614" s="45">
        <f>VLOOKUP(B614,realPrices!C:G,5,0)</f>
        <v>3112500000</v>
      </c>
      <c r="W614" t="str">
        <f t="shared" si="9"/>
        <v>PARS TU51400</v>
      </c>
      <c r="X614">
        <f>VLOOKUP(W614,Sheet10!D:F,2,0)*10000000</f>
        <v>5100000000</v>
      </c>
      <c r="Y614" t="s">
        <v>74</v>
      </c>
    </row>
    <row r="615" spans="1:25" x14ac:dyDescent="0.25">
      <c r="A615" t="s">
        <v>191</v>
      </c>
      <c r="B615" t="s">
        <v>3269</v>
      </c>
      <c r="C615">
        <v>285</v>
      </c>
      <c r="D615" t="s">
        <v>63</v>
      </c>
      <c r="E615" t="s">
        <v>64</v>
      </c>
      <c r="F615" t="s">
        <v>491</v>
      </c>
      <c r="H615">
        <v>675</v>
      </c>
      <c r="I615">
        <v>1400</v>
      </c>
      <c r="J615" t="s">
        <v>3270</v>
      </c>
      <c r="K615" t="s">
        <v>3271</v>
      </c>
      <c r="M615" t="s">
        <v>198</v>
      </c>
      <c r="N615">
        <v>28520</v>
      </c>
      <c r="O615" t="s">
        <v>70</v>
      </c>
      <c r="Q615" t="s">
        <v>199</v>
      </c>
      <c r="R615" t="s">
        <v>3272</v>
      </c>
      <c r="S615" t="s">
        <v>3101</v>
      </c>
      <c r="T615" s="6">
        <v>2900000000</v>
      </c>
      <c r="U615" s="45">
        <f>VLOOKUP(B615,realPrices!C:G,5,0)</f>
        <v>3410000000</v>
      </c>
      <c r="W615" t="str">
        <f t="shared" si="9"/>
        <v>PARS TU51400</v>
      </c>
      <c r="X615">
        <f>VLOOKUP(W615,Sheet10!D:F,2,0)*10000000</f>
        <v>5100000000</v>
      </c>
      <c r="Y615" t="s">
        <v>74</v>
      </c>
    </row>
    <row r="616" spans="1:25" x14ac:dyDescent="0.25">
      <c r="A616" t="s">
        <v>191</v>
      </c>
      <c r="B616" t="s">
        <v>3273</v>
      </c>
      <c r="C616">
        <v>285</v>
      </c>
      <c r="D616" t="s">
        <v>63</v>
      </c>
      <c r="E616" t="s">
        <v>64</v>
      </c>
      <c r="F616" t="s">
        <v>318</v>
      </c>
      <c r="H616">
        <v>11</v>
      </c>
      <c r="I616">
        <v>1401</v>
      </c>
      <c r="J616" t="s">
        <v>3274</v>
      </c>
      <c r="K616" t="s">
        <v>3275</v>
      </c>
      <c r="M616" t="s">
        <v>198</v>
      </c>
      <c r="N616">
        <v>28520</v>
      </c>
      <c r="O616" t="s">
        <v>70</v>
      </c>
      <c r="Q616" t="s">
        <v>199</v>
      </c>
      <c r="R616" t="s">
        <v>3276</v>
      </c>
      <c r="S616" t="s">
        <v>2119</v>
      </c>
      <c r="T616" s="6">
        <v>2900000000</v>
      </c>
      <c r="U616" s="45">
        <f>VLOOKUP(B616,realPrices!C:G,5,0)</f>
        <v>3555555555</v>
      </c>
      <c r="W616" t="str">
        <f t="shared" si="9"/>
        <v>PARS TU51401</v>
      </c>
      <c r="X616">
        <f>VLOOKUP(W616,Sheet10!D:F,2,0)*10000000</f>
        <v>5250000000</v>
      </c>
      <c r="Y616" t="s">
        <v>74</v>
      </c>
    </row>
    <row r="617" spans="1:25" x14ac:dyDescent="0.25">
      <c r="A617" t="s">
        <v>191</v>
      </c>
      <c r="B617" t="s">
        <v>3277</v>
      </c>
      <c r="C617">
        <v>285</v>
      </c>
      <c r="D617" t="s">
        <v>63</v>
      </c>
      <c r="E617" t="s">
        <v>64</v>
      </c>
      <c r="F617" t="s">
        <v>2596</v>
      </c>
      <c r="G617" t="s">
        <v>3278</v>
      </c>
      <c r="H617">
        <v>268</v>
      </c>
      <c r="I617">
        <v>1400</v>
      </c>
      <c r="J617" t="s">
        <v>3279</v>
      </c>
      <c r="K617" t="s">
        <v>3280</v>
      </c>
      <c r="L617" t="s">
        <v>3281</v>
      </c>
      <c r="M617" t="s">
        <v>198</v>
      </c>
      <c r="N617">
        <v>28520</v>
      </c>
      <c r="O617" t="s">
        <v>70</v>
      </c>
      <c r="Q617" t="s">
        <v>199</v>
      </c>
      <c r="R617" t="s">
        <v>3282</v>
      </c>
      <c r="S617" t="s">
        <v>3283</v>
      </c>
      <c r="T617" s="6">
        <v>2950000000</v>
      </c>
      <c r="U617" s="45">
        <f>VLOOKUP(B617,realPrices!C:G,5,0)</f>
        <v>3749000000</v>
      </c>
      <c r="W617" t="str">
        <f t="shared" si="9"/>
        <v>PARS TU51400</v>
      </c>
      <c r="X617">
        <f>VLOOKUP(W617,Sheet10!D:F,2,0)*10000000</f>
        <v>5100000000</v>
      </c>
      <c r="Y617" t="s">
        <v>74</v>
      </c>
    </row>
    <row r="618" spans="1:25" x14ac:dyDescent="0.25">
      <c r="A618" t="s">
        <v>2189</v>
      </c>
      <c r="B618" t="s">
        <v>3284</v>
      </c>
      <c r="C618">
        <v>282</v>
      </c>
      <c r="D618" t="s">
        <v>240</v>
      </c>
      <c r="E618" t="s">
        <v>64</v>
      </c>
      <c r="F618" t="s">
        <v>205</v>
      </c>
      <c r="G618" t="s">
        <v>3285</v>
      </c>
      <c r="H618">
        <v>12918</v>
      </c>
      <c r="I618">
        <v>1400</v>
      </c>
      <c r="J618" t="s">
        <v>3286</v>
      </c>
      <c r="K618" t="s">
        <v>3287</v>
      </c>
      <c r="L618" t="s">
        <v>3288</v>
      </c>
      <c r="M618" t="s">
        <v>312</v>
      </c>
      <c r="N618">
        <v>28242</v>
      </c>
      <c r="O618" t="s">
        <v>70</v>
      </c>
      <c r="Q618" t="s">
        <v>2195</v>
      </c>
      <c r="R618" t="s">
        <v>3289</v>
      </c>
      <c r="S618" t="s">
        <v>3290</v>
      </c>
      <c r="T618" s="6">
        <v>2950000000</v>
      </c>
      <c r="U618" s="45">
        <f>VLOOKUP(B618,realPrices!C:G,5,0)</f>
        <v>4215888110</v>
      </c>
      <c r="W618" t="str">
        <f t="shared" si="9"/>
        <v>PARS XU71400</v>
      </c>
      <c r="X618" t="e">
        <f>VLOOKUP(W618,Sheet10!D:F,2,0)*10000000</f>
        <v>#N/A</v>
      </c>
      <c r="Y618" t="s">
        <v>114</v>
      </c>
    </row>
    <row r="619" spans="1:25" x14ac:dyDescent="0.25">
      <c r="A619" t="s">
        <v>191</v>
      </c>
      <c r="B619" t="s">
        <v>3291</v>
      </c>
      <c r="C619">
        <v>285</v>
      </c>
      <c r="D619" t="s">
        <v>63</v>
      </c>
      <c r="E619" t="s">
        <v>64</v>
      </c>
      <c r="F619" t="s">
        <v>491</v>
      </c>
      <c r="H619">
        <v>18</v>
      </c>
      <c r="I619">
        <v>1401</v>
      </c>
      <c r="J619" t="s">
        <v>3292</v>
      </c>
      <c r="K619" t="s">
        <v>3293</v>
      </c>
      <c r="M619" t="s">
        <v>198</v>
      </c>
      <c r="N619">
        <v>28520</v>
      </c>
      <c r="O619" t="s">
        <v>70</v>
      </c>
      <c r="Q619" t="s">
        <v>199</v>
      </c>
      <c r="R619" t="s">
        <v>3294</v>
      </c>
      <c r="S619" t="s">
        <v>3022</v>
      </c>
      <c r="T619" s="6">
        <v>2950000000</v>
      </c>
      <c r="U619" s="45">
        <f>VLOOKUP(B619,realPrices!C:G,5,0)</f>
        <v>3217000000</v>
      </c>
      <c r="W619" t="str">
        <f t="shared" si="9"/>
        <v>PARS TU51401</v>
      </c>
      <c r="X619">
        <f>VLOOKUP(W619,Sheet10!D:F,2,0)*10000000</f>
        <v>5250000000</v>
      </c>
      <c r="Y619" t="s">
        <v>74</v>
      </c>
    </row>
    <row r="620" spans="1:25" x14ac:dyDescent="0.25">
      <c r="A620" t="s">
        <v>191</v>
      </c>
      <c r="B620" t="s">
        <v>3295</v>
      </c>
      <c r="C620">
        <v>285</v>
      </c>
      <c r="D620" t="s">
        <v>63</v>
      </c>
      <c r="E620" t="s">
        <v>64</v>
      </c>
      <c r="F620" t="s">
        <v>2596</v>
      </c>
      <c r="G620" t="s">
        <v>3296</v>
      </c>
      <c r="H620">
        <v>3381</v>
      </c>
      <c r="I620">
        <v>1401</v>
      </c>
      <c r="J620" t="s">
        <v>3297</v>
      </c>
      <c r="K620" t="s">
        <v>3298</v>
      </c>
      <c r="L620" t="s">
        <v>3299</v>
      </c>
      <c r="M620" t="s">
        <v>198</v>
      </c>
      <c r="N620">
        <v>28520</v>
      </c>
      <c r="O620" t="s">
        <v>70</v>
      </c>
      <c r="Q620" t="s">
        <v>199</v>
      </c>
      <c r="R620" t="s">
        <v>3300</v>
      </c>
      <c r="S620" t="s">
        <v>3301</v>
      </c>
      <c r="T620" s="6">
        <v>3000000000</v>
      </c>
      <c r="U620" s="45">
        <f>VLOOKUP(B620,realPrices!C:G,5,0)</f>
        <v>3735991111</v>
      </c>
      <c r="W620" t="str">
        <f t="shared" si="9"/>
        <v>PARS TU51401</v>
      </c>
      <c r="X620">
        <f>VLOOKUP(W620,Sheet10!D:F,2,0)*10000000</f>
        <v>5250000000</v>
      </c>
      <c r="Y620" t="s">
        <v>74</v>
      </c>
    </row>
    <row r="621" spans="1:25" x14ac:dyDescent="0.25">
      <c r="A621" t="s">
        <v>3242</v>
      </c>
      <c r="B621" t="s">
        <v>3302</v>
      </c>
      <c r="C621">
        <v>600</v>
      </c>
      <c r="D621" t="s">
        <v>63</v>
      </c>
      <c r="E621" t="s">
        <v>64</v>
      </c>
      <c r="F621" t="s">
        <v>205</v>
      </c>
      <c r="G621" t="s">
        <v>3303</v>
      </c>
      <c r="H621">
        <v>19144</v>
      </c>
      <c r="I621">
        <v>1400</v>
      </c>
      <c r="J621" t="s">
        <v>3304</v>
      </c>
      <c r="K621" t="s">
        <v>3305</v>
      </c>
      <c r="L621" t="s">
        <v>3306</v>
      </c>
      <c r="M621" t="s">
        <v>3246</v>
      </c>
      <c r="N621">
        <v>60010</v>
      </c>
      <c r="O621" t="s">
        <v>303</v>
      </c>
      <c r="Q621" t="s">
        <v>3247</v>
      </c>
      <c r="R621" t="s">
        <v>3307</v>
      </c>
      <c r="S621" t="s">
        <v>3308</v>
      </c>
      <c r="T621" s="6">
        <v>3000000000</v>
      </c>
      <c r="U621" s="45">
        <f>VLOOKUP(B621,realPrices!C:G,5,0)</f>
        <v>3963333333</v>
      </c>
      <c r="W621" t="str">
        <f t="shared" si="9"/>
        <v>207i-MT1400</v>
      </c>
      <c r="X621">
        <f>VLOOKUP(W621,Sheet10!D:F,2,0)*10000000</f>
        <v>5600000000</v>
      </c>
      <c r="Y621" t="s">
        <v>74</v>
      </c>
    </row>
    <row r="622" spans="1:25" x14ac:dyDescent="0.25">
      <c r="A622" t="s">
        <v>3309</v>
      </c>
      <c r="B622" t="s">
        <v>3310</v>
      </c>
      <c r="C622">
        <v>351</v>
      </c>
      <c r="D622" t="s">
        <v>259</v>
      </c>
      <c r="E622" t="s">
        <v>64</v>
      </c>
      <c r="F622" t="s">
        <v>193</v>
      </c>
      <c r="G622" t="s">
        <v>3311</v>
      </c>
      <c r="H622">
        <v>999999</v>
      </c>
      <c r="I622">
        <v>1401</v>
      </c>
      <c r="J622" t="s">
        <v>3312</v>
      </c>
      <c r="K622" t="s">
        <v>3313</v>
      </c>
      <c r="L622" t="s">
        <v>3314</v>
      </c>
      <c r="M622" t="s">
        <v>400</v>
      </c>
      <c r="N622">
        <v>35103</v>
      </c>
      <c r="O622" t="s">
        <v>70</v>
      </c>
      <c r="Q622" t="s">
        <v>2572</v>
      </c>
      <c r="R622" t="s">
        <v>3315</v>
      </c>
      <c r="S622" t="s">
        <v>3316</v>
      </c>
      <c r="T622" s="6">
        <v>3000000000</v>
      </c>
      <c r="U622" s="45">
        <f>VLOOKUP(B622,realPrices!C:G,5,0)</f>
        <v>3615500000</v>
      </c>
      <c r="W622" t="str">
        <f t="shared" si="9"/>
        <v>PARS XU7 P1401</v>
      </c>
      <c r="X622">
        <f>VLOOKUP(W622,Sheet10!D:F,2,0)*10000000</f>
        <v>4500000000</v>
      </c>
      <c r="Y622" t="s">
        <v>114</v>
      </c>
    </row>
    <row r="623" spans="1:25" x14ac:dyDescent="0.25">
      <c r="A623" t="s">
        <v>2189</v>
      </c>
      <c r="B623" t="s">
        <v>3317</v>
      </c>
      <c r="C623">
        <v>282</v>
      </c>
      <c r="D623" t="s">
        <v>240</v>
      </c>
      <c r="E623" t="s">
        <v>64</v>
      </c>
      <c r="F623" t="s">
        <v>420</v>
      </c>
      <c r="G623" t="s">
        <v>3318</v>
      </c>
      <c r="H623">
        <v>5365</v>
      </c>
      <c r="I623">
        <v>1400</v>
      </c>
      <c r="J623" t="s">
        <v>3319</v>
      </c>
      <c r="K623" t="s">
        <v>3320</v>
      </c>
      <c r="L623" t="s">
        <v>3321</v>
      </c>
      <c r="M623" t="s">
        <v>312</v>
      </c>
      <c r="N623">
        <v>28242</v>
      </c>
      <c r="O623" t="s">
        <v>70</v>
      </c>
      <c r="Q623" t="s">
        <v>2195</v>
      </c>
      <c r="R623" t="s">
        <v>3322</v>
      </c>
      <c r="S623" t="s">
        <v>3184</v>
      </c>
      <c r="T623" s="6">
        <v>3000000000</v>
      </c>
      <c r="U623" s="45">
        <f>VLOOKUP(B623,realPrices!C:G,5,0)</f>
        <v>4010000000</v>
      </c>
      <c r="W623" t="str">
        <f t="shared" si="9"/>
        <v>PARS XU71400</v>
      </c>
      <c r="X623" t="e">
        <f>VLOOKUP(W623,Sheet10!D:F,2,0)*10000000</f>
        <v>#N/A</v>
      </c>
      <c r="Y623" t="s">
        <v>114</v>
      </c>
    </row>
    <row r="624" spans="1:25" x14ac:dyDescent="0.25">
      <c r="A624" t="s">
        <v>191</v>
      </c>
      <c r="B624" t="s">
        <v>3323</v>
      </c>
      <c r="C624">
        <v>285</v>
      </c>
      <c r="D624" t="s">
        <v>63</v>
      </c>
      <c r="E624" t="s">
        <v>64</v>
      </c>
      <c r="F624" t="s">
        <v>2696</v>
      </c>
      <c r="H624">
        <v>36</v>
      </c>
      <c r="I624">
        <v>1401</v>
      </c>
      <c r="J624" t="s">
        <v>3324</v>
      </c>
      <c r="K624" t="s">
        <v>3325</v>
      </c>
      <c r="M624" t="s">
        <v>198</v>
      </c>
      <c r="N624">
        <v>28520</v>
      </c>
      <c r="O624" t="s">
        <v>70</v>
      </c>
      <c r="Q624" t="s">
        <v>199</v>
      </c>
      <c r="R624" t="s">
        <v>3326</v>
      </c>
      <c r="S624" t="s">
        <v>3028</v>
      </c>
      <c r="T624" s="6">
        <v>3000000000</v>
      </c>
      <c r="U624" s="45">
        <f>VLOOKUP(B624,realPrices!C:G,5,0)</f>
        <v>3821200000</v>
      </c>
      <c r="W624" t="str">
        <f t="shared" si="9"/>
        <v>PARS TU51401</v>
      </c>
      <c r="X624">
        <f>VLOOKUP(W624,Sheet10!D:F,2,0)*10000000</f>
        <v>5250000000</v>
      </c>
      <c r="Y624" t="s">
        <v>74</v>
      </c>
    </row>
    <row r="625" spans="1:25" x14ac:dyDescent="0.25">
      <c r="A625" t="s">
        <v>3327</v>
      </c>
      <c r="B625" t="s">
        <v>3328</v>
      </c>
      <c r="C625">
        <v>701</v>
      </c>
      <c r="D625" t="s">
        <v>259</v>
      </c>
      <c r="E625" t="s">
        <v>64</v>
      </c>
      <c r="F625" t="s">
        <v>420</v>
      </c>
      <c r="H625">
        <v>42</v>
      </c>
      <c r="I625">
        <v>1400</v>
      </c>
      <c r="J625" t="s">
        <v>3329</v>
      </c>
      <c r="K625" t="s">
        <v>3330</v>
      </c>
      <c r="M625" t="s">
        <v>408</v>
      </c>
      <c r="N625">
        <v>70117</v>
      </c>
      <c r="O625" t="s">
        <v>70</v>
      </c>
      <c r="Q625" t="s">
        <v>409</v>
      </c>
      <c r="R625" t="s">
        <v>3331</v>
      </c>
      <c r="S625" t="s">
        <v>3332</v>
      </c>
      <c r="T625" s="6">
        <v>3000000000</v>
      </c>
      <c r="U625" s="45">
        <f>VLOOKUP(B625,realPrices!C:G,5,0)</f>
        <v>3680000000</v>
      </c>
      <c r="W625" t="str">
        <f t="shared" si="9"/>
        <v>DENA EF71400</v>
      </c>
      <c r="X625" t="e">
        <f>VLOOKUP(W625,Sheet10!D:F,2,0)*10000000</f>
        <v>#N/A</v>
      </c>
      <c r="Y625" t="s">
        <v>74</v>
      </c>
    </row>
    <row r="626" spans="1:25" x14ac:dyDescent="0.25">
      <c r="A626" t="s">
        <v>3242</v>
      </c>
      <c r="B626" t="s">
        <v>3333</v>
      </c>
      <c r="C626">
        <v>600</v>
      </c>
      <c r="D626" t="s">
        <v>63</v>
      </c>
      <c r="E626" t="s">
        <v>64</v>
      </c>
      <c r="F626" t="s">
        <v>491</v>
      </c>
      <c r="H626">
        <v>41</v>
      </c>
      <c r="I626">
        <v>1400</v>
      </c>
      <c r="J626" t="s">
        <v>3334</v>
      </c>
      <c r="K626" t="s">
        <v>3335</v>
      </c>
      <c r="M626" t="s">
        <v>3246</v>
      </c>
      <c r="N626">
        <v>60010</v>
      </c>
      <c r="O626" t="s">
        <v>303</v>
      </c>
      <c r="Q626" t="s">
        <v>3247</v>
      </c>
      <c r="R626" t="s">
        <v>3336</v>
      </c>
      <c r="S626" t="s">
        <v>3337</v>
      </c>
      <c r="T626" s="6">
        <v>3000000000</v>
      </c>
      <c r="U626" s="45">
        <f>VLOOKUP(B626,realPrices!C:G,5,0)</f>
        <v>3732900000</v>
      </c>
      <c r="W626" t="str">
        <f t="shared" si="9"/>
        <v>207i-MT1400</v>
      </c>
      <c r="X626">
        <f>VLOOKUP(W626,Sheet10!D:F,2,0)*10000000</f>
        <v>5600000000</v>
      </c>
      <c r="Y626" t="s">
        <v>74</v>
      </c>
    </row>
    <row r="627" spans="1:25" x14ac:dyDescent="0.25">
      <c r="A627" t="s">
        <v>191</v>
      </c>
      <c r="B627" t="s">
        <v>3338</v>
      </c>
      <c r="C627">
        <v>285</v>
      </c>
      <c r="D627" t="s">
        <v>63</v>
      </c>
      <c r="E627" t="s">
        <v>64</v>
      </c>
      <c r="F627" t="s">
        <v>3186</v>
      </c>
      <c r="H627">
        <v>66</v>
      </c>
      <c r="I627">
        <v>1400</v>
      </c>
      <c r="J627" t="s">
        <v>3339</v>
      </c>
      <c r="K627" t="s">
        <v>3340</v>
      </c>
      <c r="M627" t="s">
        <v>198</v>
      </c>
      <c r="N627">
        <v>28520</v>
      </c>
      <c r="O627" t="s">
        <v>70</v>
      </c>
      <c r="Q627" t="s">
        <v>199</v>
      </c>
      <c r="R627" t="s">
        <v>3341</v>
      </c>
      <c r="S627" t="s">
        <v>3342</v>
      </c>
      <c r="T627" s="6">
        <v>3000000000</v>
      </c>
      <c r="U627" s="45">
        <f>VLOOKUP(B627,realPrices!C:G,5,0)</f>
        <v>3828000000</v>
      </c>
      <c r="W627" t="str">
        <f t="shared" si="9"/>
        <v>PARS TU51400</v>
      </c>
      <c r="X627">
        <f>VLOOKUP(W627,Sheet10!D:F,2,0)*10000000</f>
        <v>5100000000</v>
      </c>
      <c r="Y627" t="s">
        <v>74</v>
      </c>
    </row>
    <row r="628" spans="1:25" x14ac:dyDescent="0.25">
      <c r="A628" t="s">
        <v>191</v>
      </c>
      <c r="B628" t="s">
        <v>3343</v>
      </c>
      <c r="C628">
        <v>285</v>
      </c>
      <c r="D628" t="s">
        <v>63</v>
      </c>
      <c r="E628" t="s">
        <v>64</v>
      </c>
      <c r="F628" t="s">
        <v>362</v>
      </c>
      <c r="H628">
        <v>72</v>
      </c>
      <c r="I628">
        <v>1400</v>
      </c>
      <c r="J628" t="s">
        <v>3344</v>
      </c>
      <c r="K628" t="s">
        <v>3345</v>
      </c>
      <c r="M628" t="s">
        <v>198</v>
      </c>
      <c r="N628">
        <v>28520</v>
      </c>
      <c r="O628" t="s">
        <v>70</v>
      </c>
      <c r="Q628" t="s">
        <v>199</v>
      </c>
      <c r="R628" t="s">
        <v>3346</v>
      </c>
      <c r="S628" t="s">
        <v>176</v>
      </c>
      <c r="T628" s="6">
        <v>3000000000</v>
      </c>
      <c r="U628" s="45">
        <f>VLOOKUP(B628,realPrices!C:G,5,0)</f>
        <v>3700000000</v>
      </c>
      <c r="W628" t="str">
        <f t="shared" si="9"/>
        <v>PARS TU51400</v>
      </c>
      <c r="X628">
        <f>VLOOKUP(W628,Sheet10!D:F,2,0)*10000000</f>
        <v>5100000000</v>
      </c>
      <c r="Y628" t="s">
        <v>74</v>
      </c>
    </row>
    <row r="629" spans="1:25" x14ac:dyDescent="0.25">
      <c r="A629" t="s">
        <v>191</v>
      </c>
      <c r="B629" t="s">
        <v>3347</v>
      </c>
      <c r="C629">
        <v>285</v>
      </c>
      <c r="D629" t="s">
        <v>63</v>
      </c>
      <c r="E629" t="s">
        <v>64</v>
      </c>
      <c r="F629" t="s">
        <v>362</v>
      </c>
      <c r="H629">
        <v>65</v>
      </c>
      <c r="I629">
        <v>1400</v>
      </c>
      <c r="J629" t="s">
        <v>3348</v>
      </c>
      <c r="K629" t="s">
        <v>3349</v>
      </c>
      <c r="M629" t="s">
        <v>198</v>
      </c>
      <c r="N629">
        <v>28520</v>
      </c>
      <c r="O629" t="s">
        <v>70</v>
      </c>
      <c r="Q629" t="s">
        <v>199</v>
      </c>
      <c r="R629" t="s">
        <v>3350</v>
      </c>
      <c r="S629" t="s">
        <v>3034</v>
      </c>
      <c r="T629" s="6">
        <v>3000000000</v>
      </c>
      <c r="U629" s="45">
        <f>VLOOKUP(B629,realPrices!C:G,5,0)</f>
        <v>3825550000</v>
      </c>
      <c r="W629" t="str">
        <f t="shared" si="9"/>
        <v>PARS TU51400</v>
      </c>
      <c r="X629">
        <f>VLOOKUP(W629,Sheet10!D:F,2,0)*10000000</f>
        <v>5100000000</v>
      </c>
      <c r="Y629" t="s">
        <v>74</v>
      </c>
    </row>
    <row r="630" spans="1:25" x14ac:dyDescent="0.25">
      <c r="A630" t="s">
        <v>191</v>
      </c>
      <c r="B630" t="s">
        <v>3351</v>
      </c>
      <c r="C630">
        <v>285</v>
      </c>
      <c r="D630" t="s">
        <v>63</v>
      </c>
      <c r="E630" t="s">
        <v>64</v>
      </c>
      <c r="F630" t="s">
        <v>3186</v>
      </c>
      <c r="H630">
        <v>63</v>
      </c>
      <c r="I630">
        <v>1400</v>
      </c>
      <c r="J630" t="s">
        <v>3352</v>
      </c>
      <c r="K630" t="s">
        <v>3353</v>
      </c>
      <c r="M630" t="s">
        <v>198</v>
      </c>
      <c r="N630">
        <v>28520</v>
      </c>
      <c r="O630" t="s">
        <v>70</v>
      </c>
      <c r="Q630" t="s">
        <v>199</v>
      </c>
      <c r="R630" t="s">
        <v>3354</v>
      </c>
      <c r="S630" t="s">
        <v>3355</v>
      </c>
      <c r="T630" s="6">
        <v>3000000000</v>
      </c>
      <c r="U630" s="45">
        <f>VLOOKUP(B630,realPrices!C:G,5,0)</f>
        <v>3663663663</v>
      </c>
      <c r="W630" t="str">
        <f t="shared" si="9"/>
        <v>PARS TU51400</v>
      </c>
      <c r="X630">
        <f>VLOOKUP(W630,Sheet10!D:F,2,0)*10000000</f>
        <v>5100000000</v>
      </c>
      <c r="Y630" t="s">
        <v>74</v>
      </c>
    </row>
    <row r="631" spans="1:25" x14ac:dyDescent="0.25">
      <c r="A631" t="s">
        <v>3356</v>
      </c>
      <c r="B631" t="s">
        <v>3357</v>
      </c>
      <c r="C631">
        <v>285</v>
      </c>
      <c r="D631" t="s">
        <v>259</v>
      </c>
      <c r="E631" t="s">
        <v>64</v>
      </c>
      <c r="F631" t="s">
        <v>2436</v>
      </c>
      <c r="H631">
        <v>572</v>
      </c>
      <c r="I631">
        <v>1400</v>
      </c>
      <c r="J631" t="s">
        <v>3358</v>
      </c>
      <c r="K631" t="s">
        <v>3359</v>
      </c>
      <c r="M631" t="s">
        <v>198</v>
      </c>
      <c r="N631">
        <v>28520</v>
      </c>
      <c r="O631" t="s">
        <v>70</v>
      </c>
      <c r="Q631" t="s">
        <v>199</v>
      </c>
      <c r="R631" t="s">
        <v>3360</v>
      </c>
      <c r="S631" t="s">
        <v>219</v>
      </c>
      <c r="T631" s="6">
        <v>3000000000</v>
      </c>
      <c r="U631" s="45">
        <f>VLOOKUP(B631,realPrices!C:G,5,0)</f>
        <v>3387800000</v>
      </c>
      <c r="W631" t="str">
        <f t="shared" si="9"/>
        <v>PARS TU51400</v>
      </c>
      <c r="X631">
        <f>VLOOKUP(W631,Sheet10!D:F,2,0)*10000000</f>
        <v>5100000000</v>
      </c>
      <c r="Y631" t="s">
        <v>74</v>
      </c>
    </row>
    <row r="632" spans="1:25" x14ac:dyDescent="0.25">
      <c r="A632" t="s">
        <v>191</v>
      </c>
      <c r="B632" t="s">
        <v>3361</v>
      </c>
      <c r="C632">
        <v>285</v>
      </c>
      <c r="D632" t="s">
        <v>63</v>
      </c>
      <c r="E632" t="s">
        <v>64</v>
      </c>
      <c r="F632" t="s">
        <v>3186</v>
      </c>
      <c r="H632">
        <v>282</v>
      </c>
      <c r="I632">
        <v>1400</v>
      </c>
      <c r="J632" t="s">
        <v>3362</v>
      </c>
      <c r="K632" t="s">
        <v>3363</v>
      </c>
      <c r="M632" t="s">
        <v>198</v>
      </c>
      <c r="N632">
        <v>28520</v>
      </c>
      <c r="O632" t="s">
        <v>70</v>
      </c>
      <c r="Q632" t="s">
        <v>199</v>
      </c>
      <c r="R632" t="s">
        <v>3364</v>
      </c>
      <c r="S632" t="s">
        <v>3365</v>
      </c>
      <c r="T632" s="6">
        <v>3000000000</v>
      </c>
      <c r="U632" s="45">
        <f>VLOOKUP(B632,realPrices!C:G,5,0)</f>
        <v>3720000000</v>
      </c>
      <c r="W632" t="str">
        <f t="shared" si="9"/>
        <v>PARS TU51400</v>
      </c>
      <c r="X632">
        <f>VLOOKUP(W632,Sheet10!D:F,2,0)*10000000</f>
        <v>5100000000</v>
      </c>
      <c r="Y632" t="s">
        <v>74</v>
      </c>
    </row>
    <row r="633" spans="1:25" x14ac:dyDescent="0.25">
      <c r="A633" t="s">
        <v>191</v>
      </c>
      <c r="B633" t="s">
        <v>3366</v>
      </c>
      <c r="C633">
        <v>285</v>
      </c>
      <c r="D633" t="s">
        <v>63</v>
      </c>
      <c r="E633" t="s">
        <v>64</v>
      </c>
      <c r="F633" t="s">
        <v>3186</v>
      </c>
      <c r="H633">
        <v>799</v>
      </c>
      <c r="I633">
        <v>1400</v>
      </c>
      <c r="J633" t="s">
        <v>3367</v>
      </c>
      <c r="K633" t="s">
        <v>3368</v>
      </c>
      <c r="M633" t="s">
        <v>198</v>
      </c>
      <c r="N633">
        <v>28520</v>
      </c>
      <c r="O633" t="s">
        <v>70</v>
      </c>
      <c r="Q633" t="s">
        <v>199</v>
      </c>
      <c r="R633" t="s">
        <v>3369</v>
      </c>
      <c r="S633" t="s">
        <v>2803</v>
      </c>
      <c r="T633" s="6">
        <v>3000000000</v>
      </c>
      <c r="U633" s="45">
        <f>VLOOKUP(B633,realPrices!C:G,5,0)</f>
        <v>3578888888</v>
      </c>
      <c r="W633" t="str">
        <f t="shared" si="9"/>
        <v>PARS TU51400</v>
      </c>
      <c r="X633">
        <f>VLOOKUP(W633,Sheet10!D:F,2,0)*10000000</f>
        <v>5100000000</v>
      </c>
      <c r="Y633" t="s">
        <v>74</v>
      </c>
    </row>
    <row r="634" spans="1:25" x14ac:dyDescent="0.25">
      <c r="A634" t="s">
        <v>191</v>
      </c>
      <c r="B634" t="s">
        <v>3370</v>
      </c>
      <c r="C634">
        <v>285</v>
      </c>
      <c r="D634" t="s">
        <v>63</v>
      </c>
      <c r="E634" t="s">
        <v>64</v>
      </c>
      <c r="F634" t="s">
        <v>3186</v>
      </c>
      <c r="H634">
        <v>389</v>
      </c>
      <c r="I634">
        <v>1400</v>
      </c>
      <c r="J634" t="s">
        <v>3371</v>
      </c>
      <c r="K634" t="s">
        <v>3372</v>
      </c>
      <c r="M634" t="s">
        <v>198</v>
      </c>
      <c r="N634">
        <v>28520</v>
      </c>
      <c r="O634" t="s">
        <v>70</v>
      </c>
      <c r="Q634" t="s">
        <v>199</v>
      </c>
      <c r="R634" t="s">
        <v>3373</v>
      </c>
      <c r="S634" t="s">
        <v>3374</v>
      </c>
      <c r="T634" s="6">
        <v>3000000000</v>
      </c>
      <c r="U634" s="45">
        <f>VLOOKUP(B634,realPrices!C:G,5,0)</f>
        <v>3800000000</v>
      </c>
      <c r="W634" t="str">
        <f t="shared" si="9"/>
        <v>PARS TU51400</v>
      </c>
      <c r="X634">
        <f>VLOOKUP(W634,Sheet10!D:F,2,0)*10000000</f>
        <v>5100000000</v>
      </c>
      <c r="Y634" t="s">
        <v>74</v>
      </c>
    </row>
    <row r="635" spans="1:25" x14ac:dyDescent="0.25">
      <c r="A635" t="s">
        <v>191</v>
      </c>
      <c r="B635" t="s">
        <v>3375</v>
      </c>
      <c r="C635">
        <v>285</v>
      </c>
      <c r="D635" t="s">
        <v>63</v>
      </c>
      <c r="E635" t="s">
        <v>64</v>
      </c>
      <c r="F635" t="s">
        <v>3186</v>
      </c>
      <c r="H635">
        <v>288</v>
      </c>
      <c r="I635">
        <v>1400</v>
      </c>
      <c r="J635" t="s">
        <v>3376</v>
      </c>
      <c r="K635" t="s">
        <v>3377</v>
      </c>
      <c r="M635" t="s">
        <v>198</v>
      </c>
      <c r="N635">
        <v>28520</v>
      </c>
      <c r="O635" t="s">
        <v>70</v>
      </c>
      <c r="Q635" t="s">
        <v>199</v>
      </c>
      <c r="R635" t="s">
        <v>3378</v>
      </c>
      <c r="S635" t="s">
        <v>3379</v>
      </c>
      <c r="T635" s="6">
        <v>3000000000</v>
      </c>
      <c r="U635" s="45">
        <f>VLOOKUP(B635,realPrices!C:G,5,0)</f>
        <v>3180000000</v>
      </c>
      <c r="W635" t="str">
        <f t="shared" si="9"/>
        <v>PARS TU51400</v>
      </c>
      <c r="X635">
        <f>VLOOKUP(W635,Sheet10!D:F,2,0)*10000000</f>
        <v>5100000000</v>
      </c>
      <c r="Y635" t="s">
        <v>74</v>
      </c>
    </row>
    <row r="636" spans="1:25" x14ac:dyDescent="0.25">
      <c r="A636" t="s">
        <v>191</v>
      </c>
      <c r="B636" t="s">
        <v>3380</v>
      </c>
      <c r="C636">
        <v>285</v>
      </c>
      <c r="D636" t="s">
        <v>63</v>
      </c>
      <c r="E636" t="s">
        <v>64</v>
      </c>
      <c r="F636" t="s">
        <v>362</v>
      </c>
      <c r="H636">
        <v>143</v>
      </c>
      <c r="I636">
        <v>1400</v>
      </c>
      <c r="J636" t="s">
        <v>3381</v>
      </c>
      <c r="K636" t="s">
        <v>3382</v>
      </c>
      <c r="M636" t="s">
        <v>198</v>
      </c>
      <c r="N636">
        <v>28520</v>
      </c>
      <c r="O636" t="s">
        <v>70</v>
      </c>
      <c r="Q636" t="s">
        <v>199</v>
      </c>
      <c r="R636" t="s">
        <v>3383</v>
      </c>
      <c r="S636" t="s">
        <v>3384</v>
      </c>
      <c r="T636" s="6">
        <v>3000000000</v>
      </c>
      <c r="U636" s="45">
        <f>VLOOKUP(B636,realPrices!C:G,5,0)</f>
        <v>3772200000</v>
      </c>
      <c r="W636" t="str">
        <f t="shared" si="9"/>
        <v>PARS TU51400</v>
      </c>
      <c r="X636">
        <f>VLOOKUP(W636,Sheet10!D:F,2,0)*10000000</f>
        <v>5100000000</v>
      </c>
      <c r="Y636" t="s">
        <v>74</v>
      </c>
    </row>
    <row r="637" spans="1:25" x14ac:dyDescent="0.25">
      <c r="A637" t="s">
        <v>404</v>
      </c>
      <c r="B637" t="s">
        <v>3385</v>
      </c>
      <c r="C637">
        <v>701</v>
      </c>
      <c r="D637" t="s">
        <v>63</v>
      </c>
      <c r="E637" t="s">
        <v>64</v>
      </c>
      <c r="F637" t="s">
        <v>420</v>
      </c>
      <c r="H637">
        <v>44</v>
      </c>
      <c r="I637">
        <v>1400</v>
      </c>
      <c r="J637" t="s">
        <v>3386</v>
      </c>
      <c r="K637" t="s">
        <v>3387</v>
      </c>
      <c r="M637" t="s">
        <v>408</v>
      </c>
      <c r="N637">
        <v>70117</v>
      </c>
      <c r="O637" t="s">
        <v>70</v>
      </c>
      <c r="Q637" t="s">
        <v>409</v>
      </c>
      <c r="R637" t="s">
        <v>3388</v>
      </c>
      <c r="S637" t="s">
        <v>3389</v>
      </c>
      <c r="T637" s="6">
        <v>3050000000</v>
      </c>
      <c r="U637" s="45">
        <f>VLOOKUP(B637,realPrices!C:G,5,0)</f>
        <v>3550000000</v>
      </c>
      <c r="W637" t="str">
        <f t="shared" si="9"/>
        <v>DENA EF71400</v>
      </c>
      <c r="X637" t="e">
        <f>VLOOKUP(W637,Sheet10!D:F,2,0)*10000000</f>
        <v>#N/A</v>
      </c>
      <c r="Y637" t="s">
        <v>74</v>
      </c>
    </row>
    <row r="638" spans="1:25" x14ac:dyDescent="0.25">
      <c r="A638" t="s">
        <v>191</v>
      </c>
      <c r="B638" t="s">
        <v>3390</v>
      </c>
      <c r="C638">
        <v>285</v>
      </c>
      <c r="D638" t="s">
        <v>63</v>
      </c>
      <c r="E638" t="s">
        <v>64</v>
      </c>
      <c r="F638" t="s">
        <v>420</v>
      </c>
      <c r="G638" t="s">
        <v>3391</v>
      </c>
      <c r="H638">
        <v>3270</v>
      </c>
      <c r="I638">
        <v>1400</v>
      </c>
      <c r="J638" t="s">
        <v>3392</v>
      </c>
      <c r="K638" t="s">
        <v>3393</v>
      </c>
      <c r="L638" t="s">
        <v>3394</v>
      </c>
      <c r="M638" t="s">
        <v>198</v>
      </c>
      <c r="N638">
        <v>28520</v>
      </c>
      <c r="O638" t="s">
        <v>70</v>
      </c>
      <c r="Q638" t="s">
        <v>199</v>
      </c>
      <c r="R638" t="s">
        <v>3395</v>
      </c>
      <c r="S638" t="s">
        <v>3396</v>
      </c>
      <c r="T638" s="6">
        <v>3100000000</v>
      </c>
      <c r="U638" s="45">
        <f>VLOOKUP(B638,realPrices!C:G,5,0)</f>
        <v>3666666666</v>
      </c>
      <c r="W638" t="str">
        <f t="shared" si="9"/>
        <v>PARS TU51400</v>
      </c>
      <c r="X638">
        <f>VLOOKUP(W638,Sheet10!D:F,2,0)*10000000</f>
        <v>5100000000</v>
      </c>
      <c r="Y638" t="s">
        <v>74</v>
      </c>
    </row>
    <row r="639" spans="1:25" x14ac:dyDescent="0.25">
      <c r="A639" t="s">
        <v>1418</v>
      </c>
      <c r="B639" t="s">
        <v>3397</v>
      </c>
      <c r="C639">
        <v>351</v>
      </c>
      <c r="D639" t="s">
        <v>63</v>
      </c>
      <c r="E639" t="s">
        <v>64</v>
      </c>
      <c r="F639" t="s">
        <v>420</v>
      </c>
      <c r="G639" t="s">
        <v>3398</v>
      </c>
      <c r="H639">
        <v>780</v>
      </c>
      <c r="I639">
        <v>1401</v>
      </c>
      <c r="J639" t="s">
        <v>3399</v>
      </c>
      <c r="K639" t="s">
        <v>3400</v>
      </c>
      <c r="L639" t="s">
        <v>3401</v>
      </c>
      <c r="M639" t="s">
        <v>400</v>
      </c>
      <c r="N639">
        <v>35101</v>
      </c>
      <c r="O639" t="s">
        <v>70</v>
      </c>
      <c r="Q639" t="s">
        <v>401</v>
      </c>
      <c r="R639" t="s">
        <v>3402</v>
      </c>
      <c r="S639" t="s">
        <v>3010</v>
      </c>
      <c r="T639" s="6">
        <v>3100000000</v>
      </c>
      <c r="U639" s="45">
        <f>VLOOKUP(B639,realPrices!C:G,5,0)</f>
        <v>4172000000</v>
      </c>
      <c r="W639" t="str">
        <f t="shared" si="9"/>
        <v>PARS XU7 P1401</v>
      </c>
      <c r="X639">
        <f>VLOOKUP(W639,Sheet10!D:F,2,0)*10000000</f>
        <v>4500000000</v>
      </c>
      <c r="Y639" t="s">
        <v>114</v>
      </c>
    </row>
    <row r="640" spans="1:25" x14ac:dyDescent="0.25">
      <c r="A640" t="s">
        <v>191</v>
      </c>
      <c r="B640" t="s">
        <v>3403</v>
      </c>
      <c r="C640">
        <v>285</v>
      </c>
      <c r="D640" t="s">
        <v>63</v>
      </c>
      <c r="E640" t="s">
        <v>64</v>
      </c>
      <c r="F640" t="s">
        <v>3186</v>
      </c>
      <c r="H640">
        <v>95</v>
      </c>
      <c r="I640">
        <v>1400</v>
      </c>
      <c r="J640" t="s">
        <v>3404</v>
      </c>
      <c r="K640" t="s">
        <v>3405</v>
      </c>
      <c r="M640" t="s">
        <v>198</v>
      </c>
      <c r="N640">
        <v>28520</v>
      </c>
      <c r="O640" t="s">
        <v>70</v>
      </c>
      <c r="Q640" t="s">
        <v>199</v>
      </c>
      <c r="R640" t="s">
        <v>3406</v>
      </c>
      <c r="S640" t="s">
        <v>2629</v>
      </c>
      <c r="T640" s="6">
        <v>3100000000</v>
      </c>
      <c r="U640" s="45">
        <f>VLOOKUP(B640,realPrices!C:G,5,0)</f>
        <v>3885200000</v>
      </c>
      <c r="W640" t="str">
        <f t="shared" si="9"/>
        <v>PARS TU51400</v>
      </c>
      <c r="X640">
        <f>VLOOKUP(W640,Sheet10!D:F,2,0)*10000000</f>
        <v>5100000000</v>
      </c>
      <c r="Y640" t="s">
        <v>74</v>
      </c>
    </row>
    <row r="641" spans="1:25" x14ac:dyDescent="0.25">
      <c r="A641" t="s">
        <v>191</v>
      </c>
      <c r="B641" t="s">
        <v>3407</v>
      </c>
      <c r="C641">
        <v>285</v>
      </c>
      <c r="D641" t="s">
        <v>63</v>
      </c>
      <c r="E641" t="s">
        <v>64</v>
      </c>
      <c r="F641" t="s">
        <v>3186</v>
      </c>
      <c r="H641">
        <v>137</v>
      </c>
      <c r="I641">
        <v>1400</v>
      </c>
      <c r="J641" t="s">
        <v>3408</v>
      </c>
      <c r="K641" t="s">
        <v>3409</v>
      </c>
      <c r="M641" t="s">
        <v>198</v>
      </c>
      <c r="N641">
        <v>28520</v>
      </c>
      <c r="O641" t="s">
        <v>70</v>
      </c>
      <c r="Q641" t="s">
        <v>199</v>
      </c>
      <c r="R641" t="s">
        <v>3410</v>
      </c>
      <c r="S641" t="s">
        <v>2508</v>
      </c>
      <c r="T641" s="6">
        <v>3100000000</v>
      </c>
      <c r="U641" s="45">
        <f>VLOOKUP(B641,realPrices!C:G,5,0)</f>
        <v>3835000000</v>
      </c>
      <c r="W641" t="str">
        <f t="shared" si="9"/>
        <v>PARS TU51400</v>
      </c>
      <c r="X641">
        <f>VLOOKUP(W641,Sheet10!D:F,2,0)*10000000</f>
        <v>5100000000</v>
      </c>
      <c r="Y641" t="s">
        <v>74</v>
      </c>
    </row>
    <row r="642" spans="1:25" x14ac:dyDescent="0.25">
      <c r="A642" t="s">
        <v>3411</v>
      </c>
      <c r="B642" t="s">
        <v>3412</v>
      </c>
      <c r="C642">
        <v>600</v>
      </c>
      <c r="D642" t="s">
        <v>63</v>
      </c>
      <c r="E642" t="s">
        <v>64</v>
      </c>
      <c r="F642" t="s">
        <v>362</v>
      </c>
      <c r="H642">
        <v>3188</v>
      </c>
      <c r="I642">
        <v>1400</v>
      </c>
      <c r="J642" t="s">
        <v>3413</v>
      </c>
      <c r="K642" t="s">
        <v>3414</v>
      </c>
      <c r="M642" t="s">
        <v>3246</v>
      </c>
      <c r="N642">
        <v>60006</v>
      </c>
      <c r="O642" t="s">
        <v>303</v>
      </c>
      <c r="Q642" t="s">
        <v>3415</v>
      </c>
      <c r="R642" t="s">
        <v>3416</v>
      </c>
      <c r="S642" t="s">
        <v>3417</v>
      </c>
      <c r="T642" s="6">
        <v>3100000000</v>
      </c>
      <c r="U642" s="45">
        <f>VLOOKUP(B642,realPrices!C:G,5,0)</f>
        <v>3970000000</v>
      </c>
      <c r="W642" t="str">
        <f t="shared" ref="W642:W705" si="10">M642&amp;I642</f>
        <v>207i-MT1400</v>
      </c>
      <c r="X642">
        <f>VLOOKUP(W642,Sheet10!D:F,2,0)*10000000</f>
        <v>5600000000</v>
      </c>
      <c r="Y642" t="s">
        <v>74</v>
      </c>
    </row>
    <row r="643" spans="1:25" x14ac:dyDescent="0.25">
      <c r="A643" t="s">
        <v>404</v>
      </c>
      <c r="B643" t="s">
        <v>3418</v>
      </c>
      <c r="C643">
        <v>701</v>
      </c>
      <c r="D643" t="s">
        <v>63</v>
      </c>
      <c r="E643" t="s">
        <v>64</v>
      </c>
      <c r="F643" t="s">
        <v>3186</v>
      </c>
      <c r="H643">
        <v>208</v>
      </c>
      <c r="I643">
        <v>1400</v>
      </c>
      <c r="J643" t="s">
        <v>3419</v>
      </c>
      <c r="K643" t="s">
        <v>3420</v>
      </c>
      <c r="M643" t="s">
        <v>408</v>
      </c>
      <c r="N643">
        <v>70117</v>
      </c>
      <c r="O643" t="s">
        <v>70</v>
      </c>
      <c r="Q643" t="s">
        <v>409</v>
      </c>
      <c r="R643" t="s">
        <v>3421</v>
      </c>
      <c r="S643" t="s">
        <v>3422</v>
      </c>
      <c r="T643" s="6">
        <v>3100000000</v>
      </c>
      <c r="U643" s="45">
        <f>VLOOKUP(B643,realPrices!C:G,5,0)</f>
        <v>3680088088</v>
      </c>
      <c r="W643" t="str">
        <f t="shared" si="10"/>
        <v>DENA EF71400</v>
      </c>
      <c r="X643" t="e">
        <f>VLOOKUP(W643,Sheet10!D:F,2,0)*10000000</f>
        <v>#N/A</v>
      </c>
      <c r="Y643" t="s">
        <v>74</v>
      </c>
    </row>
    <row r="644" spans="1:25" x14ac:dyDescent="0.25">
      <c r="A644" t="s">
        <v>191</v>
      </c>
      <c r="B644" t="s">
        <v>3423</v>
      </c>
      <c r="C644">
        <v>285</v>
      </c>
      <c r="D644" t="s">
        <v>63</v>
      </c>
      <c r="E644" t="s">
        <v>64</v>
      </c>
      <c r="F644" t="s">
        <v>3186</v>
      </c>
      <c r="H644">
        <v>116</v>
      </c>
      <c r="I644">
        <v>1400</v>
      </c>
      <c r="J644" t="s">
        <v>3424</v>
      </c>
      <c r="K644" t="s">
        <v>3425</v>
      </c>
      <c r="M644" t="s">
        <v>198</v>
      </c>
      <c r="N644">
        <v>28520</v>
      </c>
      <c r="O644" t="s">
        <v>70</v>
      </c>
      <c r="Q644" t="s">
        <v>199</v>
      </c>
      <c r="R644" t="s">
        <v>3426</v>
      </c>
      <c r="S644" t="s">
        <v>668</v>
      </c>
      <c r="T644" s="6">
        <v>3100000000</v>
      </c>
      <c r="U644" s="45">
        <f>VLOOKUP(B644,realPrices!C:G,5,0)</f>
        <v>3811200000</v>
      </c>
      <c r="W644" t="str">
        <f t="shared" si="10"/>
        <v>PARS TU51400</v>
      </c>
      <c r="X644">
        <f>VLOOKUP(W644,Sheet10!D:F,2,0)*10000000</f>
        <v>5100000000</v>
      </c>
      <c r="Y644" t="s">
        <v>74</v>
      </c>
    </row>
    <row r="645" spans="1:25" x14ac:dyDescent="0.25">
      <c r="A645" t="s">
        <v>191</v>
      </c>
      <c r="B645" t="s">
        <v>3427</v>
      </c>
      <c r="C645">
        <v>285</v>
      </c>
      <c r="D645" t="s">
        <v>63</v>
      </c>
      <c r="E645" t="s">
        <v>64</v>
      </c>
      <c r="F645" t="s">
        <v>491</v>
      </c>
      <c r="H645">
        <v>10</v>
      </c>
      <c r="I645">
        <v>1401</v>
      </c>
      <c r="J645" t="s">
        <v>3428</v>
      </c>
      <c r="K645" t="s">
        <v>3429</v>
      </c>
      <c r="M645" t="s">
        <v>198</v>
      </c>
      <c r="N645">
        <v>28520</v>
      </c>
      <c r="O645" t="s">
        <v>70</v>
      </c>
      <c r="Q645" t="s">
        <v>199</v>
      </c>
      <c r="R645" t="s">
        <v>3430</v>
      </c>
      <c r="S645" t="s">
        <v>212</v>
      </c>
      <c r="T645" s="6">
        <v>3100000000</v>
      </c>
      <c r="U645" s="45">
        <f>VLOOKUP(B645,realPrices!C:G,5,0)</f>
        <v>3687542132</v>
      </c>
      <c r="W645" t="str">
        <f t="shared" si="10"/>
        <v>PARS TU51401</v>
      </c>
      <c r="X645">
        <f>VLOOKUP(W645,Sheet10!D:F,2,0)*10000000</f>
        <v>5250000000</v>
      </c>
      <c r="Y645" t="s">
        <v>74</v>
      </c>
    </row>
    <row r="646" spans="1:25" x14ac:dyDescent="0.25">
      <c r="A646" t="s">
        <v>3431</v>
      </c>
      <c r="B646" t="s">
        <v>3432</v>
      </c>
      <c r="C646">
        <v>285</v>
      </c>
      <c r="D646" t="s">
        <v>63</v>
      </c>
      <c r="E646" t="s">
        <v>64</v>
      </c>
      <c r="F646" t="s">
        <v>318</v>
      </c>
      <c r="H646">
        <v>5</v>
      </c>
      <c r="I646">
        <v>1401</v>
      </c>
      <c r="J646" t="s">
        <v>3433</v>
      </c>
      <c r="K646" t="s">
        <v>3434</v>
      </c>
      <c r="M646" t="s">
        <v>198</v>
      </c>
      <c r="N646">
        <v>28527</v>
      </c>
      <c r="O646" t="s">
        <v>70</v>
      </c>
      <c r="Q646" t="s">
        <v>3214</v>
      </c>
      <c r="R646" t="s">
        <v>3435</v>
      </c>
      <c r="S646" t="s">
        <v>2070</v>
      </c>
      <c r="T646" s="6">
        <v>3100000000</v>
      </c>
      <c r="U646" s="45">
        <f>VLOOKUP(B646,realPrices!C:G,5,0)</f>
        <v>3719999999</v>
      </c>
      <c r="W646" t="str">
        <f t="shared" si="10"/>
        <v>PARS TU51401</v>
      </c>
      <c r="X646">
        <f>VLOOKUP(W646,Sheet10!D:F,2,0)*10000000</f>
        <v>5250000000</v>
      </c>
      <c r="Y646" t="s">
        <v>74</v>
      </c>
    </row>
    <row r="647" spans="1:25" x14ac:dyDescent="0.25">
      <c r="A647" t="s">
        <v>404</v>
      </c>
      <c r="B647" t="s">
        <v>3436</v>
      </c>
      <c r="C647">
        <v>701</v>
      </c>
      <c r="D647" t="s">
        <v>63</v>
      </c>
      <c r="E647" t="s">
        <v>64</v>
      </c>
      <c r="F647" t="s">
        <v>3186</v>
      </c>
      <c r="H647">
        <v>194</v>
      </c>
      <c r="I647">
        <v>1400</v>
      </c>
      <c r="J647" t="s">
        <v>3437</v>
      </c>
      <c r="K647" t="s">
        <v>3438</v>
      </c>
      <c r="M647" t="s">
        <v>408</v>
      </c>
      <c r="N647">
        <v>70117</v>
      </c>
      <c r="O647" t="s">
        <v>70</v>
      </c>
      <c r="Q647" t="s">
        <v>409</v>
      </c>
      <c r="R647" t="s">
        <v>3439</v>
      </c>
      <c r="S647" t="s">
        <v>3440</v>
      </c>
      <c r="T647" s="6">
        <v>3130000000</v>
      </c>
      <c r="U647" s="45">
        <f>VLOOKUP(B647,realPrices!C:G,5,0)</f>
        <v>3499999999</v>
      </c>
      <c r="W647" t="str">
        <f t="shared" si="10"/>
        <v>DENA EF71400</v>
      </c>
      <c r="X647" t="e">
        <f>VLOOKUP(W647,Sheet10!D:F,2,0)*10000000</f>
        <v>#N/A</v>
      </c>
      <c r="Y647" t="s">
        <v>74</v>
      </c>
    </row>
    <row r="648" spans="1:25" x14ac:dyDescent="0.25">
      <c r="A648" t="s">
        <v>404</v>
      </c>
      <c r="B648" t="s">
        <v>3441</v>
      </c>
      <c r="C648">
        <v>701</v>
      </c>
      <c r="D648" t="s">
        <v>63</v>
      </c>
      <c r="E648" t="s">
        <v>64</v>
      </c>
      <c r="F648" t="s">
        <v>3186</v>
      </c>
      <c r="H648">
        <v>157</v>
      </c>
      <c r="I648">
        <v>1400</v>
      </c>
      <c r="J648" t="s">
        <v>3442</v>
      </c>
      <c r="K648" t="s">
        <v>3443</v>
      </c>
      <c r="M648" t="s">
        <v>408</v>
      </c>
      <c r="N648">
        <v>70117</v>
      </c>
      <c r="O648" t="s">
        <v>70</v>
      </c>
      <c r="Q648" t="s">
        <v>409</v>
      </c>
      <c r="R648" t="s">
        <v>3444</v>
      </c>
      <c r="S648" t="s">
        <v>3445</v>
      </c>
      <c r="T648" s="6">
        <v>3150000000</v>
      </c>
      <c r="U648" s="45">
        <f>VLOOKUP(B648,realPrices!C:G,5,0)</f>
        <v>3645000000</v>
      </c>
      <c r="W648" t="str">
        <f t="shared" si="10"/>
        <v>DENA EF71400</v>
      </c>
      <c r="X648" t="e">
        <f>VLOOKUP(W648,Sheet10!D:F,2,0)*10000000</f>
        <v>#N/A</v>
      </c>
      <c r="Y648" t="s">
        <v>74</v>
      </c>
    </row>
    <row r="649" spans="1:25" x14ac:dyDescent="0.25">
      <c r="A649" t="s">
        <v>3446</v>
      </c>
      <c r="B649" t="s">
        <v>3447</v>
      </c>
      <c r="C649">
        <v>707</v>
      </c>
      <c r="D649" t="s">
        <v>63</v>
      </c>
      <c r="E649" t="s">
        <v>64</v>
      </c>
      <c r="F649" t="s">
        <v>318</v>
      </c>
      <c r="H649">
        <v>14</v>
      </c>
      <c r="I649">
        <v>1401</v>
      </c>
      <c r="J649" t="s">
        <v>3448</v>
      </c>
      <c r="K649" t="s">
        <v>3449</v>
      </c>
      <c r="M649" t="s">
        <v>3450</v>
      </c>
      <c r="N649">
        <v>70702</v>
      </c>
      <c r="O649" t="s">
        <v>70</v>
      </c>
      <c r="Q649" t="s">
        <v>3451</v>
      </c>
      <c r="R649" t="s">
        <v>3452</v>
      </c>
      <c r="S649" t="s">
        <v>2029</v>
      </c>
      <c r="T649" s="6">
        <v>3150000000</v>
      </c>
      <c r="U649" s="45">
        <f>VLOOKUP(B649,realPrices!C:G,5,0)</f>
        <v>4605000000</v>
      </c>
      <c r="W649" t="str">
        <f t="shared" si="10"/>
        <v>DENA+EF7TC A1401</v>
      </c>
      <c r="X649">
        <f>VLOOKUP(W649,Sheet10!D:F,2,0)*10000000</f>
        <v>7250000000</v>
      </c>
      <c r="Y649" t="s">
        <v>74</v>
      </c>
    </row>
    <row r="650" spans="1:25" x14ac:dyDescent="0.25">
      <c r="A650" t="s">
        <v>404</v>
      </c>
      <c r="B650" t="s">
        <v>3453</v>
      </c>
      <c r="C650">
        <v>701</v>
      </c>
      <c r="D650" t="s">
        <v>63</v>
      </c>
      <c r="E650" t="s">
        <v>64</v>
      </c>
      <c r="F650" t="s">
        <v>420</v>
      </c>
      <c r="H650">
        <v>83</v>
      </c>
      <c r="I650">
        <v>1400</v>
      </c>
      <c r="J650" t="s">
        <v>3454</v>
      </c>
      <c r="K650" t="s">
        <v>3455</v>
      </c>
      <c r="M650" t="s">
        <v>408</v>
      </c>
      <c r="N650">
        <v>70117</v>
      </c>
      <c r="O650" t="s">
        <v>70</v>
      </c>
      <c r="Q650" t="s">
        <v>409</v>
      </c>
      <c r="R650" t="s">
        <v>3456</v>
      </c>
      <c r="S650" t="s">
        <v>3457</v>
      </c>
      <c r="T650" s="6">
        <v>3170000000</v>
      </c>
      <c r="U650" s="45">
        <f>VLOOKUP(B650,realPrices!C:G,5,0)</f>
        <v>3705000000</v>
      </c>
      <c r="W650" t="str">
        <f t="shared" si="10"/>
        <v>DENA EF71400</v>
      </c>
      <c r="X650" t="e">
        <f>VLOOKUP(W650,Sheet10!D:F,2,0)*10000000</f>
        <v>#N/A</v>
      </c>
      <c r="Y650" t="s">
        <v>74</v>
      </c>
    </row>
    <row r="651" spans="1:25" x14ac:dyDescent="0.25">
      <c r="A651" t="s">
        <v>87</v>
      </c>
      <c r="B651" t="s">
        <v>3458</v>
      </c>
      <c r="C651">
        <v>322</v>
      </c>
      <c r="D651" t="s">
        <v>63</v>
      </c>
      <c r="E651" t="s">
        <v>64</v>
      </c>
      <c r="F651" t="s">
        <v>205</v>
      </c>
      <c r="G651" t="s">
        <v>421</v>
      </c>
      <c r="H651">
        <v>38283</v>
      </c>
      <c r="I651">
        <v>1400</v>
      </c>
      <c r="J651" t="s">
        <v>3459</v>
      </c>
      <c r="K651" t="s">
        <v>3460</v>
      </c>
      <c r="L651" t="s">
        <v>3461</v>
      </c>
      <c r="M651" t="s">
        <v>92</v>
      </c>
      <c r="N651">
        <v>32201</v>
      </c>
      <c r="O651" t="s">
        <v>70</v>
      </c>
      <c r="Q651" t="s">
        <v>93</v>
      </c>
      <c r="R651" t="s">
        <v>3462</v>
      </c>
      <c r="S651" t="s">
        <v>3463</v>
      </c>
      <c r="T651" s="6">
        <v>3200000000</v>
      </c>
      <c r="U651" s="45">
        <f>VLOOKUP(B651,realPrices!C:G,5,0)</f>
        <v>3750000000</v>
      </c>
      <c r="W651" t="str">
        <f t="shared" si="10"/>
        <v>TARA TU5P1400</v>
      </c>
      <c r="X651" t="e">
        <f>VLOOKUP(W651,Sheet10!D:F,2,0)*10000000</f>
        <v>#N/A</v>
      </c>
      <c r="Y651" t="s">
        <v>74</v>
      </c>
    </row>
    <row r="652" spans="1:25" x14ac:dyDescent="0.25">
      <c r="A652" t="s">
        <v>3242</v>
      </c>
      <c r="B652" t="s">
        <v>3464</v>
      </c>
      <c r="C652">
        <v>600</v>
      </c>
      <c r="D652" t="s">
        <v>63</v>
      </c>
      <c r="E652" t="s">
        <v>64</v>
      </c>
      <c r="F652" t="s">
        <v>205</v>
      </c>
      <c r="G652" t="s">
        <v>3465</v>
      </c>
      <c r="H652">
        <v>919</v>
      </c>
      <c r="I652">
        <v>1401</v>
      </c>
      <c r="J652" t="s">
        <v>3466</v>
      </c>
      <c r="K652" t="s">
        <v>3467</v>
      </c>
      <c r="L652" t="s">
        <v>3468</v>
      </c>
      <c r="M652" t="s">
        <v>3246</v>
      </c>
      <c r="N652">
        <v>60010</v>
      </c>
      <c r="O652" t="s">
        <v>303</v>
      </c>
      <c r="Q652" t="s">
        <v>3247</v>
      </c>
      <c r="R652" t="s">
        <v>3469</v>
      </c>
      <c r="S652" t="s">
        <v>3470</v>
      </c>
      <c r="T652" s="6">
        <v>3200000000</v>
      </c>
      <c r="U652" s="45">
        <f>VLOOKUP(B652,realPrices!C:G,5,0)</f>
        <v>4199999999</v>
      </c>
      <c r="W652" t="str">
        <f t="shared" si="10"/>
        <v>207i-MT1401</v>
      </c>
      <c r="X652">
        <f>VLOOKUP(W652,Sheet10!D:F,2,0)*10000000</f>
        <v>5800000000</v>
      </c>
      <c r="Y652" t="s">
        <v>74</v>
      </c>
    </row>
    <row r="653" spans="1:25" x14ac:dyDescent="0.25">
      <c r="A653" t="s">
        <v>3242</v>
      </c>
      <c r="B653" t="s">
        <v>3471</v>
      </c>
      <c r="C653">
        <v>600</v>
      </c>
      <c r="D653" t="s">
        <v>63</v>
      </c>
      <c r="E653" t="s">
        <v>64</v>
      </c>
      <c r="F653" t="s">
        <v>420</v>
      </c>
      <c r="G653" t="s">
        <v>3472</v>
      </c>
      <c r="H653">
        <v>681</v>
      </c>
      <c r="I653">
        <v>1401</v>
      </c>
      <c r="J653" t="s">
        <v>3473</v>
      </c>
      <c r="K653" t="s">
        <v>3474</v>
      </c>
      <c r="L653" t="s">
        <v>3475</v>
      </c>
      <c r="M653" t="s">
        <v>3246</v>
      </c>
      <c r="N653">
        <v>60010</v>
      </c>
      <c r="O653" t="s">
        <v>303</v>
      </c>
      <c r="Q653" t="s">
        <v>3247</v>
      </c>
      <c r="R653" t="s">
        <v>3476</v>
      </c>
      <c r="S653" t="s">
        <v>3477</v>
      </c>
      <c r="T653" s="6">
        <v>3200000000</v>
      </c>
      <c r="U653" s="45">
        <f>VLOOKUP(B653,realPrices!C:G,5,0)</f>
        <v>4232900000</v>
      </c>
      <c r="W653" t="str">
        <f t="shared" si="10"/>
        <v>207i-MT1401</v>
      </c>
      <c r="X653">
        <f>VLOOKUP(W653,Sheet10!D:F,2,0)*10000000</f>
        <v>5800000000</v>
      </c>
      <c r="Y653" t="s">
        <v>74</v>
      </c>
    </row>
    <row r="654" spans="1:25" x14ac:dyDescent="0.25">
      <c r="A654" t="s">
        <v>3478</v>
      </c>
      <c r="B654" t="s">
        <v>3479</v>
      </c>
      <c r="C654">
        <v>707</v>
      </c>
      <c r="D654" t="s">
        <v>259</v>
      </c>
      <c r="E654" t="s">
        <v>64</v>
      </c>
      <c r="F654" t="s">
        <v>318</v>
      </c>
      <c r="H654">
        <v>25</v>
      </c>
      <c r="I654">
        <v>1401</v>
      </c>
      <c r="J654" t="s">
        <v>3480</v>
      </c>
      <c r="K654" t="s">
        <v>3481</v>
      </c>
      <c r="M654" t="s">
        <v>3450</v>
      </c>
      <c r="N654">
        <v>70702</v>
      </c>
      <c r="O654" t="s">
        <v>70</v>
      </c>
      <c r="Q654" t="s">
        <v>3451</v>
      </c>
      <c r="R654" t="s">
        <v>3482</v>
      </c>
      <c r="S654" t="s">
        <v>2129</v>
      </c>
      <c r="T654" s="6">
        <v>3200000000</v>
      </c>
      <c r="U654" s="45">
        <f>VLOOKUP(B654,realPrices!C:G,5,0)</f>
        <v>4477777777</v>
      </c>
      <c r="W654" t="str">
        <f t="shared" si="10"/>
        <v>DENA+EF7TC A1401</v>
      </c>
      <c r="X654">
        <f>VLOOKUP(W654,Sheet10!D:F,2,0)*10000000</f>
        <v>7250000000</v>
      </c>
      <c r="Y654" t="s">
        <v>74</v>
      </c>
    </row>
    <row r="655" spans="1:25" x14ac:dyDescent="0.25">
      <c r="A655" t="s">
        <v>3411</v>
      </c>
      <c r="B655" t="s">
        <v>3483</v>
      </c>
      <c r="C655">
        <v>600</v>
      </c>
      <c r="D655" t="s">
        <v>63</v>
      </c>
      <c r="E655" t="s">
        <v>64</v>
      </c>
      <c r="F655" t="s">
        <v>491</v>
      </c>
      <c r="H655">
        <v>22</v>
      </c>
      <c r="I655">
        <v>1401</v>
      </c>
      <c r="J655" t="s">
        <v>3484</v>
      </c>
      <c r="K655" t="s">
        <v>3485</v>
      </c>
      <c r="M655" t="s">
        <v>3246</v>
      </c>
      <c r="N655">
        <v>60006</v>
      </c>
      <c r="O655" t="s">
        <v>303</v>
      </c>
      <c r="Q655" t="s">
        <v>3415</v>
      </c>
      <c r="R655" t="s">
        <v>3486</v>
      </c>
      <c r="S655" t="s">
        <v>3487</v>
      </c>
      <c r="T655" s="6">
        <v>3200000000</v>
      </c>
      <c r="U655" s="45">
        <f>VLOOKUP(B655,realPrices!C:G,5,0)</f>
        <v>4063010000</v>
      </c>
      <c r="W655" t="str">
        <f t="shared" si="10"/>
        <v>207i-MT1401</v>
      </c>
      <c r="X655">
        <f>VLOOKUP(W655,Sheet10!D:F,2,0)*10000000</f>
        <v>5800000000</v>
      </c>
      <c r="Y655" t="s">
        <v>74</v>
      </c>
    </row>
    <row r="656" spans="1:25" x14ac:dyDescent="0.25">
      <c r="A656" t="s">
        <v>3431</v>
      </c>
      <c r="B656" t="s">
        <v>3488</v>
      </c>
      <c r="C656">
        <v>285</v>
      </c>
      <c r="D656" t="s">
        <v>63</v>
      </c>
      <c r="E656" t="s">
        <v>64</v>
      </c>
      <c r="F656" t="s">
        <v>318</v>
      </c>
      <c r="H656">
        <v>19</v>
      </c>
      <c r="I656">
        <v>1401</v>
      </c>
      <c r="J656" t="s">
        <v>3489</v>
      </c>
      <c r="K656" t="s">
        <v>3490</v>
      </c>
      <c r="M656" t="s">
        <v>198</v>
      </c>
      <c r="N656">
        <v>28527</v>
      </c>
      <c r="O656" t="s">
        <v>70</v>
      </c>
      <c r="Q656" t="s">
        <v>3214</v>
      </c>
      <c r="R656" t="s">
        <v>3491</v>
      </c>
      <c r="S656" t="s">
        <v>3492</v>
      </c>
      <c r="T656" s="6">
        <v>3200000000</v>
      </c>
      <c r="U656" s="45">
        <f>VLOOKUP(B656,realPrices!C:G,5,0)</f>
        <v>3973679999</v>
      </c>
      <c r="W656" t="str">
        <f t="shared" si="10"/>
        <v>PARS TU51401</v>
      </c>
      <c r="X656">
        <f>VLOOKUP(W656,Sheet10!D:F,2,0)*10000000</f>
        <v>5250000000</v>
      </c>
      <c r="Y656" t="s">
        <v>74</v>
      </c>
    </row>
    <row r="657" spans="1:25" x14ac:dyDescent="0.25">
      <c r="A657" t="s">
        <v>3431</v>
      </c>
      <c r="B657" t="s">
        <v>3493</v>
      </c>
      <c r="C657">
        <v>285</v>
      </c>
      <c r="D657" t="s">
        <v>63</v>
      </c>
      <c r="E657" t="s">
        <v>64</v>
      </c>
      <c r="F657" t="s">
        <v>318</v>
      </c>
      <c r="H657">
        <v>50</v>
      </c>
      <c r="I657">
        <v>1401</v>
      </c>
      <c r="J657" t="s">
        <v>3494</v>
      </c>
      <c r="K657" t="s">
        <v>3495</v>
      </c>
      <c r="M657" t="s">
        <v>198</v>
      </c>
      <c r="N657">
        <v>28527</v>
      </c>
      <c r="O657" t="s">
        <v>70</v>
      </c>
      <c r="Q657" t="s">
        <v>3214</v>
      </c>
      <c r="R657" t="s">
        <v>3496</v>
      </c>
      <c r="S657" t="s">
        <v>3083</v>
      </c>
      <c r="T657" s="6">
        <v>3200000000</v>
      </c>
      <c r="U657" s="45">
        <f>VLOOKUP(B657,realPrices!C:G,5,0)</f>
        <v>3773924157</v>
      </c>
      <c r="W657" t="str">
        <f t="shared" si="10"/>
        <v>PARS TU51401</v>
      </c>
      <c r="X657">
        <f>VLOOKUP(W657,Sheet10!D:F,2,0)*10000000</f>
        <v>5250000000</v>
      </c>
      <c r="Y657" t="s">
        <v>74</v>
      </c>
    </row>
    <row r="658" spans="1:25" x14ac:dyDescent="0.25">
      <c r="A658" t="s">
        <v>3497</v>
      </c>
      <c r="B658" t="s">
        <v>3498</v>
      </c>
      <c r="C658">
        <v>600</v>
      </c>
      <c r="D658" t="s">
        <v>77</v>
      </c>
      <c r="E658" t="s">
        <v>64</v>
      </c>
      <c r="F658" t="s">
        <v>362</v>
      </c>
      <c r="H658">
        <v>50</v>
      </c>
      <c r="I658">
        <v>1400</v>
      </c>
      <c r="J658" t="s">
        <v>3499</v>
      </c>
      <c r="K658" t="s">
        <v>3500</v>
      </c>
      <c r="M658" t="s">
        <v>3246</v>
      </c>
      <c r="N658">
        <v>60010</v>
      </c>
      <c r="O658" t="s">
        <v>303</v>
      </c>
      <c r="Q658" t="s">
        <v>3247</v>
      </c>
      <c r="R658" t="s">
        <v>3501</v>
      </c>
      <c r="S658" t="s">
        <v>3502</v>
      </c>
      <c r="T658" s="6">
        <v>3200000000</v>
      </c>
      <c r="U658" s="45">
        <f>VLOOKUP(B658,realPrices!C:G,5,0)</f>
        <v>4115000000</v>
      </c>
      <c r="W658" t="str">
        <f t="shared" si="10"/>
        <v>207i-MT1400</v>
      </c>
      <c r="X658">
        <f>VLOOKUP(W658,Sheet10!D:F,2,0)*10000000</f>
        <v>5600000000</v>
      </c>
      <c r="Y658" t="s">
        <v>74</v>
      </c>
    </row>
    <row r="659" spans="1:25" x14ac:dyDescent="0.25">
      <c r="A659" t="s">
        <v>191</v>
      </c>
      <c r="B659" t="s">
        <v>3503</v>
      </c>
      <c r="C659">
        <v>285</v>
      </c>
      <c r="D659" t="s">
        <v>63</v>
      </c>
      <c r="E659" t="s">
        <v>64</v>
      </c>
      <c r="F659" t="s">
        <v>491</v>
      </c>
      <c r="H659">
        <v>94</v>
      </c>
      <c r="I659">
        <v>1401</v>
      </c>
      <c r="J659" t="s">
        <v>3504</v>
      </c>
      <c r="K659" t="s">
        <v>3505</v>
      </c>
      <c r="M659" t="s">
        <v>198</v>
      </c>
      <c r="N659">
        <v>28520</v>
      </c>
      <c r="O659" t="s">
        <v>70</v>
      </c>
      <c r="Q659" t="s">
        <v>199</v>
      </c>
      <c r="R659" t="s">
        <v>3506</v>
      </c>
      <c r="S659" t="s">
        <v>2231</v>
      </c>
      <c r="T659" s="6">
        <v>3200000000</v>
      </c>
      <c r="U659" s="45">
        <f>VLOOKUP(B659,realPrices!C:G,5,0)</f>
        <v>3226000000</v>
      </c>
      <c r="W659" t="str">
        <f t="shared" si="10"/>
        <v>PARS TU51401</v>
      </c>
      <c r="X659">
        <f>VLOOKUP(W659,Sheet10!D:F,2,0)*10000000</f>
        <v>5250000000</v>
      </c>
      <c r="Y659" t="s">
        <v>74</v>
      </c>
    </row>
    <row r="660" spans="1:25" x14ac:dyDescent="0.25">
      <c r="A660" t="s">
        <v>191</v>
      </c>
      <c r="B660" t="s">
        <v>3507</v>
      </c>
      <c r="C660">
        <v>285</v>
      </c>
      <c r="D660" t="s">
        <v>63</v>
      </c>
      <c r="E660" t="s">
        <v>64</v>
      </c>
      <c r="F660" t="s">
        <v>491</v>
      </c>
      <c r="H660">
        <v>76</v>
      </c>
      <c r="I660">
        <v>1401</v>
      </c>
      <c r="J660" t="s">
        <v>3508</v>
      </c>
      <c r="K660" t="s">
        <v>3509</v>
      </c>
      <c r="M660" t="s">
        <v>198</v>
      </c>
      <c r="N660">
        <v>28520</v>
      </c>
      <c r="O660" t="s">
        <v>70</v>
      </c>
      <c r="Q660" t="s">
        <v>199</v>
      </c>
      <c r="R660" t="s">
        <v>3510</v>
      </c>
      <c r="S660" t="s">
        <v>2466</v>
      </c>
      <c r="T660" s="6">
        <v>3200000000</v>
      </c>
      <c r="U660" s="45">
        <f>VLOOKUP(B660,realPrices!C:G,5,0)</f>
        <v>3500000000</v>
      </c>
      <c r="W660" t="str">
        <f t="shared" si="10"/>
        <v>PARS TU51401</v>
      </c>
      <c r="X660">
        <f>VLOOKUP(W660,Sheet10!D:F,2,0)*10000000</f>
        <v>5250000000</v>
      </c>
      <c r="Y660" t="s">
        <v>74</v>
      </c>
    </row>
    <row r="661" spans="1:25" x14ac:dyDescent="0.25">
      <c r="A661" t="s">
        <v>3431</v>
      </c>
      <c r="B661" t="s">
        <v>3511</v>
      </c>
      <c r="C661">
        <v>285</v>
      </c>
      <c r="D661" t="s">
        <v>63</v>
      </c>
      <c r="E661" t="s">
        <v>64</v>
      </c>
      <c r="F661" t="s">
        <v>491</v>
      </c>
      <c r="H661">
        <v>437</v>
      </c>
      <c r="I661">
        <v>1401</v>
      </c>
      <c r="J661" t="s">
        <v>3512</v>
      </c>
      <c r="K661" t="s">
        <v>3513</v>
      </c>
      <c r="M661" t="s">
        <v>198</v>
      </c>
      <c r="N661">
        <v>28527</v>
      </c>
      <c r="O661" t="s">
        <v>70</v>
      </c>
      <c r="Q661" t="s">
        <v>3214</v>
      </c>
      <c r="R661" t="s">
        <v>3514</v>
      </c>
      <c r="S661" t="s">
        <v>3515</v>
      </c>
      <c r="T661" s="6">
        <v>3200000000</v>
      </c>
      <c r="U661" s="45">
        <f>VLOOKUP(B661,realPrices!C:G,5,0)</f>
        <v>3833000000</v>
      </c>
      <c r="W661" t="str">
        <f t="shared" si="10"/>
        <v>PARS TU51401</v>
      </c>
      <c r="X661">
        <f>VLOOKUP(W661,Sheet10!D:F,2,0)*10000000</f>
        <v>5250000000</v>
      </c>
      <c r="Y661" t="s">
        <v>74</v>
      </c>
    </row>
    <row r="662" spans="1:25" x14ac:dyDescent="0.25">
      <c r="A662" t="s">
        <v>3250</v>
      </c>
      <c r="B662" t="s">
        <v>3516</v>
      </c>
      <c r="C662">
        <v>285</v>
      </c>
      <c r="D662" t="s">
        <v>77</v>
      </c>
      <c r="E662" t="s">
        <v>64</v>
      </c>
      <c r="F662" t="s">
        <v>420</v>
      </c>
      <c r="H662">
        <v>14</v>
      </c>
      <c r="I662">
        <v>1401</v>
      </c>
      <c r="J662" t="s">
        <v>3517</v>
      </c>
      <c r="K662" t="s">
        <v>3518</v>
      </c>
      <c r="M662" t="s">
        <v>198</v>
      </c>
      <c r="N662">
        <v>28520</v>
      </c>
      <c r="O662" t="s">
        <v>70</v>
      </c>
      <c r="Q662" t="s">
        <v>199</v>
      </c>
      <c r="R662" t="s">
        <v>3519</v>
      </c>
      <c r="S662" t="s">
        <v>3520</v>
      </c>
      <c r="T662" s="6">
        <v>3200000000</v>
      </c>
      <c r="U662" s="45">
        <f>VLOOKUP(B662,realPrices!C:G,5,0)</f>
        <v>3746740000</v>
      </c>
      <c r="W662" t="str">
        <f t="shared" si="10"/>
        <v>PARS TU51401</v>
      </c>
      <c r="X662">
        <f>VLOOKUP(W662,Sheet10!D:F,2,0)*10000000</f>
        <v>5250000000</v>
      </c>
      <c r="Y662" t="s">
        <v>74</v>
      </c>
    </row>
    <row r="663" spans="1:25" x14ac:dyDescent="0.25">
      <c r="A663" t="s">
        <v>3521</v>
      </c>
      <c r="B663" t="s">
        <v>3522</v>
      </c>
      <c r="C663">
        <v>707</v>
      </c>
      <c r="D663" t="s">
        <v>77</v>
      </c>
      <c r="E663" t="s">
        <v>64</v>
      </c>
      <c r="F663" t="s">
        <v>205</v>
      </c>
      <c r="G663" t="s">
        <v>3523</v>
      </c>
      <c r="H663">
        <v>13245</v>
      </c>
      <c r="I663">
        <v>1399</v>
      </c>
      <c r="J663" t="s">
        <v>3524</v>
      </c>
      <c r="K663" t="s">
        <v>3525</v>
      </c>
      <c r="L663" t="s">
        <v>3526</v>
      </c>
      <c r="M663" t="s">
        <v>3450</v>
      </c>
      <c r="N663">
        <v>70702</v>
      </c>
      <c r="O663" t="s">
        <v>70</v>
      </c>
      <c r="Q663" t="s">
        <v>3451</v>
      </c>
      <c r="R663" t="s">
        <v>3527</v>
      </c>
      <c r="S663" t="s">
        <v>2202</v>
      </c>
      <c r="T663" s="6">
        <v>3250000000</v>
      </c>
      <c r="U663" s="45">
        <f>VLOOKUP(B663,realPrices!C:G,5,0)</f>
        <v>4509999999</v>
      </c>
      <c r="W663" t="str">
        <f t="shared" si="10"/>
        <v>DENA+EF7TC A1399</v>
      </c>
      <c r="X663">
        <f>VLOOKUP(W663,Sheet10!D:F,2,0)*10000000</f>
        <v>6900000000</v>
      </c>
      <c r="Y663" t="s">
        <v>74</v>
      </c>
    </row>
    <row r="664" spans="1:25" x14ac:dyDescent="0.25">
      <c r="A664" t="s">
        <v>191</v>
      </c>
      <c r="B664" t="s">
        <v>3528</v>
      </c>
      <c r="C664">
        <v>285</v>
      </c>
      <c r="D664" t="s">
        <v>63</v>
      </c>
      <c r="E664" t="s">
        <v>64</v>
      </c>
      <c r="F664" t="s">
        <v>491</v>
      </c>
      <c r="H664">
        <v>32</v>
      </c>
      <c r="I664">
        <v>1401</v>
      </c>
      <c r="J664" t="s">
        <v>3529</v>
      </c>
      <c r="K664" t="s">
        <v>3530</v>
      </c>
      <c r="M664" t="s">
        <v>198</v>
      </c>
      <c r="N664">
        <v>28520</v>
      </c>
      <c r="O664" t="s">
        <v>70</v>
      </c>
      <c r="Q664" t="s">
        <v>199</v>
      </c>
      <c r="R664" t="s">
        <v>3531</v>
      </c>
      <c r="S664" t="s">
        <v>3125</v>
      </c>
      <c r="T664" s="6">
        <v>3250000000</v>
      </c>
      <c r="U664" s="45">
        <f>VLOOKUP(B664,realPrices!C:G,5,0)</f>
        <v>3661888000</v>
      </c>
      <c r="W664" t="str">
        <f t="shared" si="10"/>
        <v>PARS TU51401</v>
      </c>
      <c r="X664">
        <f>VLOOKUP(W664,Sheet10!D:F,2,0)*10000000</f>
        <v>5250000000</v>
      </c>
      <c r="Y664" t="s">
        <v>74</v>
      </c>
    </row>
    <row r="665" spans="1:25" x14ac:dyDescent="0.25">
      <c r="A665" t="s">
        <v>3250</v>
      </c>
      <c r="B665" t="s">
        <v>3532</v>
      </c>
      <c r="C665">
        <v>285</v>
      </c>
      <c r="D665" t="s">
        <v>77</v>
      </c>
      <c r="E665" t="s">
        <v>64</v>
      </c>
      <c r="F665" t="s">
        <v>420</v>
      </c>
      <c r="H665">
        <v>32</v>
      </c>
      <c r="I665">
        <v>1401</v>
      </c>
      <c r="J665" t="s">
        <v>3533</v>
      </c>
      <c r="K665" t="s">
        <v>3534</v>
      </c>
      <c r="M665" t="s">
        <v>198</v>
      </c>
      <c r="N665">
        <v>28520</v>
      </c>
      <c r="O665" t="s">
        <v>70</v>
      </c>
      <c r="Q665" t="s">
        <v>199</v>
      </c>
      <c r="R665" t="s">
        <v>3535</v>
      </c>
      <c r="S665" t="s">
        <v>168</v>
      </c>
      <c r="T665" s="6">
        <v>3250000000</v>
      </c>
      <c r="U665" s="45">
        <f>VLOOKUP(B665,realPrices!C:G,5,0)</f>
        <v>3850000990</v>
      </c>
      <c r="W665" t="str">
        <f t="shared" si="10"/>
        <v>PARS TU51401</v>
      </c>
      <c r="X665">
        <f>VLOOKUP(W665,Sheet10!D:F,2,0)*10000000</f>
        <v>5250000000</v>
      </c>
      <c r="Y665" t="s">
        <v>74</v>
      </c>
    </row>
    <row r="666" spans="1:25" x14ac:dyDescent="0.25">
      <c r="A666" t="s">
        <v>3521</v>
      </c>
      <c r="B666" t="s">
        <v>3536</v>
      </c>
      <c r="C666">
        <v>707</v>
      </c>
      <c r="D666" t="s">
        <v>77</v>
      </c>
      <c r="E666" t="s">
        <v>64</v>
      </c>
      <c r="F666" t="s">
        <v>205</v>
      </c>
      <c r="G666" t="s">
        <v>3523</v>
      </c>
      <c r="H666">
        <v>48525</v>
      </c>
      <c r="I666">
        <v>1399</v>
      </c>
      <c r="J666" t="s">
        <v>3537</v>
      </c>
      <c r="K666" t="s">
        <v>3538</v>
      </c>
      <c r="L666" t="s">
        <v>3539</v>
      </c>
      <c r="M666" t="s">
        <v>3450</v>
      </c>
      <c r="N666">
        <v>70702</v>
      </c>
      <c r="O666" t="s">
        <v>70</v>
      </c>
      <c r="Q666" t="s">
        <v>3451</v>
      </c>
      <c r="R666" t="s">
        <v>3540</v>
      </c>
      <c r="S666" t="s">
        <v>2188</v>
      </c>
      <c r="T666" s="6">
        <v>3300000000</v>
      </c>
      <c r="U666" s="45">
        <f>VLOOKUP(B666,realPrices!C:G,5,0)</f>
        <v>4267099999</v>
      </c>
      <c r="W666" t="str">
        <f t="shared" si="10"/>
        <v>DENA+EF7TC A1399</v>
      </c>
      <c r="X666">
        <f>VLOOKUP(W666,Sheet10!D:F,2,0)*10000000</f>
        <v>6900000000</v>
      </c>
      <c r="Y666" t="s">
        <v>74</v>
      </c>
    </row>
    <row r="667" spans="1:25" x14ac:dyDescent="0.25">
      <c r="A667" t="s">
        <v>3179</v>
      </c>
      <c r="B667" t="s">
        <v>3541</v>
      </c>
      <c r="C667">
        <v>615</v>
      </c>
      <c r="D667" t="s">
        <v>63</v>
      </c>
      <c r="E667" t="s">
        <v>64</v>
      </c>
      <c r="F667" t="s">
        <v>205</v>
      </c>
      <c r="G667" t="s">
        <v>3542</v>
      </c>
      <c r="H667">
        <v>2209</v>
      </c>
      <c r="I667">
        <v>1401</v>
      </c>
      <c r="J667" t="s">
        <v>3543</v>
      </c>
      <c r="K667" t="s">
        <v>3544</v>
      </c>
      <c r="L667" t="s">
        <v>3545</v>
      </c>
      <c r="M667" t="s">
        <v>3130</v>
      </c>
      <c r="N667">
        <v>61503</v>
      </c>
      <c r="O667" t="s">
        <v>70</v>
      </c>
      <c r="Q667" t="s">
        <v>3131</v>
      </c>
      <c r="R667" t="s">
        <v>3546</v>
      </c>
      <c r="S667" t="s">
        <v>3547</v>
      </c>
      <c r="T667" s="6">
        <v>3300000000</v>
      </c>
      <c r="U667" s="45">
        <f>VLOOKUP(B667,realPrices!C:G,5,0)</f>
        <v>4366999999</v>
      </c>
      <c r="W667" t="str">
        <f t="shared" si="10"/>
        <v>+TU51401</v>
      </c>
      <c r="X667">
        <f>VLOOKUP(W667,Sheet10!D:F,2,0)*10000000</f>
        <v>0</v>
      </c>
      <c r="Y667" t="s">
        <v>114</v>
      </c>
    </row>
    <row r="668" spans="1:25" x14ac:dyDescent="0.25">
      <c r="A668" t="s">
        <v>3210</v>
      </c>
      <c r="B668" t="s">
        <v>3548</v>
      </c>
      <c r="C668">
        <v>285</v>
      </c>
      <c r="D668" t="s">
        <v>77</v>
      </c>
      <c r="E668" t="s">
        <v>64</v>
      </c>
      <c r="F668" t="s">
        <v>420</v>
      </c>
      <c r="G668" t="s">
        <v>3549</v>
      </c>
      <c r="H668">
        <v>4855</v>
      </c>
      <c r="I668">
        <v>1401</v>
      </c>
      <c r="J668" t="s">
        <v>3550</v>
      </c>
      <c r="K668" t="s">
        <v>3551</v>
      </c>
      <c r="L668" t="s">
        <v>3552</v>
      </c>
      <c r="M668" t="s">
        <v>198</v>
      </c>
      <c r="N668">
        <v>28527</v>
      </c>
      <c r="O668" t="s">
        <v>70</v>
      </c>
      <c r="Q668" t="s">
        <v>3214</v>
      </c>
      <c r="R668" t="s">
        <v>3553</v>
      </c>
      <c r="S668" t="s">
        <v>3554</v>
      </c>
      <c r="T668" s="6">
        <v>3300000000</v>
      </c>
      <c r="U668" s="45">
        <f>VLOOKUP(B668,realPrices!C:G,5,0)</f>
        <v>4127777770</v>
      </c>
      <c r="W668" t="str">
        <f t="shared" si="10"/>
        <v>PARS TU51401</v>
      </c>
      <c r="X668">
        <f>VLOOKUP(W668,Sheet10!D:F,2,0)*10000000</f>
        <v>5250000000</v>
      </c>
      <c r="Y668" t="s">
        <v>74</v>
      </c>
    </row>
    <row r="669" spans="1:25" x14ac:dyDescent="0.25">
      <c r="A669" t="s">
        <v>191</v>
      </c>
      <c r="B669" t="s">
        <v>3555</v>
      </c>
      <c r="C669">
        <v>285</v>
      </c>
      <c r="D669" t="s">
        <v>63</v>
      </c>
      <c r="E669" t="s">
        <v>64</v>
      </c>
      <c r="F669" t="s">
        <v>318</v>
      </c>
      <c r="H669">
        <v>2</v>
      </c>
      <c r="I669">
        <v>1401</v>
      </c>
      <c r="J669" t="s">
        <v>3556</v>
      </c>
      <c r="K669" t="s">
        <v>3557</v>
      </c>
      <c r="M669" t="s">
        <v>198</v>
      </c>
      <c r="N669">
        <v>28520</v>
      </c>
      <c r="O669" t="s">
        <v>70</v>
      </c>
      <c r="Q669" t="s">
        <v>199</v>
      </c>
      <c r="R669" t="s">
        <v>3558</v>
      </c>
      <c r="S669" t="s">
        <v>3559</v>
      </c>
      <c r="T669" s="6">
        <v>3300000000</v>
      </c>
      <c r="U669" s="45">
        <f>VLOOKUP(B669,realPrices!C:G,5,0)</f>
        <v>4310500000</v>
      </c>
      <c r="W669" t="str">
        <f t="shared" si="10"/>
        <v>PARS TU51401</v>
      </c>
      <c r="X669">
        <f>VLOOKUP(W669,Sheet10!D:F,2,0)*10000000</f>
        <v>5250000000</v>
      </c>
      <c r="Y669" t="s">
        <v>114</v>
      </c>
    </row>
    <row r="670" spans="1:25" x14ac:dyDescent="0.25">
      <c r="A670" t="s">
        <v>3210</v>
      </c>
      <c r="B670" t="s">
        <v>3560</v>
      </c>
      <c r="C670">
        <v>285</v>
      </c>
      <c r="D670" t="s">
        <v>77</v>
      </c>
      <c r="E670" t="s">
        <v>64</v>
      </c>
      <c r="F670" t="s">
        <v>420</v>
      </c>
      <c r="G670" t="s">
        <v>3561</v>
      </c>
      <c r="H670">
        <v>254</v>
      </c>
      <c r="I670">
        <v>1401</v>
      </c>
      <c r="J670" t="s">
        <v>3562</v>
      </c>
      <c r="K670" t="s">
        <v>3563</v>
      </c>
      <c r="L670" t="s">
        <v>3564</v>
      </c>
      <c r="M670" t="s">
        <v>198</v>
      </c>
      <c r="N670">
        <v>28527</v>
      </c>
      <c r="O670" t="s">
        <v>70</v>
      </c>
      <c r="Q670" t="s">
        <v>3214</v>
      </c>
      <c r="R670" t="s">
        <v>3565</v>
      </c>
      <c r="S670" t="s">
        <v>3566</v>
      </c>
      <c r="T670" s="6">
        <v>3300000000</v>
      </c>
      <c r="U670" s="45">
        <f>VLOOKUP(B670,realPrices!C:G,5,0)</f>
        <v>4422000000</v>
      </c>
      <c r="W670" t="str">
        <f t="shared" si="10"/>
        <v>PARS TU51401</v>
      </c>
      <c r="X670">
        <f>VLOOKUP(W670,Sheet10!D:F,2,0)*10000000</f>
        <v>5250000000</v>
      </c>
      <c r="Y670" t="s">
        <v>74</v>
      </c>
    </row>
    <row r="671" spans="1:25" x14ac:dyDescent="0.25">
      <c r="A671" t="s">
        <v>3250</v>
      </c>
      <c r="B671" t="s">
        <v>3567</v>
      </c>
      <c r="C671">
        <v>285</v>
      </c>
      <c r="D671" t="s">
        <v>77</v>
      </c>
      <c r="E671" t="s">
        <v>64</v>
      </c>
      <c r="F671" t="s">
        <v>420</v>
      </c>
      <c r="H671">
        <v>26</v>
      </c>
      <c r="I671">
        <v>1401</v>
      </c>
      <c r="J671" t="s">
        <v>3568</v>
      </c>
      <c r="K671" t="s">
        <v>3569</v>
      </c>
      <c r="M671" t="s">
        <v>198</v>
      </c>
      <c r="N671">
        <v>28520</v>
      </c>
      <c r="O671" t="s">
        <v>70</v>
      </c>
      <c r="Q671" t="s">
        <v>199</v>
      </c>
      <c r="R671" t="s">
        <v>3570</v>
      </c>
      <c r="S671" t="s">
        <v>3209</v>
      </c>
      <c r="T671" s="6">
        <v>3300000000</v>
      </c>
      <c r="U671" s="45">
        <f>VLOOKUP(B671,realPrices!C:G,5,0)</f>
        <v>3959999999</v>
      </c>
      <c r="W671" t="str">
        <f t="shared" si="10"/>
        <v>PARS TU51401</v>
      </c>
      <c r="X671">
        <f>VLOOKUP(W671,Sheet10!D:F,2,0)*10000000</f>
        <v>5250000000</v>
      </c>
      <c r="Y671" t="s">
        <v>74</v>
      </c>
    </row>
    <row r="672" spans="1:25" x14ac:dyDescent="0.25">
      <c r="A672" t="s">
        <v>3250</v>
      </c>
      <c r="B672" t="s">
        <v>3571</v>
      </c>
      <c r="C672">
        <v>285</v>
      </c>
      <c r="D672" t="s">
        <v>77</v>
      </c>
      <c r="E672" t="s">
        <v>64</v>
      </c>
      <c r="F672" t="s">
        <v>420</v>
      </c>
      <c r="H672">
        <v>23</v>
      </c>
      <c r="I672">
        <v>1401</v>
      </c>
      <c r="J672" t="s">
        <v>3572</v>
      </c>
      <c r="K672" t="s">
        <v>3573</v>
      </c>
      <c r="M672" t="s">
        <v>198</v>
      </c>
      <c r="N672">
        <v>28520</v>
      </c>
      <c r="O672" t="s">
        <v>70</v>
      </c>
      <c r="Q672" t="s">
        <v>199</v>
      </c>
      <c r="R672" t="s">
        <v>3574</v>
      </c>
      <c r="S672" t="s">
        <v>3113</v>
      </c>
      <c r="T672" s="6">
        <v>3300000000</v>
      </c>
      <c r="U672" s="45">
        <f>VLOOKUP(B672,realPrices!C:G,5,0)</f>
        <v>3936666666</v>
      </c>
      <c r="W672" t="str">
        <f t="shared" si="10"/>
        <v>PARS TU51401</v>
      </c>
      <c r="X672">
        <f>VLOOKUP(W672,Sheet10!D:F,2,0)*10000000</f>
        <v>5250000000</v>
      </c>
      <c r="Y672" t="s">
        <v>74</v>
      </c>
    </row>
    <row r="673" spans="1:25" x14ac:dyDescent="0.25">
      <c r="A673" t="s">
        <v>3250</v>
      </c>
      <c r="B673" t="s">
        <v>3575</v>
      </c>
      <c r="C673">
        <v>285</v>
      </c>
      <c r="D673" t="s">
        <v>77</v>
      </c>
      <c r="E673" t="s">
        <v>64</v>
      </c>
      <c r="F673" t="s">
        <v>420</v>
      </c>
      <c r="H673">
        <v>22</v>
      </c>
      <c r="I673">
        <v>1401</v>
      </c>
      <c r="J673" t="s">
        <v>3576</v>
      </c>
      <c r="K673" t="s">
        <v>3577</v>
      </c>
      <c r="M673" t="s">
        <v>198</v>
      </c>
      <c r="N673">
        <v>28520</v>
      </c>
      <c r="O673" t="s">
        <v>70</v>
      </c>
      <c r="Q673" t="s">
        <v>199</v>
      </c>
      <c r="R673" t="s">
        <v>3578</v>
      </c>
      <c r="S673" t="s">
        <v>3547</v>
      </c>
      <c r="T673" s="6">
        <v>3300000000</v>
      </c>
      <c r="U673" s="45">
        <f>VLOOKUP(B673,realPrices!C:G,5,0)</f>
        <v>3910000000</v>
      </c>
      <c r="W673" t="str">
        <f t="shared" si="10"/>
        <v>PARS TU51401</v>
      </c>
      <c r="X673">
        <f>VLOOKUP(W673,Sheet10!D:F,2,0)*10000000</f>
        <v>5250000000</v>
      </c>
      <c r="Y673" t="s">
        <v>74</v>
      </c>
    </row>
    <row r="674" spans="1:25" x14ac:dyDescent="0.25">
      <c r="A674" t="s">
        <v>3579</v>
      </c>
      <c r="B674" t="s">
        <v>3580</v>
      </c>
      <c r="C674">
        <v>600</v>
      </c>
      <c r="D674" t="s">
        <v>77</v>
      </c>
      <c r="E674" t="s">
        <v>64</v>
      </c>
      <c r="F674" t="s">
        <v>420</v>
      </c>
      <c r="H674">
        <v>21</v>
      </c>
      <c r="I674">
        <v>1401</v>
      </c>
      <c r="J674" t="s">
        <v>3581</v>
      </c>
      <c r="K674" t="s">
        <v>3582</v>
      </c>
      <c r="M674" t="s">
        <v>3246</v>
      </c>
      <c r="N674">
        <v>60006</v>
      </c>
      <c r="O674" t="s">
        <v>303</v>
      </c>
      <c r="Q674" t="s">
        <v>3415</v>
      </c>
      <c r="R674" t="s">
        <v>3583</v>
      </c>
      <c r="S674" t="s">
        <v>3584</v>
      </c>
      <c r="T674" s="6">
        <v>3300000000</v>
      </c>
      <c r="U674" s="45">
        <f>VLOOKUP(B674,realPrices!C:G,5,0)</f>
        <v>4160000000</v>
      </c>
      <c r="W674" t="str">
        <f t="shared" si="10"/>
        <v>207i-MT1401</v>
      </c>
      <c r="X674">
        <f>VLOOKUP(W674,Sheet10!D:F,2,0)*10000000</f>
        <v>5800000000</v>
      </c>
      <c r="Y674" t="s">
        <v>74</v>
      </c>
    </row>
    <row r="675" spans="1:25" x14ac:dyDescent="0.25">
      <c r="A675" t="s">
        <v>191</v>
      </c>
      <c r="B675" t="s">
        <v>3585</v>
      </c>
      <c r="C675">
        <v>285</v>
      </c>
      <c r="D675" t="s">
        <v>63</v>
      </c>
      <c r="E675" t="s">
        <v>64</v>
      </c>
      <c r="F675" t="s">
        <v>420</v>
      </c>
      <c r="H675">
        <v>21</v>
      </c>
      <c r="I675">
        <v>1401</v>
      </c>
      <c r="J675" t="s">
        <v>3586</v>
      </c>
      <c r="K675" t="s">
        <v>3587</v>
      </c>
      <c r="M675" t="s">
        <v>198</v>
      </c>
      <c r="N675">
        <v>28520</v>
      </c>
      <c r="O675" t="s">
        <v>70</v>
      </c>
      <c r="Q675" t="s">
        <v>199</v>
      </c>
      <c r="R675" t="s">
        <v>3588</v>
      </c>
      <c r="S675" t="s">
        <v>3107</v>
      </c>
      <c r="T675" s="6">
        <v>3300000000</v>
      </c>
      <c r="U675" s="45">
        <f>VLOOKUP(B675,realPrices!C:G,5,0)</f>
        <v>4123129129</v>
      </c>
      <c r="W675" t="str">
        <f t="shared" si="10"/>
        <v>PARS TU51401</v>
      </c>
      <c r="X675">
        <f>VLOOKUP(W675,Sheet10!D:F,2,0)*10000000</f>
        <v>5250000000</v>
      </c>
      <c r="Y675" t="s">
        <v>74</v>
      </c>
    </row>
    <row r="676" spans="1:25" x14ac:dyDescent="0.25">
      <c r="A676" t="s">
        <v>3250</v>
      </c>
      <c r="B676" t="s">
        <v>3589</v>
      </c>
      <c r="C676">
        <v>285</v>
      </c>
      <c r="D676" t="s">
        <v>77</v>
      </c>
      <c r="E676" t="s">
        <v>64</v>
      </c>
      <c r="F676" t="s">
        <v>420</v>
      </c>
      <c r="H676">
        <v>22</v>
      </c>
      <c r="I676">
        <v>1401</v>
      </c>
      <c r="J676" t="s">
        <v>3590</v>
      </c>
      <c r="K676" t="s">
        <v>3591</v>
      </c>
      <c r="M676" t="s">
        <v>198</v>
      </c>
      <c r="N676">
        <v>28520</v>
      </c>
      <c r="O676" t="s">
        <v>70</v>
      </c>
      <c r="Q676" t="s">
        <v>199</v>
      </c>
      <c r="R676" t="s">
        <v>3592</v>
      </c>
      <c r="S676" t="s">
        <v>256</v>
      </c>
      <c r="T676" s="6">
        <v>3300000000</v>
      </c>
      <c r="U676" s="45">
        <f>VLOOKUP(B676,realPrices!C:G,5,0)</f>
        <v>3732200000</v>
      </c>
      <c r="W676" t="str">
        <f t="shared" si="10"/>
        <v>PARS TU51401</v>
      </c>
      <c r="X676">
        <f>VLOOKUP(W676,Sheet10!D:F,2,0)*10000000</f>
        <v>5250000000</v>
      </c>
      <c r="Y676" t="s">
        <v>74</v>
      </c>
    </row>
    <row r="677" spans="1:25" x14ac:dyDescent="0.25">
      <c r="A677" t="s">
        <v>191</v>
      </c>
      <c r="B677" t="s">
        <v>3593</v>
      </c>
      <c r="C677">
        <v>285</v>
      </c>
      <c r="D677" t="s">
        <v>63</v>
      </c>
      <c r="E677" t="s">
        <v>64</v>
      </c>
      <c r="F677" t="s">
        <v>420</v>
      </c>
      <c r="H677">
        <v>22</v>
      </c>
      <c r="I677">
        <v>1401</v>
      </c>
      <c r="J677" t="s">
        <v>3594</v>
      </c>
      <c r="K677" t="s">
        <v>3595</v>
      </c>
      <c r="M677" t="s">
        <v>198</v>
      </c>
      <c r="N677">
        <v>28520</v>
      </c>
      <c r="O677" t="s">
        <v>70</v>
      </c>
      <c r="Q677" t="s">
        <v>199</v>
      </c>
      <c r="R677" t="s">
        <v>3596</v>
      </c>
      <c r="S677" t="s">
        <v>3597</v>
      </c>
      <c r="T677" s="6">
        <v>3300000000</v>
      </c>
      <c r="U677" s="45">
        <f>VLOOKUP(B677,realPrices!C:G,5,0)</f>
        <v>3860000000</v>
      </c>
      <c r="W677" t="str">
        <f t="shared" si="10"/>
        <v>PARS TU51401</v>
      </c>
      <c r="X677">
        <f>VLOOKUP(W677,Sheet10!D:F,2,0)*10000000</f>
        <v>5250000000</v>
      </c>
      <c r="Y677" t="s">
        <v>74</v>
      </c>
    </row>
    <row r="678" spans="1:25" x14ac:dyDescent="0.25">
      <c r="A678" t="s">
        <v>3250</v>
      </c>
      <c r="B678" t="s">
        <v>3598</v>
      </c>
      <c r="C678">
        <v>285</v>
      </c>
      <c r="D678" t="s">
        <v>77</v>
      </c>
      <c r="E678" t="s">
        <v>64</v>
      </c>
      <c r="F678" t="s">
        <v>420</v>
      </c>
      <c r="H678">
        <v>20</v>
      </c>
      <c r="I678">
        <v>1401</v>
      </c>
      <c r="J678" t="s">
        <v>3599</v>
      </c>
      <c r="K678" t="s">
        <v>3600</v>
      </c>
      <c r="M678" t="s">
        <v>198</v>
      </c>
      <c r="N678">
        <v>28520</v>
      </c>
      <c r="O678" t="s">
        <v>70</v>
      </c>
      <c r="Q678" t="s">
        <v>199</v>
      </c>
      <c r="R678" t="s">
        <v>3601</v>
      </c>
      <c r="S678" t="s">
        <v>3178</v>
      </c>
      <c r="T678" s="6">
        <v>3300000000</v>
      </c>
      <c r="U678" s="45">
        <f>VLOOKUP(B678,realPrices!C:G,5,0)</f>
        <v>3588888000</v>
      </c>
      <c r="W678" t="str">
        <f t="shared" si="10"/>
        <v>PARS TU51401</v>
      </c>
      <c r="X678">
        <f>VLOOKUP(W678,Sheet10!D:F,2,0)*10000000</f>
        <v>5250000000</v>
      </c>
      <c r="Y678" t="s">
        <v>74</v>
      </c>
    </row>
    <row r="679" spans="1:25" x14ac:dyDescent="0.25">
      <c r="A679" t="s">
        <v>3250</v>
      </c>
      <c r="B679" t="s">
        <v>3602</v>
      </c>
      <c r="C679">
        <v>285</v>
      </c>
      <c r="D679" t="s">
        <v>77</v>
      </c>
      <c r="E679" t="s">
        <v>64</v>
      </c>
      <c r="F679" t="s">
        <v>420</v>
      </c>
      <c r="H679">
        <v>27</v>
      </c>
      <c r="I679">
        <v>1401</v>
      </c>
      <c r="J679" t="s">
        <v>3603</v>
      </c>
      <c r="K679" t="s">
        <v>3604</v>
      </c>
      <c r="M679" t="s">
        <v>198</v>
      </c>
      <c r="N679">
        <v>28520</v>
      </c>
      <c r="O679" t="s">
        <v>70</v>
      </c>
      <c r="Q679" t="s">
        <v>199</v>
      </c>
      <c r="R679" t="s">
        <v>3605</v>
      </c>
      <c r="S679" t="s">
        <v>3606</v>
      </c>
      <c r="T679" s="6">
        <v>3300000000</v>
      </c>
      <c r="U679" s="45">
        <f>VLOOKUP(B679,realPrices!C:G,5,0)</f>
        <v>3588888000</v>
      </c>
      <c r="W679" t="str">
        <f t="shared" si="10"/>
        <v>PARS TU51401</v>
      </c>
      <c r="X679">
        <f>VLOOKUP(W679,Sheet10!D:F,2,0)*10000000</f>
        <v>5250000000</v>
      </c>
      <c r="Y679" t="s">
        <v>74</v>
      </c>
    </row>
    <row r="680" spans="1:25" x14ac:dyDescent="0.25">
      <c r="A680" t="s">
        <v>191</v>
      </c>
      <c r="B680" t="s">
        <v>3607</v>
      </c>
      <c r="C680">
        <v>285</v>
      </c>
      <c r="D680" t="s">
        <v>63</v>
      </c>
      <c r="E680" t="s">
        <v>64</v>
      </c>
      <c r="F680" t="s">
        <v>420</v>
      </c>
      <c r="H680">
        <v>32</v>
      </c>
      <c r="I680">
        <v>1401</v>
      </c>
      <c r="J680" t="s">
        <v>3608</v>
      </c>
      <c r="K680" t="s">
        <v>3609</v>
      </c>
      <c r="M680" t="s">
        <v>198</v>
      </c>
      <c r="N680">
        <v>28520</v>
      </c>
      <c r="O680" t="s">
        <v>70</v>
      </c>
      <c r="Q680" t="s">
        <v>199</v>
      </c>
      <c r="R680" t="s">
        <v>3610</v>
      </c>
      <c r="S680" t="s">
        <v>3611</v>
      </c>
      <c r="T680" s="6">
        <v>3300000000</v>
      </c>
      <c r="U680" s="45">
        <f>VLOOKUP(B680,realPrices!C:G,5,0)</f>
        <v>3850000000</v>
      </c>
      <c r="W680" t="str">
        <f t="shared" si="10"/>
        <v>PARS TU51401</v>
      </c>
      <c r="X680">
        <f>VLOOKUP(W680,Sheet10!D:F,2,0)*10000000</f>
        <v>5250000000</v>
      </c>
      <c r="Y680" t="s">
        <v>74</v>
      </c>
    </row>
    <row r="681" spans="1:25" x14ac:dyDescent="0.25">
      <c r="A681" t="s">
        <v>191</v>
      </c>
      <c r="B681" t="s">
        <v>3612</v>
      </c>
      <c r="C681">
        <v>285</v>
      </c>
      <c r="D681" t="s">
        <v>63</v>
      </c>
      <c r="E681" t="s">
        <v>64</v>
      </c>
      <c r="F681" t="s">
        <v>491</v>
      </c>
      <c r="H681">
        <v>30</v>
      </c>
      <c r="I681">
        <v>1401</v>
      </c>
      <c r="J681" t="s">
        <v>3613</v>
      </c>
      <c r="K681" t="s">
        <v>3614</v>
      </c>
      <c r="M681" t="s">
        <v>198</v>
      </c>
      <c r="N681">
        <v>28520</v>
      </c>
      <c r="O681" t="s">
        <v>70</v>
      </c>
      <c r="Q681" t="s">
        <v>199</v>
      </c>
      <c r="R681" t="s">
        <v>3615</v>
      </c>
      <c r="S681" t="s">
        <v>3092</v>
      </c>
      <c r="T681" s="6">
        <v>3300000000</v>
      </c>
      <c r="U681" s="45">
        <f>VLOOKUP(B681,realPrices!C:G,5,0)</f>
        <v>3919999999</v>
      </c>
      <c r="W681" t="str">
        <f t="shared" si="10"/>
        <v>PARS TU51401</v>
      </c>
      <c r="X681">
        <f>VLOOKUP(W681,Sheet10!D:F,2,0)*10000000</f>
        <v>5250000000</v>
      </c>
      <c r="Y681" t="s">
        <v>74</v>
      </c>
    </row>
    <row r="682" spans="1:25" x14ac:dyDescent="0.25">
      <c r="A682" t="s">
        <v>191</v>
      </c>
      <c r="B682" t="s">
        <v>3616</v>
      </c>
      <c r="C682">
        <v>285</v>
      </c>
      <c r="D682" t="s">
        <v>63</v>
      </c>
      <c r="E682" t="s">
        <v>64</v>
      </c>
      <c r="F682" t="s">
        <v>420</v>
      </c>
      <c r="H682">
        <v>47</v>
      </c>
      <c r="I682">
        <v>1401</v>
      </c>
      <c r="J682" t="s">
        <v>3617</v>
      </c>
      <c r="K682" t="s">
        <v>3618</v>
      </c>
      <c r="M682" t="s">
        <v>198</v>
      </c>
      <c r="N682">
        <v>28520</v>
      </c>
      <c r="O682" t="s">
        <v>70</v>
      </c>
      <c r="Q682" t="s">
        <v>199</v>
      </c>
      <c r="R682" t="s">
        <v>3619</v>
      </c>
      <c r="S682" t="s">
        <v>3119</v>
      </c>
      <c r="T682" s="6">
        <v>3300000000</v>
      </c>
      <c r="U682" s="45">
        <f>VLOOKUP(B682,realPrices!C:G,5,0)</f>
        <v>3871200000</v>
      </c>
      <c r="W682" t="str">
        <f t="shared" si="10"/>
        <v>PARS TU51401</v>
      </c>
      <c r="X682">
        <f>VLOOKUP(W682,Sheet10!D:F,2,0)*10000000</f>
        <v>5250000000</v>
      </c>
      <c r="Y682" t="s">
        <v>74</v>
      </c>
    </row>
    <row r="683" spans="1:25" x14ac:dyDescent="0.25">
      <c r="A683" t="s">
        <v>3250</v>
      </c>
      <c r="B683" t="s">
        <v>3620</v>
      </c>
      <c r="C683">
        <v>285</v>
      </c>
      <c r="D683" t="s">
        <v>77</v>
      </c>
      <c r="E683" t="s">
        <v>64</v>
      </c>
      <c r="F683" t="s">
        <v>420</v>
      </c>
      <c r="H683">
        <v>52</v>
      </c>
      <c r="I683">
        <v>1401</v>
      </c>
      <c r="J683" t="s">
        <v>3621</v>
      </c>
      <c r="K683" t="s">
        <v>3622</v>
      </c>
      <c r="M683" t="s">
        <v>198</v>
      </c>
      <c r="N683">
        <v>28520</v>
      </c>
      <c r="O683" t="s">
        <v>70</v>
      </c>
      <c r="Q683" t="s">
        <v>199</v>
      </c>
      <c r="R683" t="s">
        <v>3623</v>
      </c>
      <c r="S683" t="s">
        <v>3624</v>
      </c>
      <c r="T683" s="6">
        <v>3300000000</v>
      </c>
      <c r="U683" s="45">
        <f>VLOOKUP(B683,realPrices!C:G,5,0)</f>
        <v>3637373000</v>
      </c>
      <c r="W683" t="str">
        <f t="shared" si="10"/>
        <v>PARS TU51401</v>
      </c>
      <c r="X683">
        <f>VLOOKUP(W683,Sheet10!D:F,2,0)*10000000</f>
        <v>5250000000</v>
      </c>
      <c r="Y683" t="s">
        <v>74</v>
      </c>
    </row>
    <row r="684" spans="1:25" x14ac:dyDescent="0.25">
      <c r="A684" t="s">
        <v>3356</v>
      </c>
      <c r="B684" t="s">
        <v>3625</v>
      </c>
      <c r="C684">
        <v>285</v>
      </c>
      <c r="D684" t="s">
        <v>259</v>
      </c>
      <c r="E684" t="s">
        <v>64</v>
      </c>
      <c r="F684" t="s">
        <v>420</v>
      </c>
      <c r="H684">
        <v>109</v>
      </c>
      <c r="I684">
        <v>1401</v>
      </c>
      <c r="J684" t="s">
        <v>3626</v>
      </c>
      <c r="K684" t="s">
        <v>3627</v>
      </c>
      <c r="M684" t="s">
        <v>198</v>
      </c>
      <c r="N684">
        <v>28520</v>
      </c>
      <c r="O684" t="s">
        <v>70</v>
      </c>
      <c r="Q684" t="s">
        <v>199</v>
      </c>
      <c r="R684" t="s">
        <v>3628</v>
      </c>
      <c r="S684" t="s">
        <v>152</v>
      </c>
      <c r="T684" s="6">
        <v>3300000000</v>
      </c>
      <c r="U684" s="45">
        <f>VLOOKUP(B684,realPrices!C:G,5,0)</f>
        <v>3911200000</v>
      </c>
      <c r="W684" t="str">
        <f t="shared" si="10"/>
        <v>PARS TU51401</v>
      </c>
      <c r="X684">
        <f>VLOOKUP(W684,Sheet10!D:F,2,0)*10000000</f>
        <v>5250000000</v>
      </c>
      <c r="Y684" t="s">
        <v>74</v>
      </c>
    </row>
    <row r="685" spans="1:25" x14ac:dyDescent="0.25">
      <c r="A685" t="s">
        <v>3579</v>
      </c>
      <c r="B685" t="s">
        <v>3629</v>
      </c>
      <c r="C685">
        <v>600</v>
      </c>
      <c r="D685" t="s">
        <v>77</v>
      </c>
      <c r="E685" t="s">
        <v>64</v>
      </c>
      <c r="F685" t="s">
        <v>420</v>
      </c>
      <c r="H685">
        <v>96</v>
      </c>
      <c r="I685">
        <v>1401</v>
      </c>
      <c r="J685" t="s">
        <v>3630</v>
      </c>
      <c r="K685" t="s">
        <v>3631</v>
      </c>
      <c r="M685" t="s">
        <v>3246</v>
      </c>
      <c r="N685">
        <v>60006</v>
      </c>
      <c r="O685" t="s">
        <v>303</v>
      </c>
      <c r="Q685" t="s">
        <v>3415</v>
      </c>
      <c r="R685" t="s">
        <v>3632</v>
      </c>
      <c r="S685" t="s">
        <v>3633</v>
      </c>
      <c r="T685" s="6">
        <v>3300000000</v>
      </c>
      <c r="U685" s="45">
        <f>VLOOKUP(B685,realPrices!C:G,5,0)</f>
        <v>4081000500</v>
      </c>
      <c r="W685" t="str">
        <f t="shared" si="10"/>
        <v>207i-MT1401</v>
      </c>
      <c r="X685">
        <f>VLOOKUP(W685,Sheet10!D:F,2,0)*10000000</f>
        <v>5800000000</v>
      </c>
      <c r="Y685" t="s">
        <v>74</v>
      </c>
    </row>
    <row r="686" spans="1:25" x14ac:dyDescent="0.25">
      <c r="A686" t="s">
        <v>3242</v>
      </c>
      <c r="B686" t="s">
        <v>3634</v>
      </c>
      <c r="C686">
        <v>600</v>
      </c>
      <c r="D686" t="s">
        <v>63</v>
      </c>
      <c r="E686" t="s">
        <v>64</v>
      </c>
      <c r="F686" t="s">
        <v>362</v>
      </c>
      <c r="H686">
        <v>73</v>
      </c>
      <c r="I686">
        <v>1400</v>
      </c>
      <c r="J686" t="s">
        <v>3635</v>
      </c>
      <c r="K686" t="s">
        <v>3636</v>
      </c>
      <c r="M686" t="s">
        <v>3246</v>
      </c>
      <c r="N686">
        <v>60010</v>
      </c>
      <c r="O686" t="s">
        <v>303</v>
      </c>
      <c r="Q686" t="s">
        <v>3247</v>
      </c>
      <c r="R686" t="s">
        <v>3637</v>
      </c>
      <c r="S686" t="s">
        <v>3638</v>
      </c>
      <c r="T686" s="6">
        <v>3300000000</v>
      </c>
      <c r="U686" s="45">
        <f>VLOOKUP(B686,realPrices!C:G,5,0)</f>
        <v>4109999999</v>
      </c>
      <c r="W686" t="str">
        <f t="shared" si="10"/>
        <v>207i-MT1400</v>
      </c>
      <c r="X686">
        <f>VLOOKUP(W686,Sheet10!D:F,2,0)*10000000</f>
        <v>5600000000</v>
      </c>
      <c r="Y686" t="s">
        <v>74</v>
      </c>
    </row>
    <row r="687" spans="1:25" x14ac:dyDescent="0.25">
      <c r="A687" t="s">
        <v>191</v>
      </c>
      <c r="B687" t="s">
        <v>3639</v>
      </c>
      <c r="C687">
        <v>285</v>
      </c>
      <c r="D687" t="s">
        <v>63</v>
      </c>
      <c r="E687" t="s">
        <v>64</v>
      </c>
      <c r="F687" t="s">
        <v>2696</v>
      </c>
      <c r="H687">
        <v>72</v>
      </c>
      <c r="I687">
        <v>1401</v>
      </c>
      <c r="J687" t="s">
        <v>3640</v>
      </c>
      <c r="K687" t="s">
        <v>3641</v>
      </c>
      <c r="M687" t="s">
        <v>198</v>
      </c>
      <c r="N687">
        <v>28520</v>
      </c>
      <c r="O687" t="s">
        <v>70</v>
      </c>
      <c r="Q687" t="s">
        <v>199</v>
      </c>
      <c r="R687" t="s">
        <v>3642</v>
      </c>
      <c r="S687" t="s">
        <v>122</v>
      </c>
      <c r="T687" s="6">
        <v>3300000000</v>
      </c>
      <c r="U687" s="45">
        <f>VLOOKUP(B687,realPrices!C:G,5,0)</f>
        <v>3855590000</v>
      </c>
      <c r="W687" t="str">
        <f t="shared" si="10"/>
        <v>PARS TU51401</v>
      </c>
      <c r="X687">
        <f>VLOOKUP(W687,Sheet10!D:F,2,0)*10000000</f>
        <v>5250000000</v>
      </c>
      <c r="Y687" t="s">
        <v>74</v>
      </c>
    </row>
    <row r="688" spans="1:25" x14ac:dyDescent="0.25">
      <c r="A688" t="s">
        <v>3431</v>
      </c>
      <c r="B688" t="s">
        <v>3643</v>
      </c>
      <c r="C688">
        <v>285</v>
      </c>
      <c r="D688" t="s">
        <v>63</v>
      </c>
      <c r="E688" t="s">
        <v>64</v>
      </c>
      <c r="F688" t="s">
        <v>2436</v>
      </c>
      <c r="H688">
        <v>96</v>
      </c>
      <c r="I688">
        <v>1401</v>
      </c>
      <c r="J688" t="s">
        <v>3644</v>
      </c>
      <c r="K688" t="s">
        <v>3645</v>
      </c>
      <c r="M688" t="s">
        <v>198</v>
      </c>
      <c r="N688">
        <v>28527</v>
      </c>
      <c r="O688" t="s">
        <v>70</v>
      </c>
      <c r="Q688" t="s">
        <v>3214</v>
      </c>
      <c r="R688" t="s">
        <v>3646</v>
      </c>
      <c r="S688" t="s">
        <v>1433</v>
      </c>
      <c r="T688" s="6">
        <v>3300000000</v>
      </c>
      <c r="U688" s="45">
        <f>VLOOKUP(B688,realPrices!C:G,5,0)</f>
        <v>3988888888</v>
      </c>
      <c r="W688" t="str">
        <f t="shared" si="10"/>
        <v>PARS TU51401</v>
      </c>
      <c r="X688">
        <f>VLOOKUP(W688,Sheet10!D:F,2,0)*10000000</f>
        <v>5250000000</v>
      </c>
      <c r="Y688" t="s">
        <v>74</v>
      </c>
    </row>
    <row r="689" spans="1:25" x14ac:dyDescent="0.25">
      <c r="A689" t="s">
        <v>3647</v>
      </c>
      <c r="B689" t="s">
        <v>3648</v>
      </c>
      <c r="C689">
        <v>285</v>
      </c>
      <c r="D689" t="s">
        <v>240</v>
      </c>
      <c r="E689" t="s">
        <v>64</v>
      </c>
      <c r="F689" t="s">
        <v>420</v>
      </c>
      <c r="H689">
        <v>90</v>
      </c>
      <c r="I689">
        <v>1401</v>
      </c>
      <c r="J689" t="s">
        <v>3649</v>
      </c>
      <c r="K689" t="s">
        <v>3650</v>
      </c>
      <c r="M689" t="s">
        <v>198</v>
      </c>
      <c r="N689">
        <v>28520</v>
      </c>
      <c r="O689" t="s">
        <v>70</v>
      </c>
      <c r="Q689" t="s">
        <v>199</v>
      </c>
      <c r="R689" t="s">
        <v>3651</v>
      </c>
      <c r="S689" t="s">
        <v>315</v>
      </c>
      <c r="T689" s="6">
        <v>3300000000</v>
      </c>
      <c r="U689" s="45">
        <f>VLOOKUP(B689,realPrices!C:G,5,0)</f>
        <v>3663000000</v>
      </c>
      <c r="W689" t="str">
        <f t="shared" si="10"/>
        <v>PARS TU51401</v>
      </c>
      <c r="X689">
        <f>VLOOKUP(W689,Sheet10!D:F,2,0)*10000000</f>
        <v>5250000000</v>
      </c>
      <c r="Y689" t="s">
        <v>74</v>
      </c>
    </row>
    <row r="690" spans="1:25" x14ac:dyDescent="0.25">
      <c r="A690" t="s">
        <v>3647</v>
      </c>
      <c r="B690" t="s">
        <v>3652</v>
      </c>
      <c r="C690">
        <v>285</v>
      </c>
      <c r="D690" t="s">
        <v>240</v>
      </c>
      <c r="E690" t="s">
        <v>64</v>
      </c>
      <c r="F690" t="s">
        <v>2436</v>
      </c>
      <c r="H690">
        <v>66</v>
      </c>
      <c r="I690">
        <v>1401</v>
      </c>
      <c r="J690" t="s">
        <v>3653</v>
      </c>
      <c r="K690" t="s">
        <v>3654</v>
      </c>
      <c r="M690" t="s">
        <v>198</v>
      </c>
      <c r="N690">
        <v>28520</v>
      </c>
      <c r="O690" t="s">
        <v>70</v>
      </c>
      <c r="Q690" t="s">
        <v>199</v>
      </c>
      <c r="R690" t="s">
        <v>3655</v>
      </c>
      <c r="S690" t="s">
        <v>113</v>
      </c>
      <c r="T690" s="6">
        <v>3300000000</v>
      </c>
      <c r="U690" s="45">
        <f>VLOOKUP(B690,realPrices!C:G,5,0)</f>
        <v>3717999999</v>
      </c>
      <c r="W690" t="str">
        <f t="shared" si="10"/>
        <v>PARS TU51401</v>
      </c>
      <c r="X690">
        <f>VLOOKUP(W690,Sheet10!D:F,2,0)*10000000</f>
        <v>5250000000</v>
      </c>
      <c r="Y690" t="s">
        <v>74</v>
      </c>
    </row>
    <row r="691" spans="1:25" x14ac:dyDescent="0.25">
      <c r="A691" t="s">
        <v>3250</v>
      </c>
      <c r="B691" t="s">
        <v>3656</v>
      </c>
      <c r="C691">
        <v>285</v>
      </c>
      <c r="D691" t="s">
        <v>77</v>
      </c>
      <c r="E691" t="s">
        <v>64</v>
      </c>
      <c r="F691" t="s">
        <v>2436</v>
      </c>
      <c r="H691">
        <v>60</v>
      </c>
      <c r="I691">
        <v>1401</v>
      </c>
      <c r="J691" t="s">
        <v>3657</v>
      </c>
      <c r="K691" t="s">
        <v>3658</v>
      </c>
      <c r="M691" t="s">
        <v>198</v>
      </c>
      <c r="N691">
        <v>28520</v>
      </c>
      <c r="O691" t="s">
        <v>70</v>
      </c>
      <c r="Q691" t="s">
        <v>199</v>
      </c>
      <c r="R691" t="s">
        <v>3659</v>
      </c>
      <c r="S691" t="s">
        <v>3100</v>
      </c>
      <c r="T691" s="6">
        <v>3300000000</v>
      </c>
      <c r="U691" s="45">
        <f>VLOOKUP(B691,realPrices!C:G,5,0)</f>
        <v>3737800000</v>
      </c>
      <c r="W691" t="str">
        <f t="shared" si="10"/>
        <v>PARS TU51401</v>
      </c>
      <c r="X691">
        <f>VLOOKUP(W691,Sheet10!D:F,2,0)*10000000</f>
        <v>5250000000</v>
      </c>
      <c r="Y691" t="s">
        <v>74</v>
      </c>
    </row>
    <row r="692" spans="1:25" x14ac:dyDescent="0.25">
      <c r="A692" t="s">
        <v>3660</v>
      </c>
      <c r="B692" t="s">
        <v>3661</v>
      </c>
      <c r="C692">
        <v>703</v>
      </c>
      <c r="D692" t="s">
        <v>63</v>
      </c>
      <c r="E692" t="s">
        <v>64</v>
      </c>
      <c r="F692" t="s">
        <v>3186</v>
      </c>
      <c r="H692">
        <v>7651</v>
      </c>
      <c r="I692">
        <v>1400</v>
      </c>
      <c r="J692" t="s">
        <v>3662</v>
      </c>
      <c r="K692" t="s">
        <v>3663</v>
      </c>
      <c r="M692" t="s">
        <v>2946</v>
      </c>
      <c r="N692">
        <v>70314</v>
      </c>
      <c r="O692" t="s">
        <v>70</v>
      </c>
      <c r="Q692" t="s">
        <v>3664</v>
      </c>
      <c r="R692" t="s">
        <v>3665</v>
      </c>
      <c r="S692" t="s">
        <v>3666</v>
      </c>
      <c r="T692" s="6">
        <v>3300000000</v>
      </c>
      <c r="U692" s="45">
        <f>VLOOKUP(B692,realPrices!C:G,5,0)</f>
        <v>3911000012</v>
      </c>
      <c r="W692" t="str">
        <f t="shared" si="10"/>
        <v>DENA+EF7-MT1400</v>
      </c>
      <c r="X692" t="e">
        <f>VLOOKUP(W692,Sheet10!D:F,2,0)*10000000</f>
        <v>#N/A</v>
      </c>
      <c r="Y692" t="s">
        <v>74</v>
      </c>
    </row>
    <row r="693" spans="1:25" x14ac:dyDescent="0.25">
      <c r="A693" t="s">
        <v>2476</v>
      </c>
      <c r="B693" t="s">
        <v>3667</v>
      </c>
      <c r="C693">
        <v>575</v>
      </c>
      <c r="D693" t="s">
        <v>63</v>
      </c>
      <c r="E693" t="s">
        <v>64</v>
      </c>
      <c r="F693" t="s">
        <v>362</v>
      </c>
      <c r="H693">
        <v>29</v>
      </c>
      <c r="I693">
        <v>1400</v>
      </c>
      <c r="J693" t="s">
        <v>3668</v>
      </c>
      <c r="K693" t="s">
        <v>3669</v>
      </c>
      <c r="M693" t="s">
        <v>367</v>
      </c>
      <c r="N693">
        <v>57519</v>
      </c>
      <c r="O693" t="s">
        <v>70</v>
      </c>
      <c r="Q693" t="s">
        <v>2420</v>
      </c>
      <c r="R693" t="s">
        <v>3670</v>
      </c>
      <c r="S693" t="s">
        <v>3671</v>
      </c>
      <c r="T693" s="6">
        <v>3320000000</v>
      </c>
      <c r="U693" s="45">
        <f>VLOOKUP(B693,realPrices!C:G,5,0)</f>
        <v>4139895000</v>
      </c>
      <c r="W693" t="str">
        <f t="shared" si="10"/>
        <v>SOREN EF71400</v>
      </c>
      <c r="X693">
        <f>VLOOKUP(W693,Sheet10!D:F,2,0)*10000000</f>
        <v>4350000000</v>
      </c>
      <c r="Y693" t="s">
        <v>114</v>
      </c>
    </row>
    <row r="694" spans="1:25" x14ac:dyDescent="0.25">
      <c r="A694" t="s">
        <v>2416</v>
      </c>
      <c r="B694" t="s">
        <v>3672</v>
      </c>
      <c r="C694">
        <v>575</v>
      </c>
      <c r="D694" t="s">
        <v>259</v>
      </c>
      <c r="E694" t="s">
        <v>64</v>
      </c>
      <c r="F694" t="s">
        <v>318</v>
      </c>
      <c r="H694">
        <v>23</v>
      </c>
      <c r="I694">
        <v>1400</v>
      </c>
      <c r="J694" t="s">
        <v>3673</v>
      </c>
      <c r="K694" t="s">
        <v>3674</v>
      </c>
      <c r="M694" t="s">
        <v>367</v>
      </c>
      <c r="N694">
        <v>57519</v>
      </c>
      <c r="O694" t="s">
        <v>70</v>
      </c>
      <c r="Q694" t="s">
        <v>2420</v>
      </c>
      <c r="R694" t="s">
        <v>3675</v>
      </c>
      <c r="S694" t="s">
        <v>3676</v>
      </c>
      <c r="T694" s="6">
        <v>3320000000</v>
      </c>
      <c r="U694" s="45">
        <f>VLOOKUP(B694,realPrices!C:G,5,0)</f>
        <v>4111000000</v>
      </c>
      <c r="W694" t="str">
        <f t="shared" si="10"/>
        <v>SOREN EF71400</v>
      </c>
      <c r="X694">
        <f>VLOOKUP(W694,Sheet10!D:F,2,0)*10000000</f>
        <v>4350000000</v>
      </c>
      <c r="Y694" t="s">
        <v>114</v>
      </c>
    </row>
    <row r="695" spans="1:25" x14ac:dyDescent="0.25">
      <c r="A695" t="s">
        <v>3677</v>
      </c>
      <c r="B695" t="s">
        <v>3678</v>
      </c>
      <c r="C695">
        <v>703</v>
      </c>
      <c r="D695" t="s">
        <v>77</v>
      </c>
      <c r="E695" t="s">
        <v>64</v>
      </c>
      <c r="F695" t="s">
        <v>362</v>
      </c>
      <c r="H695">
        <v>84</v>
      </c>
      <c r="I695">
        <v>1400</v>
      </c>
      <c r="J695" t="s">
        <v>3679</v>
      </c>
      <c r="K695" t="s">
        <v>3680</v>
      </c>
      <c r="M695" t="s">
        <v>2946</v>
      </c>
      <c r="N695">
        <v>70317</v>
      </c>
      <c r="O695" t="s">
        <v>70</v>
      </c>
      <c r="Q695" t="s">
        <v>3681</v>
      </c>
      <c r="R695" t="s">
        <v>3682</v>
      </c>
      <c r="S695" t="s">
        <v>3683</v>
      </c>
      <c r="T695" s="6">
        <v>3330000000</v>
      </c>
      <c r="U695" s="45">
        <f>VLOOKUP(B695,realPrices!C:G,5,0)</f>
        <v>4194000000</v>
      </c>
      <c r="W695" t="str">
        <f t="shared" si="10"/>
        <v>DENA+EF7-MT1400</v>
      </c>
      <c r="X695" t="e">
        <f>VLOOKUP(W695,Sheet10!D:F,2,0)*10000000</f>
        <v>#N/A</v>
      </c>
      <c r="Y695" t="s">
        <v>74</v>
      </c>
    </row>
    <row r="696" spans="1:25" x14ac:dyDescent="0.25">
      <c r="A696" t="s">
        <v>2476</v>
      </c>
      <c r="B696" t="s">
        <v>3684</v>
      </c>
      <c r="C696">
        <v>575</v>
      </c>
      <c r="D696" t="s">
        <v>63</v>
      </c>
      <c r="E696" t="s">
        <v>64</v>
      </c>
      <c r="F696" t="s">
        <v>2436</v>
      </c>
      <c r="H696">
        <v>104</v>
      </c>
      <c r="I696">
        <v>1401</v>
      </c>
      <c r="J696" t="s">
        <v>3685</v>
      </c>
      <c r="K696" t="s">
        <v>3686</v>
      </c>
      <c r="M696" t="s">
        <v>367</v>
      </c>
      <c r="N696">
        <v>57519</v>
      </c>
      <c r="O696" t="s">
        <v>70</v>
      </c>
      <c r="Q696" t="s">
        <v>2420</v>
      </c>
      <c r="R696" t="s">
        <v>3687</v>
      </c>
      <c r="S696" t="s">
        <v>3688</v>
      </c>
      <c r="T696" s="6">
        <v>3350000000</v>
      </c>
      <c r="U696" s="45">
        <f>VLOOKUP(B696,realPrices!C:G,5,0)</f>
        <v>4018989890</v>
      </c>
      <c r="W696" t="str">
        <f t="shared" si="10"/>
        <v>SOREN EF71401</v>
      </c>
      <c r="X696">
        <f>VLOOKUP(W696,Sheet10!D:F,2,0)*10000000</f>
        <v>4650000000</v>
      </c>
      <c r="Y696" t="s">
        <v>114</v>
      </c>
    </row>
    <row r="697" spans="1:25" x14ac:dyDescent="0.25">
      <c r="A697" t="s">
        <v>3689</v>
      </c>
      <c r="B697" t="s">
        <v>3690</v>
      </c>
      <c r="C697">
        <v>575</v>
      </c>
      <c r="D697" t="s">
        <v>2461</v>
      </c>
      <c r="E697" t="s">
        <v>64</v>
      </c>
      <c r="F697" t="s">
        <v>362</v>
      </c>
      <c r="H697">
        <v>100</v>
      </c>
      <c r="I697">
        <v>1400</v>
      </c>
      <c r="J697" t="s">
        <v>3691</v>
      </c>
      <c r="K697" t="s">
        <v>3692</v>
      </c>
      <c r="M697" t="s">
        <v>367</v>
      </c>
      <c r="N697">
        <v>57523</v>
      </c>
      <c r="O697" t="s">
        <v>70</v>
      </c>
      <c r="Q697" t="s">
        <v>2648</v>
      </c>
      <c r="R697" t="s">
        <v>3693</v>
      </c>
      <c r="S697" t="s">
        <v>3694</v>
      </c>
      <c r="T697" s="6">
        <v>3350000000</v>
      </c>
      <c r="U697" s="45">
        <f>VLOOKUP(B697,realPrices!C:G,5,0)</f>
        <v>3955000000</v>
      </c>
      <c r="W697" t="str">
        <f t="shared" si="10"/>
        <v>SOREN EF71400</v>
      </c>
      <c r="X697">
        <f>VLOOKUP(W697,Sheet10!D:F,2,0)*10000000</f>
        <v>4350000000</v>
      </c>
      <c r="Y697" t="s">
        <v>114</v>
      </c>
    </row>
    <row r="698" spans="1:25" x14ac:dyDescent="0.25">
      <c r="A698" t="s">
        <v>316</v>
      </c>
      <c r="B698" t="s">
        <v>3695</v>
      </c>
      <c r="C698">
        <v>610</v>
      </c>
      <c r="D698" t="s">
        <v>63</v>
      </c>
      <c r="E698" t="s">
        <v>64</v>
      </c>
      <c r="F698" t="s">
        <v>491</v>
      </c>
      <c r="H698">
        <v>32</v>
      </c>
      <c r="I698">
        <v>1401</v>
      </c>
      <c r="J698" t="s">
        <v>3696</v>
      </c>
      <c r="K698" t="s">
        <v>3697</v>
      </c>
      <c r="M698" t="s">
        <v>321</v>
      </c>
      <c r="N698">
        <v>61015</v>
      </c>
      <c r="O698" t="s">
        <v>70</v>
      </c>
      <c r="Q698" t="s">
        <v>322</v>
      </c>
      <c r="R698" t="s">
        <v>3698</v>
      </c>
      <c r="S698" t="s">
        <v>3699</v>
      </c>
      <c r="T698" s="6">
        <v>3350000000</v>
      </c>
      <c r="U698" s="45">
        <f>VLOOKUP(B698,realPrices!C:G,5,0)</f>
        <v>3999900000</v>
      </c>
      <c r="W698" t="str">
        <f t="shared" si="10"/>
        <v>TU51401</v>
      </c>
      <c r="X698">
        <f>VLOOKUP(W698,Sheet10!D:F,2,0)*10000000</f>
        <v>4450000000</v>
      </c>
      <c r="Y698" t="s">
        <v>114</v>
      </c>
    </row>
    <row r="699" spans="1:25" x14ac:dyDescent="0.25">
      <c r="A699" t="s">
        <v>3356</v>
      </c>
      <c r="B699" t="s">
        <v>3700</v>
      </c>
      <c r="C699">
        <v>285</v>
      </c>
      <c r="D699" t="s">
        <v>259</v>
      </c>
      <c r="E699" t="s">
        <v>64</v>
      </c>
      <c r="F699" t="s">
        <v>205</v>
      </c>
      <c r="G699" t="s">
        <v>3701</v>
      </c>
      <c r="H699">
        <v>33351</v>
      </c>
      <c r="I699">
        <v>1400</v>
      </c>
      <c r="J699" t="s">
        <v>3702</v>
      </c>
      <c r="K699" t="s">
        <v>3703</v>
      </c>
      <c r="L699" t="s">
        <v>720</v>
      </c>
      <c r="M699" t="s">
        <v>198</v>
      </c>
      <c r="N699">
        <v>28520</v>
      </c>
      <c r="O699" t="s">
        <v>70</v>
      </c>
      <c r="Q699" t="s">
        <v>199</v>
      </c>
      <c r="R699" t="s">
        <v>3704</v>
      </c>
      <c r="S699" t="s">
        <v>3705</v>
      </c>
      <c r="T699" s="6">
        <v>3350000000</v>
      </c>
      <c r="U699" s="45">
        <f>VLOOKUP(B699,realPrices!C:G,5,0)</f>
        <v>3610009999</v>
      </c>
      <c r="W699" t="str">
        <f t="shared" si="10"/>
        <v>PARS TU51400</v>
      </c>
      <c r="X699">
        <f>VLOOKUP(W699,Sheet10!D:F,2,0)*10000000</f>
        <v>5100000000</v>
      </c>
      <c r="Y699" t="s">
        <v>114</v>
      </c>
    </row>
    <row r="700" spans="1:25" x14ac:dyDescent="0.25">
      <c r="A700" t="s">
        <v>3706</v>
      </c>
      <c r="B700" t="s">
        <v>3707</v>
      </c>
      <c r="C700">
        <v>703</v>
      </c>
      <c r="D700" t="s">
        <v>240</v>
      </c>
      <c r="E700" t="s">
        <v>64</v>
      </c>
      <c r="F700" t="s">
        <v>420</v>
      </c>
      <c r="H700">
        <v>40</v>
      </c>
      <c r="I700">
        <v>1400</v>
      </c>
      <c r="J700" t="s">
        <v>3708</v>
      </c>
      <c r="K700" t="s">
        <v>3709</v>
      </c>
      <c r="M700" t="s">
        <v>2946</v>
      </c>
      <c r="N700">
        <v>70314</v>
      </c>
      <c r="O700" t="s">
        <v>70</v>
      </c>
      <c r="Q700" t="s">
        <v>3664</v>
      </c>
      <c r="R700" t="s">
        <v>3710</v>
      </c>
      <c r="S700" t="s">
        <v>3711</v>
      </c>
      <c r="T700" s="6">
        <v>3350000000</v>
      </c>
      <c r="U700" s="45">
        <f>VLOOKUP(B700,realPrices!C:G,5,0)</f>
        <v>4238000000</v>
      </c>
      <c r="W700" t="str">
        <f t="shared" si="10"/>
        <v>DENA+EF7-MT1400</v>
      </c>
      <c r="X700" t="e">
        <f>VLOOKUP(W700,Sheet10!D:F,2,0)*10000000</f>
        <v>#N/A</v>
      </c>
      <c r="Y700" t="s">
        <v>74</v>
      </c>
    </row>
    <row r="701" spans="1:25" x14ac:dyDescent="0.25">
      <c r="A701" t="s">
        <v>3712</v>
      </c>
      <c r="B701" t="s">
        <v>3713</v>
      </c>
      <c r="C701">
        <v>703</v>
      </c>
      <c r="D701" t="s">
        <v>259</v>
      </c>
      <c r="E701" t="s">
        <v>64</v>
      </c>
      <c r="F701" t="s">
        <v>420</v>
      </c>
      <c r="H701">
        <v>99</v>
      </c>
      <c r="I701">
        <v>1400</v>
      </c>
      <c r="J701" t="s">
        <v>3714</v>
      </c>
      <c r="K701" t="s">
        <v>3715</v>
      </c>
      <c r="M701" t="s">
        <v>2946</v>
      </c>
      <c r="N701">
        <v>70317</v>
      </c>
      <c r="O701" t="s">
        <v>70</v>
      </c>
      <c r="Q701" t="s">
        <v>3681</v>
      </c>
      <c r="R701" t="s">
        <v>3716</v>
      </c>
      <c r="S701" t="s">
        <v>3717</v>
      </c>
      <c r="T701" s="6">
        <v>3350000000</v>
      </c>
      <c r="U701" s="45">
        <f>VLOOKUP(B701,realPrices!C:G,5,0)</f>
        <v>4227800000</v>
      </c>
      <c r="W701" t="str">
        <f t="shared" si="10"/>
        <v>DENA+EF7-MT1400</v>
      </c>
      <c r="X701" t="e">
        <f>VLOOKUP(W701,Sheet10!D:F,2,0)*10000000</f>
        <v>#N/A</v>
      </c>
      <c r="Y701" t="s">
        <v>74</v>
      </c>
    </row>
    <row r="702" spans="1:25" x14ac:dyDescent="0.25">
      <c r="A702" t="s">
        <v>325</v>
      </c>
      <c r="B702" t="s">
        <v>3718</v>
      </c>
      <c r="C702">
        <v>260</v>
      </c>
      <c r="D702" t="s">
        <v>63</v>
      </c>
      <c r="E702" t="s">
        <v>64</v>
      </c>
      <c r="F702" t="s">
        <v>318</v>
      </c>
      <c r="H702">
        <v>34</v>
      </c>
      <c r="I702">
        <v>1401</v>
      </c>
      <c r="J702" t="s">
        <v>3719</v>
      </c>
      <c r="K702" t="s">
        <v>3720</v>
      </c>
      <c r="M702" t="s">
        <v>329</v>
      </c>
      <c r="N702">
        <v>26031</v>
      </c>
      <c r="O702" t="s">
        <v>303</v>
      </c>
      <c r="Q702" t="s">
        <v>330</v>
      </c>
      <c r="R702" t="s">
        <v>3721</v>
      </c>
      <c r="S702" t="s">
        <v>3722</v>
      </c>
      <c r="T702" s="6">
        <v>3370000000</v>
      </c>
      <c r="U702" s="45">
        <f>VLOOKUP(B702,realPrices!C:G,5,0)</f>
        <v>4171210001</v>
      </c>
      <c r="W702" t="str">
        <f t="shared" si="10"/>
        <v>206TU31401</v>
      </c>
      <c r="X702" t="e">
        <f>VLOOKUP(W702,Sheet10!D:F,2,0)*10000000</f>
        <v>#N/A</v>
      </c>
      <c r="Y702" t="s">
        <v>114</v>
      </c>
    </row>
    <row r="703" spans="1:25" x14ac:dyDescent="0.25">
      <c r="A703" t="s">
        <v>2476</v>
      </c>
      <c r="B703" t="s">
        <v>3723</v>
      </c>
      <c r="C703">
        <v>575</v>
      </c>
      <c r="D703" t="s">
        <v>63</v>
      </c>
      <c r="E703" t="s">
        <v>64</v>
      </c>
      <c r="F703" t="s">
        <v>362</v>
      </c>
      <c r="H703">
        <v>38</v>
      </c>
      <c r="I703">
        <v>1400</v>
      </c>
      <c r="J703" t="s">
        <v>3724</v>
      </c>
      <c r="K703" t="s">
        <v>3725</v>
      </c>
      <c r="M703" t="s">
        <v>367</v>
      </c>
      <c r="N703">
        <v>57519</v>
      </c>
      <c r="O703" t="s">
        <v>70</v>
      </c>
      <c r="Q703" t="s">
        <v>2420</v>
      </c>
      <c r="R703" t="s">
        <v>3726</v>
      </c>
      <c r="S703" t="s">
        <v>3727</v>
      </c>
      <c r="T703" s="6">
        <v>3370000000</v>
      </c>
      <c r="U703" s="45">
        <f>VLOOKUP(B703,realPrices!C:G,5,0)</f>
        <v>4385999999</v>
      </c>
      <c r="W703" t="str">
        <f t="shared" si="10"/>
        <v>SOREN EF71400</v>
      </c>
      <c r="X703">
        <f>VLOOKUP(W703,Sheet10!D:F,2,0)*10000000</f>
        <v>4350000000</v>
      </c>
      <c r="Y703" t="s">
        <v>114</v>
      </c>
    </row>
    <row r="704" spans="1:25" x14ac:dyDescent="0.25">
      <c r="A704" t="s">
        <v>2476</v>
      </c>
      <c r="B704" t="s">
        <v>3728</v>
      </c>
      <c r="C704">
        <v>575</v>
      </c>
      <c r="D704" t="s">
        <v>63</v>
      </c>
      <c r="E704" t="s">
        <v>64</v>
      </c>
      <c r="F704" t="s">
        <v>318</v>
      </c>
      <c r="H704">
        <v>33</v>
      </c>
      <c r="I704">
        <v>1400</v>
      </c>
      <c r="J704" t="s">
        <v>3729</v>
      </c>
      <c r="K704" t="s">
        <v>3730</v>
      </c>
      <c r="M704" t="s">
        <v>367</v>
      </c>
      <c r="N704">
        <v>57519</v>
      </c>
      <c r="O704" t="s">
        <v>70</v>
      </c>
      <c r="Q704" t="s">
        <v>2420</v>
      </c>
      <c r="R704" t="s">
        <v>3731</v>
      </c>
      <c r="S704" t="s">
        <v>3732</v>
      </c>
      <c r="T704" s="6">
        <v>3370000000</v>
      </c>
      <c r="U704" s="45">
        <f>VLOOKUP(B704,realPrices!C:G,5,0)</f>
        <v>3900000000</v>
      </c>
      <c r="W704" t="str">
        <f t="shared" si="10"/>
        <v>SOREN EF71400</v>
      </c>
      <c r="X704">
        <f>VLOOKUP(W704,Sheet10!D:F,2,0)*10000000</f>
        <v>4350000000</v>
      </c>
      <c r="Y704" t="s">
        <v>114</v>
      </c>
    </row>
    <row r="705" spans="1:25" x14ac:dyDescent="0.25">
      <c r="A705" t="s">
        <v>87</v>
      </c>
      <c r="B705" t="s">
        <v>3733</v>
      </c>
      <c r="C705">
        <v>322</v>
      </c>
      <c r="D705" t="s">
        <v>63</v>
      </c>
      <c r="E705" t="s">
        <v>64</v>
      </c>
      <c r="F705" t="s">
        <v>420</v>
      </c>
      <c r="G705" t="s">
        <v>3734</v>
      </c>
      <c r="H705">
        <v>2974</v>
      </c>
      <c r="I705">
        <v>1400</v>
      </c>
      <c r="J705" t="s">
        <v>3735</v>
      </c>
      <c r="K705" t="s">
        <v>3736</v>
      </c>
      <c r="L705" t="s">
        <v>3737</v>
      </c>
      <c r="M705" t="s">
        <v>92</v>
      </c>
      <c r="N705">
        <v>32201</v>
      </c>
      <c r="O705" t="s">
        <v>70</v>
      </c>
      <c r="Q705" t="s">
        <v>93</v>
      </c>
      <c r="R705" t="s">
        <v>3738</v>
      </c>
      <c r="S705" t="s">
        <v>3739</v>
      </c>
      <c r="T705" s="6">
        <v>3400000000</v>
      </c>
      <c r="U705" s="45">
        <f>VLOOKUP(B705,realPrices!C:G,5,0)</f>
        <v>4066999999</v>
      </c>
      <c r="W705" t="str">
        <f t="shared" si="10"/>
        <v>TARA TU5P1400</v>
      </c>
      <c r="X705" t="e">
        <f>VLOOKUP(W705,Sheet10!D:F,2,0)*10000000</f>
        <v>#N/A</v>
      </c>
      <c r="Y705" t="s">
        <v>74</v>
      </c>
    </row>
    <row r="706" spans="1:25" x14ac:dyDescent="0.25">
      <c r="A706" t="s">
        <v>87</v>
      </c>
      <c r="B706" t="s">
        <v>3740</v>
      </c>
      <c r="C706">
        <v>322</v>
      </c>
      <c r="D706" t="s">
        <v>63</v>
      </c>
      <c r="E706" t="s">
        <v>64</v>
      </c>
      <c r="F706" t="s">
        <v>205</v>
      </c>
      <c r="G706" t="s">
        <v>3741</v>
      </c>
      <c r="H706">
        <v>8287</v>
      </c>
      <c r="I706">
        <v>1400</v>
      </c>
      <c r="J706" t="s">
        <v>3742</v>
      </c>
      <c r="K706" t="s">
        <v>3743</v>
      </c>
      <c r="L706" t="s">
        <v>3744</v>
      </c>
      <c r="M706" t="s">
        <v>92</v>
      </c>
      <c r="N706">
        <v>32201</v>
      </c>
      <c r="O706" t="s">
        <v>70</v>
      </c>
      <c r="Q706" t="s">
        <v>93</v>
      </c>
      <c r="R706" t="s">
        <v>3745</v>
      </c>
      <c r="S706" t="s">
        <v>3746</v>
      </c>
      <c r="T706" s="6">
        <v>3400000000</v>
      </c>
      <c r="U706" s="45">
        <f>VLOOKUP(B706,realPrices!C:G,5,0)</f>
        <v>4025123214</v>
      </c>
      <c r="W706" t="str">
        <f t="shared" ref="W706:W769" si="11">M706&amp;I706</f>
        <v>TARA TU5P1400</v>
      </c>
      <c r="X706" t="e">
        <f>VLOOKUP(W706,Sheet10!D:F,2,0)*10000000</f>
        <v>#N/A</v>
      </c>
      <c r="Y706" t="s">
        <v>74</v>
      </c>
    </row>
    <row r="707" spans="1:25" x14ac:dyDescent="0.25">
      <c r="A707" t="s">
        <v>2644</v>
      </c>
      <c r="B707" t="s">
        <v>3747</v>
      </c>
      <c r="C707">
        <v>575</v>
      </c>
      <c r="D707" t="s">
        <v>259</v>
      </c>
      <c r="E707" t="s">
        <v>64</v>
      </c>
      <c r="F707" t="s">
        <v>362</v>
      </c>
      <c r="H707">
        <v>33</v>
      </c>
      <c r="I707">
        <v>1400</v>
      </c>
      <c r="J707" t="s">
        <v>3748</v>
      </c>
      <c r="K707" t="s">
        <v>3749</v>
      </c>
      <c r="M707" t="s">
        <v>367</v>
      </c>
      <c r="N707">
        <v>57523</v>
      </c>
      <c r="O707" t="s">
        <v>70</v>
      </c>
      <c r="Q707" t="s">
        <v>2648</v>
      </c>
      <c r="R707" t="s">
        <v>3750</v>
      </c>
      <c r="S707" t="s">
        <v>3751</v>
      </c>
      <c r="T707" s="6">
        <v>3400000000</v>
      </c>
      <c r="U707" s="45">
        <f>VLOOKUP(B707,realPrices!C:G,5,0)</f>
        <v>3989888800</v>
      </c>
      <c r="W707" t="str">
        <f t="shared" si="11"/>
        <v>SOREN EF71400</v>
      </c>
      <c r="X707">
        <f>VLOOKUP(W707,Sheet10!D:F,2,0)*10000000</f>
        <v>4350000000</v>
      </c>
      <c r="Y707" t="s">
        <v>114</v>
      </c>
    </row>
    <row r="708" spans="1:25" x14ac:dyDescent="0.25">
      <c r="A708" t="s">
        <v>1418</v>
      </c>
      <c r="B708" t="s">
        <v>3050</v>
      </c>
      <c r="C708">
        <v>351</v>
      </c>
      <c r="D708" t="s">
        <v>63</v>
      </c>
      <c r="E708" t="s">
        <v>64</v>
      </c>
      <c r="F708" t="s">
        <v>420</v>
      </c>
      <c r="H708">
        <v>8</v>
      </c>
      <c r="I708">
        <v>1401</v>
      </c>
      <c r="J708" t="s">
        <v>3051</v>
      </c>
      <c r="K708" t="s">
        <v>3052</v>
      </c>
      <c r="M708" t="s">
        <v>400</v>
      </c>
      <c r="N708">
        <v>35101</v>
      </c>
      <c r="O708" t="s">
        <v>70</v>
      </c>
      <c r="Q708" t="s">
        <v>401</v>
      </c>
      <c r="R708" t="s">
        <v>3053</v>
      </c>
      <c r="S708" t="s">
        <v>3752</v>
      </c>
      <c r="T708" s="6">
        <v>3400000000</v>
      </c>
      <c r="U708" s="45">
        <f>VLOOKUP(B708,realPrices!C:G,5,0)</f>
        <v>3678999000</v>
      </c>
      <c r="W708" t="str">
        <f t="shared" si="11"/>
        <v>PARS XU7 P1401</v>
      </c>
      <c r="X708">
        <f>VLOOKUP(W708,Sheet10!D:F,2,0)*10000000</f>
        <v>4500000000</v>
      </c>
      <c r="Y708" t="s">
        <v>114</v>
      </c>
    </row>
    <row r="709" spans="1:25" x14ac:dyDescent="0.25">
      <c r="A709" t="s">
        <v>316</v>
      </c>
      <c r="B709" t="s">
        <v>2931</v>
      </c>
      <c r="C709">
        <v>610</v>
      </c>
      <c r="D709" t="s">
        <v>63</v>
      </c>
      <c r="E709" t="s">
        <v>64</v>
      </c>
      <c r="F709" t="s">
        <v>2696</v>
      </c>
      <c r="H709">
        <v>32</v>
      </c>
      <c r="I709">
        <v>1401</v>
      </c>
      <c r="J709" t="s">
        <v>2932</v>
      </c>
      <c r="K709" t="s">
        <v>2933</v>
      </c>
      <c r="M709" t="s">
        <v>321</v>
      </c>
      <c r="N709">
        <v>61015</v>
      </c>
      <c r="O709" t="s">
        <v>70</v>
      </c>
      <c r="Q709" t="s">
        <v>322</v>
      </c>
      <c r="R709" t="s">
        <v>2934</v>
      </c>
      <c r="S709" t="s">
        <v>3753</v>
      </c>
      <c r="T709" s="6">
        <v>3400000000</v>
      </c>
      <c r="U709" s="45">
        <f>VLOOKUP(B709,realPrices!C:G,5,0)</f>
        <v>3780000000</v>
      </c>
      <c r="W709" t="str">
        <f t="shared" si="11"/>
        <v>TU51401</v>
      </c>
      <c r="X709">
        <f>VLOOKUP(W709,Sheet10!D:F,2,0)*10000000</f>
        <v>4450000000</v>
      </c>
      <c r="Y709" t="s">
        <v>114</v>
      </c>
    </row>
    <row r="710" spans="1:25" x14ac:dyDescent="0.25">
      <c r="A710" t="s">
        <v>3521</v>
      </c>
      <c r="B710" t="s">
        <v>3754</v>
      </c>
      <c r="C710">
        <v>707</v>
      </c>
      <c r="D710" t="s">
        <v>77</v>
      </c>
      <c r="E710" t="s">
        <v>64</v>
      </c>
      <c r="F710" t="s">
        <v>205</v>
      </c>
      <c r="G710" t="s">
        <v>3755</v>
      </c>
      <c r="H710">
        <v>11533</v>
      </c>
      <c r="I710">
        <v>1399</v>
      </c>
      <c r="J710" t="s">
        <v>3756</v>
      </c>
      <c r="K710" t="s">
        <v>3757</v>
      </c>
      <c r="L710" t="s">
        <v>3758</v>
      </c>
      <c r="M710" t="s">
        <v>3450</v>
      </c>
      <c r="N710">
        <v>70702</v>
      </c>
      <c r="O710" t="s">
        <v>70</v>
      </c>
      <c r="Q710" t="s">
        <v>3451</v>
      </c>
      <c r="R710" t="s">
        <v>3759</v>
      </c>
      <c r="S710" t="s">
        <v>3760</v>
      </c>
      <c r="T710" s="6">
        <v>3400000000</v>
      </c>
      <c r="U710" s="45">
        <f>VLOOKUP(B710,realPrices!C:G,5,0)</f>
        <v>4578999999</v>
      </c>
      <c r="W710" t="str">
        <f t="shared" si="11"/>
        <v>DENA+EF7TC A1399</v>
      </c>
      <c r="X710">
        <f>VLOOKUP(W710,Sheet10!D:F,2,0)*10000000</f>
        <v>6900000000</v>
      </c>
      <c r="Y710" t="s">
        <v>74</v>
      </c>
    </row>
    <row r="711" spans="1:25" x14ac:dyDescent="0.25">
      <c r="A711" t="s">
        <v>1418</v>
      </c>
      <c r="B711" t="s">
        <v>3761</v>
      </c>
      <c r="C711">
        <v>351</v>
      </c>
      <c r="D711" t="s">
        <v>63</v>
      </c>
      <c r="E711" t="s">
        <v>64</v>
      </c>
      <c r="F711" t="s">
        <v>318</v>
      </c>
      <c r="H711">
        <v>17</v>
      </c>
      <c r="I711">
        <v>1401</v>
      </c>
      <c r="J711" t="s">
        <v>3762</v>
      </c>
      <c r="K711" t="s">
        <v>3763</v>
      </c>
      <c r="M711" t="s">
        <v>400</v>
      </c>
      <c r="N711">
        <v>35101</v>
      </c>
      <c r="O711" t="s">
        <v>70</v>
      </c>
      <c r="Q711" t="s">
        <v>401</v>
      </c>
      <c r="R711" t="s">
        <v>3764</v>
      </c>
      <c r="S711" t="s">
        <v>2850</v>
      </c>
      <c r="T711" s="6">
        <v>3400000000</v>
      </c>
      <c r="U711" s="45">
        <f>VLOOKUP(B711,realPrices!C:G,5,0)</f>
        <v>0</v>
      </c>
      <c r="W711" t="str">
        <f t="shared" si="11"/>
        <v>PARS XU7 P1401</v>
      </c>
      <c r="X711">
        <f>VLOOKUP(W711,Sheet10!D:F,2,0)*10000000</f>
        <v>4500000000</v>
      </c>
      <c r="Y711" t="s">
        <v>114</v>
      </c>
    </row>
    <row r="712" spans="1:25" x14ac:dyDescent="0.25">
      <c r="A712" t="s">
        <v>191</v>
      </c>
      <c r="B712" t="s">
        <v>3765</v>
      </c>
      <c r="C712">
        <v>285</v>
      </c>
      <c r="D712" t="s">
        <v>63</v>
      </c>
      <c r="E712" t="s">
        <v>64</v>
      </c>
      <c r="F712" t="s">
        <v>205</v>
      </c>
      <c r="G712" t="s">
        <v>206</v>
      </c>
      <c r="H712">
        <v>33851</v>
      </c>
      <c r="I712">
        <v>1400</v>
      </c>
      <c r="J712" t="s">
        <v>3766</v>
      </c>
      <c r="K712" t="s">
        <v>3767</v>
      </c>
      <c r="L712" t="s">
        <v>3768</v>
      </c>
      <c r="M712" t="s">
        <v>198</v>
      </c>
      <c r="N712">
        <v>28520</v>
      </c>
      <c r="O712" t="s">
        <v>70</v>
      </c>
      <c r="Q712" t="s">
        <v>199</v>
      </c>
      <c r="R712" t="s">
        <v>3769</v>
      </c>
      <c r="S712" t="s">
        <v>3770</v>
      </c>
      <c r="T712" s="6">
        <v>3400000000</v>
      </c>
      <c r="U712" s="45">
        <f>VLOOKUP(B712,realPrices!C:G,5,0)</f>
        <v>4184200000</v>
      </c>
      <c r="W712" t="str">
        <f t="shared" si="11"/>
        <v>PARS TU51400</v>
      </c>
      <c r="X712">
        <f>VLOOKUP(W712,Sheet10!D:F,2,0)*10000000</f>
        <v>5100000000</v>
      </c>
      <c r="Y712" t="s">
        <v>114</v>
      </c>
    </row>
    <row r="713" spans="1:25" x14ac:dyDescent="0.25">
      <c r="A713" t="s">
        <v>3771</v>
      </c>
      <c r="B713" t="s">
        <v>3772</v>
      </c>
      <c r="C713">
        <v>283</v>
      </c>
      <c r="D713" t="s">
        <v>240</v>
      </c>
      <c r="E713" t="s">
        <v>78</v>
      </c>
      <c r="F713" t="s">
        <v>362</v>
      </c>
      <c r="G713" t="s">
        <v>3773</v>
      </c>
      <c r="H713">
        <v>41</v>
      </c>
      <c r="I713">
        <v>1399</v>
      </c>
      <c r="J713" t="s">
        <v>3774</v>
      </c>
      <c r="K713" t="s">
        <v>3775</v>
      </c>
      <c r="L713" t="s">
        <v>3776</v>
      </c>
      <c r="M713" t="s">
        <v>3239</v>
      </c>
      <c r="N713">
        <v>28321</v>
      </c>
      <c r="O713" t="s">
        <v>70</v>
      </c>
      <c r="Q713" t="s">
        <v>3777</v>
      </c>
      <c r="R713" t="s">
        <v>3778</v>
      </c>
      <c r="S713" t="s">
        <v>3195</v>
      </c>
      <c r="T713" s="6">
        <v>3400000000</v>
      </c>
      <c r="U713" s="45">
        <f>VLOOKUP(B713,realPrices!C:G,5,0)</f>
        <v>4609990000</v>
      </c>
      <c r="W713" t="str">
        <f t="shared" si="11"/>
        <v>PARS XU7 CNG1399</v>
      </c>
      <c r="X713" t="e">
        <f>VLOOKUP(W713,Sheet10!D:F,2,0)*10000000</f>
        <v>#N/A</v>
      </c>
      <c r="Y713" t="s">
        <v>114</v>
      </c>
    </row>
    <row r="714" spans="1:25" x14ac:dyDescent="0.25">
      <c r="A714" t="s">
        <v>3779</v>
      </c>
      <c r="B714" t="s">
        <v>3780</v>
      </c>
      <c r="C714">
        <v>701</v>
      </c>
      <c r="D714" t="s">
        <v>63</v>
      </c>
      <c r="E714" t="s">
        <v>64</v>
      </c>
      <c r="F714" t="s">
        <v>205</v>
      </c>
      <c r="G714" t="s">
        <v>3781</v>
      </c>
      <c r="H714">
        <v>34956</v>
      </c>
      <c r="I714">
        <v>1399</v>
      </c>
      <c r="J714" t="s">
        <v>3782</v>
      </c>
      <c r="K714" t="s">
        <v>3783</v>
      </c>
      <c r="L714" t="s">
        <v>3784</v>
      </c>
      <c r="M714" t="s">
        <v>408</v>
      </c>
      <c r="N714">
        <v>70123</v>
      </c>
      <c r="O714" t="s">
        <v>70</v>
      </c>
      <c r="Q714" t="s">
        <v>3785</v>
      </c>
      <c r="R714" t="s">
        <v>3786</v>
      </c>
      <c r="S714" t="s">
        <v>2996</v>
      </c>
      <c r="T714" s="6">
        <v>3400000000</v>
      </c>
      <c r="U714" s="45">
        <f>VLOOKUP(B714,realPrices!C:G,5,0)</f>
        <v>4472099999</v>
      </c>
      <c r="W714" t="str">
        <f t="shared" si="11"/>
        <v>DENA EF71399</v>
      </c>
      <c r="X714" t="e">
        <f>VLOOKUP(W714,Sheet10!D:F,2,0)*10000000</f>
        <v>#N/A</v>
      </c>
      <c r="Y714" t="s">
        <v>114</v>
      </c>
    </row>
    <row r="715" spans="1:25" x14ac:dyDescent="0.25">
      <c r="A715" t="s">
        <v>2644</v>
      </c>
      <c r="B715" t="s">
        <v>3787</v>
      </c>
      <c r="C715">
        <v>575</v>
      </c>
      <c r="D715" t="s">
        <v>259</v>
      </c>
      <c r="E715" t="s">
        <v>64</v>
      </c>
      <c r="F715" t="s">
        <v>205</v>
      </c>
      <c r="G715" t="s">
        <v>3773</v>
      </c>
      <c r="H715">
        <v>1471</v>
      </c>
      <c r="I715">
        <v>1401</v>
      </c>
      <c r="J715" t="s">
        <v>3788</v>
      </c>
      <c r="K715" t="s">
        <v>3789</v>
      </c>
      <c r="L715" t="s">
        <v>3790</v>
      </c>
      <c r="M715" t="s">
        <v>367</v>
      </c>
      <c r="N715">
        <v>57523</v>
      </c>
      <c r="O715" t="s">
        <v>70</v>
      </c>
      <c r="Q715" t="s">
        <v>2648</v>
      </c>
      <c r="R715" t="s">
        <v>3791</v>
      </c>
      <c r="S715" t="s">
        <v>3342</v>
      </c>
      <c r="T715" s="6">
        <v>3400000000</v>
      </c>
      <c r="U715" s="45">
        <f>VLOOKUP(B715,realPrices!C:G,5,0)</f>
        <v>4125000000</v>
      </c>
      <c r="W715" t="str">
        <f t="shared" si="11"/>
        <v>SOREN EF71401</v>
      </c>
      <c r="X715">
        <f>VLOOKUP(W715,Sheet10!D:F,2,0)*10000000</f>
        <v>4650000000</v>
      </c>
      <c r="Y715" t="s">
        <v>114</v>
      </c>
    </row>
    <row r="716" spans="1:25" x14ac:dyDescent="0.25">
      <c r="A716" t="s">
        <v>3242</v>
      </c>
      <c r="B716" t="s">
        <v>3792</v>
      </c>
      <c r="C716">
        <v>600</v>
      </c>
      <c r="D716" t="s">
        <v>63</v>
      </c>
      <c r="E716" t="s">
        <v>64</v>
      </c>
      <c r="F716" t="s">
        <v>491</v>
      </c>
      <c r="H716">
        <v>25</v>
      </c>
      <c r="I716">
        <v>1401</v>
      </c>
      <c r="J716" t="s">
        <v>3793</v>
      </c>
      <c r="K716" t="s">
        <v>3794</v>
      </c>
      <c r="M716" t="s">
        <v>3246</v>
      </c>
      <c r="N716">
        <v>60010</v>
      </c>
      <c r="O716" t="s">
        <v>303</v>
      </c>
      <c r="Q716" t="s">
        <v>3247</v>
      </c>
      <c r="R716" t="s">
        <v>3795</v>
      </c>
      <c r="S716" t="s">
        <v>3796</v>
      </c>
      <c r="T716" s="6">
        <v>3400000000</v>
      </c>
      <c r="U716" s="45">
        <f>VLOOKUP(B716,realPrices!C:G,5,0)</f>
        <v>3975555559</v>
      </c>
      <c r="W716" t="str">
        <f t="shared" si="11"/>
        <v>207i-MT1401</v>
      </c>
      <c r="X716">
        <f>VLOOKUP(W716,Sheet10!D:F,2,0)*10000000</f>
        <v>5800000000</v>
      </c>
      <c r="Y716" t="s">
        <v>74</v>
      </c>
    </row>
    <row r="717" spans="1:25" x14ac:dyDescent="0.25">
      <c r="A717" t="s">
        <v>3797</v>
      </c>
      <c r="B717" t="s">
        <v>3798</v>
      </c>
      <c r="C717">
        <v>703</v>
      </c>
      <c r="D717" t="s">
        <v>240</v>
      </c>
      <c r="E717" t="s">
        <v>64</v>
      </c>
      <c r="F717" t="s">
        <v>491</v>
      </c>
      <c r="H717">
        <v>23</v>
      </c>
      <c r="I717">
        <v>1401</v>
      </c>
      <c r="J717" t="s">
        <v>3799</v>
      </c>
      <c r="K717" t="s">
        <v>3800</v>
      </c>
      <c r="M717" t="s">
        <v>2946</v>
      </c>
      <c r="N717">
        <v>70317</v>
      </c>
      <c r="O717" t="s">
        <v>70</v>
      </c>
      <c r="Q717" t="s">
        <v>3681</v>
      </c>
      <c r="R717" t="s">
        <v>3801</v>
      </c>
      <c r="S717" t="s">
        <v>3802</v>
      </c>
      <c r="T717" s="6">
        <v>3400000000</v>
      </c>
      <c r="U717" s="45">
        <f>VLOOKUP(B717,realPrices!C:G,5,0)</f>
        <v>3959999990</v>
      </c>
      <c r="W717" t="str">
        <f t="shared" si="11"/>
        <v>DENA+EF7-MT1401</v>
      </c>
      <c r="X717" t="e">
        <f>VLOOKUP(W717,Sheet10!D:F,2,0)*10000000</f>
        <v>#N/A</v>
      </c>
      <c r="Y717" t="s">
        <v>74</v>
      </c>
    </row>
    <row r="718" spans="1:25" x14ac:dyDescent="0.25">
      <c r="A718" t="s">
        <v>87</v>
      </c>
      <c r="B718" t="s">
        <v>3803</v>
      </c>
      <c r="C718">
        <v>322</v>
      </c>
      <c r="D718" t="s">
        <v>63</v>
      </c>
      <c r="E718" t="s">
        <v>64</v>
      </c>
      <c r="F718" t="s">
        <v>491</v>
      </c>
      <c r="H718">
        <v>24</v>
      </c>
      <c r="I718">
        <v>1401</v>
      </c>
      <c r="J718" t="s">
        <v>3804</v>
      </c>
      <c r="K718" t="s">
        <v>3805</v>
      </c>
      <c r="M718" t="s">
        <v>92</v>
      </c>
      <c r="N718">
        <v>32201</v>
      </c>
      <c r="O718" t="s">
        <v>70</v>
      </c>
      <c r="Q718" t="s">
        <v>93</v>
      </c>
      <c r="R718" t="s">
        <v>3806</v>
      </c>
      <c r="S718" t="s">
        <v>3807</v>
      </c>
      <c r="T718" s="6">
        <v>3400000000</v>
      </c>
      <c r="U718" s="45">
        <f>VLOOKUP(B718,realPrices!C:G,5,0)</f>
        <v>3711111111</v>
      </c>
      <c r="W718" t="str">
        <f t="shared" si="11"/>
        <v>TARA TU5P1401</v>
      </c>
      <c r="X718" t="e">
        <f>VLOOKUP(W718,Sheet10!D:F,2,0)*10000000</f>
        <v>#N/A</v>
      </c>
      <c r="Y718" t="s">
        <v>74</v>
      </c>
    </row>
    <row r="719" spans="1:25" x14ac:dyDescent="0.25">
      <c r="A719" t="s">
        <v>3431</v>
      </c>
      <c r="B719" t="s">
        <v>3808</v>
      </c>
      <c r="C719">
        <v>285</v>
      </c>
      <c r="D719" t="s">
        <v>63</v>
      </c>
      <c r="E719" t="s">
        <v>64</v>
      </c>
      <c r="F719" t="s">
        <v>420</v>
      </c>
      <c r="H719">
        <v>30</v>
      </c>
      <c r="I719">
        <v>1401</v>
      </c>
      <c r="J719" t="s">
        <v>3809</v>
      </c>
      <c r="K719" t="s">
        <v>3810</v>
      </c>
      <c r="M719" t="s">
        <v>198</v>
      </c>
      <c r="N719">
        <v>28527</v>
      </c>
      <c r="O719" t="s">
        <v>70</v>
      </c>
      <c r="Q719" t="s">
        <v>3214</v>
      </c>
      <c r="R719" t="s">
        <v>3811</v>
      </c>
      <c r="S719" t="s">
        <v>3812</v>
      </c>
      <c r="T719" s="6">
        <v>3400000000</v>
      </c>
      <c r="U719" s="45">
        <f>VLOOKUP(B719,realPrices!C:G,5,0)</f>
        <v>4060000000</v>
      </c>
      <c r="W719" t="str">
        <f t="shared" si="11"/>
        <v>PARS TU51401</v>
      </c>
      <c r="X719">
        <f>VLOOKUP(W719,Sheet10!D:F,2,0)*10000000</f>
        <v>5250000000</v>
      </c>
      <c r="Y719" t="s">
        <v>74</v>
      </c>
    </row>
    <row r="720" spans="1:25" x14ac:dyDescent="0.25">
      <c r="A720" t="s">
        <v>3497</v>
      </c>
      <c r="B720" t="s">
        <v>3813</v>
      </c>
      <c r="C720">
        <v>600</v>
      </c>
      <c r="D720" t="s">
        <v>77</v>
      </c>
      <c r="E720" t="s">
        <v>64</v>
      </c>
      <c r="F720" t="s">
        <v>420</v>
      </c>
      <c r="H720">
        <v>50</v>
      </c>
      <c r="I720">
        <v>1401</v>
      </c>
      <c r="J720" t="s">
        <v>3814</v>
      </c>
      <c r="K720" t="s">
        <v>3815</v>
      </c>
      <c r="M720" t="s">
        <v>3246</v>
      </c>
      <c r="N720">
        <v>60010</v>
      </c>
      <c r="O720" t="s">
        <v>303</v>
      </c>
      <c r="Q720" t="s">
        <v>3247</v>
      </c>
      <c r="R720" t="s">
        <v>3816</v>
      </c>
      <c r="S720" t="s">
        <v>3817</v>
      </c>
      <c r="T720" s="6">
        <v>3400000000</v>
      </c>
      <c r="U720" s="45">
        <f>VLOOKUP(B720,realPrices!C:G,5,0)</f>
        <v>3913000000</v>
      </c>
      <c r="W720" t="str">
        <f t="shared" si="11"/>
        <v>207i-MT1401</v>
      </c>
      <c r="X720">
        <f>VLOOKUP(W720,Sheet10!D:F,2,0)*10000000</f>
        <v>5800000000</v>
      </c>
      <c r="Y720" t="s">
        <v>74</v>
      </c>
    </row>
    <row r="721" spans="1:25" x14ac:dyDescent="0.25">
      <c r="A721" t="s">
        <v>3242</v>
      </c>
      <c r="B721" t="s">
        <v>3818</v>
      </c>
      <c r="C721">
        <v>600</v>
      </c>
      <c r="D721" t="s">
        <v>63</v>
      </c>
      <c r="E721" t="s">
        <v>64</v>
      </c>
      <c r="F721" t="s">
        <v>420</v>
      </c>
      <c r="H721">
        <v>50</v>
      </c>
      <c r="I721">
        <v>1401</v>
      </c>
      <c r="J721" t="s">
        <v>3819</v>
      </c>
      <c r="K721" t="s">
        <v>3820</v>
      </c>
      <c r="M721" t="s">
        <v>3246</v>
      </c>
      <c r="N721">
        <v>60010</v>
      </c>
      <c r="O721" t="s">
        <v>303</v>
      </c>
      <c r="Q721" t="s">
        <v>3247</v>
      </c>
      <c r="R721" t="s">
        <v>3821</v>
      </c>
      <c r="S721" t="s">
        <v>3822</v>
      </c>
      <c r="T721" s="6">
        <v>3400000000</v>
      </c>
      <c r="U721" s="45">
        <f>VLOOKUP(B721,realPrices!C:G,5,0)</f>
        <v>4141414141</v>
      </c>
      <c r="W721" t="str">
        <f t="shared" si="11"/>
        <v>207i-MT1401</v>
      </c>
      <c r="X721">
        <f>VLOOKUP(W721,Sheet10!D:F,2,0)*10000000</f>
        <v>5800000000</v>
      </c>
      <c r="Y721" t="s">
        <v>74</v>
      </c>
    </row>
    <row r="722" spans="1:25" x14ac:dyDescent="0.25">
      <c r="A722" t="s">
        <v>3497</v>
      </c>
      <c r="B722" t="s">
        <v>3823</v>
      </c>
      <c r="C722">
        <v>600</v>
      </c>
      <c r="D722" t="s">
        <v>77</v>
      </c>
      <c r="E722" t="s">
        <v>64</v>
      </c>
      <c r="F722" t="s">
        <v>2696</v>
      </c>
      <c r="H722">
        <v>100</v>
      </c>
      <c r="I722">
        <v>1401</v>
      </c>
      <c r="J722" t="s">
        <v>3824</v>
      </c>
      <c r="K722" t="s">
        <v>3825</v>
      </c>
      <c r="M722" t="s">
        <v>3246</v>
      </c>
      <c r="N722">
        <v>60010</v>
      </c>
      <c r="O722" t="s">
        <v>303</v>
      </c>
      <c r="Q722" t="s">
        <v>3247</v>
      </c>
      <c r="R722" t="s">
        <v>3826</v>
      </c>
      <c r="S722" t="s">
        <v>3827</v>
      </c>
      <c r="T722" s="6">
        <v>3400000000</v>
      </c>
      <c r="U722" s="45">
        <f>VLOOKUP(B722,realPrices!C:G,5,0)</f>
        <v>3922000000</v>
      </c>
      <c r="W722" t="str">
        <f t="shared" si="11"/>
        <v>207i-MT1401</v>
      </c>
      <c r="X722">
        <f>VLOOKUP(W722,Sheet10!D:F,2,0)*10000000</f>
        <v>5800000000</v>
      </c>
      <c r="Y722" t="s">
        <v>74</v>
      </c>
    </row>
    <row r="723" spans="1:25" x14ac:dyDescent="0.25">
      <c r="A723" t="s">
        <v>3497</v>
      </c>
      <c r="B723" t="s">
        <v>3828</v>
      </c>
      <c r="C723">
        <v>600</v>
      </c>
      <c r="D723" t="s">
        <v>77</v>
      </c>
      <c r="E723" t="s">
        <v>64</v>
      </c>
      <c r="F723" t="s">
        <v>420</v>
      </c>
      <c r="H723">
        <v>56</v>
      </c>
      <c r="I723">
        <v>1401</v>
      </c>
      <c r="J723" t="s">
        <v>3829</v>
      </c>
      <c r="K723" t="s">
        <v>3830</v>
      </c>
      <c r="M723" t="s">
        <v>3246</v>
      </c>
      <c r="N723">
        <v>60010</v>
      </c>
      <c r="O723" t="s">
        <v>303</v>
      </c>
      <c r="Q723" t="s">
        <v>3247</v>
      </c>
      <c r="R723" t="s">
        <v>3831</v>
      </c>
      <c r="S723" t="s">
        <v>3832</v>
      </c>
      <c r="T723" s="6">
        <v>3400000000</v>
      </c>
      <c r="U723" s="45">
        <f>VLOOKUP(B723,realPrices!C:G,5,0)</f>
        <v>4800000999</v>
      </c>
      <c r="W723" t="str">
        <f t="shared" si="11"/>
        <v>207i-MT1401</v>
      </c>
      <c r="X723">
        <f>VLOOKUP(W723,Sheet10!D:F,2,0)*10000000</f>
        <v>5800000000</v>
      </c>
      <c r="Y723" t="s">
        <v>74</v>
      </c>
    </row>
    <row r="724" spans="1:25" x14ac:dyDescent="0.25">
      <c r="A724" t="s">
        <v>3210</v>
      </c>
      <c r="B724" t="s">
        <v>3833</v>
      </c>
      <c r="C724">
        <v>285</v>
      </c>
      <c r="D724" t="s">
        <v>77</v>
      </c>
      <c r="E724" t="s">
        <v>64</v>
      </c>
      <c r="F724" t="s">
        <v>420</v>
      </c>
      <c r="H724">
        <v>55</v>
      </c>
      <c r="I724">
        <v>1401</v>
      </c>
      <c r="J724" t="s">
        <v>3834</v>
      </c>
      <c r="K724" t="s">
        <v>3835</v>
      </c>
      <c r="M724" t="s">
        <v>198</v>
      </c>
      <c r="N724">
        <v>28527</v>
      </c>
      <c r="O724" t="s">
        <v>70</v>
      </c>
      <c r="Q724" t="s">
        <v>3214</v>
      </c>
      <c r="R724" t="s">
        <v>3836</v>
      </c>
      <c r="S724" t="s">
        <v>3837</v>
      </c>
      <c r="T724" s="6">
        <v>3400000000</v>
      </c>
      <c r="U724" s="45">
        <f>VLOOKUP(B724,realPrices!C:G,5,0)</f>
        <v>4159999999</v>
      </c>
      <c r="W724" t="str">
        <f t="shared" si="11"/>
        <v>PARS TU51401</v>
      </c>
      <c r="X724">
        <f>VLOOKUP(W724,Sheet10!D:F,2,0)*10000000</f>
        <v>5250000000</v>
      </c>
      <c r="Y724" t="s">
        <v>74</v>
      </c>
    </row>
    <row r="725" spans="1:25" x14ac:dyDescent="0.25">
      <c r="A725" t="s">
        <v>325</v>
      </c>
      <c r="B725" t="s">
        <v>3838</v>
      </c>
      <c r="C725">
        <v>260</v>
      </c>
      <c r="D725" t="s">
        <v>63</v>
      </c>
      <c r="E725" t="s">
        <v>64</v>
      </c>
      <c r="F725" t="s">
        <v>318</v>
      </c>
      <c r="H725">
        <v>26</v>
      </c>
      <c r="I725">
        <v>1401</v>
      </c>
      <c r="J725" t="s">
        <v>3839</v>
      </c>
      <c r="K725" t="s">
        <v>3840</v>
      </c>
      <c r="M725" t="s">
        <v>329</v>
      </c>
      <c r="N725">
        <v>26031</v>
      </c>
      <c r="O725" t="s">
        <v>303</v>
      </c>
      <c r="Q725" t="s">
        <v>330</v>
      </c>
      <c r="R725" t="s">
        <v>3841</v>
      </c>
      <c r="S725" t="s">
        <v>3842</v>
      </c>
      <c r="T725" s="6">
        <v>3420000000</v>
      </c>
      <c r="U725" s="45">
        <f>VLOOKUP(B725,realPrices!C:G,5,0)</f>
        <v>4280000000</v>
      </c>
      <c r="W725" t="str">
        <f t="shared" si="11"/>
        <v>206TU31401</v>
      </c>
      <c r="X725" t="e">
        <f>VLOOKUP(W725,Sheet10!D:F,2,0)*10000000</f>
        <v>#N/A</v>
      </c>
      <c r="Y725" t="s">
        <v>114</v>
      </c>
    </row>
    <row r="726" spans="1:25" x14ac:dyDescent="0.25">
      <c r="A726" t="s">
        <v>2416</v>
      </c>
      <c r="B726" t="s">
        <v>3843</v>
      </c>
      <c r="C726">
        <v>575</v>
      </c>
      <c r="D726" t="s">
        <v>259</v>
      </c>
      <c r="E726" t="s">
        <v>64</v>
      </c>
      <c r="F726" t="s">
        <v>318</v>
      </c>
      <c r="H726">
        <v>17</v>
      </c>
      <c r="I726">
        <v>1401</v>
      </c>
      <c r="J726" t="s">
        <v>3844</v>
      </c>
      <c r="K726" t="s">
        <v>3845</v>
      </c>
      <c r="M726" t="s">
        <v>367</v>
      </c>
      <c r="N726">
        <v>57519</v>
      </c>
      <c r="O726" t="s">
        <v>70</v>
      </c>
      <c r="Q726" t="s">
        <v>2420</v>
      </c>
      <c r="R726" t="s">
        <v>3846</v>
      </c>
      <c r="S726" t="s">
        <v>3847</v>
      </c>
      <c r="T726" s="6">
        <v>3420000000</v>
      </c>
      <c r="U726" s="45">
        <f>VLOOKUP(B726,realPrices!C:G,5,0)</f>
        <v>4144444444</v>
      </c>
      <c r="W726" t="str">
        <f t="shared" si="11"/>
        <v>SOREN EF71401</v>
      </c>
      <c r="X726">
        <f>VLOOKUP(W726,Sheet10!D:F,2,0)*10000000</f>
        <v>4650000000</v>
      </c>
      <c r="Y726" t="s">
        <v>114</v>
      </c>
    </row>
    <row r="727" spans="1:25" x14ac:dyDescent="0.25">
      <c r="A727" t="s">
        <v>3497</v>
      </c>
      <c r="B727" t="s">
        <v>3848</v>
      </c>
      <c r="C727">
        <v>600</v>
      </c>
      <c r="D727" t="s">
        <v>77</v>
      </c>
      <c r="E727" t="s">
        <v>64</v>
      </c>
      <c r="F727" t="s">
        <v>2696</v>
      </c>
      <c r="H727">
        <v>40</v>
      </c>
      <c r="I727">
        <v>1401</v>
      </c>
      <c r="J727" t="s">
        <v>3849</v>
      </c>
      <c r="K727" t="s">
        <v>3850</v>
      </c>
      <c r="M727" t="s">
        <v>3246</v>
      </c>
      <c r="N727">
        <v>60010</v>
      </c>
      <c r="O727" t="s">
        <v>303</v>
      </c>
      <c r="Q727" t="s">
        <v>3247</v>
      </c>
      <c r="R727" t="s">
        <v>3851</v>
      </c>
      <c r="S727" t="s">
        <v>3852</v>
      </c>
      <c r="T727" s="6">
        <v>3420000000</v>
      </c>
      <c r="U727" s="45">
        <f>VLOOKUP(B727,realPrices!C:G,5,0)</f>
        <v>4207777777</v>
      </c>
      <c r="W727" t="str">
        <f t="shared" si="11"/>
        <v>207i-MT1401</v>
      </c>
      <c r="X727">
        <f>VLOOKUP(W727,Sheet10!D:F,2,0)*10000000</f>
        <v>5800000000</v>
      </c>
      <c r="Y727" t="s">
        <v>74</v>
      </c>
    </row>
    <row r="728" spans="1:25" x14ac:dyDescent="0.25">
      <c r="A728" t="s">
        <v>316</v>
      </c>
      <c r="B728" t="s">
        <v>3853</v>
      </c>
      <c r="C728">
        <v>610</v>
      </c>
      <c r="D728" t="s">
        <v>63</v>
      </c>
      <c r="E728" t="s">
        <v>64</v>
      </c>
      <c r="F728" t="s">
        <v>491</v>
      </c>
      <c r="H728">
        <v>39</v>
      </c>
      <c r="I728">
        <v>1401</v>
      </c>
      <c r="J728" t="s">
        <v>3854</v>
      </c>
      <c r="K728" t="s">
        <v>3855</v>
      </c>
      <c r="M728" t="s">
        <v>321</v>
      </c>
      <c r="N728">
        <v>61015</v>
      </c>
      <c r="O728" t="s">
        <v>70</v>
      </c>
      <c r="Q728" t="s">
        <v>322</v>
      </c>
      <c r="R728" t="s">
        <v>3856</v>
      </c>
      <c r="S728" t="s">
        <v>3857</v>
      </c>
      <c r="T728" s="6">
        <v>3450000000</v>
      </c>
      <c r="U728" s="45">
        <f>VLOOKUP(B728,realPrices!C:G,5,0)</f>
        <v>3612345678</v>
      </c>
      <c r="W728" t="str">
        <f t="shared" si="11"/>
        <v>TU51401</v>
      </c>
      <c r="X728">
        <f>VLOOKUP(W728,Sheet10!D:F,2,0)*10000000</f>
        <v>4450000000</v>
      </c>
      <c r="Y728" t="s">
        <v>114</v>
      </c>
    </row>
    <row r="729" spans="1:25" x14ac:dyDescent="0.25">
      <c r="A729" t="s">
        <v>3011</v>
      </c>
      <c r="B729" t="s">
        <v>3858</v>
      </c>
      <c r="C729">
        <v>610</v>
      </c>
      <c r="D729" t="s">
        <v>77</v>
      </c>
      <c r="E729" t="s">
        <v>64</v>
      </c>
      <c r="F729" t="s">
        <v>420</v>
      </c>
      <c r="H729">
        <v>46</v>
      </c>
      <c r="I729">
        <v>1401</v>
      </c>
      <c r="J729" t="s">
        <v>3859</v>
      </c>
      <c r="K729" t="s">
        <v>3860</v>
      </c>
      <c r="M729" t="s">
        <v>321</v>
      </c>
      <c r="N729">
        <v>61015</v>
      </c>
      <c r="O729" t="s">
        <v>70</v>
      </c>
      <c r="Q729" t="s">
        <v>322</v>
      </c>
      <c r="R729" t="s">
        <v>3861</v>
      </c>
      <c r="S729" t="s">
        <v>3862</v>
      </c>
      <c r="T729" s="6">
        <v>3450000000</v>
      </c>
      <c r="U729" s="45">
        <f>VLOOKUP(B729,realPrices!C:G,5,0)</f>
        <v>4323333333</v>
      </c>
      <c r="W729" t="str">
        <f t="shared" si="11"/>
        <v>TU51401</v>
      </c>
      <c r="X729">
        <f>VLOOKUP(W729,Sheet10!D:F,2,0)*10000000</f>
        <v>4450000000</v>
      </c>
      <c r="Y729" t="s">
        <v>114</v>
      </c>
    </row>
    <row r="730" spans="1:25" x14ac:dyDescent="0.25">
      <c r="A730" t="s">
        <v>2568</v>
      </c>
      <c r="B730" t="s">
        <v>3863</v>
      </c>
      <c r="C730">
        <v>351</v>
      </c>
      <c r="D730" t="s">
        <v>63</v>
      </c>
      <c r="E730" t="s">
        <v>64</v>
      </c>
      <c r="F730" t="s">
        <v>205</v>
      </c>
      <c r="G730" t="s">
        <v>3864</v>
      </c>
      <c r="H730">
        <v>308</v>
      </c>
      <c r="I730">
        <v>1401</v>
      </c>
      <c r="J730" t="s">
        <v>3865</v>
      </c>
      <c r="K730" t="s">
        <v>3866</v>
      </c>
      <c r="L730" t="s">
        <v>3867</v>
      </c>
      <c r="M730" t="s">
        <v>400</v>
      </c>
      <c r="N730">
        <v>35103</v>
      </c>
      <c r="O730" t="s">
        <v>70</v>
      </c>
      <c r="Q730" t="s">
        <v>2572</v>
      </c>
      <c r="R730" t="s">
        <v>3868</v>
      </c>
      <c r="S730" t="s">
        <v>3869</v>
      </c>
      <c r="T730" s="6">
        <v>3450000000</v>
      </c>
      <c r="U730" s="45">
        <f>VLOOKUP(B730,realPrices!C:G,5,0)</f>
        <v>4115000009</v>
      </c>
      <c r="W730" t="str">
        <f t="shared" si="11"/>
        <v>PARS XU7 P1401</v>
      </c>
      <c r="X730">
        <f>VLOOKUP(W730,Sheet10!D:F,2,0)*10000000</f>
        <v>4500000000</v>
      </c>
      <c r="Y730" t="s">
        <v>114</v>
      </c>
    </row>
    <row r="731" spans="1:25" x14ac:dyDescent="0.25">
      <c r="A731" t="s">
        <v>3870</v>
      </c>
      <c r="B731" t="s">
        <v>3871</v>
      </c>
      <c r="C731">
        <v>283</v>
      </c>
      <c r="D731" t="s">
        <v>63</v>
      </c>
      <c r="E731" t="s">
        <v>78</v>
      </c>
      <c r="F731" t="s">
        <v>362</v>
      </c>
      <c r="G731" t="s">
        <v>3872</v>
      </c>
      <c r="H731">
        <v>6343</v>
      </c>
      <c r="I731">
        <v>1400</v>
      </c>
      <c r="J731" t="s">
        <v>3873</v>
      </c>
      <c r="K731" t="s">
        <v>3874</v>
      </c>
      <c r="L731" t="s">
        <v>3875</v>
      </c>
      <c r="M731" t="s">
        <v>3239</v>
      </c>
      <c r="N731">
        <v>28321</v>
      </c>
      <c r="O731" t="s">
        <v>70</v>
      </c>
      <c r="Q731" t="s">
        <v>3777</v>
      </c>
      <c r="R731" t="s">
        <v>3876</v>
      </c>
      <c r="S731" t="s">
        <v>3190</v>
      </c>
      <c r="T731" s="6">
        <v>3450000000</v>
      </c>
      <c r="U731" s="45">
        <f>VLOOKUP(B731,realPrices!C:G,5,0)</f>
        <v>4378000000</v>
      </c>
      <c r="W731" t="str">
        <f t="shared" si="11"/>
        <v>PARS XU7 CNG1400</v>
      </c>
      <c r="X731">
        <f>VLOOKUP(W731,Sheet10!D:F,2,0)*10000000</f>
        <v>5100000000</v>
      </c>
      <c r="Y731" t="s">
        <v>114</v>
      </c>
    </row>
    <row r="732" spans="1:25" x14ac:dyDescent="0.25">
      <c r="A732" t="s">
        <v>3139</v>
      </c>
      <c r="B732" t="s">
        <v>3877</v>
      </c>
      <c r="C732">
        <v>575</v>
      </c>
      <c r="D732" t="s">
        <v>77</v>
      </c>
      <c r="E732" t="s">
        <v>64</v>
      </c>
      <c r="F732" t="s">
        <v>420</v>
      </c>
      <c r="G732" t="s">
        <v>3878</v>
      </c>
      <c r="H732">
        <v>1308</v>
      </c>
      <c r="I732">
        <v>1401</v>
      </c>
      <c r="J732" t="s">
        <v>3879</v>
      </c>
      <c r="K732" t="s">
        <v>3880</v>
      </c>
      <c r="L732" t="s">
        <v>3881</v>
      </c>
      <c r="M732" t="s">
        <v>367</v>
      </c>
      <c r="N732">
        <v>57523</v>
      </c>
      <c r="O732" t="s">
        <v>70</v>
      </c>
      <c r="Q732" t="s">
        <v>2648</v>
      </c>
      <c r="R732" t="s">
        <v>3882</v>
      </c>
      <c r="S732" t="s">
        <v>3355</v>
      </c>
      <c r="T732" s="6">
        <v>3450000000</v>
      </c>
      <c r="U732" s="45">
        <f>VLOOKUP(B732,realPrices!C:G,5,0)</f>
        <v>4446777000</v>
      </c>
      <c r="W732" t="str">
        <f t="shared" si="11"/>
        <v>SOREN EF71401</v>
      </c>
      <c r="X732">
        <f>VLOOKUP(W732,Sheet10!D:F,2,0)*10000000</f>
        <v>4650000000</v>
      </c>
      <c r="Y732" t="s">
        <v>114</v>
      </c>
    </row>
    <row r="733" spans="1:25" x14ac:dyDescent="0.25">
      <c r="A733" t="s">
        <v>3210</v>
      </c>
      <c r="B733" t="s">
        <v>3883</v>
      </c>
      <c r="C733">
        <v>285</v>
      </c>
      <c r="D733" t="s">
        <v>77</v>
      </c>
      <c r="E733" t="s">
        <v>64</v>
      </c>
      <c r="F733" t="s">
        <v>420</v>
      </c>
      <c r="H733">
        <v>25</v>
      </c>
      <c r="I733">
        <v>1401</v>
      </c>
      <c r="J733" t="s">
        <v>3884</v>
      </c>
      <c r="K733" t="s">
        <v>3885</v>
      </c>
      <c r="M733" t="s">
        <v>198</v>
      </c>
      <c r="N733">
        <v>28527</v>
      </c>
      <c r="O733" t="s">
        <v>70</v>
      </c>
      <c r="Q733" t="s">
        <v>3214</v>
      </c>
      <c r="R733" t="s">
        <v>3886</v>
      </c>
      <c r="S733" t="s">
        <v>3887</v>
      </c>
      <c r="T733" s="6">
        <v>3450000000</v>
      </c>
      <c r="U733" s="45">
        <f>VLOOKUP(B733,realPrices!C:G,5,0)</f>
        <v>4380000000</v>
      </c>
      <c r="W733" t="str">
        <f t="shared" si="11"/>
        <v>PARS TU51401</v>
      </c>
      <c r="X733">
        <f>VLOOKUP(W733,Sheet10!D:F,2,0)*10000000</f>
        <v>5250000000</v>
      </c>
      <c r="Y733" t="s">
        <v>74</v>
      </c>
    </row>
    <row r="734" spans="1:25" x14ac:dyDescent="0.25">
      <c r="A734" t="s">
        <v>3210</v>
      </c>
      <c r="B734" t="s">
        <v>3888</v>
      </c>
      <c r="C734">
        <v>285</v>
      </c>
      <c r="D734" t="s">
        <v>77</v>
      </c>
      <c r="E734" t="s">
        <v>64</v>
      </c>
      <c r="F734" t="s">
        <v>420</v>
      </c>
      <c r="H734">
        <v>20</v>
      </c>
      <c r="I734">
        <v>1401</v>
      </c>
      <c r="J734" t="s">
        <v>3889</v>
      </c>
      <c r="K734" t="s">
        <v>3890</v>
      </c>
      <c r="M734" t="s">
        <v>198</v>
      </c>
      <c r="N734">
        <v>28527</v>
      </c>
      <c r="O734" t="s">
        <v>70</v>
      </c>
      <c r="Q734" t="s">
        <v>3214</v>
      </c>
      <c r="R734" t="s">
        <v>3891</v>
      </c>
      <c r="S734" t="s">
        <v>3892</v>
      </c>
      <c r="T734" s="6">
        <v>3450000000</v>
      </c>
      <c r="U734" s="45">
        <f>VLOOKUP(B734,realPrices!C:G,5,0)</f>
        <v>4353530000</v>
      </c>
      <c r="W734" t="str">
        <f t="shared" si="11"/>
        <v>PARS TU51401</v>
      </c>
      <c r="X734">
        <f>VLOOKUP(W734,Sheet10!D:F,2,0)*10000000</f>
        <v>5250000000</v>
      </c>
      <c r="Y734" t="s">
        <v>74</v>
      </c>
    </row>
    <row r="735" spans="1:25" x14ac:dyDescent="0.25">
      <c r="A735" t="s">
        <v>3712</v>
      </c>
      <c r="B735" t="s">
        <v>3893</v>
      </c>
      <c r="C735">
        <v>703</v>
      </c>
      <c r="D735" t="s">
        <v>259</v>
      </c>
      <c r="E735" t="s">
        <v>64</v>
      </c>
      <c r="F735" t="s">
        <v>491</v>
      </c>
      <c r="H735">
        <v>22</v>
      </c>
      <c r="I735">
        <v>1401</v>
      </c>
      <c r="J735" t="s">
        <v>3894</v>
      </c>
      <c r="K735" t="s">
        <v>3895</v>
      </c>
      <c r="M735" t="s">
        <v>2946</v>
      </c>
      <c r="N735">
        <v>70317</v>
      </c>
      <c r="O735" t="s">
        <v>70</v>
      </c>
      <c r="Q735" t="s">
        <v>3681</v>
      </c>
      <c r="R735" t="s">
        <v>3896</v>
      </c>
      <c r="S735" t="s">
        <v>3897</v>
      </c>
      <c r="T735" s="6">
        <v>3450000000</v>
      </c>
      <c r="U735" s="45">
        <f>VLOOKUP(B735,realPrices!C:G,5,0)</f>
        <v>4201000000</v>
      </c>
      <c r="W735" t="str">
        <f t="shared" si="11"/>
        <v>DENA+EF7-MT1401</v>
      </c>
      <c r="X735" t="e">
        <f>VLOOKUP(W735,Sheet10!D:F,2,0)*10000000</f>
        <v>#N/A</v>
      </c>
      <c r="Y735" t="s">
        <v>74</v>
      </c>
    </row>
    <row r="736" spans="1:25" x14ac:dyDescent="0.25">
      <c r="A736" t="s">
        <v>3210</v>
      </c>
      <c r="B736" t="s">
        <v>3898</v>
      </c>
      <c r="C736">
        <v>285</v>
      </c>
      <c r="D736" t="s">
        <v>77</v>
      </c>
      <c r="E736" t="s">
        <v>64</v>
      </c>
      <c r="F736" t="s">
        <v>420</v>
      </c>
      <c r="H736">
        <v>32</v>
      </c>
      <c r="I736">
        <v>1401</v>
      </c>
      <c r="J736" t="s">
        <v>3899</v>
      </c>
      <c r="K736" t="s">
        <v>3900</v>
      </c>
      <c r="M736" t="s">
        <v>198</v>
      </c>
      <c r="N736">
        <v>28527</v>
      </c>
      <c r="O736" t="s">
        <v>70</v>
      </c>
      <c r="Q736" t="s">
        <v>3214</v>
      </c>
      <c r="R736" t="s">
        <v>3901</v>
      </c>
      <c r="S736" t="s">
        <v>3902</v>
      </c>
      <c r="T736" s="6">
        <v>3450000000</v>
      </c>
      <c r="U736" s="45">
        <f>VLOOKUP(B736,realPrices!C:G,5,0)</f>
        <v>4208510000</v>
      </c>
      <c r="W736" t="str">
        <f t="shared" si="11"/>
        <v>PARS TU51401</v>
      </c>
      <c r="X736">
        <f>VLOOKUP(W736,Sheet10!D:F,2,0)*10000000</f>
        <v>5250000000</v>
      </c>
      <c r="Y736" t="s">
        <v>74</v>
      </c>
    </row>
    <row r="737" spans="1:25" x14ac:dyDescent="0.25">
      <c r="A737" t="s">
        <v>3210</v>
      </c>
      <c r="B737" t="s">
        <v>3903</v>
      </c>
      <c r="C737">
        <v>285</v>
      </c>
      <c r="D737" t="s">
        <v>77</v>
      </c>
      <c r="E737" t="s">
        <v>64</v>
      </c>
      <c r="F737" t="s">
        <v>420</v>
      </c>
      <c r="H737">
        <v>29</v>
      </c>
      <c r="I737">
        <v>1401</v>
      </c>
      <c r="J737" t="s">
        <v>3904</v>
      </c>
      <c r="K737" t="s">
        <v>3905</v>
      </c>
      <c r="M737" t="s">
        <v>198</v>
      </c>
      <c r="N737">
        <v>28527</v>
      </c>
      <c r="O737" t="s">
        <v>70</v>
      </c>
      <c r="Q737" t="s">
        <v>3214</v>
      </c>
      <c r="R737" t="s">
        <v>3906</v>
      </c>
      <c r="S737" t="s">
        <v>3907</v>
      </c>
      <c r="T737" s="6">
        <v>3450000000</v>
      </c>
      <c r="U737" s="45">
        <f>VLOOKUP(B737,realPrices!C:G,5,0)</f>
        <v>4300000000</v>
      </c>
      <c r="W737" t="str">
        <f t="shared" si="11"/>
        <v>PARS TU51401</v>
      </c>
      <c r="X737">
        <f>VLOOKUP(W737,Sheet10!D:F,2,0)*10000000</f>
        <v>5250000000</v>
      </c>
      <c r="Y737" t="s">
        <v>74</v>
      </c>
    </row>
    <row r="738" spans="1:25" x14ac:dyDescent="0.25">
      <c r="A738" t="s">
        <v>3497</v>
      </c>
      <c r="B738" t="s">
        <v>3908</v>
      </c>
      <c r="C738">
        <v>600</v>
      </c>
      <c r="D738" t="s">
        <v>77</v>
      </c>
      <c r="E738" t="s">
        <v>64</v>
      </c>
      <c r="F738" t="s">
        <v>420</v>
      </c>
      <c r="H738">
        <v>37</v>
      </c>
      <c r="I738">
        <v>1401</v>
      </c>
      <c r="J738" t="s">
        <v>3909</v>
      </c>
      <c r="K738" t="s">
        <v>3910</v>
      </c>
      <c r="M738" t="s">
        <v>3246</v>
      </c>
      <c r="N738">
        <v>60010</v>
      </c>
      <c r="O738" t="s">
        <v>303</v>
      </c>
      <c r="Q738" t="s">
        <v>3247</v>
      </c>
      <c r="R738" t="s">
        <v>3911</v>
      </c>
      <c r="S738" t="s">
        <v>3912</v>
      </c>
      <c r="T738" s="6">
        <v>3450000000</v>
      </c>
      <c r="U738" s="45">
        <f>VLOOKUP(B738,realPrices!C:G,5,0)</f>
        <v>4215900000</v>
      </c>
      <c r="W738" t="str">
        <f t="shared" si="11"/>
        <v>207i-MT1401</v>
      </c>
      <c r="X738">
        <f>VLOOKUP(W738,Sheet10!D:F,2,0)*10000000</f>
        <v>5800000000</v>
      </c>
      <c r="Y738" t="s">
        <v>74</v>
      </c>
    </row>
    <row r="739" spans="1:25" x14ac:dyDescent="0.25">
      <c r="A739" t="s">
        <v>3242</v>
      </c>
      <c r="B739" t="s">
        <v>3913</v>
      </c>
      <c r="C739">
        <v>600</v>
      </c>
      <c r="D739" t="s">
        <v>63</v>
      </c>
      <c r="E739" t="s">
        <v>64</v>
      </c>
      <c r="F739" t="s">
        <v>420</v>
      </c>
      <c r="H739">
        <v>48</v>
      </c>
      <c r="I739">
        <v>1401</v>
      </c>
      <c r="J739" t="s">
        <v>3914</v>
      </c>
      <c r="K739" t="s">
        <v>3915</v>
      </c>
      <c r="M739" t="s">
        <v>3246</v>
      </c>
      <c r="N739">
        <v>60010</v>
      </c>
      <c r="O739" t="s">
        <v>303</v>
      </c>
      <c r="Q739" t="s">
        <v>3247</v>
      </c>
      <c r="R739" t="s">
        <v>3916</v>
      </c>
      <c r="S739" t="s">
        <v>3917</v>
      </c>
      <c r="T739" s="6">
        <v>3450000000</v>
      </c>
      <c r="U739" s="45">
        <f>VLOOKUP(B739,realPrices!C:G,5,0)</f>
        <v>4220001111</v>
      </c>
      <c r="W739" t="str">
        <f t="shared" si="11"/>
        <v>207i-MT1401</v>
      </c>
      <c r="X739">
        <f>VLOOKUP(W739,Sheet10!D:F,2,0)*10000000</f>
        <v>5800000000</v>
      </c>
      <c r="Y739" t="s">
        <v>74</v>
      </c>
    </row>
    <row r="740" spans="1:25" x14ac:dyDescent="0.25">
      <c r="A740" t="s">
        <v>3497</v>
      </c>
      <c r="B740" t="s">
        <v>3918</v>
      </c>
      <c r="C740">
        <v>600</v>
      </c>
      <c r="D740" t="s">
        <v>77</v>
      </c>
      <c r="E740" t="s">
        <v>64</v>
      </c>
      <c r="F740" t="s">
        <v>420</v>
      </c>
      <c r="H740">
        <v>48</v>
      </c>
      <c r="I740">
        <v>1401</v>
      </c>
      <c r="J740" t="s">
        <v>3919</v>
      </c>
      <c r="K740" t="s">
        <v>3920</v>
      </c>
      <c r="M740" t="s">
        <v>3246</v>
      </c>
      <c r="N740">
        <v>60010</v>
      </c>
      <c r="O740" t="s">
        <v>303</v>
      </c>
      <c r="Q740" t="s">
        <v>3247</v>
      </c>
      <c r="R740" t="s">
        <v>3921</v>
      </c>
      <c r="S740" t="s">
        <v>3922</v>
      </c>
      <c r="T740" s="6">
        <v>3450000000</v>
      </c>
      <c r="U740" s="45">
        <f>VLOOKUP(B740,realPrices!C:G,5,0)</f>
        <v>4240000000</v>
      </c>
      <c r="W740" t="str">
        <f t="shared" si="11"/>
        <v>207i-MT1401</v>
      </c>
      <c r="X740">
        <f>VLOOKUP(W740,Sheet10!D:F,2,0)*10000000</f>
        <v>5800000000</v>
      </c>
      <c r="Y740" t="s">
        <v>74</v>
      </c>
    </row>
    <row r="741" spans="1:25" x14ac:dyDescent="0.25">
      <c r="A741" t="s">
        <v>3242</v>
      </c>
      <c r="B741" t="s">
        <v>3923</v>
      </c>
      <c r="C741">
        <v>600</v>
      </c>
      <c r="D741" t="s">
        <v>63</v>
      </c>
      <c r="E741" t="s">
        <v>64</v>
      </c>
      <c r="F741" t="s">
        <v>420</v>
      </c>
      <c r="H741">
        <v>48</v>
      </c>
      <c r="I741">
        <v>1401</v>
      </c>
      <c r="J741" t="s">
        <v>3924</v>
      </c>
      <c r="K741" t="s">
        <v>3925</v>
      </c>
      <c r="M741" t="s">
        <v>3246</v>
      </c>
      <c r="N741">
        <v>60010</v>
      </c>
      <c r="O741" t="s">
        <v>303</v>
      </c>
      <c r="Q741" t="s">
        <v>3247</v>
      </c>
      <c r="R741" t="s">
        <v>3926</v>
      </c>
      <c r="S741" t="s">
        <v>3927</v>
      </c>
      <c r="T741" s="6">
        <v>3450000000</v>
      </c>
      <c r="U741" s="45">
        <f>VLOOKUP(B741,realPrices!C:G,5,0)</f>
        <v>4001000000</v>
      </c>
      <c r="W741" t="str">
        <f t="shared" si="11"/>
        <v>207i-MT1401</v>
      </c>
      <c r="X741">
        <f>VLOOKUP(W741,Sheet10!D:F,2,0)*10000000</f>
        <v>5800000000</v>
      </c>
      <c r="Y741" t="s">
        <v>74</v>
      </c>
    </row>
    <row r="742" spans="1:25" x14ac:dyDescent="0.25">
      <c r="A742" t="s">
        <v>3928</v>
      </c>
      <c r="B742" t="s">
        <v>3929</v>
      </c>
      <c r="C742">
        <v>575</v>
      </c>
      <c r="D742" t="s">
        <v>63</v>
      </c>
      <c r="E742" t="s">
        <v>64</v>
      </c>
      <c r="F742" t="s">
        <v>2436</v>
      </c>
      <c r="H742">
        <v>305</v>
      </c>
      <c r="I742">
        <v>1401</v>
      </c>
      <c r="J742" t="s">
        <v>3930</v>
      </c>
      <c r="K742" t="s">
        <v>3931</v>
      </c>
      <c r="M742" t="s">
        <v>367</v>
      </c>
      <c r="N742">
        <v>57522</v>
      </c>
      <c r="O742" t="s">
        <v>70</v>
      </c>
      <c r="Q742" t="s">
        <v>3932</v>
      </c>
      <c r="R742" t="s">
        <v>3933</v>
      </c>
      <c r="S742" t="s">
        <v>3934</v>
      </c>
      <c r="T742" s="6">
        <v>3470000000</v>
      </c>
      <c r="U742" s="45">
        <f>VLOOKUP(B742,realPrices!C:G,5,0)</f>
        <v>4278999999</v>
      </c>
      <c r="W742" t="str">
        <f t="shared" si="11"/>
        <v>SOREN EF71401</v>
      </c>
      <c r="X742">
        <f>VLOOKUP(W742,Sheet10!D:F,2,0)*10000000</f>
        <v>4650000000</v>
      </c>
      <c r="Y742" t="s">
        <v>114</v>
      </c>
    </row>
    <row r="743" spans="1:25" x14ac:dyDescent="0.25">
      <c r="A743" t="s">
        <v>3497</v>
      </c>
      <c r="B743" t="s">
        <v>3935</v>
      </c>
      <c r="C743">
        <v>600</v>
      </c>
      <c r="D743" t="s">
        <v>77</v>
      </c>
      <c r="E743" t="s">
        <v>64</v>
      </c>
      <c r="F743" t="s">
        <v>420</v>
      </c>
      <c r="H743">
        <v>49</v>
      </c>
      <c r="I743">
        <v>1401</v>
      </c>
      <c r="J743" t="s">
        <v>3936</v>
      </c>
      <c r="K743" t="s">
        <v>3937</v>
      </c>
      <c r="M743" t="s">
        <v>3246</v>
      </c>
      <c r="N743">
        <v>60010</v>
      </c>
      <c r="O743" t="s">
        <v>303</v>
      </c>
      <c r="Q743" t="s">
        <v>3247</v>
      </c>
      <c r="R743" t="s">
        <v>3938</v>
      </c>
      <c r="S743" t="s">
        <v>3939</v>
      </c>
      <c r="T743" s="6">
        <v>3480000000</v>
      </c>
      <c r="U743" s="45">
        <f>VLOOKUP(B743,realPrices!C:G,5,0)</f>
        <v>4189999999</v>
      </c>
      <c r="W743" t="str">
        <f t="shared" si="11"/>
        <v>207i-MT1401</v>
      </c>
      <c r="X743">
        <f>VLOOKUP(W743,Sheet10!D:F,2,0)*10000000</f>
        <v>5800000000</v>
      </c>
      <c r="Y743" t="s">
        <v>74</v>
      </c>
    </row>
    <row r="744" spans="1:25" x14ac:dyDescent="0.25">
      <c r="A744" t="s">
        <v>3497</v>
      </c>
      <c r="B744" t="s">
        <v>3940</v>
      </c>
      <c r="C744">
        <v>600</v>
      </c>
      <c r="D744" t="s">
        <v>77</v>
      </c>
      <c r="E744" t="s">
        <v>64</v>
      </c>
      <c r="F744" t="s">
        <v>420</v>
      </c>
      <c r="H744">
        <v>45</v>
      </c>
      <c r="I744">
        <v>1401</v>
      </c>
      <c r="J744" t="s">
        <v>3941</v>
      </c>
      <c r="K744" t="s">
        <v>3942</v>
      </c>
      <c r="M744" t="s">
        <v>3246</v>
      </c>
      <c r="N744">
        <v>60010</v>
      </c>
      <c r="O744" t="s">
        <v>303</v>
      </c>
      <c r="Q744" t="s">
        <v>3247</v>
      </c>
      <c r="R744" t="s">
        <v>3943</v>
      </c>
      <c r="S744" t="s">
        <v>3944</v>
      </c>
      <c r="T744" s="6">
        <v>3480000000</v>
      </c>
      <c r="U744" s="45">
        <f>VLOOKUP(B744,realPrices!C:G,5,0)</f>
        <v>4775000000</v>
      </c>
      <c r="W744" t="str">
        <f t="shared" si="11"/>
        <v>207i-MT1401</v>
      </c>
      <c r="X744">
        <f>VLOOKUP(W744,Sheet10!D:F,2,0)*10000000</f>
        <v>5800000000</v>
      </c>
      <c r="Y744" t="s">
        <v>74</v>
      </c>
    </row>
    <row r="745" spans="1:25" x14ac:dyDescent="0.25">
      <c r="A745" t="s">
        <v>316</v>
      </c>
      <c r="B745" t="s">
        <v>3945</v>
      </c>
      <c r="C745">
        <v>610</v>
      </c>
      <c r="D745" t="s">
        <v>63</v>
      </c>
      <c r="E745" t="s">
        <v>64</v>
      </c>
      <c r="F745" t="s">
        <v>3186</v>
      </c>
      <c r="H745">
        <v>3043</v>
      </c>
      <c r="I745">
        <v>1401</v>
      </c>
      <c r="J745" t="s">
        <v>3946</v>
      </c>
      <c r="K745" t="s">
        <v>3947</v>
      </c>
      <c r="M745" t="s">
        <v>321</v>
      </c>
      <c r="N745">
        <v>61015</v>
      </c>
      <c r="O745" t="s">
        <v>70</v>
      </c>
      <c r="Q745" t="s">
        <v>322</v>
      </c>
      <c r="R745" t="s">
        <v>3948</v>
      </c>
      <c r="S745" t="s">
        <v>3949</v>
      </c>
      <c r="T745" s="6">
        <v>3500000000</v>
      </c>
      <c r="U745" s="45">
        <f>VLOOKUP(B745,realPrices!C:G,5,0)</f>
        <v>4999999999</v>
      </c>
      <c r="W745" t="str">
        <f t="shared" si="11"/>
        <v>TU51401</v>
      </c>
      <c r="X745">
        <f>VLOOKUP(W745,Sheet10!D:F,2,0)*10000000</f>
        <v>4450000000</v>
      </c>
      <c r="Y745" t="s">
        <v>114</v>
      </c>
    </row>
    <row r="746" spans="1:25" x14ac:dyDescent="0.25">
      <c r="A746" t="s">
        <v>1418</v>
      </c>
      <c r="B746" t="s">
        <v>2695</v>
      </c>
      <c r="C746">
        <v>351</v>
      </c>
      <c r="D746" t="s">
        <v>63</v>
      </c>
      <c r="E746" t="s">
        <v>64</v>
      </c>
      <c r="F746" t="s">
        <v>2696</v>
      </c>
      <c r="H746">
        <v>25</v>
      </c>
      <c r="I746">
        <v>1401</v>
      </c>
      <c r="J746" t="s">
        <v>2697</v>
      </c>
      <c r="K746" t="s">
        <v>2698</v>
      </c>
      <c r="M746" t="s">
        <v>400</v>
      </c>
      <c r="N746">
        <v>35101</v>
      </c>
      <c r="O746" t="s">
        <v>70</v>
      </c>
      <c r="Q746" t="s">
        <v>401</v>
      </c>
      <c r="R746" t="s">
        <v>2699</v>
      </c>
      <c r="S746" t="s">
        <v>3950</v>
      </c>
      <c r="T746" s="6">
        <v>3500000000</v>
      </c>
      <c r="U746" s="45">
        <f>VLOOKUP(B746,realPrices!C:G,5,0)</f>
        <v>3108760000</v>
      </c>
      <c r="W746" t="str">
        <f t="shared" si="11"/>
        <v>PARS XU7 P1401</v>
      </c>
      <c r="X746">
        <f>VLOOKUP(W746,Sheet10!D:F,2,0)*10000000</f>
        <v>4500000000</v>
      </c>
      <c r="Y746" t="s">
        <v>114</v>
      </c>
    </row>
    <row r="747" spans="1:25" x14ac:dyDescent="0.25">
      <c r="A747" t="s">
        <v>2568</v>
      </c>
      <c r="B747" t="s">
        <v>3951</v>
      </c>
      <c r="C747">
        <v>351</v>
      </c>
      <c r="D747" t="s">
        <v>63</v>
      </c>
      <c r="E747" t="s">
        <v>64</v>
      </c>
      <c r="F747" t="s">
        <v>491</v>
      </c>
      <c r="H747">
        <v>16</v>
      </c>
      <c r="I747">
        <v>1401</v>
      </c>
      <c r="J747" t="s">
        <v>3952</v>
      </c>
      <c r="K747" t="s">
        <v>3953</v>
      </c>
      <c r="M747" t="s">
        <v>400</v>
      </c>
      <c r="N747">
        <v>35103</v>
      </c>
      <c r="O747" t="s">
        <v>70</v>
      </c>
      <c r="Q747" t="s">
        <v>2572</v>
      </c>
      <c r="R747" t="s">
        <v>3954</v>
      </c>
      <c r="S747" t="s">
        <v>3955</v>
      </c>
      <c r="T747" s="6">
        <v>3500000000</v>
      </c>
      <c r="U747" s="45">
        <f>VLOOKUP(B747,realPrices!C:G,5,0)</f>
        <v>3856666666</v>
      </c>
      <c r="W747" t="str">
        <f t="shared" si="11"/>
        <v>PARS XU7 P1401</v>
      </c>
      <c r="X747">
        <f>VLOOKUP(W747,Sheet10!D:F,2,0)*10000000</f>
        <v>4500000000</v>
      </c>
      <c r="Y747" t="s">
        <v>114</v>
      </c>
    </row>
    <row r="748" spans="1:25" x14ac:dyDescent="0.25">
      <c r="A748" t="s">
        <v>3309</v>
      </c>
      <c r="B748" t="s">
        <v>3956</v>
      </c>
      <c r="C748">
        <v>351</v>
      </c>
      <c r="D748" t="s">
        <v>259</v>
      </c>
      <c r="E748" t="s">
        <v>64</v>
      </c>
      <c r="F748" t="s">
        <v>318</v>
      </c>
      <c r="H748">
        <v>100</v>
      </c>
      <c r="I748">
        <v>1401</v>
      </c>
      <c r="J748" t="s">
        <v>3957</v>
      </c>
      <c r="K748" t="s">
        <v>3958</v>
      </c>
      <c r="M748" t="s">
        <v>400</v>
      </c>
      <c r="N748">
        <v>35103</v>
      </c>
      <c r="O748" t="s">
        <v>70</v>
      </c>
      <c r="Q748" t="s">
        <v>2572</v>
      </c>
      <c r="R748" t="s">
        <v>3959</v>
      </c>
      <c r="S748" t="s">
        <v>2860</v>
      </c>
      <c r="T748" s="6">
        <v>3500000000</v>
      </c>
      <c r="U748" s="45">
        <f>VLOOKUP(B748,realPrices!C:G,5,0)</f>
        <v>3950000000</v>
      </c>
      <c r="W748" t="str">
        <f t="shared" si="11"/>
        <v>PARS XU7 P1401</v>
      </c>
      <c r="X748">
        <f>VLOOKUP(W748,Sheet10!D:F,2,0)*10000000</f>
        <v>4500000000</v>
      </c>
      <c r="Y748" t="s">
        <v>114</v>
      </c>
    </row>
    <row r="749" spans="1:25" x14ac:dyDescent="0.25">
      <c r="A749" t="s">
        <v>1418</v>
      </c>
      <c r="B749" t="s">
        <v>3960</v>
      </c>
      <c r="C749">
        <v>351</v>
      </c>
      <c r="D749" t="s">
        <v>63</v>
      </c>
      <c r="E749" t="s">
        <v>64</v>
      </c>
      <c r="F749" t="s">
        <v>3186</v>
      </c>
      <c r="H749">
        <v>457</v>
      </c>
      <c r="I749">
        <v>1401</v>
      </c>
      <c r="J749" t="s">
        <v>3961</v>
      </c>
      <c r="K749" t="s">
        <v>3962</v>
      </c>
      <c r="M749" t="s">
        <v>400</v>
      </c>
      <c r="N749">
        <v>35101</v>
      </c>
      <c r="O749" t="s">
        <v>70</v>
      </c>
      <c r="Q749" t="s">
        <v>401</v>
      </c>
      <c r="R749" t="s">
        <v>3963</v>
      </c>
      <c r="S749" t="s">
        <v>2897</v>
      </c>
      <c r="T749" s="6">
        <v>3500000000</v>
      </c>
      <c r="U749" s="45">
        <f>VLOOKUP(B749,realPrices!C:G,5,0)</f>
        <v>3851414145</v>
      </c>
      <c r="W749" t="str">
        <f t="shared" si="11"/>
        <v>PARS XU7 P1401</v>
      </c>
      <c r="X749">
        <f>VLOOKUP(W749,Sheet10!D:F,2,0)*10000000</f>
        <v>4500000000</v>
      </c>
      <c r="Y749" t="s">
        <v>114</v>
      </c>
    </row>
    <row r="750" spans="1:25" x14ac:dyDescent="0.25">
      <c r="A750" t="s">
        <v>2958</v>
      </c>
      <c r="B750" t="s">
        <v>3964</v>
      </c>
      <c r="C750">
        <v>610</v>
      </c>
      <c r="D750" t="s">
        <v>240</v>
      </c>
      <c r="E750" t="s">
        <v>64</v>
      </c>
      <c r="F750" t="s">
        <v>491</v>
      </c>
      <c r="H750">
        <v>21</v>
      </c>
      <c r="I750">
        <v>1401</v>
      </c>
      <c r="J750" t="s">
        <v>3965</v>
      </c>
      <c r="K750" t="s">
        <v>3966</v>
      </c>
      <c r="M750" t="s">
        <v>321</v>
      </c>
      <c r="N750">
        <v>61015</v>
      </c>
      <c r="O750" t="s">
        <v>70</v>
      </c>
      <c r="Q750" t="s">
        <v>322</v>
      </c>
      <c r="R750" t="s">
        <v>3967</v>
      </c>
      <c r="S750" t="s">
        <v>3968</v>
      </c>
      <c r="T750" s="6">
        <v>3500000000</v>
      </c>
      <c r="U750" s="45">
        <f>VLOOKUP(B750,realPrices!C:G,5,0)</f>
        <v>4059999999</v>
      </c>
      <c r="W750" t="str">
        <f t="shared" si="11"/>
        <v>TU51401</v>
      </c>
      <c r="X750">
        <f>VLOOKUP(W750,Sheet10!D:F,2,0)*10000000</f>
        <v>4450000000</v>
      </c>
      <c r="Y750" t="s">
        <v>114</v>
      </c>
    </row>
    <row r="751" spans="1:25" x14ac:dyDescent="0.25">
      <c r="A751" t="s">
        <v>191</v>
      </c>
      <c r="B751" t="s">
        <v>3969</v>
      </c>
      <c r="C751">
        <v>285</v>
      </c>
      <c r="D751" t="s">
        <v>63</v>
      </c>
      <c r="E751" t="s">
        <v>64</v>
      </c>
      <c r="F751" t="s">
        <v>205</v>
      </c>
      <c r="G751" t="s">
        <v>3970</v>
      </c>
      <c r="H751">
        <v>26562</v>
      </c>
      <c r="I751">
        <v>1400</v>
      </c>
      <c r="J751" t="s">
        <v>3971</v>
      </c>
      <c r="K751" t="s">
        <v>3972</v>
      </c>
      <c r="L751" t="s">
        <v>3973</v>
      </c>
      <c r="M751" t="s">
        <v>198</v>
      </c>
      <c r="N751">
        <v>28520</v>
      </c>
      <c r="O751" t="s">
        <v>70</v>
      </c>
      <c r="Q751" t="s">
        <v>199</v>
      </c>
      <c r="R751" t="s">
        <v>3974</v>
      </c>
      <c r="S751" t="s">
        <v>3975</v>
      </c>
      <c r="T751" s="6">
        <v>3500000000</v>
      </c>
      <c r="U751" s="45">
        <f>VLOOKUP(B751,realPrices!C:G,5,0)</f>
        <v>0</v>
      </c>
      <c r="W751" t="str">
        <f t="shared" si="11"/>
        <v>PARS TU51400</v>
      </c>
      <c r="X751">
        <f>VLOOKUP(W751,Sheet10!D:F,2,0)*10000000</f>
        <v>5100000000</v>
      </c>
      <c r="Y751" t="s">
        <v>114</v>
      </c>
    </row>
    <row r="752" spans="1:25" x14ac:dyDescent="0.25">
      <c r="A752" t="s">
        <v>3771</v>
      </c>
      <c r="B752" t="s">
        <v>3976</v>
      </c>
      <c r="C752">
        <v>283</v>
      </c>
      <c r="D752" t="s">
        <v>240</v>
      </c>
      <c r="E752" t="s">
        <v>78</v>
      </c>
      <c r="F752" t="s">
        <v>3977</v>
      </c>
      <c r="G752" t="s">
        <v>3978</v>
      </c>
      <c r="H752">
        <v>39</v>
      </c>
      <c r="I752">
        <v>1400</v>
      </c>
      <c r="J752" t="s">
        <v>3979</v>
      </c>
      <c r="K752" t="s">
        <v>3980</v>
      </c>
      <c r="L752" t="s">
        <v>3981</v>
      </c>
      <c r="M752" t="s">
        <v>3239</v>
      </c>
      <c r="N752">
        <v>28321</v>
      </c>
      <c r="O752" t="s">
        <v>70</v>
      </c>
      <c r="Q752" t="s">
        <v>3777</v>
      </c>
      <c r="R752" t="s">
        <v>3982</v>
      </c>
      <c r="S752" t="s">
        <v>3200</v>
      </c>
      <c r="T752" s="6">
        <v>3500000000</v>
      </c>
      <c r="U752" s="45">
        <f>VLOOKUP(B752,realPrices!C:G,5,0)</f>
        <v>4511111111</v>
      </c>
      <c r="W752" t="str">
        <f t="shared" si="11"/>
        <v>PARS XU7 CNG1400</v>
      </c>
      <c r="X752">
        <f>VLOOKUP(W752,Sheet10!D:F,2,0)*10000000</f>
        <v>5100000000</v>
      </c>
      <c r="Y752" t="s">
        <v>114</v>
      </c>
    </row>
    <row r="753" spans="1:25" x14ac:dyDescent="0.25">
      <c r="A753" t="s">
        <v>3983</v>
      </c>
      <c r="B753" t="s">
        <v>3984</v>
      </c>
      <c r="C753">
        <v>615</v>
      </c>
      <c r="D753" t="s">
        <v>77</v>
      </c>
      <c r="E753" t="s">
        <v>64</v>
      </c>
      <c r="F753" t="s">
        <v>205</v>
      </c>
      <c r="G753" t="s">
        <v>2489</v>
      </c>
      <c r="H753">
        <v>231</v>
      </c>
      <c r="I753">
        <v>1401</v>
      </c>
      <c r="J753" t="s">
        <v>3985</v>
      </c>
      <c r="K753" t="s">
        <v>3986</v>
      </c>
      <c r="L753" t="s">
        <v>3987</v>
      </c>
      <c r="M753" t="s">
        <v>3130</v>
      </c>
      <c r="N753">
        <v>61503</v>
      </c>
      <c r="O753" t="s">
        <v>70</v>
      </c>
      <c r="Q753" t="s">
        <v>3131</v>
      </c>
      <c r="R753" t="s">
        <v>3988</v>
      </c>
      <c r="S753" t="s">
        <v>3597</v>
      </c>
      <c r="T753" s="6">
        <v>3500000000</v>
      </c>
      <c r="U753" s="45">
        <f>VLOOKUP(B753,realPrices!C:G,5,0)</f>
        <v>4145698000</v>
      </c>
      <c r="W753" t="str">
        <f t="shared" si="11"/>
        <v>+TU51401</v>
      </c>
      <c r="X753">
        <f>VLOOKUP(W753,Sheet10!D:F,2,0)*10000000</f>
        <v>0</v>
      </c>
      <c r="Y753" t="s">
        <v>114</v>
      </c>
    </row>
    <row r="754" spans="1:25" x14ac:dyDescent="0.25">
      <c r="A754" t="s">
        <v>3210</v>
      </c>
      <c r="B754" t="s">
        <v>3989</v>
      </c>
      <c r="C754">
        <v>285</v>
      </c>
      <c r="D754" t="s">
        <v>77</v>
      </c>
      <c r="E754" t="s">
        <v>64</v>
      </c>
      <c r="F754" t="s">
        <v>420</v>
      </c>
      <c r="H754">
        <v>26</v>
      </c>
      <c r="I754">
        <v>1401</v>
      </c>
      <c r="J754" t="s">
        <v>3990</v>
      </c>
      <c r="K754" t="s">
        <v>3991</v>
      </c>
      <c r="M754" t="s">
        <v>198</v>
      </c>
      <c r="N754">
        <v>28527</v>
      </c>
      <c r="O754" t="s">
        <v>70</v>
      </c>
      <c r="Q754" t="s">
        <v>3214</v>
      </c>
      <c r="R754" t="s">
        <v>3992</v>
      </c>
      <c r="S754" t="s">
        <v>3993</v>
      </c>
      <c r="T754" s="6">
        <v>3500000000</v>
      </c>
      <c r="U754" s="45">
        <f>VLOOKUP(B754,realPrices!C:G,5,0)</f>
        <v>4123655691</v>
      </c>
      <c r="W754" t="str">
        <f t="shared" si="11"/>
        <v>PARS TU51401</v>
      </c>
      <c r="X754">
        <f>VLOOKUP(W754,Sheet10!D:F,2,0)*10000000</f>
        <v>5250000000</v>
      </c>
      <c r="Y754" t="s">
        <v>74</v>
      </c>
    </row>
    <row r="755" spans="1:25" x14ac:dyDescent="0.25">
      <c r="A755" t="s">
        <v>3210</v>
      </c>
      <c r="B755" t="s">
        <v>3994</v>
      </c>
      <c r="C755">
        <v>285</v>
      </c>
      <c r="D755" t="s">
        <v>77</v>
      </c>
      <c r="E755" t="s">
        <v>64</v>
      </c>
      <c r="F755" t="s">
        <v>420</v>
      </c>
      <c r="H755">
        <v>25</v>
      </c>
      <c r="I755">
        <v>1401</v>
      </c>
      <c r="J755" t="s">
        <v>3995</v>
      </c>
      <c r="K755" t="s">
        <v>3996</v>
      </c>
      <c r="M755" t="s">
        <v>198</v>
      </c>
      <c r="N755">
        <v>28527</v>
      </c>
      <c r="O755" t="s">
        <v>70</v>
      </c>
      <c r="Q755" t="s">
        <v>3214</v>
      </c>
      <c r="R755" t="s">
        <v>3997</v>
      </c>
      <c r="S755" t="s">
        <v>227</v>
      </c>
      <c r="T755" s="6">
        <v>3500000000</v>
      </c>
      <c r="U755" s="45">
        <f>VLOOKUP(B755,realPrices!C:G,5,0)</f>
        <v>4350000000</v>
      </c>
      <c r="W755" t="str">
        <f t="shared" si="11"/>
        <v>PARS TU51401</v>
      </c>
      <c r="X755">
        <f>VLOOKUP(W755,Sheet10!D:F,2,0)*10000000</f>
        <v>5250000000</v>
      </c>
      <c r="Y755" t="s">
        <v>74</v>
      </c>
    </row>
    <row r="756" spans="1:25" x14ac:dyDescent="0.25">
      <c r="A756" t="s">
        <v>3210</v>
      </c>
      <c r="B756" t="s">
        <v>3998</v>
      </c>
      <c r="C756">
        <v>285</v>
      </c>
      <c r="D756" t="s">
        <v>77</v>
      </c>
      <c r="E756" t="s">
        <v>64</v>
      </c>
      <c r="F756" t="s">
        <v>420</v>
      </c>
      <c r="H756">
        <v>24</v>
      </c>
      <c r="I756">
        <v>1401</v>
      </c>
      <c r="J756" t="s">
        <v>3999</v>
      </c>
      <c r="K756" t="s">
        <v>4000</v>
      </c>
      <c r="M756" t="s">
        <v>198</v>
      </c>
      <c r="N756">
        <v>28527</v>
      </c>
      <c r="O756" t="s">
        <v>70</v>
      </c>
      <c r="Q756" t="s">
        <v>3214</v>
      </c>
      <c r="R756" t="s">
        <v>4001</v>
      </c>
      <c r="S756" t="s">
        <v>4002</v>
      </c>
      <c r="T756" s="6">
        <v>3500000000</v>
      </c>
      <c r="U756" s="45">
        <f>VLOOKUP(B756,realPrices!C:G,5,0)</f>
        <v>4755050500</v>
      </c>
      <c r="W756" t="str">
        <f t="shared" si="11"/>
        <v>PARS TU51401</v>
      </c>
      <c r="X756">
        <f>VLOOKUP(W756,Sheet10!D:F,2,0)*10000000</f>
        <v>5250000000</v>
      </c>
      <c r="Y756" t="s">
        <v>74</v>
      </c>
    </row>
    <row r="757" spans="1:25" x14ac:dyDescent="0.25">
      <c r="A757" t="s">
        <v>3210</v>
      </c>
      <c r="B757" t="s">
        <v>4003</v>
      </c>
      <c r="C757">
        <v>285</v>
      </c>
      <c r="D757" t="s">
        <v>77</v>
      </c>
      <c r="E757" t="s">
        <v>64</v>
      </c>
      <c r="F757" t="s">
        <v>420</v>
      </c>
      <c r="H757">
        <v>24</v>
      </c>
      <c r="I757">
        <v>1401</v>
      </c>
      <c r="J757" t="s">
        <v>4004</v>
      </c>
      <c r="K757" t="s">
        <v>4005</v>
      </c>
      <c r="M757" t="s">
        <v>198</v>
      </c>
      <c r="N757">
        <v>28527</v>
      </c>
      <c r="O757" t="s">
        <v>70</v>
      </c>
      <c r="Q757" t="s">
        <v>3214</v>
      </c>
      <c r="R757" t="s">
        <v>4006</v>
      </c>
      <c r="S757" t="s">
        <v>4007</v>
      </c>
      <c r="T757" s="6">
        <v>3500000000</v>
      </c>
      <c r="U757" s="45">
        <f>VLOOKUP(B757,realPrices!C:G,5,0)</f>
        <v>4275789999</v>
      </c>
      <c r="W757" t="str">
        <f t="shared" si="11"/>
        <v>PARS TU51401</v>
      </c>
      <c r="X757">
        <f>VLOOKUP(W757,Sheet10!D:F,2,0)*10000000</f>
        <v>5250000000</v>
      </c>
      <c r="Y757" t="s">
        <v>74</v>
      </c>
    </row>
    <row r="758" spans="1:25" x14ac:dyDescent="0.25">
      <c r="A758" t="s">
        <v>3210</v>
      </c>
      <c r="B758" t="s">
        <v>4008</v>
      </c>
      <c r="C758">
        <v>285</v>
      </c>
      <c r="D758" t="s">
        <v>77</v>
      </c>
      <c r="E758" t="s">
        <v>64</v>
      </c>
      <c r="F758" t="s">
        <v>420</v>
      </c>
      <c r="H758">
        <v>24</v>
      </c>
      <c r="I758">
        <v>1401</v>
      </c>
      <c r="J758" t="s">
        <v>4009</v>
      </c>
      <c r="K758" t="s">
        <v>4010</v>
      </c>
      <c r="M758" t="s">
        <v>198</v>
      </c>
      <c r="N758">
        <v>28527</v>
      </c>
      <c r="O758" t="s">
        <v>70</v>
      </c>
      <c r="Q758" t="s">
        <v>3214</v>
      </c>
      <c r="R758" t="s">
        <v>4011</v>
      </c>
      <c r="S758" t="s">
        <v>4012</v>
      </c>
      <c r="T758" s="6">
        <v>3500000000</v>
      </c>
      <c r="U758" s="45">
        <f>VLOOKUP(B758,realPrices!C:G,5,0)</f>
        <v>4379999999</v>
      </c>
      <c r="W758" t="str">
        <f t="shared" si="11"/>
        <v>PARS TU51401</v>
      </c>
      <c r="X758">
        <f>VLOOKUP(W758,Sheet10!D:F,2,0)*10000000</f>
        <v>5250000000</v>
      </c>
      <c r="Y758" t="s">
        <v>74</v>
      </c>
    </row>
    <row r="759" spans="1:25" x14ac:dyDescent="0.25">
      <c r="A759" t="s">
        <v>3210</v>
      </c>
      <c r="B759" t="s">
        <v>4013</v>
      </c>
      <c r="C759">
        <v>285</v>
      </c>
      <c r="D759" t="s">
        <v>77</v>
      </c>
      <c r="E759" t="s">
        <v>64</v>
      </c>
      <c r="F759" t="s">
        <v>420</v>
      </c>
      <c r="H759">
        <v>23</v>
      </c>
      <c r="I759">
        <v>1401</v>
      </c>
      <c r="J759" t="s">
        <v>4014</v>
      </c>
      <c r="K759" t="s">
        <v>4015</v>
      </c>
      <c r="M759" t="s">
        <v>198</v>
      </c>
      <c r="N759">
        <v>28527</v>
      </c>
      <c r="O759" t="s">
        <v>70</v>
      </c>
      <c r="Q759" t="s">
        <v>3214</v>
      </c>
      <c r="R759" t="s">
        <v>4016</v>
      </c>
      <c r="S759" t="s">
        <v>4017</v>
      </c>
      <c r="T759" s="6">
        <v>3500000000</v>
      </c>
      <c r="U759" s="45">
        <f>VLOOKUP(B759,realPrices!C:G,5,0)</f>
        <v>4319999999</v>
      </c>
      <c r="W759" t="str">
        <f t="shared" si="11"/>
        <v>PARS TU51401</v>
      </c>
      <c r="X759">
        <f>VLOOKUP(W759,Sheet10!D:F,2,0)*10000000</f>
        <v>5250000000</v>
      </c>
      <c r="Y759" t="s">
        <v>74</v>
      </c>
    </row>
    <row r="760" spans="1:25" x14ac:dyDescent="0.25">
      <c r="A760" t="s">
        <v>3210</v>
      </c>
      <c r="B760" t="s">
        <v>4018</v>
      </c>
      <c r="C760">
        <v>285</v>
      </c>
      <c r="D760" t="s">
        <v>77</v>
      </c>
      <c r="E760" t="s">
        <v>64</v>
      </c>
      <c r="F760" t="s">
        <v>420</v>
      </c>
      <c r="H760">
        <v>22</v>
      </c>
      <c r="I760">
        <v>1401</v>
      </c>
      <c r="J760" t="s">
        <v>4019</v>
      </c>
      <c r="K760" t="s">
        <v>4020</v>
      </c>
      <c r="M760" t="s">
        <v>198</v>
      </c>
      <c r="N760">
        <v>28527</v>
      </c>
      <c r="O760" t="s">
        <v>70</v>
      </c>
      <c r="Q760" t="s">
        <v>3214</v>
      </c>
      <c r="R760" t="s">
        <v>4021</v>
      </c>
      <c r="S760" t="s">
        <v>247</v>
      </c>
      <c r="T760" s="6">
        <v>3500000000</v>
      </c>
      <c r="U760" s="45">
        <f>VLOOKUP(B760,realPrices!C:G,5,0)</f>
        <v>4437699990</v>
      </c>
      <c r="W760" t="str">
        <f t="shared" si="11"/>
        <v>PARS TU51401</v>
      </c>
      <c r="X760">
        <f>VLOOKUP(W760,Sheet10!D:F,2,0)*10000000</f>
        <v>5250000000</v>
      </c>
      <c r="Y760" t="s">
        <v>74</v>
      </c>
    </row>
    <row r="761" spans="1:25" x14ac:dyDescent="0.25">
      <c r="A761" t="s">
        <v>3210</v>
      </c>
      <c r="B761" t="s">
        <v>4022</v>
      </c>
      <c r="C761">
        <v>285</v>
      </c>
      <c r="D761" t="s">
        <v>77</v>
      </c>
      <c r="E761" t="s">
        <v>64</v>
      </c>
      <c r="F761" t="s">
        <v>420</v>
      </c>
      <c r="H761">
        <v>22</v>
      </c>
      <c r="I761">
        <v>1401</v>
      </c>
      <c r="J761" t="s">
        <v>4023</v>
      </c>
      <c r="K761" t="s">
        <v>4024</v>
      </c>
      <c r="M761" t="s">
        <v>198</v>
      </c>
      <c r="N761">
        <v>28527</v>
      </c>
      <c r="O761" t="s">
        <v>70</v>
      </c>
      <c r="Q761" t="s">
        <v>3214</v>
      </c>
      <c r="R761" t="s">
        <v>4025</v>
      </c>
      <c r="S761" t="s">
        <v>4026</v>
      </c>
      <c r="T761" s="6">
        <v>3500000000</v>
      </c>
      <c r="U761" s="45">
        <f>VLOOKUP(B761,realPrices!C:G,5,0)</f>
        <v>4456300000</v>
      </c>
      <c r="W761" t="str">
        <f t="shared" si="11"/>
        <v>PARS TU51401</v>
      </c>
      <c r="X761">
        <f>VLOOKUP(W761,Sheet10!D:F,2,0)*10000000</f>
        <v>5250000000</v>
      </c>
      <c r="Y761" t="s">
        <v>74</v>
      </c>
    </row>
    <row r="762" spans="1:25" x14ac:dyDescent="0.25">
      <c r="A762" t="s">
        <v>3210</v>
      </c>
      <c r="B762" t="s">
        <v>4027</v>
      </c>
      <c r="C762">
        <v>285</v>
      </c>
      <c r="D762" t="s">
        <v>77</v>
      </c>
      <c r="E762" t="s">
        <v>64</v>
      </c>
      <c r="F762" t="s">
        <v>420</v>
      </c>
      <c r="H762">
        <v>22</v>
      </c>
      <c r="I762">
        <v>1401</v>
      </c>
      <c r="J762" t="s">
        <v>4028</v>
      </c>
      <c r="K762" t="s">
        <v>4029</v>
      </c>
      <c r="M762" t="s">
        <v>198</v>
      </c>
      <c r="N762">
        <v>28527</v>
      </c>
      <c r="O762" t="s">
        <v>70</v>
      </c>
      <c r="Q762" t="s">
        <v>3214</v>
      </c>
      <c r="R762" t="s">
        <v>4030</v>
      </c>
      <c r="S762" t="s">
        <v>4031</v>
      </c>
      <c r="T762" s="6">
        <v>3500000000</v>
      </c>
      <c r="U762" s="45">
        <f>VLOOKUP(B762,realPrices!C:G,5,0)</f>
        <v>4520000000</v>
      </c>
      <c r="W762" t="str">
        <f t="shared" si="11"/>
        <v>PARS TU51401</v>
      </c>
      <c r="X762">
        <f>VLOOKUP(W762,Sheet10!D:F,2,0)*10000000</f>
        <v>5250000000</v>
      </c>
      <c r="Y762" t="s">
        <v>74</v>
      </c>
    </row>
    <row r="763" spans="1:25" x14ac:dyDescent="0.25">
      <c r="A763" t="s">
        <v>3210</v>
      </c>
      <c r="B763" t="s">
        <v>4032</v>
      </c>
      <c r="C763">
        <v>285</v>
      </c>
      <c r="D763" t="s">
        <v>77</v>
      </c>
      <c r="E763" t="s">
        <v>64</v>
      </c>
      <c r="F763" t="s">
        <v>420</v>
      </c>
      <c r="H763">
        <v>21</v>
      </c>
      <c r="I763">
        <v>1401</v>
      </c>
      <c r="J763" t="s">
        <v>4033</v>
      </c>
      <c r="K763" t="s">
        <v>3569</v>
      </c>
      <c r="M763" t="s">
        <v>198</v>
      </c>
      <c r="N763">
        <v>28527</v>
      </c>
      <c r="O763" t="s">
        <v>70</v>
      </c>
      <c r="Q763" t="s">
        <v>3214</v>
      </c>
      <c r="R763" t="s">
        <v>4034</v>
      </c>
      <c r="S763" t="s">
        <v>4035</v>
      </c>
      <c r="T763" s="6">
        <v>3500000000</v>
      </c>
      <c r="U763" s="45">
        <f>VLOOKUP(B763,realPrices!C:G,5,0)</f>
        <v>4239090000</v>
      </c>
      <c r="W763" t="str">
        <f t="shared" si="11"/>
        <v>PARS TU51401</v>
      </c>
      <c r="X763">
        <f>VLOOKUP(W763,Sheet10!D:F,2,0)*10000000</f>
        <v>5250000000</v>
      </c>
      <c r="Y763" t="s">
        <v>74</v>
      </c>
    </row>
    <row r="764" spans="1:25" x14ac:dyDescent="0.25">
      <c r="A764" t="s">
        <v>3210</v>
      </c>
      <c r="B764" t="s">
        <v>4036</v>
      </c>
      <c r="C764">
        <v>285</v>
      </c>
      <c r="D764" t="s">
        <v>77</v>
      </c>
      <c r="E764" t="s">
        <v>64</v>
      </c>
      <c r="F764" t="s">
        <v>420</v>
      </c>
      <c r="H764">
        <v>21</v>
      </c>
      <c r="I764">
        <v>1401</v>
      </c>
      <c r="J764" t="s">
        <v>4037</v>
      </c>
      <c r="K764" t="s">
        <v>4038</v>
      </c>
      <c r="M764" t="s">
        <v>198</v>
      </c>
      <c r="N764">
        <v>28527</v>
      </c>
      <c r="O764" t="s">
        <v>70</v>
      </c>
      <c r="Q764" t="s">
        <v>3214</v>
      </c>
      <c r="R764" t="s">
        <v>4039</v>
      </c>
      <c r="S764" t="s">
        <v>4040</v>
      </c>
      <c r="T764" s="6">
        <v>3500000000</v>
      </c>
      <c r="U764" s="45">
        <f>VLOOKUP(B764,realPrices!C:G,5,0)</f>
        <v>4177770000</v>
      </c>
      <c r="W764" t="str">
        <f t="shared" si="11"/>
        <v>PARS TU51401</v>
      </c>
      <c r="X764">
        <f>VLOOKUP(W764,Sheet10!D:F,2,0)*10000000</f>
        <v>5250000000</v>
      </c>
      <c r="Y764" t="s">
        <v>74</v>
      </c>
    </row>
    <row r="765" spans="1:25" x14ac:dyDescent="0.25">
      <c r="A765" t="s">
        <v>3210</v>
      </c>
      <c r="B765" t="s">
        <v>4041</v>
      </c>
      <c r="C765">
        <v>285</v>
      </c>
      <c r="D765" t="s">
        <v>77</v>
      </c>
      <c r="E765" t="s">
        <v>64</v>
      </c>
      <c r="F765" t="s">
        <v>420</v>
      </c>
      <c r="H765">
        <v>20</v>
      </c>
      <c r="I765">
        <v>1401</v>
      </c>
      <c r="J765" t="s">
        <v>4042</v>
      </c>
      <c r="K765" t="s">
        <v>4043</v>
      </c>
      <c r="M765" t="s">
        <v>198</v>
      </c>
      <c r="N765">
        <v>28527</v>
      </c>
      <c r="O765" t="s">
        <v>70</v>
      </c>
      <c r="Q765" t="s">
        <v>3214</v>
      </c>
      <c r="R765" t="s">
        <v>4044</v>
      </c>
      <c r="S765" t="s">
        <v>4045</v>
      </c>
      <c r="T765" s="6">
        <v>3500000000</v>
      </c>
      <c r="U765" s="45">
        <f>VLOOKUP(B765,realPrices!C:G,5,0)</f>
        <v>4399999999</v>
      </c>
      <c r="W765" t="str">
        <f t="shared" si="11"/>
        <v>PARS TU51401</v>
      </c>
      <c r="X765">
        <f>VLOOKUP(W765,Sheet10!D:F,2,0)*10000000</f>
        <v>5250000000</v>
      </c>
      <c r="Y765" t="s">
        <v>74</v>
      </c>
    </row>
    <row r="766" spans="1:25" x14ac:dyDescent="0.25">
      <c r="A766" t="s">
        <v>3210</v>
      </c>
      <c r="B766" t="s">
        <v>4046</v>
      </c>
      <c r="C766">
        <v>285</v>
      </c>
      <c r="D766" t="s">
        <v>77</v>
      </c>
      <c r="E766" t="s">
        <v>64</v>
      </c>
      <c r="F766" t="s">
        <v>420</v>
      </c>
      <c r="H766">
        <v>20</v>
      </c>
      <c r="I766">
        <v>1401</v>
      </c>
      <c r="J766" t="s">
        <v>4047</v>
      </c>
      <c r="K766" t="s">
        <v>4048</v>
      </c>
      <c r="M766" t="s">
        <v>198</v>
      </c>
      <c r="N766">
        <v>28527</v>
      </c>
      <c r="O766" t="s">
        <v>70</v>
      </c>
      <c r="Q766" t="s">
        <v>3214</v>
      </c>
      <c r="R766" t="s">
        <v>4049</v>
      </c>
      <c r="S766" t="s">
        <v>4050</v>
      </c>
      <c r="T766" s="6">
        <v>3500000000</v>
      </c>
      <c r="U766" s="45">
        <f>VLOOKUP(B766,realPrices!C:G,5,0)</f>
        <v>4381250000</v>
      </c>
      <c r="W766" t="str">
        <f t="shared" si="11"/>
        <v>PARS TU51401</v>
      </c>
      <c r="X766">
        <f>VLOOKUP(W766,Sheet10!D:F,2,0)*10000000</f>
        <v>5250000000</v>
      </c>
      <c r="Y766" t="s">
        <v>74</v>
      </c>
    </row>
    <row r="767" spans="1:25" x14ac:dyDescent="0.25">
      <c r="A767" t="s">
        <v>3210</v>
      </c>
      <c r="B767" t="s">
        <v>4051</v>
      </c>
      <c r="C767">
        <v>285</v>
      </c>
      <c r="D767" t="s">
        <v>77</v>
      </c>
      <c r="E767" t="s">
        <v>64</v>
      </c>
      <c r="F767" t="s">
        <v>420</v>
      </c>
      <c r="H767">
        <v>20</v>
      </c>
      <c r="I767">
        <v>1401</v>
      </c>
      <c r="J767" t="s">
        <v>4052</v>
      </c>
      <c r="K767" t="s">
        <v>4053</v>
      </c>
      <c r="M767" t="s">
        <v>198</v>
      </c>
      <c r="N767">
        <v>28527</v>
      </c>
      <c r="O767" t="s">
        <v>70</v>
      </c>
      <c r="Q767" t="s">
        <v>3214</v>
      </c>
      <c r="R767" t="s">
        <v>4054</v>
      </c>
      <c r="S767" t="s">
        <v>4055</v>
      </c>
      <c r="T767" s="6">
        <v>3500000000</v>
      </c>
      <c r="U767" s="45">
        <f>VLOOKUP(B767,realPrices!C:G,5,0)</f>
        <v>4111000000</v>
      </c>
      <c r="W767" t="str">
        <f t="shared" si="11"/>
        <v>PARS TU51401</v>
      </c>
      <c r="X767">
        <f>VLOOKUP(W767,Sheet10!D:F,2,0)*10000000</f>
        <v>5250000000</v>
      </c>
      <c r="Y767" t="s">
        <v>74</v>
      </c>
    </row>
    <row r="768" spans="1:25" x14ac:dyDescent="0.25">
      <c r="A768" t="s">
        <v>3210</v>
      </c>
      <c r="B768" t="s">
        <v>4056</v>
      </c>
      <c r="C768">
        <v>285</v>
      </c>
      <c r="D768" t="s">
        <v>77</v>
      </c>
      <c r="E768" t="s">
        <v>64</v>
      </c>
      <c r="F768" t="s">
        <v>420</v>
      </c>
      <c r="H768">
        <v>20</v>
      </c>
      <c r="I768">
        <v>1401</v>
      </c>
      <c r="J768" t="s">
        <v>4057</v>
      </c>
      <c r="K768" t="s">
        <v>4029</v>
      </c>
      <c r="M768" t="s">
        <v>198</v>
      </c>
      <c r="N768">
        <v>28527</v>
      </c>
      <c r="O768" t="s">
        <v>70</v>
      </c>
      <c r="Q768" t="s">
        <v>3214</v>
      </c>
      <c r="R768" t="s">
        <v>4058</v>
      </c>
      <c r="S768" t="s">
        <v>293</v>
      </c>
      <c r="T768" s="6">
        <v>3500000000</v>
      </c>
      <c r="U768" s="45">
        <f>VLOOKUP(B768,realPrices!C:G,5,0)</f>
        <v>4400000000</v>
      </c>
      <c r="W768" t="str">
        <f t="shared" si="11"/>
        <v>PARS TU51401</v>
      </c>
      <c r="X768">
        <f>VLOOKUP(W768,Sheet10!D:F,2,0)*10000000</f>
        <v>5250000000</v>
      </c>
      <c r="Y768" t="s">
        <v>74</v>
      </c>
    </row>
    <row r="769" spans="1:25" x14ac:dyDescent="0.25">
      <c r="A769" t="s">
        <v>3210</v>
      </c>
      <c r="B769" t="s">
        <v>4059</v>
      </c>
      <c r="C769">
        <v>285</v>
      </c>
      <c r="D769" t="s">
        <v>77</v>
      </c>
      <c r="E769" t="s">
        <v>64</v>
      </c>
      <c r="F769" t="s">
        <v>420</v>
      </c>
      <c r="H769">
        <v>26</v>
      </c>
      <c r="I769">
        <v>1401</v>
      </c>
      <c r="J769" t="s">
        <v>4060</v>
      </c>
      <c r="K769" t="s">
        <v>4061</v>
      </c>
      <c r="M769" t="s">
        <v>198</v>
      </c>
      <c r="N769">
        <v>28527</v>
      </c>
      <c r="O769" t="s">
        <v>70</v>
      </c>
      <c r="Q769" t="s">
        <v>3214</v>
      </c>
      <c r="R769" t="s">
        <v>4062</v>
      </c>
      <c r="S769" t="s">
        <v>4063</v>
      </c>
      <c r="T769" s="6">
        <v>3500000000</v>
      </c>
      <c r="U769" s="45">
        <f>VLOOKUP(B769,realPrices!C:G,5,0)</f>
        <v>4320009990</v>
      </c>
      <c r="W769" t="str">
        <f t="shared" si="11"/>
        <v>PARS TU51401</v>
      </c>
      <c r="X769">
        <f>VLOOKUP(W769,Sheet10!D:F,2,0)*10000000</f>
        <v>5250000000</v>
      </c>
      <c r="Y769" t="s">
        <v>74</v>
      </c>
    </row>
    <row r="770" spans="1:25" x14ac:dyDescent="0.25">
      <c r="A770" t="s">
        <v>3210</v>
      </c>
      <c r="B770" t="s">
        <v>4064</v>
      </c>
      <c r="C770">
        <v>285</v>
      </c>
      <c r="D770" t="s">
        <v>77</v>
      </c>
      <c r="E770" t="s">
        <v>64</v>
      </c>
      <c r="F770" t="s">
        <v>420</v>
      </c>
      <c r="H770">
        <v>25</v>
      </c>
      <c r="I770">
        <v>1401</v>
      </c>
      <c r="J770" t="s">
        <v>4065</v>
      </c>
      <c r="K770" t="s">
        <v>4066</v>
      </c>
      <c r="M770" t="s">
        <v>198</v>
      </c>
      <c r="N770">
        <v>28527</v>
      </c>
      <c r="O770" t="s">
        <v>70</v>
      </c>
      <c r="Q770" t="s">
        <v>3214</v>
      </c>
      <c r="R770" t="s">
        <v>4067</v>
      </c>
      <c r="S770" t="s">
        <v>4068</v>
      </c>
      <c r="T770" s="6">
        <v>3500000000</v>
      </c>
      <c r="U770" s="45">
        <f>VLOOKUP(B770,realPrices!C:G,5,0)</f>
        <v>4301000000</v>
      </c>
      <c r="W770" t="str">
        <f t="shared" ref="W770:W833" si="12">M770&amp;I770</f>
        <v>PARS TU51401</v>
      </c>
      <c r="X770">
        <f>VLOOKUP(W770,Sheet10!D:F,2,0)*10000000</f>
        <v>5250000000</v>
      </c>
      <c r="Y770" t="s">
        <v>74</v>
      </c>
    </row>
    <row r="771" spans="1:25" x14ac:dyDescent="0.25">
      <c r="A771" t="s">
        <v>3210</v>
      </c>
      <c r="B771" t="s">
        <v>4069</v>
      </c>
      <c r="C771">
        <v>285</v>
      </c>
      <c r="D771" t="s">
        <v>77</v>
      </c>
      <c r="E771" t="s">
        <v>64</v>
      </c>
      <c r="F771" t="s">
        <v>420</v>
      </c>
      <c r="H771">
        <v>24</v>
      </c>
      <c r="I771">
        <v>1401</v>
      </c>
      <c r="J771" t="s">
        <v>4070</v>
      </c>
      <c r="K771" t="s">
        <v>4071</v>
      </c>
      <c r="M771" t="s">
        <v>198</v>
      </c>
      <c r="N771">
        <v>28527</v>
      </c>
      <c r="O771" t="s">
        <v>70</v>
      </c>
      <c r="Q771" t="s">
        <v>3214</v>
      </c>
      <c r="R771" t="s">
        <v>4072</v>
      </c>
      <c r="S771" t="s">
        <v>4073</v>
      </c>
      <c r="T771" s="6">
        <v>3500000000</v>
      </c>
      <c r="U771" s="45">
        <f>VLOOKUP(B771,realPrices!C:G,5,0)</f>
        <v>4330000000</v>
      </c>
      <c r="W771" t="str">
        <f t="shared" si="12"/>
        <v>PARS TU51401</v>
      </c>
      <c r="X771">
        <f>VLOOKUP(W771,Sheet10!D:F,2,0)*10000000</f>
        <v>5250000000</v>
      </c>
      <c r="Y771" t="s">
        <v>74</v>
      </c>
    </row>
    <row r="772" spans="1:25" x14ac:dyDescent="0.25">
      <c r="A772" t="s">
        <v>3210</v>
      </c>
      <c r="B772" t="s">
        <v>4074</v>
      </c>
      <c r="C772">
        <v>285</v>
      </c>
      <c r="D772" t="s">
        <v>77</v>
      </c>
      <c r="E772" t="s">
        <v>64</v>
      </c>
      <c r="F772" t="s">
        <v>420</v>
      </c>
      <c r="H772">
        <v>24</v>
      </c>
      <c r="I772">
        <v>1401</v>
      </c>
      <c r="J772" t="s">
        <v>4075</v>
      </c>
      <c r="K772" t="s">
        <v>4076</v>
      </c>
      <c r="M772" t="s">
        <v>198</v>
      </c>
      <c r="N772">
        <v>28527</v>
      </c>
      <c r="O772" t="s">
        <v>70</v>
      </c>
      <c r="Q772" t="s">
        <v>3214</v>
      </c>
      <c r="R772" t="s">
        <v>4077</v>
      </c>
      <c r="S772" t="s">
        <v>341</v>
      </c>
      <c r="T772" s="6">
        <v>3500000000</v>
      </c>
      <c r="U772" s="45">
        <f>VLOOKUP(B772,realPrices!C:G,5,0)</f>
        <v>4080000000</v>
      </c>
      <c r="W772" t="str">
        <f t="shared" si="12"/>
        <v>PARS TU51401</v>
      </c>
      <c r="X772">
        <f>VLOOKUP(W772,Sheet10!D:F,2,0)*10000000</f>
        <v>5250000000</v>
      </c>
      <c r="Y772" t="s">
        <v>74</v>
      </c>
    </row>
    <row r="773" spans="1:25" x14ac:dyDescent="0.25">
      <c r="A773" t="s">
        <v>3210</v>
      </c>
      <c r="B773" t="s">
        <v>4078</v>
      </c>
      <c r="C773">
        <v>285</v>
      </c>
      <c r="D773" t="s">
        <v>77</v>
      </c>
      <c r="E773" t="s">
        <v>64</v>
      </c>
      <c r="F773" t="s">
        <v>420</v>
      </c>
      <c r="H773">
        <v>24</v>
      </c>
      <c r="I773">
        <v>1401</v>
      </c>
      <c r="J773" t="s">
        <v>4079</v>
      </c>
      <c r="K773" t="s">
        <v>4080</v>
      </c>
      <c r="M773" t="s">
        <v>198</v>
      </c>
      <c r="N773">
        <v>28527</v>
      </c>
      <c r="O773" t="s">
        <v>70</v>
      </c>
      <c r="Q773" t="s">
        <v>3214</v>
      </c>
      <c r="R773" t="s">
        <v>4081</v>
      </c>
      <c r="S773" t="s">
        <v>4082</v>
      </c>
      <c r="T773" s="6">
        <v>3500000000</v>
      </c>
      <c r="U773" s="45">
        <f>VLOOKUP(B773,realPrices!C:G,5,0)</f>
        <v>4219000199</v>
      </c>
      <c r="W773" t="str">
        <f t="shared" si="12"/>
        <v>PARS TU51401</v>
      </c>
      <c r="X773">
        <f>VLOOKUP(W773,Sheet10!D:F,2,0)*10000000</f>
        <v>5250000000</v>
      </c>
      <c r="Y773" t="s">
        <v>74</v>
      </c>
    </row>
    <row r="774" spans="1:25" x14ac:dyDescent="0.25">
      <c r="A774" t="s">
        <v>3210</v>
      </c>
      <c r="B774" t="s">
        <v>4083</v>
      </c>
      <c r="C774">
        <v>285</v>
      </c>
      <c r="D774" t="s">
        <v>77</v>
      </c>
      <c r="E774" t="s">
        <v>64</v>
      </c>
      <c r="F774" t="s">
        <v>420</v>
      </c>
      <c r="H774">
        <v>23</v>
      </c>
      <c r="I774">
        <v>1401</v>
      </c>
      <c r="J774" t="s">
        <v>4084</v>
      </c>
      <c r="K774" t="s">
        <v>4085</v>
      </c>
      <c r="M774" t="s">
        <v>198</v>
      </c>
      <c r="N774">
        <v>28527</v>
      </c>
      <c r="O774" t="s">
        <v>70</v>
      </c>
      <c r="Q774" t="s">
        <v>3214</v>
      </c>
      <c r="R774" t="s">
        <v>4086</v>
      </c>
      <c r="S774" t="s">
        <v>332</v>
      </c>
      <c r="T774" s="6">
        <v>3500000000</v>
      </c>
      <c r="U774" s="45">
        <f>VLOOKUP(B774,realPrices!C:G,5,0)</f>
        <v>4191111111</v>
      </c>
      <c r="W774" t="str">
        <f t="shared" si="12"/>
        <v>PARS TU51401</v>
      </c>
      <c r="X774">
        <f>VLOOKUP(W774,Sheet10!D:F,2,0)*10000000</f>
        <v>5250000000</v>
      </c>
      <c r="Y774" t="s">
        <v>74</v>
      </c>
    </row>
    <row r="775" spans="1:25" x14ac:dyDescent="0.25">
      <c r="A775" t="s">
        <v>3210</v>
      </c>
      <c r="B775" t="s">
        <v>4087</v>
      </c>
      <c r="C775">
        <v>285</v>
      </c>
      <c r="D775" t="s">
        <v>77</v>
      </c>
      <c r="E775" t="s">
        <v>64</v>
      </c>
      <c r="F775" t="s">
        <v>420</v>
      </c>
      <c r="H775">
        <v>23</v>
      </c>
      <c r="I775">
        <v>1401</v>
      </c>
      <c r="J775" t="s">
        <v>4088</v>
      </c>
      <c r="K775" t="s">
        <v>4089</v>
      </c>
      <c r="M775" t="s">
        <v>198</v>
      </c>
      <c r="N775">
        <v>28527</v>
      </c>
      <c r="O775" t="s">
        <v>70</v>
      </c>
      <c r="Q775" t="s">
        <v>3214</v>
      </c>
      <c r="R775" t="s">
        <v>4090</v>
      </c>
      <c r="S775" t="s">
        <v>4091</v>
      </c>
      <c r="T775" s="6">
        <v>3500000000</v>
      </c>
      <c r="U775" s="45">
        <f>VLOOKUP(B775,realPrices!C:G,5,0)</f>
        <v>4259999999</v>
      </c>
      <c r="W775" t="str">
        <f t="shared" si="12"/>
        <v>PARS TU51401</v>
      </c>
      <c r="X775">
        <f>VLOOKUP(W775,Sheet10!D:F,2,0)*10000000</f>
        <v>5250000000</v>
      </c>
      <c r="Y775" t="s">
        <v>74</v>
      </c>
    </row>
    <row r="776" spans="1:25" x14ac:dyDescent="0.25">
      <c r="A776" t="s">
        <v>3210</v>
      </c>
      <c r="B776" t="s">
        <v>4092</v>
      </c>
      <c r="C776">
        <v>285</v>
      </c>
      <c r="D776" t="s">
        <v>77</v>
      </c>
      <c r="E776" t="s">
        <v>64</v>
      </c>
      <c r="F776" t="s">
        <v>420</v>
      </c>
      <c r="H776">
        <v>22</v>
      </c>
      <c r="I776">
        <v>1401</v>
      </c>
      <c r="J776" t="s">
        <v>4093</v>
      </c>
      <c r="K776" t="s">
        <v>4094</v>
      </c>
      <c r="M776" t="s">
        <v>198</v>
      </c>
      <c r="N776">
        <v>28527</v>
      </c>
      <c r="O776" t="s">
        <v>70</v>
      </c>
      <c r="Q776" t="s">
        <v>3214</v>
      </c>
      <c r="R776" t="s">
        <v>4095</v>
      </c>
      <c r="S776" t="s">
        <v>717</v>
      </c>
      <c r="T776" s="6">
        <v>3500000000</v>
      </c>
      <c r="U776" s="45">
        <f>VLOOKUP(B776,realPrices!C:G,5,0)</f>
        <v>4239999999</v>
      </c>
      <c r="W776" t="str">
        <f t="shared" si="12"/>
        <v>PARS TU51401</v>
      </c>
      <c r="X776">
        <f>VLOOKUP(W776,Sheet10!D:F,2,0)*10000000</f>
        <v>5250000000</v>
      </c>
      <c r="Y776" t="s">
        <v>74</v>
      </c>
    </row>
    <row r="777" spans="1:25" x14ac:dyDescent="0.25">
      <c r="A777" t="s">
        <v>3210</v>
      </c>
      <c r="B777" t="s">
        <v>4096</v>
      </c>
      <c r="C777">
        <v>285</v>
      </c>
      <c r="D777" t="s">
        <v>77</v>
      </c>
      <c r="E777" t="s">
        <v>64</v>
      </c>
      <c r="F777" t="s">
        <v>420</v>
      </c>
      <c r="H777">
        <v>22</v>
      </c>
      <c r="I777">
        <v>1401</v>
      </c>
      <c r="J777" t="s">
        <v>4097</v>
      </c>
      <c r="K777" t="s">
        <v>4098</v>
      </c>
      <c r="M777" t="s">
        <v>198</v>
      </c>
      <c r="N777">
        <v>28527</v>
      </c>
      <c r="O777" t="s">
        <v>70</v>
      </c>
      <c r="Q777" t="s">
        <v>3214</v>
      </c>
      <c r="R777" t="s">
        <v>4099</v>
      </c>
      <c r="S777" t="s">
        <v>4100</v>
      </c>
      <c r="T777" s="6">
        <v>3500000000</v>
      </c>
      <c r="U777" s="45">
        <f>VLOOKUP(B777,realPrices!C:G,5,0)</f>
        <v>4129999999</v>
      </c>
      <c r="W777" t="str">
        <f t="shared" si="12"/>
        <v>PARS TU51401</v>
      </c>
      <c r="X777">
        <f>VLOOKUP(W777,Sheet10!D:F,2,0)*10000000</f>
        <v>5250000000</v>
      </c>
      <c r="Y777" t="s">
        <v>74</v>
      </c>
    </row>
    <row r="778" spans="1:25" x14ac:dyDescent="0.25">
      <c r="A778" t="s">
        <v>3210</v>
      </c>
      <c r="B778" t="s">
        <v>4101</v>
      </c>
      <c r="C778">
        <v>285</v>
      </c>
      <c r="D778" t="s">
        <v>77</v>
      </c>
      <c r="E778" t="s">
        <v>64</v>
      </c>
      <c r="F778" t="s">
        <v>420</v>
      </c>
      <c r="H778">
        <v>22</v>
      </c>
      <c r="I778">
        <v>1401</v>
      </c>
      <c r="J778" t="s">
        <v>4102</v>
      </c>
      <c r="K778" t="s">
        <v>4103</v>
      </c>
      <c r="M778" t="s">
        <v>198</v>
      </c>
      <c r="N778">
        <v>28527</v>
      </c>
      <c r="O778" t="s">
        <v>70</v>
      </c>
      <c r="Q778" t="s">
        <v>3214</v>
      </c>
      <c r="R778" t="s">
        <v>4104</v>
      </c>
      <c r="S778" t="s">
        <v>4105</v>
      </c>
      <c r="T778" s="6">
        <v>3500000000</v>
      </c>
      <c r="U778" s="45">
        <f>VLOOKUP(B778,realPrices!C:G,5,0)</f>
        <v>4242099999</v>
      </c>
      <c r="W778" t="str">
        <f t="shared" si="12"/>
        <v>PARS TU51401</v>
      </c>
      <c r="X778">
        <f>VLOOKUP(W778,Sheet10!D:F,2,0)*10000000</f>
        <v>5250000000</v>
      </c>
      <c r="Y778" t="s">
        <v>74</v>
      </c>
    </row>
    <row r="779" spans="1:25" x14ac:dyDescent="0.25">
      <c r="A779" t="s">
        <v>3210</v>
      </c>
      <c r="B779" t="s">
        <v>4106</v>
      </c>
      <c r="C779">
        <v>285</v>
      </c>
      <c r="D779" t="s">
        <v>77</v>
      </c>
      <c r="E779" t="s">
        <v>64</v>
      </c>
      <c r="F779" t="s">
        <v>420</v>
      </c>
      <c r="H779">
        <v>21</v>
      </c>
      <c r="I779">
        <v>1401</v>
      </c>
      <c r="J779" t="s">
        <v>4107</v>
      </c>
      <c r="K779" t="s">
        <v>4108</v>
      </c>
      <c r="M779" t="s">
        <v>198</v>
      </c>
      <c r="N779">
        <v>28527</v>
      </c>
      <c r="O779" t="s">
        <v>70</v>
      </c>
      <c r="Q779" t="s">
        <v>3214</v>
      </c>
      <c r="R779" t="s">
        <v>4109</v>
      </c>
      <c r="S779" t="s">
        <v>4110</v>
      </c>
      <c r="T779" s="6">
        <v>3500000000</v>
      </c>
      <c r="U779" s="45">
        <f>VLOOKUP(B779,realPrices!C:G,5,0)</f>
        <v>4381111112</v>
      </c>
      <c r="W779" t="str">
        <f t="shared" si="12"/>
        <v>PARS TU51401</v>
      </c>
      <c r="X779">
        <f>VLOOKUP(W779,Sheet10!D:F,2,0)*10000000</f>
        <v>5250000000</v>
      </c>
      <c r="Y779" t="s">
        <v>74</v>
      </c>
    </row>
    <row r="780" spans="1:25" x14ac:dyDescent="0.25">
      <c r="A780" t="s">
        <v>3210</v>
      </c>
      <c r="B780" t="s">
        <v>4111</v>
      </c>
      <c r="C780">
        <v>285</v>
      </c>
      <c r="D780" t="s">
        <v>77</v>
      </c>
      <c r="E780" t="s">
        <v>64</v>
      </c>
      <c r="F780" t="s">
        <v>420</v>
      </c>
      <c r="H780">
        <v>21</v>
      </c>
      <c r="I780">
        <v>1401</v>
      </c>
      <c r="J780" t="s">
        <v>4112</v>
      </c>
      <c r="K780" t="s">
        <v>4108</v>
      </c>
      <c r="M780" t="s">
        <v>198</v>
      </c>
      <c r="N780">
        <v>28527</v>
      </c>
      <c r="O780" t="s">
        <v>70</v>
      </c>
      <c r="Q780" t="s">
        <v>3214</v>
      </c>
      <c r="R780" t="s">
        <v>4113</v>
      </c>
      <c r="S780" t="s">
        <v>4114</v>
      </c>
      <c r="T780" s="6">
        <v>3500000000</v>
      </c>
      <c r="U780" s="45">
        <f>VLOOKUP(B780,realPrices!C:G,5,0)</f>
        <v>4210099999</v>
      </c>
      <c r="W780" t="str">
        <f t="shared" si="12"/>
        <v>PARS TU51401</v>
      </c>
      <c r="X780">
        <f>VLOOKUP(W780,Sheet10!D:F,2,0)*10000000</f>
        <v>5250000000</v>
      </c>
      <c r="Y780" t="s">
        <v>74</v>
      </c>
    </row>
    <row r="781" spans="1:25" x14ac:dyDescent="0.25">
      <c r="A781" t="s">
        <v>3210</v>
      </c>
      <c r="B781" t="s">
        <v>4115</v>
      </c>
      <c r="C781">
        <v>285</v>
      </c>
      <c r="D781" t="s">
        <v>77</v>
      </c>
      <c r="E781" t="s">
        <v>64</v>
      </c>
      <c r="F781" t="s">
        <v>420</v>
      </c>
      <c r="H781">
        <v>20</v>
      </c>
      <c r="I781">
        <v>1401</v>
      </c>
      <c r="J781" t="s">
        <v>4116</v>
      </c>
      <c r="K781" t="s">
        <v>4117</v>
      </c>
      <c r="M781" t="s">
        <v>198</v>
      </c>
      <c r="N781">
        <v>28527</v>
      </c>
      <c r="O781" t="s">
        <v>70</v>
      </c>
      <c r="Q781" t="s">
        <v>3214</v>
      </c>
      <c r="R781" t="s">
        <v>4118</v>
      </c>
      <c r="S781" t="s">
        <v>4119</v>
      </c>
      <c r="T781" s="6">
        <v>3500000000</v>
      </c>
      <c r="U781" s="45">
        <f>VLOOKUP(B781,realPrices!C:G,5,0)</f>
        <v>4400000000</v>
      </c>
      <c r="W781" t="str">
        <f t="shared" si="12"/>
        <v>PARS TU51401</v>
      </c>
      <c r="X781">
        <f>VLOOKUP(W781,Sheet10!D:F,2,0)*10000000</f>
        <v>5250000000</v>
      </c>
      <c r="Y781" t="s">
        <v>74</v>
      </c>
    </row>
    <row r="782" spans="1:25" x14ac:dyDescent="0.25">
      <c r="A782" t="s">
        <v>3210</v>
      </c>
      <c r="B782" t="s">
        <v>4120</v>
      </c>
      <c r="C782">
        <v>285</v>
      </c>
      <c r="D782" t="s">
        <v>77</v>
      </c>
      <c r="E782" t="s">
        <v>64</v>
      </c>
      <c r="F782" t="s">
        <v>420</v>
      </c>
      <c r="H782">
        <v>20</v>
      </c>
      <c r="I782">
        <v>1401</v>
      </c>
      <c r="J782" t="s">
        <v>4121</v>
      </c>
      <c r="K782" t="s">
        <v>4122</v>
      </c>
      <c r="M782" t="s">
        <v>198</v>
      </c>
      <c r="N782">
        <v>28527</v>
      </c>
      <c r="O782" t="s">
        <v>70</v>
      </c>
      <c r="Q782" t="s">
        <v>3214</v>
      </c>
      <c r="R782" t="s">
        <v>4123</v>
      </c>
      <c r="S782" t="s">
        <v>4124</v>
      </c>
      <c r="T782" s="6">
        <v>3500000000</v>
      </c>
      <c r="U782" s="45">
        <f>VLOOKUP(B782,realPrices!C:G,5,0)</f>
        <v>3900000880</v>
      </c>
      <c r="W782" t="str">
        <f t="shared" si="12"/>
        <v>PARS TU51401</v>
      </c>
      <c r="X782">
        <f>VLOOKUP(W782,Sheet10!D:F,2,0)*10000000</f>
        <v>5250000000</v>
      </c>
      <c r="Y782" t="s">
        <v>74</v>
      </c>
    </row>
    <row r="783" spans="1:25" x14ac:dyDescent="0.25">
      <c r="A783" t="s">
        <v>3210</v>
      </c>
      <c r="B783" t="s">
        <v>4125</v>
      </c>
      <c r="C783">
        <v>285</v>
      </c>
      <c r="D783" t="s">
        <v>77</v>
      </c>
      <c r="E783" t="s">
        <v>64</v>
      </c>
      <c r="F783" t="s">
        <v>420</v>
      </c>
      <c r="H783">
        <v>20</v>
      </c>
      <c r="I783">
        <v>1401</v>
      </c>
      <c r="J783" t="s">
        <v>4126</v>
      </c>
      <c r="K783" t="s">
        <v>4127</v>
      </c>
      <c r="M783" t="s">
        <v>198</v>
      </c>
      <c r="N783">
        <v>28527</v>
      </c>
      <c r="O783" t="s">
        <v>70</v>
      </c>
      <c r="Q783" t="s">
        <v>3214</v>
      </c>
      <c r="R783" t="s">
        <v>4128</v>
      </c>
      <c r="S783" t="s">
        <v>375</v>
      </c>
      <c r="T783" s="6">
        <v>3500000000</v>
      </c>
      <c r="U783" s="45">
        <f>VLOOKUP(B783,realPrices!C:G,5,0)</f>
        <v>4109999999</v>
      </c>
      <c r="W783" t="str">
        <f t="shared" si="12"/>
        <v>PARS TU51401</v>
      </c>
      <c r="X783">
        <f>VLOOKUP(W783,Sheet10!D:F,2,0)*10000000</f>
        <v>5250000000</v>
      </c>
      <c r="Y783" t="s">
        <v>74</v>
      </c>
    </row>
    <row r="784" spans="1:25" x14ac:dyDescent="0.25">
      <c r="A784" t="s">
        <v>3210</v>
      </c>
      <c r="B784" t="s">
        <v>4129</v>
      </c>
      <c r="C784">
        <v>285</v>
      </c>
      <c r="D784" t="s">
        <v>77</v>
      </c>
      <c r="E784" t="s">
        <v>64</v>
      </c>
      <c r="F784" t="s">
        <v>420</v>
      </c>
      <c r="H784">
        <v>20</v>
      </c>
      <c r="I784">
        <v>1401</v>
      </c>
      <c r="J784" t="s">
        <v>4130</v>
      </c>
      <c r="K784" t="s">
        <v>4131</v>
      </c>
      <c r="M784" t="s">
        <v>198</v>
      </c>
      <c r="N784">
        <v>28527</v>
      </c>
      <c r="O784" t="s">
        <v>70</v>
      </c>
      <c r="Q784" t="s">
        <v>3214</v>
      </c>
      <c r="R784" t="s">
        <v>4132</v>
      </c>
      <c r="S784" t="s">
        <v>4133</v>
      </c>
      <c r="T784" s="6">
        <v>3500000000</v>
      </c>
      <c r="U784" s="45">
        <f>VLOOKUP(B784,realPrices!C:G,5,0)</f>
        <v>4399999999</v>
      </c>
      <c r="W784" t="str">
        <f t="shared" si="12"/>
        <v>PARS TU51401</v>
      </c>
      <c r="X784">
        <f>VLOOKUP(W784,Sheet10!D:F,2,0)*10000000</f>
        <v>5250000000</v>
      </c>
      <c r="Y784" t="s">
        <v>74</v>
      </c>
    </row>
    <row r="785" spans="1:25" x14ac:dyDescent="0.25">
      <c r="A785" t="s">
        <v>3210</v>
      </c>
      <c r="B785" t="s">
        <v>4134</v>
      </c>
      <c r="C785">
        <v>285</v>
      </c>
      <c r="D785" t="s">
        <v>77</v>
      </c>
      <c r="E785" t="s">
        <v>64</v>
      </c>
      <c r="F785" t="s">
        <v>420</v>
      </c>
      <c r="H785">
        <v>30</v>
      </c>
      <c r="I785">
        <v>1401</v>
      </c>
      <c r="J785" t="s">
        <v>4135</v>
      </c>
      <c r="K785" t="s">
        <v>4136</v>
      </c>
      <c r="M785" t="s">
        <v>198</v>
      </c>
      <c r="N785">
        <v>28527</v>
      </c>
      <c r="O785" t="s">
        <v>70</v>
      </c>
      <c r="Q785" t="s">
        <v>3214</v>
      </c>
      <c r="R785" t="s">
        <v>4137</v>
      </c>
      <c r="S785" t="s">
        <v>284</v>
      </c>
      <c r="T785" s="6">
        <v>3500000000</v>
      </c>
      <c r="U785" s="45">
        <f>VLOOKUP(B785,realPrices!C:G,5,0)</f>
        <v>3983000000</v>
      </c>
      <c r="W785" t="str">
        <f t="shared" si="12"/>
        <v>PARS TU51401</v>
      </c>
      <c r="X785">
        <f>VLOOKUP(W785,Sheet10!D:F,2,0)*10000000</f>
        <v>5250000000</v>
      </c>
      <c r="Y785" t="s">
        <v>74</v>
      </c>
    </row>
    <row r="786" spans="1:25" x14ac:dyDescent="0.25">
      <c r="A786" t="s">
        <v>3210</v>
      </c>
      <c r="B786" t="s">
        <v>4138</v>
      </c>
      <c r="C786">
        <v>285</v>
      </c>
      <c r="D786" t="s">
        <v>77</v>
      </c>
      <c r="E786" t="s">
        <v>64</v>
      </c>
      <c r="F786" t="s">
        <v>420</v>
      </c>
      <c r="H786">
        <v>29</v>
      </c>
      <c r="I786">
        <v>1401</v>
      </c>
      <c r="J786" t="s">
        <v>4139</v>
      </c>
      <c r="K786" t="s">
        <v>4140</v>
      </c>
      <c r="M786" t="s">
        <v>198</v>
      </c>
      <c r="N786">
        <v>28527</v>
      </c>
      <c r="O786" t="s">
        <v>70</v>
      </c>
      <c r="Q786" t="s">
        <v>3214</v>
      </c>
      <c r="R786" t="s">
        <v>4141</v>
      </c>
      <c r="S786" t="s">
        <v>4142</v>
      </c>
      <c r="T786" s="6">
        <v>3500000000</v>
      </c>
      <c r="U786" s="45">
        <f>VLOOKUP(B786,realPrices!C:G,5,0)</f>
        <v>4221555000</v>
      </c>
      <c r="W786" t="str">
        <f t="shared" si="12"/>
        <v>PARS TU51401</v>
      </c>
      <c r="X786">
        <f>VLOOKUP(W786,Sheet10!D:F,2,0)*10000000</f>
        <v>5250000000</v>
      </c>
      <c r="Y786" t="s">
        <v>74</v>
      </c>
    </row>
    <row r="787" spans="1:25" x14ac:dyDescent="0.25">
      <c r="A787" t="s">
        <v>3210</v>
      </c>
      <c r="B787" t="s">
        <v>4143</v>
      </c>
      <c r="C787">
        <v>285</v>
      </c>
      <c r="D787" t="s">
        <v>77</v>
      </c>
      <c r="E787" t="s">
        <v>64</v>
      </c>
      <c r="F787" t="s">
        <v>420</v>
      </c>
      <c r="H787">
        <v>27</v>
      </c>
      <c r="I787">
        <v>1401</v>
      </c>
      <c r="J787" t="s">
        <v>4144</v>
      </c>
      <c r="K787" t="s">
        <v>4010</v>
      </c>
      <c r="M787" t="s">
        <v>198</v>
      </c>
      <c r="N787">
        <v>28527</v>
      </c>
      <c r="O787" t="s">
        <v>70</v>
      </c>
      <c r="Q787" t="s">
        <v>3214</v>
      </c>
      <c r="R787" t="s">
        <v>4145</v>
      </c>
      <c r="S787" t="s">
        <v>4146</v>
      </c>
      <c r="T787" s="6">
        <v>3500000000</v>
      </c>
      <c r="U787" s="45">
        <f>VLOOKUP(B787,realPrices!C:G,5,0)</f>
        <v>4410000000</v>
      </c>
      <c r="W787" t="str">
        <f t="shared" si="12"/>
        <v>PARS TU51401</v>
      </c>
      <c r="X787">
        <f>VLOOKUP(W787,Sheet10!D:F,2,0)*10000000</f>
        <v>5250000000</v>
      </c>
      <c r="Y787" t="s">
        <v>74</v>
      </c>
    </row>
    <row r="788" spans="1:25" x14ac:dyDescent="0.25">
      <c r="A788" t="s">
        <v>3210</v>
      </c>
      <c r="B788" t="s">
        <v>4147</v>
      </c>
      <c r="C788">
        <v>285</v>
      </c>
      <c r="D788" t="s">
        <v>77</v>
      </c>
      <c r="E788" t="s">
        <v>64</v>
      </c>
      <c r="F788" t="s">
        <v>420</v>
      </c>
      <c r="H788">
        <v>33</v>
      </c>
      <c r="I788">
        <v>1401</v>
      </c>
      <c r="J788" t="s">
        <v>4148</v>
      </c>
      <c r="K788" t="s">
        <v>4149</v>
      </c>
      <c r="M788" t="s">
        <v>198</v>
      </c>
      <c r="N788">
        <v>28527</v>
      </c>
      <c r="O788" t="s">
        <v>70</v>
      </c>
      <c r="Q788" t="s">
        <v>3214</v>
      </c>
      <c r="R788" t="s">
        <v>4150</v>
      </c>
      <c r="S788" t="s">
        <v>4151</v>
      </c>
      <c r="T788" s="6">
        <v>3500000000</v>
      </c>
      <c r="U788" s="45">
        <f>VLOOKUP(B788,realPrices!C:G,5,0)</f>
        <v>4333000000</v>
      </c>
      <c r="W788" t="str">
        <f t="shared" si="12"/>
        <v>PARS TU51401</v>
      </c>
      <c r="X788">
        <f>VLOOKUP(W788,Sheet10!D:F,2,0)*10000000</f>
        <v>5250000000</v>
      </c>
      <c r="Y788" t="s">
        <v>74</v>
      </c>
    </row>
    <row r="789" spans="1:25" x14ac:dyDescent="0.25">
      <c r="A789" t="s">
        <v>3210</v>
      </c>
      <c r="B789" t="s">
        <v>4152</v>
      </c>
      <c r="C789">
        <v>285</v>
      </c>
      <c r="D789" t="s">
        <v>77</v>
      </c>
      <c r="E789" t="s">
        <v>64</v>
      </c>
      <c r="F789" t="s">
        <v>420</v>
      </c>
      <c r="H789">
        <v>32</v>
      </c>
      <c r="I789">
        <v>1401</v>
      </c>
      <c r="J789" t="s">
        <v>4153</v>
      </c>
      <c r="K789" t="s">
        <v>4154</v>
      </c>
      <c r="M789" t="s">
        <v>198</v>
      </c>
      <c r="N789">
        <v>28527</v>
      </c>
      <c r="O789" t="s">
        <v>70</v>
      </c>
      <c r="Q789" t="s">
        <v>3214</v>
      </c>
      <c r="R789" t="s">
        <v>4155</v>
      </c>
      <c r="S789" t="s">
        <v>4156</v>
      </c>
      <c r="T789" s="6">
        <v>3500000000</v>
      </c>
      <c r="U789" s="45">
        <f>VLOOKUP(B789,realPrices!C:G,5,0)</f>
        <v>4372150000</v>
      </c>
      <c r="W789" t="str">
        <f t="shared" si="12"/>
        <v>PARS TU51401</v>
      </c>
      <c r="X789">
        <f>VLOOKUP(W789,Sheet10!D:F,2,0)*10000000</f>
        <v>5250000000</v>
      </c>
      <c r="Y789" t="s">
        <v>74</v>
      </c>
    </row>
    <row r="790" spans="1:25" x14ac:dyDescent="0.25">
      <c r="A790" t="s">
        <v>3210</v>
      </c>
      <c r="B790" t="s">
        <v>4157</v>
      </c>
      <c r="C790">
        <v>285</v>
      </c>
      <c r="D790" t="s">
        <v>77</v>
      </c>
      <c r="E790" t="s">
        <v>64</v>
      </c>
      <c r="F790" t="s">
        <v>420</v>
      </c>
      <c r="H790">
        <v>30</v>
      </c>
      <c r="I790">
        <v>1401</v>
      </c>
      <c r="J790" t="s">
        <v>4158</v>
      </c>
      <c r="K790" t="s">
        <v>4159</v>
      </c>
      <c r="M790" t="s">
        <v>198</v>
      </c>
      <c r="N790">
        <v>28527</v>
      </c>
      <c r="O790" t="s">
        <v>70</v>
      </c>
      <c r="Q790" t="s">
        <v>3214</v>
      </c>
      <c r="R790" t="s">
        <v>4160</v>
      </c>
      <c r="S790" t="s">
        <v>4161</v>
      </c>
      <c r="T790" s="6">
        <v>3500000000</v>
      </c>
      <c r="U790" s="45">
        <f>VLOOKUP(B790,realPrices!C:G,5,0)</f>
        <v>4259999999</v>
      </c>
      <c r="W790" t="str">
        <f t="shared" si="12"/>
        <v>PARS TU51401</v>
      </c>
      <c r="X790">
        <f>VLOOKUP(W790,Sheet10!D:F,2,0)*10000000</f>
        <v>5250000000</v>
      </c>
      <c r="Y790" t="s">
        <v>74</v>
      </c>
    </row>
    <row r="791" spans="1:25" x14ac:dyDescent="0.25">
      <c r="A791" t="s">
        <v>3210</v>
      </c>
      <c r="B791" t="s">
        <v>4162</v>
      </c>
      <c r="C791">
        <v>285</v>
      </c>
      <c r="D791" t="s">
        <v>77</v>
      </c>
      <c r="E791" t="s">
        <v>64</v>
      </c>
      <c r="F791" t="s">
        <v>420</v>
      </c>
      <c r="H791">
        <v>29</v>
      </c>
      <c r="I791">
        <v>1401</v>
      </c>
      <c r="J791" t="s">
        <v>4163</v>
      </c>
      <c r="K791" t="s">
        <v>4164</v>
      </c>
      <c r="M791" t="s">
        <v>198</v>
      </c>
      <c r="N791">
        <v>28527</v>
      </c>
      <c r="O791" t="s">
        <v>70</v>
      </c>
      <c r="Q791" t="s">
        <v>3214</v>
      </c>
      <c r="R791" t="s">
        <v>4165</v>
      </c>
      <c r="S791" t="s">
        <v>4166</v>
      </c>
      <c r="T791" s="6">
        <v>3500000000</v>
      </c>
      <c r="U791" s="45">
        <f>VLOOKUP(B791,realPrices!C:G,5,0)</f>
        <v>4233332220</v>
      </c>
      <c r="W791" t="str">
        <f t="shared" si="12"/>
        <v>PARS TU51401</v>
      </c>
      <c r="X791">
        <f>VLOOKUP(W791,Sheet10!D:F,2,0)*10000000</f>
        <v>5250000000</v>
      </c>
      <c r="Y791" t="s">
        <v>74</v>
      </c>
    </row>
    <row r="792" spans="1:25" x14ac:dyDescent="0.25">
      <c r="A792" t="s">
        <v>3210</v>
      </c>
      <c r="B792" t="s">
        <v>4167</v>
      </c>
      <c r="C792">
        <v>285</v>
      </c>
      <c r="D792" t="s">
        <v>77</v>
      </c>
      <c r="E792" t="s">
        <v>64</v>
      </c>
      <c r="F792" t="s">
        <v>420</v>
      </c>
      <c r="H792">
        <v>29</v>
      </c>
      <c r="I792">
        <v>1401</v>
      </c>
      <c r="J792" t="s">
        <v>4168</v>
      </c>
      <c r="K792" t="s">
        <v>4169</v>
      </c>
      <c r="M792" t="s">
        <v>198</v>
      </c>
      <c r="N792">
        <v>28527</v>
      </c>
      <c r="O792" t="s">
        <v>70</v>
      </c>
      <c r="Q792" t="s">
        <v>3214</v>
      </c>
      <c r="R792" t="s">
        <v>4170</v>
      </c>
      <c r="S792" t="s">
        <v>4171</v>
      </c>
      <c r="T792" s="6">
        <v>3500000000</v>
      </c>
      <c r="U792" s="45">
        <f>VLOOKUP(B792,realPrices!C:G,5,0)</f>
        <v>4335000000</v>
      </c>
      <c r="W792" t="str">
        <f t="shared" si="12"/>
        <v>PARS TU51401</v>
      </c>
      <c r="X792">
        <f>VLOOKUP(W792,Sheet10!D:F,2,0)*10000000</f>
        <v>5250000000</v>
      </c>
      <c r="Y792" t="s">
        <v>74</v>
      </c>
    </row>
    <row r="793" spans="1:25" x14ac:dyDescent="0.25">
      <c r="A793" t="s">
        <v>3210</v>
      </c>
      <c r="B793" t="s">
        <v>4172</v>
      </c>
      <c r="C793">
        <v>285</v>
      </c>
      <c r="D793" t="s">
        <v>77</v>
      </c>
      <c r="E793" t="s">
        <v>64</v>
      </c>
      <c r="F793" t="s">
        <v>420</v>
      </c>
      <c r="H793">
        <v>27</v>
      </c>
      <c r="I793">
        <v>1401</v>
      </c>
      <c r="J793" t="s">
        <v>4173</v>
      </c>
      <c r="K793" t="s">
        <v>4174</v>
      </c>
      <c r="M793" t="s">
        <v>198</v>
      </c>
      <c r="N793">
        <v>28527</v>
      </c>
      <c r="O793" t="s">
        <v>70</v>
      </c>
      <c r="Q793" t="s">
        <v>3214</v>
      </c>
      <c r="R793" t="s">
        <v>4175</v>
      </c>
      <c r="S793" t="s">
        <v>4176</v>
      </c>
      <c r="T793" s="6">
        <v>3500000000</v>
      </c>
      <c r="U793" s="45">
        <f>VLOOKUP(B793,realPrices!C:G,5,0)</f>
        <v>4340000000</v>
      </c>
      <c r="W793" t="str">
        <f t="shared" si="12"/>
        <v>PARS TU51401</v>
      </c>
      <c r="X793">
        <f>VLOOKUP(W793,Sheet10!D:F,2,0)*10000000</f>
        <v>5250000000</v>
      </c>
      <c r="Y793" t="s">
        <v>74</v>
      </c>
    </row>
    <row r="794" spans="1:25" x14ac:dyDescent="0.25">
      <c r="A794" t="s">
        <v>3210</v>
      </c>
      <c r="B794" t="s">
        <v>4177</v>
      </c>
      <c r="C794">
        <v>285</v>
      </c>
      <c r="D794" t="s">
        <v>77</v>
      </c>
      <c r="E794" t="s">
        <v>64</v>
      </c>
      <c r="F794" t="s">
        <v>420</v>
      </c>
      <c r="H794">
        <v>27</v>
      </c>
      <c r="I794">
        <v>1401</v>
      </c>
      <c r="J794" t="s">
        <v>4178</v>
      </c>
      <c r="K794" t="s">
        <v>4179</v>
      </c>
      <c r="M794" t="s">
        <v>198</v>
      </c>
      <c r="N794">
        <v>28527</v>
      </c>
      <c r="O794" t="s">
        <v>70</v>
      </c>
      <c r="Q794" t="s">
        <v>3214</v>
      </c>
      <c r="R794" t="s">
        <v>4180</v>
      </c>
      <c r="S794" t="s">
        <v>4181</v>
      </c>
      <c r="T794" s="6">
        <v>3500000000</v>
      </c>
      <c r="U794" s="45">
        <f>VLOOKUP(B794,realPrices!C:G,5,0)</f>
        <v>4046000000</v>
      </c>
      <c r="W794" t="str">
        <f t="shared" si="12"/>
        <v>PARS TU51401</v>
      </c>
      <c r="X794">
        <f>VLOOKUP(W794,Sheet10!D:F,2,0)*10000000</f>
        <v>5250000000</v>
      </c>
      <c r="Y794" t="s">
        <v>74</v>
      </c>
    </row>
    <row r="795" spans="1:25" x14ac:dyDescent="0.25">
      <c r="A795" t="s">
        <v>3210</v>
      </c>
      <c r="B795" t="s">
        <v>4182</v>
      </c>
      <c r="C795">
        <v>285</v>
      </c>
      <c r="D795" t="s">
        <v>77</v>
      </c>
      <c r="E795" t="s">
        <v>64</v>
      </c>
      <c r="F795" t="s">
        <v>420</v>
      </c>
      <c r="H795">
        <v>39</v>
      </c>
      <c r="I795">
        <v>1401</v>
      </c>
      <c r="J795" t="s">
        <v>4183</v>
      </c>
      <c r="K795" t="s">
        <v>4184</v>
      </c>
      <c r="M795" t="s">
        <v>198</v>
      </c>
      <c r="N795">
        <v>28527</v>
      </c>
      <c r="O795" t="s">
        <v>70</v>
      </c>
      <c r="Q795" t="s">
        <v>3214</v>
      </c>
      <c r="R795" t="s">
        <v>4185</v>
      </c>
      <c r="S795" t="s">
        <v>237</v>
      </c>
      <c r="T795" s="6">
        <v>3500000000</v>
      </c>
      <c r="U795" s="45">
        <f>VLOOKUP(B795,realPrices!C:G,5,0)</f>
        <v>3889900000</v>
      </c>
      <c r="W795" t="str">
        <f t="shared" si="12"/>
        <v>PARS TU51401</v>
      </c>
      <c r="X795">
        <f>VLOOKUP(W795,Sheet10!D:F,2,0)*10000000</f>
        <v>5250000000</v>
      </c>
      <c r="Y795" t="s">
        <v>74</v>
      </c>
    </row>
    <row r="796" spans="1:25" x14ac:dyDescent="0.25">
      <c r="A796" t="s">
        <v>3210</v>
      </c>
      <c r="B796" t="s">
        <v>4186</v>
      </c>
      <c r="C796">
        <v>285</v>
      </c>
      <c r="D796" t="s">
        <v>77</v>
      </c>
      <c r="E796" t="s">
        <v>64</v>
      </c>
      <c r="F796" t="s">
        <v>420</v>
      </c>
      <c r="H796">
        <v>39</v>
      </c>
      <c r="I796">
        <v>1401</v>
      </c>
      <c r="J796" t="s">
        <v>4187</v>
      </c>
      <c r="K796" t="s">
        <v>4188</v>
      </c>
      <c r="M796" t="s">
        <v>198</v>
      </c>
      <c r="N796">
        <v>28527</v>
      </c>
      <c r="O796" t="s">
        <v>70</v>
      </c>
      <c r="Q796" t="s">
        <v>3214</v>
      </c>
      <c r="R796" t="s">
        <v>4189</v>
      </c>
      <c r="S796" t="s">
        <v>2475</v>
      </c>
      <c r="T796" s="6">
        <v>3500000000</v>
      </c>
      <c r="U796" s="45">
        <f>VLOOKUP(B796,realPrices!C:G,5,0)</f>
        <v>4251111111</v>
      </c>
      <c r="W796" t="str">
        <f t="shared" si="12"/>
        <v>PARS TU51401</v>
      </c>
      <c r="X796">
        <f>VLOOKUP(W796,Sheet10!D:F,2,0)*10000000</f>
        <v>5250000000</v>
      </c>
      <c r="Y796" t="s">
        <v>74</v>
      </c>
    </row>
    <row r="797" spans="1:25" x14ac:dyDescent="0.25">
      <c r="A797" t="s">
        <v>3210</v>
      </c>
      <c r="B797" t="s">
        <v>4190</v>
      </c>
      <c r="C797">
        <v>285</v>
      </c>
      <c r="D797" t="s">
        <v>77</v>
      </c>
      <c r="E797" t="s">
        <v>64</v>
      </c>
      <c r="F797" t="s">
        <v>420</v>
      </c>
      <c r="H797">
        <v>34</v>
      </c>
      <c r="I797">
        <v>1401</v>
      </c>
      <c r="J797" t="s">
        <v>4191</v>
      </c>
      <c r="K797" t="s">
        <v>4192</v>
      </c>
      <c r="M797" t="s">
        <v>198</v>
      </c>
      <c r="N797">
        <v>28527</v>
      </c>
      <c r="O797" t="s">
        <v>70</v>
      </c>
      <c r="Q797" t="s">
        <v>3214</v>
      </c>
      <c r="R797" t="s">
        <v>4193</v>
      </c>
      <c r="S797" t="s">
        <v>4194</v>
      </c>
      <c r="T797" s="6">
        <v>3500000000</v>
      </c>
      <c r="U797" s="45">
        <f>VLOOKUP(B797,realPrices!C:G,5,0)</f>
        <v>4215263253</v>
      </c>
      <c r="W797" t="str">
        <f t="shared" si="12"/>
        <v>PARS TU51401</v>
      </c>
      <c r="X797">
        <f>VLOOKUP(W797,Sheet10!D:F,2,0)*10000000</f>
        <v>5250000000</v>
      </c>
      <c r="Y797" t="s">
        <v>74</v>
      </c>
    </row>
    <row r="798" spans="1:25" x14ac:dyDescent="0.25">
      <c r="A798" t="s">
        <v>3210</v>
      </c>
      <c r="B798" t="s">
        <v>4195</v>
      </c>
      <c r="C798">
        <v>285</v>
      </c>
      <c r="D798" t="s">
        <v>77</v>
      </c>
      <c r="E798" t="s">
        <v>64</v>
      </c>
      <c r="F798" t="s">
        <v>420</v>
      </c>
      <c r="H798">
        <v>39</v>
      </c>
      <c r="I798">
        <v>1401</v>
      </c>
      <c r="J798" t="s">
        <v>4196</v>
      </c>
      <c r="K798" t="s">
        <v>4197</v>
      </c>
      <c r="M798" t="s">
        <v>198</v>
      </c>
      <c r="N798">
        <v>28527</v>
      </c>
      <c r="O798" t="s">
        <v>70</v>
      </c>
      <c r="Q798" t="s">
        <v>3214</v>
      </c>
      <c r="R798" t="s">
        <v>4198</v>
      </c>
      <c r="S798" t="s">
        <v>4199</v>
      </c>
      <c r="T798" s="6">
        <v>3500000000</v>
      </c>
      <c r="U798" s="45">
        <f>VLOOKUP(B798,realPrices!C:G,5,0)</f>
        <v>4019999000</v>
      </c>
      <c r="W798" t="str">
        <f t="shared" si="12"/>
        <v>PARS TU51401</v>
      </c>
      <c r="X798">
        <f>VLOOKUP(W798,Sheet10!D:F,2,0)*10000000</f>
        <v>5250000000</v>
      </c>
      <c r="Y798" t="s">
        <v>74</v>
      </c>
    </row>
    <row r="799" spans="1:25" x14ac:dyDescent="0.25">
      <c r="A799" t="s">
        <v>3210</v>
      </c>
      <c r="B799" t="s">
        <v>4200</v>
      </c>
      <c r="C799">
        <v>285</v>
      </c>
      <c r="D799" t="s">
        <v>77</v>
      </c>
      <c r="E799" t="s">
        <v>64</v>
      </c>
      <c r="F799" t="s">
        <v>420</v>
      </c>
      <c r="H799">
        <v>36</v>
      </c>
      <c r="I799">
        <v>1401</v>
      </c>
      <c r="J799" t="s">
        <v>4201</v>
      </c>
      <c r="K799" t="s">
        <v>4202</v>
      </c>
      <c r="M799" t="s">
        <v>198</v>
      </c>
      <c r="N799">
        <v>28527</v>
      </c>
      <c r="O799" t="s">
        <v>70</v>
      </c>
      <c r="Q799" t="s">
        <v>3214</v>
      </c>
      <c r="R799" t="s">
        <v>4203</v>
      </c>
      <c r="S799" t="s">
        <v>4204</v>
      </c>
      <c r="T799" s="6">
        <v>3500000000</v>
      </c>
      <c r="U799" s="45">
        <f>VLOOKUP(B799,realPrices!C:G,5,0)</f>
        <v>4388888888</v>
      </c>
      <c r="W799" t="str">
        <f t="shared" si="12"/>
        <v>PARS TU51401</v>
      </c>
      <c r="X799">
        <f>VLOOKUP(W799,Sheet10!D:F,2,0)*10000000</f>
        <v>5250000000</v>
      </c>
      <c r="Y799" t="s">
        <v>74</v>
      </c>
    </row>
    <row r="800" spans="1:25" x14ac:dyDescent="0.25">
      <c r="A800" t="s">
        <v>3210</v>
      </c>
      <c r="B800" t="s">
        <v>4205</v>
      </c>
      <c r="C800">
        <v>285</v>
      </c>
      <c r="D800" t="s">
        <v>77</v>
      </c>
      <c r="E800" t="s">
        <v>64</v>
      </c>
      <c r="F800" t="s">
        <v>420</v>
      </c>
      <c r="H800">
        <v>34</v>
      </c>
      <c r="I800">
        <v>1401</v>
      </c>
      <c r="J800" t="s">
        <v>4206</v>
      </c>
      <c r="K800" t="s">
        <v>4207</v>
      </c>
      <c r="M800" t="s">
        <v>198</v>
      </c>
      <c r="N800">
        <v>28527</v>
      </c>
      <c r="O800" t="s">
        <v>70</v>
      </c>
      <c r="Q800" t="s">
        <v>3214</v>
      </c>
      <c r="R800" t="s">
        <v>4208</v>
      </c>
      <c r="S800" t="s">
        <v>4209</v>
      </c>
      <c r="T800" s="6">
        <v>3500000000</v>
      </c>
      <c r="U800" s="45">
        <f>VLOOKUP(B800,realPrices!C:G,5,0)</f>
        <v>4339999999</v>
      </c>
      <c r="W800" t="str">
        <f t="shared" si="12"/>
        <v>PARS TU51401</v>
      </c>
      <c r="X800">
        <f>VLOOKUP(W800,Sheet10!D:F,2,0)*10000000</f>
        <v>5250000000</v>
      </c>
      <c r="Y800" t="s">
        <v>74</v>
      </c>
    </row>
    <row r="801" spans="1:25" x14ac:dyDescent="0.25">
      <c r="A801" t="s">
        <v>3677</v>
      </c>
      <c r="B801" t="s">
        <v>4210</v>
      </c>
      <c r="C801">
        <v>703</v>
      </c>
      <c r="D801" t="s">
        <v>77</v>
      </c>
      <c r="E801" t="s">
        <v>64</v>
      </c>
      <c r="F801" t="s">
        <v>420</v>
      </c>
      <c r="H801">
        <v>48</v>
      </c>
      <c r="I801">
        <v>1401</v>
      </c>
      <c r="J801" t="s">
        <v>4211</v>
      </c>
      <c r="K801" t="s">
        <v>4212</v>
      </c>
      <c r="M801" t="s">
        <v>2946</v>
      </c>
      <c r="N801">
        <v>70317</v>
      </c>
      <c r="O801" t="s">
        <v>70</v>
      </c>
      <c r="Q801" t="s">
        <v>3681</v>
      </c>
      <c r="R801" t="s">
        <v>4213</v>
      </c>
      <c r="S801" t="s">
        <v>4214</v>
      </c>
      <c r="T801" s="6">
        <v>3500000000</v>
      </c>
      <c r="U801" s="45">
        <f>VLOOKUP(B801,realPrices!C:G,5,0)</f>
        <v>4850011111</v>
      </c>
      <c r="W801" t="str">
        <f t="shared" si="12"/>
        <v>DENA+EF7-MT1401</v>
      </c>
      <c r="X801" t="e">
        <f>VLOOKUP(W801,Sheet10!D:F,2,0)*10000000</f>
        <v>#N/A</v>
      </c>
      <c r="Y801" t="s">
        <v>74</v>
      </c>
    </row>
    <row r="802" spans="1:25" x14ac:dyDescent="0.25">
      <c r="A802" t="s">
        <v>3210</v>
      </c>
      <c r="B802" t="s">
        <v>4215</v>
      </c>
      <c r="C802">
        <v>285</v>
      </c>
      <c r="D802" t="s">
        <v>77</v>
      </c>
      <c r="E802" t="s">
        <v>64</v>
      </c>
      <c r="F802" t="s">
        <v>420</v>
      </c>
      <c r="H802">
        <v>45</v>
      </c>
      <c r="I802">
        <v>1401</v>
      </c>
      <c r="J802" t="s">
        <v>4216</v>
      </c>
      <c r="K802" t="s">
        <v>4217</v>
      </c>
      <c r="M802" t="s">
        <v>198</v>
      </c>
      <c r="N802">
        <v>28527</v>
      </c>
      <c r="O802" t="s">
        <v>70</v>
      </c>
      <c r="Q802" t="s">
        <v>3214</v>
      </c>
      <c r="R802" t="s">
        <v>4218</v>
      </c>
      <c r="S802" t="s">
        <v>4219</v>
      </c>
      <c r="T802" s="6">
        <v>3500000000</v>
      </c>
      <c r="U802" s="45">
        <f>VLOOKUP(B802,realPrices!C:G,5,0)</f>
        <v>4335000000</v>
      </c>
      <c r="W802" t="str">
        <f t="shared" si="12"/>
        <v>PARS TU51401</v>
      </c>
      <c r="X802">
        <f>VLOOKUP(W802,Sheet10!D:F,2,0)*10000000</f>
        <v>5250000000</v>
      </c>
      <c r="Y802" t="s">
        <v>74</v>
      </c>
    </row>
    <row r="803" spans="1:25" x14ac:dyDescent="0.25">
      <c r="A803" t="s">
        <v>3242</v>
      </c>
      <c r="B803" t="s">
        <v>4220</v>
      </c>
      <c r="C803">
        <v>600</v>
      </c>
      <c r="D803" t="s">
        <v>63</v>
      </c>
      <c r="E803" t="s">
        <v>64</v>
      </c>
      <c r="F803" t="s">
        <v>420</v>
      </c>
      <c r="H803">
        <v>43</v>
      </c>
      <c r="I803">
        <v>1401</v>
      </c>
      <c r="J803" t="s">
        <v>4221</v>
      </c>
      <c r="K803" t="s">
        <v>4222</v>
      </c>
      <c r="M803" t="s">
        <v>3246</v>
      </c>
      <c r="N803">
        <v>60010</v>
      </c>
      <c r="O803" t="s">
        <v>303</v>
      </c>
      <c r="Q803" t="s">
        <v>3247</v>
      </c>
      <c r="R803" t="s">
        <v>4223</v>
      </c>
      <c r="S803" t="s">
        <v>4224</v>
      </c>
      <c r="T803" s="6">
        <v>3500000000</v>
      </c>
      <c r="U803" s="45">
        <f>VLOOKUP(B803,realPrices!C:G,5,0)</f>
        <v>4175000000</v>
      </c>
      <c r="W803" t="str">
        <f t="shared" si="12"/>
        <v>207i-MT1401</v>
      </c>
      <c r="X803">
        <f>VLOOKUP(W803,Sheet10!D:F,2,0)*10000000</f>
        <v>5800000000</v>
      </c>
      <c r="Y803" t="s">
        <v>74</v>
      </c>
    </row>
    <row r="804" spans="1:25" x14ac:dyDescent="0.25">
      <c r="A804" t="s">
        <v>3497</v>
      </c>
      <c r="B804" t="s">
        <v>4225</v>
      </c>
      <c r="C804">
        <v>600</v>
      </c>
      <c r="D804" t="s">
        <v>77</v>
      </c>
      <c r="E804" t="s">
        <v>64</v>
      </c>
      <c r="F804" t="s">
        <v>420</v>
      </c>
      <c r="H804">
        <v>43</v>
      </c>
      <c r="I804">
        <v>1401</v>
      </c>
      <c r="J804" t="s">
        <v>4226</v>
      </c>
      <c r="K804" t="s">
        <v>4227</v>
      </c>
      <c r="M804" t="s">
        <v>3246</v>
      </c>
      <c r="N804">
        <v>60010</v>
      </c>
      <c r="O804" t="s">
        <v>303</v>
      </c>
      <c r="Q804" t="s">
        <v>3247</v>
      </c>
      <c r="R804" t="s">
        <v>4228</v>
      </c>
      <c r="S804" t="s">
        <v>4229</v>
      </c>
      <c r="T804" s="6">
        <v>3500000000</v>
      </c>
      <c r="U804" s="45">
        <f>VLOOKUP(B804,realPrices!C:G,5,0)</f>
        <v>4219999999</v>
      </c>
      <c r="W804" t="str">
        <f t="shared" si="12"/>
        <v>207i-MT1401</v>
      </c>
      <c r="X804">
        <f>VLOOKUP(W804,Sheet10!D:F,2,0)*10000000</f>
        <v>5800000000</v>
      </c>
      <c r="Y804" t="s">
        <v>74</v>
      </c>
    </row>
    <row r="805" spans="1:25" x14ac:dyDescent="0.25">
      <c r="A805" t="s">
        <v>3210</v>
      </c>
      <c r="B805" t="s">
        <v>4230</v>
      </c>
      <c r="C805">
        <v>285</v>
      </c>
      <c r="D805" t="s">
        <v>77</v>
      </c>
      <c r="E805" t="s">
        <v>64</v>
      </c>
      <c r="F805" t="s">
        <v>420</v>
      </c>
      <c r="H805">
        <v>42</v>
      </c>
      <c r="I805">
        <v>1401</v>
      </c>
      <c r="J805" t="s">
        <v>4231</v>
      </c>
      <c r="K805" t="s">
        <v>4232</v>
      </c>
      <c r="M805" t="s">
        <v>198</v>
      </c>
      <c r="N805">
        <v>28527</v>
      </c>
      <c r="O805" t="s">
        <v>70</v>
      </c>
      <c r="Q805" t="s">
        <v>3214</v>
      </c>
      <c r="R805" t="s">
        <v>4233</v>
      </c>
      <c r="S805" t="s">
        <v>4234</v>
      </c>
      <c r="T805" s="6">
        <v>3500000000</v>
      </c>
      <c r="U805" s="45">
        <f>VLOOKUP(B805,realPrices!C:G,5,0)</f>
        <v>4300000000</v>
      </c>
      <c r="W805" t="str">
        <f t="shared" si="12"/>
        <v>PARS TU51401</v>
      </c>
      <c r="X805">
        <f>VLOOKUP(W805,Sheet10!D:F,2,0)*10000000</f>
        <v>5250000000</v>
      </c>
      <c r="Y805" t="s">
        <v>74</v>
      </c>
    </row>
    <row r="806" spans="1:25" x14ac:dyDescent="0.25">
      <c r="A806" t="s">
        <v>3431</v>
      </c>
      <c r="B806" t="s">
        <v>4235</v>
      </c>
      <c r="C806">
        <v>285</v>
      </c>
      <c r="D806" t="s">
        <v>63</v>
      </c>
      <c r="E806" t="s">
        <v>64</v>
      </c>
      <c r="F806" t="s">
        <v>420</v>
      </c>
      <c r="H806">
        <v>99</v>
      </c>
      <c r="I806">
        <v>1401</v>
      </c>
      <c r="J806" t="s">
        <v>4236</v>
      </c>
      <c r="K806" t="s">
        <v>4237</v>
      </c>
      <c r="M806" t="s">
        <v>198</v>
      </c>
      <c r="N806">
        <v>28527</v>
      </c>
      <c r="O806" t="s">
        <v>70</v>
      </c>
      <c r="Q806" t="s">
        <v>3214</v>
      </c>
      <c r="R806" t="s">
        <v>4238</v>
      </c>
      <c r="S806" t="s">
        <v>4239</v>
      </c>
      <c r="T806" s="6">
        <v>3500000000</v>
      </c>
      <c r="U806" s="45">
        <f>VLOOKUP(B806,realPrices!C:G,5,0)</f>
        <v>4505555110</v>
      </c>
      <c r="W806" t="str">
        <f t="shared" si="12"/>
        <v>PARS TU51401</v>
      </c>
      <c r="X806">
        <f>VLOOKUP(W806,Sheet10!D:F,2,0)*10000000</f>
        <v>5250000000</v>
      </c>
      <c r="Y806" t="s">
        <v>74</v>
      </c>
    </row>
    <row r="807" spans="1:25" x14ac:dyDescent="0.25">
      <c r="A807" t="s">
        <v>3210</v>
      </c>
      <c r="B807" t="s">
        <v>4240</v>
      </c>
      <c r="C807">
        <v>285</v>
      </c>
      <c r="D807" t="s">
        <v>77</v>
      </c>
      <c r="E807" t="s">
        <v>64</v>
      </c>
      <c r="F807" t="s">
        <v>420</v>
      </c>
      <c r="H807">
        <v>100</v>
      </c>
      <c r="I807">
        <v>1401</v>
      </c>
      <c r="J807" t="s">
        <v>4241</v>
      </c>
      <c r="K807" t="s">
        <v>4242</v>
      </c>
      <c r="M807" t="s">
        <v>198</v>
      </c>
      <c r="N807">
        <v>28527</v>
      </c>
      <c r="O807" t="s">
        <v>70</v>
      </c>
      <c r="Q807" t="s">
        <v>3214</v>
      </c>
      <c r="R807" t="s">
        <v>4243</v>
      </c>
      <c r="S807" t="s">
        <v>4244</v>
      </c>
      <c r="T807" s="6">
        <v>3500000000</v>
      </c>
      <c r="U807" s="45">
        <f>VLOOKUP(B807,realPrices!C:G,5,0)</f>
        <v>4319999888</v>
      </c>
      <c r="W807" t="str">
        <f t="shared" si="12"/>
        <v>PARS TU51401</v>
      </c>
      <c r="X807">
        <f>VLOOKUP(W807,Sheet10!D:F,2,0)*10000000</f>
        <v>5250000000</v>
      </c>
      <c r="Y807" t="s">
        <v>74</v>
      </c>
    </row>
    <row r="808" spans="1:25" x14ac:dyDescent="0.25">
      <c r="A808" t="s">
        <v>3431</v>
      </c>
      <c r="B808" t="s">
        <v>4245</v>
      </c>
      <c r="C808">
        <v>285</v>
      </c>
      <c r="D808" t="s">
        <v>63</v>
      </c>
      <c r="E808" t="s">
        <v>64</v>
      </c>
      <c r="F808" t="s">
        <v>318</v>
      </c>
      <c r="H808">
        <v>150</v>
      </c>
      <c r="I808">
        <v>1401</v>
      </c>
      <c r="J808" t="s">
        <v>4246</v>
      </c>
      <c r="K808" t="s">
        <v>4247</v>
      </c>
      <c r="M808" t="s">
        <v>198</v>
      </c>
      <c r="N808">
        <v>28527</v>
      </c>
      <c r="O808" t="s">
        <v>70</v>
      </c>
      <c r="Q808" t="s">
        <v>3214</v>
      </c>
      <c r="R808" t="s">
        <v>4248</v>
      </c>
      <c r="S808" t="s">
        <v>4249</v>
      </c>
      <c r="T808" s="6">
        <v>3500000000</v>
      </c>
      <c r="U808" s="45">
        <f>VLOOKUP(B808,realPrices!C:G,5,0)</f>
        <v>4316500001</v>
      </c>
      <c r="W808" t="str">
        <f t="shared" si="12"/>
        <v>PARS TU51401</v>
      </c>
      <c r="X808">
        <f>VLOOKUP(W808,Sheet10!D:F,2,0)*10000000</f>
        <v>5250000000</v>
      </c>
      <c r="Y808" t="s">
        <v>74</v>
      </c>
    </row>
    <row r="809" spans="1:25" x14ac:dyDescent="0.25">
      <c r="A809" t="s">
        <v>3242</v>
      </c>
      <c r="B809" t="s">
        <v>4250</v>
      </c>
      <c r="C809">
        <v>600</v>
      </c>
      <c r="D809" t="s">
        <v>63</v>
      </c>
      <c r="E809" t="s">
        <v>64</v>
      </c>
      <c r="F809" t="s">
        <v>3186</v>
      </c>
      <c r="H809">
        <v>1159</v>
      </c>
      <c r="I809">
        <v>1401</v>
      </c>
      <c r="J809" t="s">
        <v>4251</v>
      </c>
      <c r="K809" t="s">
        <v>4252</v>
      </c>
      <c r="M809" t="s">
        <v>3246</v>
      </c>
      <c r="N809">
        <v>60010</v>
      </c>
      <c r="O809" t="s">
        <v>303</v>
      </c>
      <c r="Q809" t="s">
        <v>3247</v>
      </c>
      <c r="R809" t="s">
        <v>4253</v>
      </c>
      <c r="S809" t="s">
        <v>4254</v>
      </c>
      <c r="T809" s="6">
        <v>3500000000</v>
      </c>
      <c r="U809" s="45">
        <f>VLOOKUP(B809,realPrices!C:G,5,0)</f>
        <v>4160000000</v>
      </c>
      <c r="W809" t="str">
        <f t="shared" si="12"/>
        <v>207i-MT1401</v>
      </c>
      <c r="X809">
        <f>VLOOKUP(W809,Sheet10!D:F,2,0)*10000000</f>
        <v>5800000000</v>
      </c>
      <c r="Y809" t="s">
        <v>74</v>
      </c>
    </row>
    <row r="810" spans="1:25" x14ac:dyDescent="0.25">
      <c r="A810" t="s">
        <v>3242</v>
      </c>
      <c r="B810" t="s">
        <v>4255</v>
      </c>
      <c r="C810">
        <v>600</v>
      </c>
      <c r="D810" t="s">
        <v>63</v>
      </c>
      <c r="E810" t="s">
        <v>64</v>
      </c>
      <c r="F810" t="s">
        <v>4256</v>
      </c>
      <c r="H810">
        <v>587</v>
      </c>
      <c r="I810">
        <v>1401</v>
      </c>
      <c r="J810" t="s">
        <v>4257</v>
      </c>
      <c r="K810" t="s">
        <v>4258</v>
      </c>
      <c r="M810" t="s">
        <v>3246</v>
      </c>
      <c r="N810">
        <v>60010</v>
      </c>
      <c r="O810" t="s">
        <v>303</v>
      </c>
      <c r="Q810" t="s">
        <v>3247</v>
      </c>
      <c r="R810" t="s">
        <v>4259</v>
      </c>
      <c r="S810" t="s">
        <v>4260</v>
      </c>
      <c r="T810" s="6">
        <v>3500000000</v>
      </c>
      <c r="U810" s="45">
        <f>VLOOKUP(B810,realPrices!C:G,5,0)</f>
        <v>4261500000</v>
      </c>
      <c r="W810" t="str">
        <f t="shared" si="12"/>
        <v>207i-MT1401</v>
      </c>
      <c r="X810">
        <f>VLOOKUP(W810,Sheet10!D:F,2,0)*10000000</f>
        <v>5800000000</v>
      </c>
      <c r="Y810" t="s">
        <v>74</v>
      </c>
    </row>
    <row r="811" spans="1:25" x14ac:dyDescent="0.25">
      <c r="A811" t="s">
        <v>3210</v>
      </c>
      <c r="B811" t="s">
        <v>4261</v>
      </c>
      <c r="C811">
        <v>285</v>
      </c>
      <c r="D811" t="s">
        <v>77</v>
      </c>
      <c r="E811" t="s">
        <v>64</v>
      </c>
      <c r="F811" t="s">
        <v>420</v>
      </c>
      <c r="H811">
        <v>18</v>
      </c>
      <c r="I811">
        <v>1401</v>
      </c>
      <c r="J811" t="s">
        <v>4262</v>
      </c>
      <c r="K811" t="s">
        <v>4263</v>
      </c>
      <c r="M811" t="s">
        <v>198</v>
      </c>
      <c r="N811">
        <v>28527</v>
      </c>
      <c r="O811" t="s">
        <v>70</v>
      </c>
      <c r="Q811" t="s">
        <v>3214</v>
      </c>
      <c r="R811" t="s">
        <v>4264</v>
      </c>
      <c r="S811" t="s">
        <v>4265</v>
      </c>
      <c r="T811" s="6">
        <v>3500000000</v>
      </c>
      <c r="U811" s="45">
        <f>VLOOKUP(B811,realPrices!C:G,5,0)</f>
        <v>4312233451</v>
      </c>
      <c r="W811" t="str">
        <f t="shared" si="12"/>
        <v>PARS TU51401</v>
      </c>
      <c r="X811">
        <f>VLOOKUP(W811,Sheet10!D:F,2,0)*10000000</f>
        <v>5250000000</v>
      </c>
      <c r="Y811" t="s">
        <v>74</v>
      </c>
    </row>
    <row r="812" spans="1:25" x14ac:dyDescent="0.25">
      <c r="A812" t="s">
        <v>3210</v>
      </c>
      <c r="B812" t="s">
        <v>4266</v>
      </c>
      <c r="C812">
        <v>285</v>
      </c>
      <c r="D812" t="s">
        <v>77</v>
      </c>
      <c r="E812" t="s">
        <v>64</v>
      </c>
      <c r="F812" t="s">
        <v>420</v>
      </c>
      <c r="H812">
        <v>18</v>
      </c>
      <c r="I812">
        <v>1401</v>
      </c>
      <c r="J812" t="s">
        <v>4267</v>
      </c>
      <c r="K812" t="s">
        <v>4108</v>
      </c>
      <c r="M812" t="s">
        <v>198</v>
      </c>
      <c r="N812">
        <v>28527</v>
      </c>
      <c r="O812" t="s">
        <v>70</v>
      </c>
      <c r="Q812" t="s">
        <v>3214</v>
      </c>
      <c r="R812" t="s">
        <v>4268</v>
      </c>
      <c r="S812" t="s">
        <v>351</v>
      </c>
      <c r="T812" s="6">
        <v>3500000000</v>
      </c>
      <c r="U812" s="45">
        <f>VLOOKUP(B812,realPrices!C:G,5,0)</f>
        <v>4255552220</v>
      </c>
      <c r="W812" t="str">
        <f t="shared" si="12"/>
        <v>PARS TU51401</v>
      </c>
      <c r="X812">
        <f>VLOOKUP(W812,Sheet10!D:F,2,0)*10000000</f>
        <v>5250000000</v>
      </c>
      <c r="Y812" t="s">
        <v>74</v>
      </c>
    </row>
    <row r="813" spans="1:25" x14ac:dyDescent="0.25">
      <c r="A813" t="s">
        <v>3210</v>
      </c>
      <c r="B813" t="s">
        <v>4269</v>
      </c>
      <c r="C813">
        <v>285</v>
      </c>
      <c r="D813" t="s">
        <v>77</v>
      </c>
      <c r="E813" t="s">
        <v>64</v>
      </c>
      <c r="F813" t="s">
        <v>420</v>
      </c>
      <c r="H813">
        <v>17</v>
      </c>
      <c r="I813">
        <v>1401</v>
      </c>
      <c r="J813" t="s">
        <v>4270</v>
      </c>
      <c r="K813" t="s">
        <v>4271</v>
      </c>
      <c r="M813" t="s">
        <v>198</v>
      </c>
      <c r="N813">
        <v>28527</v>
      </c>
      <c r="O813" t="s">
        <v>70</v>
      </c>
      <c r="Q813" t="s">
        <v>3214</v>
      </c>
      <c r="R813" t="s">
        <v>4272</v>
      </c>
      <c r="S813" t="s">
        <v>2810</v>
      </c>
      <c r="T813" s="6">
        <v>3500000000</v>
      </c>
      <c r="U813" s="45">
        <f>VLOOKUP(B813,realPrices!C:G,5,0)</f>
        <v>4199999999</v>
      </c>
      <c r="W813" t="str">
        <f t="shared" si="12"/>
        <v>PARS TU51401</v>
      </c>
      <c r="X813">
        <f>VLOOKUP(W813,Sheet10!D:F,2,0)*10000000</f>
        <v>5250000000</v>
      </c>
      <c r="Y813" t="s">
        <v>74</v>
      </c>
    </row>
    <row r="814" spans="1:25" x14ac:dyDescent="0.25">
      <c r="A814" t="s">
        <v>3210</v>
      </c>
      <c r="B814" t="s">
        <v>4273</v>
      </c>
      <c r="C814">
        <v>285</v>
      </c>
      <c r="D814" t="s">
        <v>77</v>
      </c>
      <c r="E814" t="s">
        <v>64</v>
      </c>
      <c r="F814" t="s">
        <v>420</v>
      </c>
      <c r="H814">
        <v>16</v>
      </c>
      <c r="I814">
        <v>1401</v>
      </c>
      <c r="J814" t="s">
        <v>4274</v>
      </c>
      <c r="K814" t="s">
        <v>4275</v>
      </c>
      <c r="M814" t="s">
        <v>198</v>
      </c>
      <c r="N814">
        <v>28527</v>
      </c>
      <c r="O814" t="s">
        <v>70</v>
      </c>
      <c r="Q814" t="s">
        <v>3214</v>
      </c>
      <c r="R814" t="s">
        <v>4276</v>
      </c>
      <c r="S814" t="s">
        <v>4277</v>
      </c>
      <c r="T814" s="6">
        <v>3500000000</v>
      </c>
      <c r="U814" s="45">
        <f>VLOOKUP(B814,realPrices!C:G,5,0)</f>
        <v>4177758985</v>
      </c>
      <c r="W814" t="str">
        <f t="shared" si="12"/>
        <v>PARS TU51401</v>
      </c>
      <c r="X814">
        <f>VLOOKUP(W814,Sheet10!D:F,2,0)*10000000</f>
        <v>5250000000</v>
      </c>
      <c r="Y814" t="s">
        <v>74</v>
      </c>
    </row>
    <row r="815" spans="1:25" x14ac:dyDescent="0.25">
      <c r="A815" t="s">
        <v>3210</v>
      </c>
      <c r="B815" t="s">
        <v>4278</v>
      </c>
      <c r="C815">
        <v>285</v>
      </c>
      <c r="D815" t="s">
        <v>77</v>
      </c>
      <c r="E815" t="s">
        <v>64</v>
      </c>
      <c r="F815" t="s">
        <v>420</v>
      </c>
      <c r="H815">
        <v>15</v>
      </c>
      <c r="I815">
        <v>1401</v>
      </c>
      <c r="J815" t="s">
        <v>4279</v>
      </c>
      <c r="K815" t="s">
        <v>4280</v>
      </c>
      <c r="M815" t="s">
        <v>198</v>
      </c>
      <c r="N815">
        <v>28527</v>
      </c>
      <c r="O815" t="s">
        <v>70</v>
      </c>
      <c r="Q815" t="s">
        <v>3214</v>
      </c>
      <c r="R815" t="s">
        <v>4281</v>
      </c>
      <c r="S815" t="s">
        <v>4282</v>
      </c>
      <c r="T815" s="6">
        <v>3500000000</v>
      </c>
      <c r="U815" s="45">
        <f>VLOOKUP(B815,realPrices!C:G,5,0)</f>
        <v>4261000000</v>
      </c>
      <c r="W815" t="str">
        <f t="shared" si="12"/>
        <v>PARS TU51401</v>
      </c>
      <c r="X815">
        <f>VLOOKUP(W815,Sheet10!D:F,2,0)*10000000</f>
        <v>5250000000</v>
      </c>
      <c r="Y815" t="s">
        <v>74</v>
      </c>
    </row>
    <row r="816" spans="1:25" x14ac:dyDescent="0.25">
      <c r="A816" t="s">
        <v>3210</v>
      </c>
      <c r="B816" t="s">
        <v>4283</v>
      </c>
      <c r="C816">
        <v>285</v>
      </c>
      <c r="D816" t="s">
        <v>77</v>
      </c>
      <c r="E816" t="s">
        <v>64</v>
      </c>
      <c r="F816" t="s">
        <v>420</v>
      </c>
      <c r="H816">
        <v>15</v>
      </c>
      <c r="I816">
        <v>1401</v>
      </c>
      <c r="J816" t="s">
        <v>4284</v>
      </c>
      <c r="K816" t="s">
        <v>4108</v>
      </c>
      <c r="M816" t="s">
        <v>198</v>
      </c>
      <c r="N816">
        <v>28527</v>
      </c>
      <c r="O816" t="s">
        <v>70</v>
      </c>
      <c r="Q816" t="s">
        <v>3214</v>
      </c>
      <c r="R816" t="s">
        <v>4285</v>
      </c>
      <c r="S816" t="s">
        <v>4286</v>
      </c>
      <c r="T816" s="6">
        <v>3500000000</v>
      </c>
      <c r="U816" s="45">
        <f>VLOOKUP(B816,realPrices!C:G,5,0)</f>
        <v>4156000000</v>
      </c>
      <c r="W816" t="str">
        <f t="shared" si="12"/>
        <v>PARS TU51401</v>
      </c>
      <c r="X816">
        <f>VLOOKUP(W816,Sheet10!D:F,2,0)*10000000</f>
        <v>5250000000</v>
      </c>
      <c r="Y816" t="s">
        <v>74</v>
      </c>
    </row>
    <row r="817" spans="1:25" x14ac:dyDescent="0.25">
      <c r="A817" t="s">
        <v>3210</v>
      </c>
      <c r="B817" t="s">
        <v>4287</v>
      </c>
      <c r="C817">
        <v>285</v>
      </c>
      <c r="D817" t="s">
        <v>77</v>
      </c>
      <c r="E817" t="s">
        <v>64</v>
      </c>
      <c r="F817" t="s">
        <v>420</v>
      </c>
      <c r="H817">
        <v>12</v>
      </c>
      <c r="I817">
        <v>1401</v>
      </c>
      <c r="J817" t="s">
        <v>4288</v>
      </c>
      <c r="K817" t="s">
        <v>4289</v>
      </c>
      <c r="M817" t="s">
        <v>198</v>
      </c>
      <c r="N817">
        <v>28527</v>
      </c>
      <c r="O817" t="s">
        <v>70</v>
      </c>
      <c r="Q817" t="s">
        <v>3214</v>
      </c>
      <c r="R817" t="s">
        <v>4290</v>
      </c>
      <c r="S817" t="s">
        <v>3559</v>
      </c>
      <c r="T817" s="6">
        <v>3500000000</v>
      </c>
      <c r="U817" s="45">
        <f>VLOOKUP(B817,realPrices!C:G,5,0)</f>
        <v>4201000000</v>
      </c>
      <c r="W817" t="str">
        <f t="shared" si="12"/>
        <v>PARS TU51401</v>
      </c>
      <c r="X817">
        <f>VLOOKUP(W817,Sheet10!D:F,2,0)*10000000</f>
        <v>5250000000</v>
      </c>
      <c r="Y817" t="s">
        <v>74</v>
      </c>
    </row>
    <row r="818" spans="1:25" x14ac:dyDescent="0.25">
      <c r="A818" t="s">
        <v>3210</v>
      </c>
      <c r="B818" t="s">
        <v>4291</v>
      </c>
      <c r="C818">
        <v>285</v>
      </c>
      <c r="D818" t="s">
        <v>77</v>
      </c>
      <c r="E818" t="s">
        <v>64</v>
      </c>
      <c r="F818" t="s">
        <v>420</v>
      </c>
      <c r="H818">
        <v>18</v>
      </c>
      <c r="I818">
        <v>1401</v>
      </c>
      <c r="J818" t="s">
        <v>4292</v>
      </c>
      <c r="K818" t="s">
        <v>4108</v>
      </c>
      <c r="M818" t="s">
        <v>198</v>
      </c>
      <c r="N818">
        <v>28527</v>
      </c>
      <c r="O818" t="s">
        <v>70</v>
      </c>
      <c r="Q818" t="s">
        <v>3214</v>
      </c>
      <c r="R818" t="s">
        <v>4293</v>
      </c>
      <c r="S818" t="s">
        <v>4294</v>
      </c>
      <c r="T818" s="6">
        <v>3500000000</v>
      </c>
      <c r="U818" s="45">
        <f>VLOOKUP(B818,realPrices!C:G,5,0)</f>
        <v>4332111112</v>
      </c>
      <c r="W818" t="str">
        <f t="shared" si="12"/>
        <v>PARS TU51401</v>
      </c>
      <c r="X818">
        <f>VLOOKUP(W818,Sheet10!D:F,2,0)*10000000</f>
        <v>5250000000</v>
      </c>
      <c r="Y818" t="s">
        <v>74</v>
      </c>
    </row>
    <row r="819" spans="1:25" x14ac:dyDescent="0.25">
      <c r="A819" t="s">
        <v>3210</v>
      </c>
      <c r="B819" t="s">
        <v>4295</v>
      </c>
      <c r="C819">
        <v>285</v>
      </c>
      <c r="D819" t="s">
        <v>77</v>
      </c>
      <c r="E819" t="s">
        <v>64</v>
      </c>
      <c r="F819" t="s">
        <v>420</v>
      </c>
      <c r="H819">
        <v>16</v>
      </c>
      <c r="I819">
        <v>1401</v>
      </c>
      <c r="J819" t="s">
        <v>4296</v>
      </c>
      <c r="K819" t="s">
        <v>4297</v>
      </c>
      <c r="M819" t="s">
        <v>198</v>
      </c>
      <c r="N819">
        <v>28527</v>
      </c>
      <c r="O819" t="s">
        <v>70</v>
      </c>
      <c r="Q819" t="s">
        <v>3214</v>
      </c>
      <c r="R819" t="s">
        <v>4298</v>
      </c>
      <c r="S819" t="s">
        <v>359</v>
      </c>
      <c r="T819" s="6">
        <v>3500000000</v>
      </c>
      <c r="U819" s="45">
        <f>VLOOKUP(B819,realPrices!C:G,5,0)</f>
        <v>3880000000</v>
      </c>
      <c r="W819" t="str">
        <f t="shared" si="12"/>
        <v>PARS TU51401</v>
      </c>
      <c r="X819">
        <f>VLOOKUP(W819,Sheet10!D:F,2,0)*10000000</f>
        <v>5250000000</v>
      </c>
      <c r="Y819" t="s">
        <v>74</v>
      </c>
    </row>
    <row r="820" spans="1:25" x14ac:dyDescent="0.25">
      <c r="A820" t="s">
        <v>3210</v>
      </c>
      <c r="B820" t="s">
        <v>4299</v>
      </c>
      <c r="C820">
        <v>285</v>
      </c>
      <c r="D820" t="s">
        <v>77</v>
      </c>
      <c r="E820" t="s">
        <v>64</v>
      </c>
      <c r="F820" t="s">
        <v>420</v>
      </c>
      <c r="H820">
        <v>15</v>
      </c>
      <c r="I820">
        <v>1401</v>
      </c>
      <c r="J820" t="s">
        <v>4300</v>
      </c>
      <c r="K820" t="s">
        <v>4301</v>
      </c>
      <c r="M820" t="s">
        <v>198</v>
      </c>
      <c r="N820">
        <v>28527</v>
      </c>
      <c r="O820" t="s">
        <v>70</v>
      </c>
      <c r="Q820" t="s">
        <v>3214</v>
      </c>
      <c r="R820" t="s">
        <v>4302</v>
      </c>
      <c r="S820" t="s">
        <v>4303</v>
      </c>
      <c r="T820" s="6">
        <v>3500000000</v>
      </c>
      <c r="U820" s="45">
        <f>VLOOKUP(B820,realPrices!C:G,5,0)</f>
        <v>4183459999</v>
      </c>
      <c r="W820" t="str">
        <f t="shared" si="12"/>
        <v>PARS TU51401</v>
      </c>
      <c r="X820">
        <f>VLOOKUP(W820,Sheet10!D:F,2,0)*10000000</f>
        <v>5250000000</v>
      </c>
      <c r="Y820" t="s">
        <v>74</v>
      </c>
    </row>
    <row r="821" spans="1:25" x14ac:dyDescent="0.25">
      <c r="A821" t="s">
        <v>325</v>
      </c>
      <c r="B821" t="s">
        <v>4304</v>
      </c>
      <c r="C821">
        <v>260</v>
      </c>
      <c r="D821" t="s">
        <v>63</v>
      </c>
      <c r="E821" t="s">
        <v>64</v>
      </c>
      <c r="F821" t="s">
        <v>420</v>
      </c>
      <c r="H821">
        <v>25</v>
      </c>
      <c r="I821">
        <v>1401</v>
      </c>
      <c r="J821" t="s">
        <v>4305</v>
      </c>
      <c r="K821" t="s">
        <v>4306</v>
      </c>
      <c r="M821" t="s">
        <v>329</v>
      </c>
      <c r="N821">
        <v>26031</v>
      </c>
      <c r="O821" t="s">
        <v>303</v>
      </c>
      <c r="Q821" t="s">
        <v>330</v>
      </c>
      <c r="R821" t="s">
        <v>4307</v>
      </c>
      <c r="S821" t="s">
        <v>4308</v>
      </c>
      <c r="T821" s="6">
        <v>3520000000</v>
      </c>
      <c r="U821" s="45">
        <f>VLOOKUP(B821,realPrices!C:G,5,0)</f>
        <v>4450000000</v>
      </c>
      <c r="W821" t="str">
        <f t="shared" si="12"/>
        <v>206TU31401</v>
      </c>
      <c r="X821" t="e">
        <f>VLOOKUP(W821,Sheet10!D:F,2,0)*10000000</f>
        <v>#N/A</v>
      </c>
      <c r="Y821" t="s">
        <v>114</v>
      </c>
    </row>
    <row r="822" spans="1:25" x14ac:dyDescent="0.25">
      <c r="A822" t="s">
        <v>325</v>
      </c>
      <c r="B822" t="s">
        <v>2856</v>
      </c>
      <c r="C822">
        <v>260</v>
      </c>
      <c r="D822" t="s">
        <v>63</v>
      </c>
      <c r="E822" t="s">
        <v>64</v>
      </c>
      <c r="F822" t="s">
        <v>2436</v>
      </c>
      <c r="H822">
        <v>28</v>
      </c>
      <c r="I822">
        <v>1401</v>
      </c>
      <c r="J822" t="s">
        <v>2857</v>
      </c>
      <c r="K822" t="s">
        <v>2858</v>
      </c>
      <c r="M822" t="s">
        <v>329</v>
      </c>
      <c r="N822">
        <v>26031</v>
      </c>
      <c r="O822" t="s">
        <v>303</v>
      </c>
      <c r="Q822" t="s">
        <v>330</v>
      </c>
      <c r="R822" t="s">
        <v>2859</v>
      </c>
      <c r="S822" t="s">
        <v>4309</v>
      </c>
      <c r="T822" s="6">
        <v>3520000000</v>
      </c>
      <c r="U822" s="45">
        <f>VLOOKUP(B822,realPrices!C:G,5,0)</f>
        <v>3062000000</v>
      </c>
      <c r="W822" t="str">
        <f t="shared" si="12"/>
        <v>206TU31401</v>
      </c>
      <c r="X822" t="e">
        <f>VLOOKUP(W822,Sheet10!D:F,2,0)*10000000</f>
        <v>#N/A</v>
      </c>
      <c r="Y822" t="s">
        <v>114</v>
      </c>
    </row>
    <row r="823" spans="1:25" x14ac:dyDescent="0.25">
      <c r="A823" t="s">
        <v>1418</v>
      </c>
      <c r="B823" t="s">
        <v>4310</v>
      </c>
      <c r="C823">
        <v>351</v>
      </c>
      <c r="D823" t="s">
        <v>63</v>
      </c>
      <c r="E823" t="s">
        <v>64</v>
      </c>
      <c r="F823" t="s">
        <v>318</v>
      </c>
      <c r="H823">
        <v>24</v>
      </c>
      <c r="I823">
        <v>1401</v>
      </c>
      <c r="J823" t="s">
        <v>4311</v>
      </c>
      <c r="K823" t="s">
        <v>4312</v>
      </c>
      <c r="M823" t="s">
        <v>400</v>
      </c>
      <c r="N823">
        <v>35101</v>
      </c>
      <c r="O823" t="s">
        <v>70</v>
      </c>
      <c r="Q823" t="s">
        <v>401</v>
      </c>
      <c r="R823" t="s">
        <v>4313</v>
      </c>
      <c r="S823" t="s">
        <v>2845</v>
      </c>
      <c r="T823" s="6">
        <v>3520000000</v>
      </c>
      <c r="U823" s="45">
        <f>VLOOKUP(B823,realPrices!C:G,5,0)</f>
        <v>3915141414</v>
      </c>
      <c r="W823" t="str">
        <f t="shared" si="12"/>
        <v>PARS XU7 P1401</v>
      </c>
      <c r="X823">
        <f>VLOOKUP(W823,Sheet10!D:F,2,0)*10000000</f>
        <v>4500000000</v>
      </c>
      <c r="Y823" t="s">
        <v>114</v>
      </c>
    </row>
    <row r="824" spans="1:25" x14ac:dyDescent="0.25">
      <c r="A824" t="s">
        <v>1418</v>
      </c>
      <c r="B824" t="s">
        <v>4314</v>
      </c>
      <c r="C824">
        <v>351</v>
      </c>
      <c r="D824" t="s">
        <v>63</v>
      </c>
      <c r="E824" t="s">
        <v>64</v>
      </c>
      <c r="F824" t="s">
        <v>3977</v>
      </c>
      <c r="H824">
        <v>10</v>
      </c>
      <c r="I824">
        <v>1400</v>
      </c>
      <c r="J824" t="s">
        <v>4315</v>
      </c>
      <c r="K824" t="s">
        <v>4316</v>
      </c>
      <c r="M824" t="s">
        <v>400</v>
      </c>
      <c r="N824">
        <v>35101</v>
      </c>
      <c r="O824" t="s">
        <v>70</v>
      </c>
      <c r="Q824" t="s">
        <v>401</v>
      </c>
      <c r="R824" t="s">
        <v>4317</v>
      </c>
      <c r="S824" t="s">
        <v>2594</v>
      </c>
      <c r="T824" s="6">
        <v>3550000000</v>
      </c>
      <c r="U824" s="45">
        <f>VLOOKUP(B824,realPrices!C:G,5,0)</f>
        <v>3750000000</v>
      </c>
      <c r="W824" t="str">
        <f t="shared" si="12"/>
        <v>PARS XU7 P1400</v>
      </c>
      <c r="X824" t="e">
        <f>VLOOKUP(W824,Sheet10!D:F,2,0)*10000000</f>
        <v>#N/A</v>
      </c>
      <c r="Y824" t="s">
        <v>114</v>
      </c>
    </row>
    <row r="825" spans="1:25" x14ac:dyDescent="0.25">
      <c r="A825" t="s">
        <v>4318</v>
      </c>
      <c r="B825" t="s">
        <v>4319</v>
      </c>
      <c r="C825">
        <v>707</v>
      </c>
      <c r="D825" t="s">
        <v>240</v>
      </c>
      <c r="E825" t="s">
        <v>64</v>
      </c>
      <c r="F825" t="s">
        <v>205</v>
      </c>
      <c r="G825" t="s">
        <v>4320</v>
      </c>
      <c r="H825">
        <v>12506</v>
      </c>
      <c r="I825">
        <v>1400</v>
      </c>
      <c r="J825" t="s">
        <v>4321</v>
      </c>
      <c r="K825" t="s">
        <v>4322</v>
      </c>
      <c r="L825" t="s">
        <v>4323</v>
      </c>
      <c r="M825" t="s">
        <v>3450</v>
      </c>
      <c r="N825">
        <v>70702</v>
      </c>
      <c r="O825" t="s">
        <v>70</v>
      </c>
      <c r="Q825" t="s">
        <v>3451</v>
      </c>
      <c r="R825" t="s">
        <v>4324</v>
      </c>
      <c r="S825" t="s">
        <v>2183</v>
      </c>
      <c r="T825" s="6">
        <v>3550000000</v>
      </c>
      <c r="U825" s="45">
        <f>VLOOKUP(B825,realPrices!C:G,5,0)</f>
        <v>4737999999</v>
      </c>
      <c r="W825" t="str">
        <f t="shared" si="12"/>
        <v>DENA+EF7TC A1400</v>
      </c>
      <c r="X825">
        <f>VLOOKUP(W825,Sheet10!D:F,2,0)*10000000</f>
        <v>7100000000</v>
      </c>
      <c r="Y825" t="s">
        <v>74</v>
      </c>
    </row>
    <row r="826" spans="1:25" x14ac:dyDescent="0.25">
      <c r="A826" t="s">
        <v>4325</v>
      </c>
      <c r="B826" t="s">
        <v>4326</v>
      </c>
      <c r="C826">
        <v>283</v>
      </c>
      <c r="D826" t="s">
        <v>4327</v>
      </c>
      <c r="E826" t="s">
        <v>78</v>
      </c>
      <c r="F826" t="s">
        <v>3977</v>
      </c>
      <c r="G826" t="s">
        <v>3978</v>
      </c>
      <c r="H826">
        <v>18843</v>
      </c>
      <c r="I826">
        <v>1400</v>
      </c>
      <c r="J826" t="s">
        <v>4328</v>
      </c>
      <c r="K826" t="s">
        <v>4329</v>
      </c>
      <c r="L826" t="s">
        <v>4330</v>
      </c>
      <c r="M826" t="s">
        <v>3239</v>
      </c>
      <c r="N826">
        <v>28321</v>
      </c>
      <c r="O826" t="s">
        <v>70</v>
      </c>
      <c r="Q826" t="s">
        <v>3777</v>
      </c>
      <c r="R826" t="s">
        <v>4331</v>
      </c>
      <c r="S826" t="s">
        <v>3166</v>
      </c>
      <c r="T826" s="6">
        <v>3550000000</v>
      </c>
      <c r="U826" s="45">
        <f>VLOOKUP(B826,realPrices!C:G,5,0)</f>
        <v>4275619800</v>
      </c>
      <c r="W826" t="str">
        <f t="shared" si="12"/>
        <v>PARS XU7 CNG1400</v>
      </c>
      <c r="X826">
        <f>VLOOKUP(W826,Sheet10!D:F,2,0)*10000000</f>
        <v>5100000000</v>
      </c>
      <c r="Y826" t="s">
        <v>114</v>
      </c>
    </row>
    <row r="827" spans="1:25" x14ac:dyDescent="0.25">
      <c r="A827" t="s">
        <v>2940</v>
      </c>
      <c r="B827" t="s">
        <v>3068</v>
      </c>
      <c r="C827">
        <v>703</v>
      </c>
      <c r="D827" t="s">
        <v>259</v>
      </c>
      <c r="E827" t="s">
        <v>64</v>
      </c>
      <c r="F827" t="s">
        <v>420</v>
      </c>
      <c r="G827" t="s">
        <v>206</v>
      </c>
      <c r="H827">
        <v>42307</v>
      </c>
      <c r="I827">
        <v>1398</v>
      </c>
      <c r="J827" t="s">
        <v>3070</v>
      </c>
      <c r="K827" t="s">
        <v>3071</v>
      </c>
      <c r="L827" t="s">
        <v>3072</v>
      </c>
      <c r="M827" t="s">
        <v>2946</v>
      </c>
      <c r="N827">
        <v>70309</v>
      </c>
      <c r="O827" t="s">
        <v>70</v>
      </c>
      <c r="Q827" t="s">
        <v>2947</v>
      </c>
      <c r="R827" t="s">
        <v>3073</v>
      </c>
      <c r="S827" t="s">
        <v>2574</v>
      </c>
      <c r="T827" s="6">
        <v>3550000000</v>
      </c>
      <c r="U827" s="45">
        <f>VLOOKUP(B827,realPrices!C:G,5,0)</f>
        <v>3680000000</v>
      </c>
      <c r="W827" t="str">
        <f t="shared" si="12"/>
        <v>DENA+EF7-MT1398</v>
      </c>
      <c r="X827">
        <f>VLOOKUP(W827,Sheet10!D:F,2,0)*10000000</f>
        <v>6000000000</v>
      </c>
      <c r="Y827" t="s">
        <v>114</v>
      </c>
    </row>
    <row r="828" spans="1:25" x14ac:dyDescent="0.25">
      <c r="A828" t="s">
        <v>3431</v>
      </c>
      <c r="B828" t="s">
        <v>4332</v>
      </c>
      <c r="C828">
        <v>285</v>
      </c>
      <c r="D828" t="s">
        <v>63</v>
      </c>
      <c r="E828" t="s">
        <v>64</v>
      </c>
      <c r="F828" t="s">
        <v>2436</v>
      </c>
      <c r="H828">
        <v>22</v>
      </c>
      <c r="I828">
        <v>1401</v>
      </c>
      <c r="J828" t="s">
        <v>4333</v>
      </c>
      <c r="K828" t="s">
        <v>4334</v>
      </c>
      <c r="M828" t="s">
        <v>198</v>
      </c>
      <c r="N828">
        <v>28527</v>
      </c>
      <c r="O828" t="s">
        <v>70</v>
      </c>
      <c r="Q828" t="s">
        <v>3214</v>
      </c>
      <c r="R828" t="s">
        <v>4335</v>
      </c>
      <c r="S828" t="s">
        <v>4336</v>
      </c>
      <c r="T828" s="6">
        <v>3550000000</v>
      </c>
      <c r="U828" s="45">
        <f>VLOOKUP(B828,realPrices!C:G,5,0)</f>
        <v>4489999100</v>
      </c>
      <c r="W828" t="str">
        <f t="shared" si="12"/>
        <v>PARS TU51401</v>
      </c>
      <c r="X828">
        <f>VLOOKUP(W828,Sheet10!D:F,2,0)*10000000</f>
        <v>5250000000</v>
      </c>
      <c r="Y828" t="s">
        <v>74</v>
      </c>
    </row>
    <row r="829" spans="1:25" x14ac:dyDescent="0.25">
      <c r="A829" t="s">
        <v>4337</v>
      </c>
      <c r="B829" t="s">
        <v>4338</v>
      </c>
      <c r="C829">
        <v>703</v>
      </c>
      <c r="D829" t="s">
        <v>63</v>
      </c>
      <c r="E829" t="s">
        <v>64</v>
      </c>
      <c r="F829" t="s">
        <v>420</v>
      </c>
      <c r="H829">
        <v>30</v>
      </c>
      <c r="I829">
        <v>1401</v>
      </c>
      <c r="J829" t="s">
        <v>4339</v>
      </c>
      <c r="K829" t="s">
        <v>4340</v>
      </c>
      <c r="M829" t="s">
        <v>2946</v>
      </c>
      <c r="N829">
        <v>70317</v>
      </c>
      <c r="O829" t="s">
        <v>70</v>
      </c>
      <c r="Q829" t="s">
        <v>3681</v>
      </c>
      <c r="R829" t="s">
        <v>4341</v>
      </c>
      <c r="S829" t="s">
        <v>4342</v>
      </c>
      <c r="T829" s="6">
        <v>3550000000</v>
      </c>
      <c r="U829" s="45">
        <f>VLOOKUP(B829,realPrices!C:G,5,0)</f>
        <v>4325999999</v>
      </c>
      <c r="W829" t="str">
        <f t="shared" si="12"/>
        <v>DENA+EF7-MT1401</v>
      </c>
      <c r="X829" t="e">
        <f>VLOOKUP(W829,Sheet10!D:F,2,0)*10000000</f>
        <v>#N/A</v>
      </c>
      <c r="Y829" t="s">
        <v>74</v>
      </c>
    </row>
    <row r="830" spans="1:25" x14ac:dyDescent="0.25">
      <c r="A830" t="s">
        <v>4343</v>
      </c>
      <c r="B830" t="s">
        <v>4344</v>
      </c>
      <c r="C830">
        <v>322</v>
      </c>
      <c r="D830" t="s">
        <v>4345</v>
      </c>
      <c r="E830" t="s">
        <v>64</v>
      </c>
      <c r="F830" t="s">
        <v>420</v>
      </c>
      <c r="H830">
        <v>49</v>
      </c>
      <c r="I830">
        <v>1401</v>
      </c>
      <c r="J830" t="s">
        <v>4346</v>
      </c>
      <c r="K830" t="s">
        <v>4347</v>
      </c>
      <c r="M830" t="s">
        <v>92</v>
      </c>
      <c r="N830">
        <v>32201</v>
      </c>
      <c r="O830" t="s">
        <v>70</v>
      </c>
      <c r="Q830" t="s">
        <v>93</v>
      </c>
      <c r="R830" t="s">
        <v>4348</v>
      </c>
      <c r="S830" t="s">
        <v>4349</v>
      </c>
      <c r="T830" s="6">
        <v>3550000000</v>
      </c>
      <c r="U830" s="45">
        <f>VLOOKUP(B830,realPrices!C:G,5,0)</f>
        <v>4444440000</v>
      </c>
      <c r="W830" t="str">
        <f t="shared" si="12"/>
        <v>TARA TU5P1401</v>
      </c>
      <c r="X830" t="e">
        <f>VLOOKUP(W830,Sheet10!D:F,2,0)*10000000</f>
        <v>#N/A</v>
      </c>
      <c r="Y830" t="s">
        <v>74</v>
      </c>
    </row>
    <row r="831" spans="1:25" x14ac:dyDescent="0.25">
      <c r="A831" t="s">
        <v>325</v>
      </c>
      <c r="B831" t="s">
        <v>4350</v>
      </c>
      <c r="C831">
        <v>260</v>
      </c>
      <c r="D831" t="s">
        <v>63</v>
      </c>
      <c r="E831" t="s">
        <v>64</v>
      </c>
      <c r="F831" t="s">
        <v>318</v>
      </c>
      <c r="H831">
        <v>33</v>
      </c>
      <c r="I831">
        <v>1401</v>
      </c>
      <c r="J831" t="s">
        <v>4351</v>
      </c>
      <c r="K831" t="s">
        <v>4352</v>
      </c>
      <c r="M831" t="s">
        <v>329</v>
      </c>
      <c r="N831">
        <v>26031</v>
      </c>
      <c r="O831" t="s">
        <v>303</v>
      </c>
      <c r="Q831" t="s">
        <v>330</v>
      </c>
      <c r="R831" t="s">
        <v>4353</v>
      </c>
      <c r="S831" t="s">
        <v>4354</v>
      </c>
      <c r="T831" s="6">
        <v>3570000000</v>
      </c>
      <c r="U831" s="45">
        <f>VLOOKUP(B831,realPrices!C:G,5,0)</f>
        <v>4313333333</v>
      </c>
      <c r="W831" t="str">
        <f t="shared" si="12"/>
        <v>206TU31401</v>
      </c>
      <c r="X831" t="e">
        <f>VLOOKUP(W831,Sheet10!D:F,2,0)*10000000</f>
        <v>#N/A</v>
      </c>
      <c r="Y831" t="s">
        <v>114</v>
      </c>
    </row>
    <row r="832" spans="1:25" x14ac:dyDescent="0.25">
      <c r="A832" t="s">
        <v>2476</v>
      </c>
      <c r="B832" t="s">
        <v>3063</v>
      </c>
      <c r="C832">
        <v>575</v>
      </c>
      <c r="D832" t="s">
        <v>63</v>
      </c>
      <c r="E832" t="s">
        <v>64</v>
      </c>
      <c r="F832" t="s">
        <v>2696</v>
      </c>
      <c r="H832">
        <v>32</v>
      </c>
      <c r="I832">
        <v>1401</v>
      </c>
      <c r="J832" t="s">
        <v>3064</v>
      </c>
      <c r="K832" t="s">
        <v>3065</v>
      </c>
      <c r="M832" t="s">
        <v>367</v>
      </c>
      <c r="N832">
        <v>57519</v>
      </c>
      <c r="O832" t="s">
        <v>70</v>
      </c>
      <c r="Q832" t="s">
        <v>2420</v>
      </c>
      <c r="R832" t="s">
        <v>3066</v>
      </c>
      <c r="S832" t="s">
        <v>4355</v>
      </c>
      <c r="T832" s="6">
        <v>3570000000</v>
      </c>
      <c r="U832" s="45">
        <f>VLOOKUP(B832,realPrices!C:G,5,0)</f>
        <v>3339999999</v>
      </c>
      <c r="W832" t="str">
        <f t="shared" si="12"/>
        <v>SOREN EF71401</v>
      </c>
      <c r="X832">
        <f>VLOOKUP(W832,Sheet10!D:F,2,0)*10000000</f>
        <v>4650000000</v>
      </c>
      <c r="Y832" t="s">
        <v>114</v>
      </c>
    </row>
    <row r="833" spans="1:25" x14ac:dyDescent="0.25">
      <c r="A833" t="s">
        <v>2476</v>
      </c>
      <c r="B833" t="s">
        <v>4356</v>
      </c>
      <c r="C833">
        <v>575</v>
      </c>
      <c r="D833" t="s">
        <v>63</v>
      </c>
      <c r="E833" t="s">
        <v>64</v>
      </c>
      <c r="F833" t="s">
        <v>420</v>
      </c>
      <c r="H833">
        <v>21</v>
      </c>
      <c r="I833">
        <v>1401</v>
      </c>
      <c r="J833" t="s">
        <v>4357</v>
      </c>
      <c r="K833" t="s">
        <v>4358</v>
      </c>
      <c r="M833" t="s">
        <v>367</v>
      </c>
      <c r="N833">
        <v>57519</v>
      </c>
      <c r="O833" t="s">
        <v>70</v>
      </c>
      <c r="Q833" t="s">
        <v>2420</v>
      </c>
      <c r="R833" t="s">
        <v>4359</v>
      </c>
      <c r="S833" t="s">
        <v>4360</v>
      </c>
      <c r="T833" s="6">
        <v>3570000000</v>
      </c>
      <c r="U833" s="45">
        <f>VLOOKUP(B833,realPrices!C:G,5,0)</f>
        <v>4629750000</v>
      </c>
      <c r="W833" t="str">
        <f t="shared" si="12"/>
        <v>SOREN EF71401</v>
      </c>
      <c r="X833">
        <f>VLOOKUP(W833,Sheet10!D:F,2,0)*10000000</f>
        <v>4650000000</v>
      </c>
      <c r="Y833" t="s">
        <v>114</v>
      </c>
    </row>
    <row r="834" spans="1:25" x14ac:dyDescent="0.25">
      <c r="A834" t="s">
        <v>3928</v>
      </c>
      <c r="B834" t="s">
        <v>4361</v>
      </c>
      <c r="C834">
        <v>575</v>
      </c>
      <c r="D834" t="s">
        <v>63</v>
      </c>
      <c r="E834" t="s">
        <v>64</v>
      </c>
      <c r="F834" t="s">
        <v>2436</v>
      </c>
      <c r="H834">
        <v>44</v>
      </c>
      <c r="I834">
        <v>1401</v>
      </c>
      <c r="J834" t="s">
        <v>4362</v>
      </c>
      <c r="K834" t="s">
        <v>4363</v>
      </c>
      <c r="M834" t="s">
        <v>367</v>
      </c>
      <c r="N834">
        <v>57522</v>
      </c>
      <c r="O834" t="s">
        <v>70</v>
      </c>
      <c r="Q834" t="s">
        <v>3932</v>
      </c>
      <c r="R834" t="s">
        <v>4364</v>
      </c>
      <c r="S834" t="s">
        <v>4365</v>
      </c>
      <c r="T834" s="6">
        <v>3570000000</v>
      </c>
      <c r="U834" s="45">
        <f>VLOOKUP(B834,realPrices!C:G,5,0)</f>
        <v>4030000000</v>
      </c>
      <c r="W834" t="str">
        <f t="shared" ref="W834:W897" si="13">M834&amp;I834</f>
        <v>SOREN EF71401</v>
      </c>
      <c r="X834">
        <f>VLOOKUP(W834,Sheet10!D:F,2,0)*10000000</f>
        <v>4650000000</v>
      </c>
      <c r="Y834" t="s">
        <v>114</v>
      </c>
    </row>
    <row r="835" spans="1:25" x14ac:dyDescent="0.25">
      <c r="A835" t="s">
        <v>4366</v>
      </c>
      <c r="B835" t="s">
        <v>4367</v>
      </c>
      <c r="C835">
        <v>575</v>
      </c>
      <c r="D835" t="s">
        <v>63</v>
      </c>
      <c r="E835" t="s">
        <v>64</v>
      </c>
      <c r="F835" t="s">
        <v>491</v>
      </c>
      <c r="H835">
        <v>55</v>
      </c>
      <c r="I835">
        <v>1401</v>
      </c>
      <c r="J835" t="s">
        <v>4368</v>
      </c>
      <c r="K835" t="s">
        <v>4369</v>
      </c>
      <c r="M835" t="s">
        <v>367</v>
      </c>
      <c r="N835">
        <v>57523</v>
      </c>
      <c r="O835" t="s">
        <v>70</v>
      </c>
      <c r="Q835" t="s">
        <v>2648</v>
      </c>
      <c r="R835" t="s">
        <v>4370</v>
      </c>
      <c r="S835" t="s">
        <v>4371</v>
      </c>
      <c r="T835" s="6">
        <v>3580000000</v>
      </c>
      <c r="U835" s="45">
        <f>VLOOKUP(B835,realPrices!C:G,5,0)</f>
        <v>4116686600</v>
      </c>
      <c r="W835" t="str">
        <f t="shared" si="13"/>
        <v>SOREN EF71401</v>
      </c>
      <c r="X835">
        <f>VLOOKUP(W835,Sheet10!D:F,2,0)*10000000</f>
        <v>4650000000</v>
      </c>
      <c r="Y835" t="s">
        <v>114</v>
      </c>
    </row>
    <row r="836" spans="1:25" x14ac:dyDescent="0.25">
      <c r="A836" t="s">
        <v>1418</v>
      </c>
      <c r="B836" t="s">
        <v>4372</v>
      </c>
      <c r="C836">
        <v>351</v>
      </c>
      <c r="D836" t="s">
        <v>63</v>
      </c>
      <c r="E836" t="s">
        <v>64</v>
      </c>
      <c r="F836" t="s">
        <v>420</v>
      </c>
      <c r="H836">
        <v>24</v>
      </c>
      <c r="I836">
        <v>1401</v>
      </c>
      <c r="J836" t="s">
        <v>4373</v>
      </c>
      <c r="K836" t="s">
        <v>4374</v>
      </c>
      <c r="M836" t="s">
        <v>400</v>
      </c>
      <c r="N836">
        <v>35101</v>
      </c>
      <c r="O836" t="s">
        <v>70</v>
      </c>
      <c r="Q836" t="s">
        <v>401</v>
      </c>
      <c r="R836" t="s">
        <v>4375</v>
      </c>
      <c r="S836" t="s">
        <v>4376</v>
      </c>
      <c r="T836" s="6">
        <v>3600000000</v>
      </c>
      <c r="U836" s="45">
        <f>VLOOKUP(B836,realPrices!C:G,5,0)</f>
        <v>4308900000</v>
      </c>
      <c r="W836" t="str">
        <f t="shared" si="13"/>
        <v>PARS XU7 P1401</v>
      </c>
      <c r="X836">
        <f>VLOOKUP(W836,Sheet10!D:F,2,0)*10000000</f>
        <v>4500000000</v>
      </c>
      <c r="Y836" t="s">
        <v>114</v>
      </c>
    </row>
    <row r="837" spans="1:25" x14ac:dyDescent="0.25">
      <c r="A837" t="s">
        <v>1418</v>
      </c>
      <c r="B837" t="s">
        <v>4377</v>
      </c>
      <c r="C837">
        <v>351</v>
      </c>
      <c r="D837" t="s">
        <v>63</v>
      </c>
      <c r="E837" t="s">
        <v>64</v>
      </c>
      <c r="F837" t="s">
        <v>420</v>
      </c>
      <c r="H837">
        <v>13</v>
      </c>
      <c r="I837">
        <v>1401</v>
      </c>
      <c r="J837" t="s">
        <v>4378</v>
      </c>
      <c r="K837" t="s">
        <v>4379</v>
      </c>
      <c r="M837" t="s">
        <v>400</v>
      </c>
      <c r="N837">
        <v>35101</v>
      </c>
      <c r="O837" t="s">
        <v>70</v>
      </c>
      <c r="Q837" t="s">
        <v>401</v>
      </c>
      <c r="R837" t="s">
        <v>4380</v>
      </c>
      <c r="S837" t="s">
        <v>4381</v>
      </c>
      <c r="T837" s="6">
        <v>3600000000</v>
      </c>
      <c r="U837" s="45">
        <f>VLOOKUP(B837,realPrices!C:G,5,0)</f>
        <v>4209660000</v>
      </c>
      <c r="W837" t="str">
        <f t="shared" si="13"/>
        <v>PARS XU7 P1401</v>
      </c>
      <c r="X837">
        <f>VLOOKUP(W837,Sheet10!D:F,2,0)*10000000</f>
        <v>4500000000</v>
      </c>
      <c r="Y837" t="s">
        <v>114</v>
      </c>
    </row>
    <row r="838" spans="1:25" x14ac:dyDescent="0.25">
      <c r="A838" t="s">
        <v>1418</v>
      </c>
      <c r="B838" t="s">
        <v>2580</v>
      </c>
      <c r="C838">
        <v>351</v>
      </c>
      <c r="D838" t="s">
        <v>63</v>
      </c>
      <c r="E838" t="s">
        <v>64</v>
      </c>
      <c r="F838" t="s">
        <v>420</v>
      </c>
      <c r="H838">
        <v>87</v>
      </c>
      <c r="I838">
        <v>1401</v>
      </c>
      <c r="J838" t="s">
        <v>2581</v>
      </c>
      <c r="K838" t="s">
        <v>2582</v>
      </c>
      <c r="M838" t="s">
        <v>400</v>
      </c>
      <c r="N838">
        <v>35101</v>
      </c>
      <c r="O838" t="s">
        <v>70</v>
      </c>
      <c r="Q838" t="s">
        <v>401</v>
      </c>
      <c r="R838" t="s">
        <v>2583</v>
      </c>
      <c r="S838" t="s">
        <v>4382</v>
      </c>
      <c r="T838" s="6">
        <v>3600000000</v>
      </c>
      <c r="U838" s="45">
        <f>VLOOKUP(B838,realPrices!C:G,5,0)</f>
        <v>3035000000</v>
      </c>
      <c r="W838" t="str">
        <f t="shared" si="13"/>
        <v>PARS XU7 P1401</v>
      </c>
      <c r="X838">
        <f>VLOOKUP(W838,Sheet10!D:F,2,0)*10000000</f>
        <v>4500000000</v>
      </c>
      <c r="Y838" t="s">
        <v>114</v>
      </c>
    </row>
    <row r="839" spans="1:25" x14ac:dyDescent="0.25">
      <c r="A839" t="s">
        <v>3870</v>
      </c>
      <c r="B839" t="s">
        <v>4383</v>
      </c>
      <c r="C839">
        <v>283</v>
      </c>
      <c r="D839" t="s">
        <v>63</v>
      </c>
      <c r="E839" t="s">
        <v>78</v>
      </c>
      <c r="F839" t="s">
        <v>3977</v>
      </c>
      <c r="G839" t="s">
        <v>3978</v>
      </c>
      <c r="H839">
        <v>4262</v>
      </c>
      <c r="I839">
        <v>1400</v>
      </c>
      <c r="J839" t="s">
        <v>4384</v>
      </c>
      <c r="K839" t="s">
        <v>4385</v>
      </c>
      <c r="L839" t="s">
        <v>4386</v>
      </c>
      <c r="M839" t="s">
        <v>3239</v>
      </c>
      <c r="N839">
        <v>28321</v>
      </c>
      <c r="O839" t="s">
        <v>70</v>
      </c>
      <c r="Q839" t="s">
        <v>3777</v>
      </c>
      <c r="R839" t="s">
        <v>4387</v>
      </c>
      <c r="S839" t="s">
        <v>3159</v>
      </c>
      <c r="T839" s="6">
        <v>3600000000</v>
      </c>
      <c r="U839" s="45">
        <f>VLOOKUP(B839,realPrices!C:G,5,0)</f>
        <v>4668900000</v>
      </c>
      <c r="W839" t="str">
        <f t="shared" si="13"/>
        <v>PARS XU7 CNG1400</v>
      </c>
      <c r="X839">
        <f>VLOOKUP(W839,Sheet10!D:F,2,0)*10000000</f>
        <v>5100000000</v>
      </c>
      <c r="Y839" t="s">
        <v>114</v>
      </c>
    </row>
    <row r="840" spans="1:25" x14ac:dyDescent="0.25">
      <c r="A840" t="s">
        <v>3521</v>
      </c>
      <c r="B840" t="s">
        <v>4388</v>
      </c>
      <c r="C840">
        <v>707</v>
      </c>
      <c r="D840" t="s">
        <v>77</v>
      </c>
      <c r="E840" t="s">
        <v>64</v>
      </c>
      <c r="F840" t="s">
        <v>205</v>
      </c>
      <c r="G840" t="s">
        <v>3523</v>
      </c>
      <c r="H840">
        <v>999999</v>
      </c>
      <c r="I840">
        <v>1399</v>
      </c>
      <c r="J840" t="s">
        <v>4389</v>
      </c>
      <c r="K840" t="s">
        <v>4390</v>
      </c>
      <c r="L840" t="s">
        <v>4391</v>
      </c>
      <c r="M840" t="s">
        <v>3450</v>
      </c>
      <c r="N840">
        <v>70702</v>
      </c>
      <c r="O840" t="s">
        <v>70</v>
      </c>
      <c r="Q840" t="s">
        <v>3451</v>
      </c>
      <c r="R840" t="s">
        <v>4392</v>
      </c>
      <c r="S840" t="s">
        <v>2903</v>
      </c>
      <c r="T840" s="6">
        <v>3600000000</v>
      </c>
      <c r="U840" s="45">
        <f>VLOOKUP(B840,realPrices!C:G,5,0)</f>
        <v>4619999999</v>
      </c>
      <c r="W840" t="str">
        <f t="shared" si="13"/>
        <v>DENA+EF7TC A1399</v>
      </c>
      <c r="X840">
        <f>VLOOKUP(W840,Sheet10!D:F,2,0)*10000000</f>
        <v>6900000000</v>
      </c>
      <c r="Y840" t="s">
        <v>114</v>
      </c>
    </row>
    <row r="841" spans="1:25" x14ac:dyDescent="0.25">
      <c r="A841" t="s">
        <v>3179</v>
      </c>
      <c r="B841" t="s">
        <v>4393</v>
      </c>
      <c r="C841">
        <v>615</v>
      </c>
      <c r="D841" t="s">
        <v>63</v>
      </c>
      <c r="E841" t="s">
        <v>64</v>
      </c>
      <c r="F841" t="s">
        <v>420</v>
      </c>
      <c r="G841" t="s">
        <v>3542</v>
      </c>
      <c r="H841">
        <v>2891</v>
      </c>
      <c r="I841">
        <v>1401</v>
      </c>
      <c r="J841" t="s">
        <v>4394</v>
      </c>
      <c r="K841" t="s">
        <v>4395</v>
      </c>
      <c r="L841" t="s">
        <v>505</v>
      </c>
      <c r="M841" t="s">
        <v>3130</v>
      </c>
      <c r="N841">
        <v>61503</v>
      </c>
      <c r="O841" t="s">
        <v>70</v>
      </c>
      <c r="Q841" t="s">
        <v>3131</v>
      </c>
      <c r="R841" t="s">
        <v>4396</v>
      </c>
      <c r="S841" t="s">
        <v>3611</v>
      </c>
      <c r="T841" s="6">
        <v>3600000000</v>
      </c>
      <c r="U841" s="45">
        <f>VLOOKUP(B841,realPrices!C:G,5,0)</f>
        <v>4729999999</v>
      </c>
      <c r="W841" t="str">
        <f t="shared" si="13"/>
        <v>+TU51401</v>
      </c>
      <c r="X841">
        <f>VLOOKUP(W841,Sheet10!D:F,2,0)*10000000</f>
        <v>0</v>
      </c>
      <c r="Y841" t="s">
        <v>114</v>
      </c>
    </row>
    <row r="842" spans="1:25" x14ac:dyDescent="0.25">
      <c r="A842" t="s">
        <v>4397</v>
      </c>
      <c r="B842" t="s">
        <v>4398</v>
      </c>
      <c r="C842">
        <v>704</v>
      </c>
      <c r="D842" t="s">
        <v>63</v>
      </c>
      <c r="E842" t="s">
        <v>64</v>
      </c>
      <c r="F842" t="s">
        <v>420</v>
      </c>
      <c r="H842">
        <v>41</v>
      </c>
      <c r="I842">
        <v>1401</v>
      </c>
      <c r="J842" t="s">
        <v>4399</v>
      </c>
      <c r="K842" t="s">
        <v>4400</v>
      </c>
      <c r="M842" t="s">
        <v>4401</v>
      </c>
      <c r="N842">
        <v>70408</v>
      </c>
      <c r="O842" t="s">
        <v>70</v>
      </c>
      <c r="Q842" t="s">
        <v>4402</v>
      </c>
      <c r="R842" t="s">
        <v>4403</v>
      </c>
      <c r="S842" t="s">
        <v>4404</v>
      </c>
      <c r="T842" s="6">
        <v>3600000000</v>
      </c>
      <c r="U842" s="45">
        <f>VLOOKUP(B842,realPrices!C:G,5,0)</f>
        <v>4580000000</v>
      </c>
      <c r="W842" t="str">
        <f t="shared" si="13"/>
        <v>DENA EF7 TC-MT1401</v>
      </c>
      <c r="X842">
        <f>VLOOKUP(W842,Sheet10!D:F,2,0)*10000000</f>
        <v>6750000000</v>
      </c>
      <c r="Y842" t="s">
        <v>74</v>
      </c>
    </row>
    <row r="843" spans="1:25" x14ac:dyDescent="0.25">
      <c r="A843" t="s">
        <v>3579</v>
      </c>
      <c r="B843" t="s">
        <v>4405</v>
      </c>
      <c r="C843">
        <v>600</v>
      </c>
      <c r="D843" t="s">
        <v>77</v>
      </c>
      <c r="E843" t="s">
        <v>64</v>
      </c>
      <c r="F843" t="s">
        <v>205</v>
      </c>
      <c r="G843" t="s">
        <v>206</v>
      </c>
      <c r="H843">
        <v>6382</v>
      </c>
      <c r="I843">
        <v>1400</v>
      </c>
      <c r="J843" t="s">
        <v>4406</v>
      </c>
      <c r="K843" t="s">
        <v>4407</v>
      </c>
      <c r="L843" t="s">
        <v>4408</v>
      </c>
      <c r="M843" t="s">
        <v>3246</v>
      </c>
      <c r="N843">
        <v>60006</v>
      </c>
      <c r="O843" t="s">
        <v>303</v>
      </c>
      <c r="Q843" t="s">
        <v>3415</v>
      </c>
      <c r="R843" t="s">
        <v>4409</v>
      </c>
      <c r="S843" t="s">
        <v>3255</v>
      </c>
      <c r="T843" s="6">
        <v>3620000000</v>
      </c>
      <c r="U843" s="45">
        <f>VLOOKUP(B843,realPrices!C:G,5,0)</f>
        <v>5429853251</v>
      </c>
      <c r="W843" t="str">
        <f t="shared" si="13"/>
        <v>207i-MT1400</v>
      </c>
      <c r="X843">
        <f>VLOOKUP(W843,Sheet10!D:F,2,0)*10000000</f>
        <v>5600000000</v>
      </c>
      <c r="Y843" t="s">
        <v>114</v>
      </c>
    </row>
    <row r="844" spans="1:25" x14ac:dyDescent="0.25">
      <c r="A844" t="s">
        <v>2568</v>
      </c>
      <c r="B844" t="s">
        <v>4410</v>
      </c>
      <c r="C844">
        <v>351</v>
      </c>
      <c r="D844" t="s">
        <v>63</v>
      </c>
      <c r="E844" t="s">
        <v>64</v>
      </c>
      <c r="F844" t="s">
        <v>420</v>
      </c>
      <c r="H844">
        <v>21</v>
      </c>
      <c r="I844">
        <v>1401</v>
      </c>
      <c r="J844" t="s">
        <v>4411</v>
      </c>
      <c r="K844" t="s">
        <v>4412</v>
      </c>
      <c r="M844" t="s">
        <v>400</v>
      </c>
      <c r="N844">
        <v>35103</v>
      </c>
      <c r="O844" t="s">
        <v>70</v>
      </c>
      <c r="Q844" t="s">
        <v>2572</v>
      </c>
      <c r="R844" t="s">
        <v>4413</v>
      </c>
      <c r="S844" t="s">
        <v>4414</v>
      </c>
      <c r="T844" s="6">
        <v>3650000000</v>
      </c>
      <c r="U844" s="45">
        <f>VLOOKUP(B844,realPrices!C:G,5,0)</f>
        <v>4538600000</v>
      </c>
      <c r="W844" t="str">
        <f t="shared" si="13"/>
        <v>PARS XU7 P1401</v>
      </c>
      <c r="X844">
        <f>VLOOKUP(W844,Sheet10!D:F,2,0)*10000000</f>
        <v>4500000000</v>
      </c>
      <c r="Y844" t="s">
        <v>114</v>
      </c>
    </row>
    <row r="845" spans="1:25" x14ac:dyDescent="0.25">
      <c r="A845" t="s">
        <v>191</v>
      </c>
      <c r="B845" t="s">
        <v>3390</v>
      </c>
      <c r="C845">
        <v>285</v>
      </c>
      <c r="D845" t="s">
        <v>63</v>
      </c>
      <c r="E845" t="s">
        <v>64</v>
      </c>
      <c r="F845" t="s">
        <v>420</v>
      </c>
      <c r="G845" t="s">
        <v>206</v>
      </c>
      <c r="H845">
        <v>3270</v>
      </c>
      <c r="I845">
        <v>1400</v>
      </c>
      <c r="J845" t="s">
        <v>3392</v>
      </c>
      <c r="K845" t="s">
        <v>3393</v>
      </c>
      <c r="L845" t="s">
        <v>3394</v>
      </c>
      <c r="M845" t="s">
        <v>198</v>
      </c>
      <c r="N845">
        <v>28520</v>
      </c>
      <c r="O845" t="s">
        <v>70</v>
      </c>
      <c r="Q845" t="s">
        <v>199</v>
      </c>
      <c r="R845" t="s">
        <v>3395</v>
      </c>
      <c r="S845" t="s">
        <v>4415</v>
      </c>
      <c r="T845" s="6">
        <v>3650000000</v>
      </c>
      <c r="U845" s="45">
        <f>VLOOKUP(B845,realPrices!C:G,5,0)</f>
        <v>3666666666</v>
      </c>
      <c r="W845" t="str">
        <f t="shared" si="13"/>
        <v>PARS TU51400</v>
      </c>
      <c r="X845">
        <f>VLOOKUP(W845,Sheet10!D:F,2,0)*10000000</f>
        <v>5100000000</v>
      </c>
      <c r="Y845" t="s">
        <v>114</v>
      </c>
    </row>
    <row r="846" spans="1:25" x14ac:dyDescent="0.25">
      <c r="A846" t="s">
        <v>4397</v>
      </c>
      <c r="B846" t="s">
        <v>4416</v>
      </c>
      <c r="C846">
        <v>704</v>
      </c>
      <c r="D846" t="s">
        <v>63</v>
      </c>
      <c r="E846" t="s">
        <v>64</v>
      </c>
      <c r="F846" t="s">
        <v>420</v>
      </c>
      <c r="H846">
        <v>38</v>
      </c>
      <c r="I846">
        <v>1401</v>
      </c>
      <c r="J846" t="s">
        <v>4417</v>
      </c>
      <c r="K846" t="s">
        <v>4418</v>
      </c>
      <c r="M846" t="s">
        <v>4401</v>
      </c>
      <c r="N846">
        <v>70408</v>
      </c>
      <c r="O846" t="s">
        <v>70</v>
      </c>
      <c r="Q846" t="s">
        <v>4402</v>
      </c>
      <c r="R846" t="s">
        <v>4419</v>
      </c>
      <c r="S846" t="s">
        <v>4420</v>
      </c>
      <c r="T846" s="6">
        <v>3650000000</v>
      </c>
      <c r="U846" s="45">
        <f>VLOOKUP(B846,realPrices!C:G,5,0)</f>
        <v>4750000000</v>
      </c>
      <c r="W846" t="str">
        <f t="shared" si="13"/>
        <v>DENA EF7 TC-MT1401</v>
      </c>
      <c r="X846">
        <f>VLOOKUP(W846,Sheet10!D:F,2,0)*10000000</f>
        <v>6750000000</v>
      </c>
      <c r="Y846" t="s">
        <v>74</v>
      </c>
    </row>
    <row r="847" spans="1:25" x14ac:dyDescent="0.25">
      <c r="A847" t="s">
        <v>4366</v>
      </c>
      <c r="B847" t="s">
        <v>4421</v>
      </c>
      <c r="C847">
        <v>575</v>
      </c>
      <c r="D847" t="s">
        <v>63</v>
      </c>
      <c r="E847" t="s">
        <v>64</v>
      </c>
      <c r="F847" t="s">
        <v>491</v>
      </c>
      <c r="H847">
        <v>61</v>
      </c>
      <c r="I847">
        <v>1401</v>
      </c>
      <c r="J847" t="s">
        <v>4422</v>
      </c>
      <c r="K847" t="s">
        <v>4423</v>
      </c>
      <c r="M847" t="s">
        <v>367</v>
      </c>
      <c r="N847">
        <v>57523</v>
      </c>
      <c r="O847" t="s">
        <v>70</v>
      </c>
      <c r="Q847" t="s">
        <v>2648</v>
      </c>
      <c r="R847" t="s">
        <v>4424</v>
      </c>
      <c r="S847" t="s">
        <v>4425</v>
      </c>
      <c r="T847" s="6">
        <v>3680000000</v>
      </c>
      <c r="U847" s="45">
        <f>VLOOKUP(B847,realPrices!C:G,5,0)</f>
        <v>4030000000</v>
      </c>
      <c r="W847" t="str">
        <f t="shared" si="13"/>
        <v>SOREN EF71401</v>
      </c>
      <c r="X847">
        <f>VLOOKUP(W847,Sheet10!D:F,2,0)*10000000</f>
        <v>4650000000</v>
      </c>
      <c r="Y847" t="s">
        <v>114</v>
      </c>
    </row>
    <row r="848" spans="1:25" x14ac:dyDescent="0.25">
      <c r="A848" t="s">
        <v>4366</v>
      </c>
      <c r="B848" t="s">
        <v>4426</v>
      </c>
      <c r="C848">
        <v>575</v>
      </c>
      <c r="D848" t="s">
        <v>63</v>
      </c>
      <c r="E848" t="s">
        <v>64</v>
      </c>
      <c r="F848" t="s">
        <v>2436</v>
      </c>
      <c r="H848">
        <v>46</v>
      </c>
      <c r="I848">
        <v>1401</v>
      </c>
      <c r="J848" t="s">
        <v>4427</v>
      </c>
      <c r="K848" t="s">
        <v>4428</v>
      </c>
      <c r="M848" t="s">
        <v>367</v>
      </c>
      <c r="N848">
        <v>57523</v>
      </c>
      <c r="O848" t="s">
        <v>70</v>
      </c>
      <c r="Q848" t="s">
        <v>2648</v>
      </c>
      <c r="R848" t="s">
        <v>4429</v>
      </c>
      <c r="S848" t="s">
        <v>4430</v>
      </c>
      <c r="T848" s="6">
        <v>3680000000</v>
      </c>
      <c r="U848" s="45">
        <f>VLOOKUP(B848,realPrices!C:G,5,0)</f>
        <v>4120000000</v>
      </c>
      <c r="W848" t="str">
        <f t="shared" si="13"/>
        <v>SOREN EF71401</v>
      </c>
      <c r="X848">
        <f>VLOOKUP(W848,Sheet10!D:F,2,0)*10000000</f>
        <v>4650000000</v>
      </c>
      <c r="Y848" t="s">
        <v>114</v>
      </c>
    </row>
    <row r="849" spans="1:25" x14ac:dyDescent="0.25">
      <c r="A849" t="s">
        <v>4366</v>
      </c>
      <c r="B849" t="s">
        <v>4431</v>
      </c>
      <c r="C849">
        <v>575</v>
      </c>
      <c r="D849" t="s">
        <v>63</v>
      </c>
      <c r="E849" t="s">
        <v>64</v>
      </c>
      <c r="F849" t="s">
        <v>2436</v>
      </c>
      <c r="H849">
        <v>22</v>
      </c>
      <c r="I849">
        <v>1401</v>
      </c>
      <c r="J849" t="s">
        <v>4432</v>
      </c>
      <c r="K849" t="s">
        <v>4433</v>
      </c>
      <c r="M849" t="s">
        <v>367</v>
      </c>
      <c r="N849">
        <v>57523</v>
      </c>
      <c r="O849" t="s">
        <v>70</v>
      </c>
      <c r="Q849" t="s">
        <v>2648</v>
      </c>
      <c r="R849" t="s">
        <v>4434</v>
      </c>
      <c r="S849" t="s">
        <v>4435</v>
      </c>
      <c r="T849" s="6">
        <v>3680000000</v>
      </c>
      <c r="U849" s="45">
        <f>VLOOKUP(B849,realPrices!C:G,5,0)</f>
        <v>4141111111</v>
      </c>
      <c r="W849" t="str">
        <f t="shared" si="13"/>
        <v>SOREN EF71401</v>
      </c>
      <c r="X849">
        <f>VLOOKUP(W849,Sheet10!D:F,2,0)*10000000</f>
        <v>4650000000</v>
      </c>
      <c r="Y849" t="s">
        <v>114</v>
      </c>
    </row>
    <row r="850" spans="1:25" x14ac:dyDescent="0.25">
      <c r="A850" t="s">
        <v>3521</v>
      </c>
      <c r="B850" t="s">
        <v>4436</v>
      </c>
      <c r="C850">
        <v>707</v>
      </c>
      <c r="D850" t="s">
        <v>77</v>
      </c>
      <c r="E850" t="s">
        <v>64</v>
      </c>
      <c r="F850" t="s">
        <v>193</v>
      </c>
      <c r="G850" t="s">
        <v>4437</v>
      </c>
      <c r="H850">
        <v>999999</v>
      </c>
      <c r="I850">
        <v>1401</v>
      </c>
      <c r="J850" t="s">
        <v>4438</v>
      </c>
      <c r="K850" t="s">
        <v>4439</v>
      </c>
      <c r="L850" t="s">
        <v>4440</v>
      </c>
      <c r="M850" t="s">
        <v>3450</v>
      </c>
      <c r="N850">
        <v>70702</v>
      </c>
      <c r="O850" t="s">
        <v>70</v>
      </c>
      <c r="Q850" t="s">
        <v>3451</v>
      </c>
      <c r="R850" t="s">
        <v>4441</v>
      </c>
      <c r="S850" t="s">
        <v>2168</v>
      </c>
      <c r="T850" s="6">
        <v>3700000000</v>
      </c>
      <c r="U850" s="45">
        <f>VLOOKUP(B850,realPrices!C:G,5,0)</f>
        <v>4780999999</v>
      </c>
      <c r="W850" t="str">
        <f t="shared" si="13"/>
        <v>DENA+EF7TC A1401</v>
      </c>
      <c r="X850">
        <f>VLOOKUP(W850,Sheet10!D:F,2,0)*10000000</f>
        <v>7250000000</v>
      </c>
      <c r="Y850" t="s">
        <v>74</v>
      </c>
    </row>
    <row r="851" spans="1:25" x14ac:dyDescent="0.25">
      <c r="A851" t="s">
        <v>4397</v>
      </c>
      <c r="B851" t="s">
        <v>4442</v>
      </c>
      <c r="C851">
        <v>704</v>
      </c>
      <c r="D851" t="s">
        <v>63</v>
      </c>
      <c r="E851" t="s">
        <v>64</v>
      </c>
      <c r="F851" t="s">
        <v>3186</v>
      </c>
      <c r="H851">
        <v>1081</v>
      </c>
      <c r="I851">
        <v>1401</v>
      </c>
      <c r="J851" t="s">
        <v>4443</v>
      </c>
      <c r="K851" t="s">
        <v>4444</v>
      </c>
      <c r="M851" t="s">
        <v>4401</v>
      </c>
      <c r="N851">
        <v>70408</v>
      </c>
      <c r="O851" t="s">
        <v>70</v>
      </c>
      <c r="Q851" t="s">
        <v>4402</v>
      </c>
      <c r="R851" t="s">
        <v>4445</v>
      </c>
      <c r="S851" t="s">
        <v>4446</v>
      </c>
      <c r="T851" s="6">
        <v>3700000000</v>
      </c>
      <c r="U851" s="45">
        <f>VLOOKUP(B851,realPrices!C:G,5,0)</f>
        <v>4785000000</v>
      </c>
      <c r="W851" t="str">
        <f t="shared" si="13"/>
        <v>DENA EF7 TC-MT1401</v>
      </c>
      <c r="X851">
        <f>VLOOKUP(W851,Sheet10!D:F,2,0)*10000000</f>
        <v>6750000000</v>
      </c>
      <c r="Y851" t="s">
        <v>74</v>
      </c>
    </row>
    <row r="852" spans="1:25" x14ac:dyDescent="0.25">
      <c r="A852" t="s">
        <v>3983</v>
      </c>
      <c r="B852" t="s">
        <v>4447</v>
      </c>
      <c r="C852">
        <v>615</v>
      </c>
      <c r="D852" t="s">
        <v>77</v>
      </c>
      <c r="E852" t="s">
        <v>64</v>
      </c>
      <c r="F852" t="s">
        <v>420</v>
      </c>
      <c r="H852">
        <v>18</v>
      </c>
      <c r="I852">
        <v>1401</v>
      </c>
      <c r="J852" t="s">
        <v>4448</v>
      </c>
      <c r="K852" t="s">
        <v>4449</v>
      </c>
      <c r="M852" t="s">
        <v>3130</v>
      </c>
      <c r="N852">
        <v>61503</v>
      </c>
      <c r="O852" t="s">
        <v>70</v>
      </c>
      <c r="Q852" t="s">
        <v>3131</v>
      </c>
      <c r="R852" t="s">
        <v>4450</v>
      </c>
      <c r="S852" t="s">
        <v>4451</v>
      </c>
      <c r="T852" s="6">
        <v>3720000000</v>
      </c>
      <c r="U852" s="45">
        <f>VLOOKUP(B852,realPrices!C:G,5,0)</f>
        <v>4455550000</v>
      </c>
      <c r="W852" t="str">
        <f t="shared" si="13"/>
        <v>+TU51401</v>
      </c>
      <c r="X852">
        <f>VLOOKUP(W852,Sheet10!D:F,2,0)*10000000</f>
        <v>0</v>
      </c>
      <c r="Y852" t="s">
        <v>114</v>
      </c>
    </row>
    <row r="853" spans="1:25" x14ac:dyDescent="0.25">
      <c r="A853" t="s">
        <v>191</v>
      </c>
      <c r="B853" t="s">
        <v>4452</v>
      </c>
      <c r="C853">
        <v>285</v>
      </c>
      <c r="D853" t="s">
        <v>63</v>
      </c>
      <c r="E853" t="s">
        <v>64</v>
      </c>
      <c r="F853" t="s">
        <v>2436</v>
      </c>
      <c r="H853">
        <v>1000</v>
      </c>
      <c r="I853">
        <v>1400</v>
      </c>
      <c r="J853" t="s">
        <v>4453</v>
      </c>
      <c r="K853" t="s">
        <v>4454</v>
      </c>
      <c r="M853" t="s">
        <v>198</v>
      </c>
      <c r="N853">
        <v>28520</v>
      </c>
      <c r="O853" t="s">
        <v>70</v>
      </c>
      <c r="Q853" t="s">
        <v>199</v>
      </c>
      <c r="R853" t="s">
        <v>4455</v>
      </c>
      <c r="S853" t="s">
        <v>4456</v>
      </c>
      <c r="T853" s="6">
        <v>3750000000</v>
      </c>
      <c r="U853" s="45">
        <f>VLOOKUP(B853,realPrices!C:G,5,0)</f>
        <v>4125720000</v>
      </c>
      <c r="W853" t="str">
        <f t="shared" si="13"/>
        <v>PARS TU51400</v>
      </c>
      <c r="X853">
        <f>VLOOKUP(W853,Sheet10!D:F,2,0)*10000000</f>
        <v>5100000000</v>
      </c>
      <c r="Y853" t="s">
        <v>114</v>
      </c>
    </row>
    <row r="854" spans="1:25" x14ac:dyDescent="0.25">
      <c r="A854" t="s">
        <v>2898</v>
      </c>
      <c r="B854" t="s">
        <v>4457</v>
      </c>
      <c r="C854">
        <v>351</v>
      </c>
      <c r="D854" t="s">
        <v>240</v>
      </c>
      <c r="E854" t="s">
        <v>64</v>
      </c>
      <c r="F854" t="s">
        <v>491</v>
      </c>
      <c r="H854">
        <v>27</v>
      </c>
      <c r="I854">
        <v>1401</v>
      </c>
      <c r="J854" t="s">
        <v>4458</v>
      </c>
      <c r="K854" t="s">
        <v>4459</v>
      </c>
      <c r="M854" t="s">
        <v>400</v>
      </c>
      <c r="N854">
        <v>35103</v>
      </c>
      <c r="O854" t="s">
        <v>70</v>
      </c>
      <c r="Q854" t="s">
        <v>2572</v>
      </c>
      <c r="R854" t="s">
        <v>4460</v>
      </c>
      <c r="S854" t="s">
        <v>4461</v>
      </c>
      <c r="T854" s="6">
        <v>3750000000</v>
      </c>
      <c r="U854" s="45">
        <f>VLOOKUP(B854,realPrices!C:G,5,0)</f>
        <v>4232168527</v>
      </c>
      <c r="W854" t="str">
        <f t="shared" si="13"/>
        <v>PARS XU7 P1401</v>
      </c>
      <c r="X854">
        <f>VLOOKUP(W854,Sheet10!D:F,2,0)*10000000</f>
        <v>4500000000</v>
      </c>
      <c r="Y854" t="s">
        <v>114</v>
      </c>
    </row>
    <row r="855" spans="1:25" x14ac:dyDescent="0.25">
      <c r="A855" t="s">
        <v>3497</v>
      </c>
      <c r="B855" t="s">
        <v>4462</v>
      </c>
      <c r="C855">
        <v>600</v>
      </c>
      <c r="D855" t="s">
        <v>77</v>
      </c>
      <c r="E855" t="s">
        <v>64</v>
      </c>
      <c r="F855" t="s">
        <v>193</v>
      </c>
      <c r="G855" t="s">
        <v>206</v>
      </c>
      <c r="H855">
        <v>999999</v>
      </c>
      <c r="I855">
        <v>1400</v>
      </c>
      <c r="J855" t="s">
        <v>4463</v>
      </c>
      <c r="K855" t="s">
        <v>4464</v>
      </c>
      <c r="L855" t="s">
        <v>4465</v>
      </c>
      <c r="M855" t="s">
        <v>3246</v>
      </c>
      <c r="N855">
        <v>60010</v>
      </c>
      <c r="O855" t="s">
        <v>303</v>
      </c>
      <c r="Q855" t="s">
        <v>3247</v>
      </c>
      <c r="R855" t="s">
        <v>4466</v>
      </c>
      <c r="S855" t="s">
        <v>3268</v>
      </c>
      <c r="T855" s="6">
        <v>3750000000</v>
      </c>
      <c r="U855" s="45">
        <f>VLOOKUP(B855,realPrices!C:G,5,0)</f>
        <v>4633000000</v>
      </c>
      <c r="W855" t="str">
        <f t="shared" si="13"/>
        <v>207i-MT1400</v>
      </c>
      <c r="X855">
        <f>VLOOKUP(W855,Sheet10!D:F,2,0)*10000000</f>
        <v>5600000000</v>
      </c>
      <c r="Y855" t="s">
        <v>114</v>
      </c>
    </row>
    <row r="856" spans="1:25" x14ac:dyDescent="0.25">
      <c r="A856" t="s">
        <v>3446</v>
      </c>
      <c r="B856" t="s">
        <v>4467</v>
      </c>
      <c r="C856">
        <v>707</v>
      </c>
      <c r="D856" t="s">
        <v>63</v>
      </c>
      <c r="E856" t="s">
        <v>64</v>
      </c>
      <c r="F856" t="s">
        <v>205</v>
      </c>
      <c r="G856" t="s">
        <v>3864</v>
      </c>
      <c r="H856">
        <v>488</v>
      </c>
      <c r="I856">
        <v>1401</v>
      </c>
      <c r="J856" t="s">
        <v>4468</v>
      </c>
      <c r="K856" t="s">
        <v>4469</v>
      </c>
      <c r="L856" t="s">
        <v>4470</v>
      </c>
      <c r="M856" t="s">
        <v>3450</v>
      </c>
      <c r="N856">
        <v>70702</v>
      </c>
      <c r="O856" t="s">
        <v>70</v>
      </c>
      <c r="Q856" t="s">
        <v>3451</v>
      </c>
      <c r="R856" t="s">
        <v>4471</v>
      </c>
      <c r="S856" t="s">
        <v>4472</v>
      </c>
      <c r="T856" s="6">
        <v>3800000000</v>
      </c>
      <c r="U856" s="45">
        <f>VLOOKUP(B856,realPrices!C:G,5,0)</f>
        <v>5140000000</v>
      </c>
      <c r="W856" t="str">
        <f t="shared" si="13"/>
        <v>DENA+EF7TC A1401</v>
      </c>
      <c r="X856">
        <f>VLOOKUP(W856,Sheet10!D:F,2,0)*10000000</f>
        <v>7250000000</v>
      </c>
      <c r="Y856" t="s">
        <v>74</v>
      </c>
    </row>
    <row r="857" spans="1:25" x14ac:dyDescent="0.25">
      <c r="A857" t="s">
        <v>2568</v>
      </c>
      <c r="B857" t="s">
        <v>4473</v>
      </c>
      <c r="C857">
        <v>351</v>
      </c>
      <c r="D857" t="s">
        <v>63</v>
      </c>
      <c r="E857" t="s">
        <v>64</v>
      </c>
      <c r="F857" t="s">
        <v>420</v>
      </c>
      <c r="H857">
        <v>103</v>
      </c>
      <c r="I857">
        <v>1401</v>
      </c>
      <c r="J857" t="s">
        <v>4474</v>
      </c>
      <c r="K857" t="s">
        <v>4475</v>
      </c>
      <c r="M857" t="s">
        <v>400</v>
      </c>
      <c r="N857">
        <v>35103</v>
      </c>
      <c r="O857" t="s">
        <v>70</v>
      </c>
      <c r="Q857" t="s">
        <v>2572</v>
      </c>
      <c r="R857" t="s">
        <v>4476</v>
      </c>
      <c r="S857" t="s">
        <v>2876</v>
      </c>
      <c r="T857" s="6">
        <v>3800000000</v>
      </c>
      <c r="U857" s="45">
        <f>VLOOKUP(B857,realPrices!C:G,5,0)</f>
        <v>4070000000</v>
      </c>
      <c r="W857" t="str">
        <f t="shared" si="13"/>
        <v>PARS XU7 P1401</v>
      </c>
      <c r="X857">
        <f>VLOOKUP(W857,Sheet10!D:F,2,0)*10000000</f>
        <v>4500000000</v>
      </c>
      <c r="Y857" t="s">
        <v>114</v>
      </c>
    </row>
    <row r="858" spans="1:25" x14ac:dyDescent="0.25">
      <c r="A858" t="s">
        <v>4477</v>
      </c>
      <c r="B858" t="s">
        <v>4478</v>
      </c>
      <c r="C858">
        <v>707</v>
      </c>
      <c r="D858" t="s">
        <v>4479</v>
      </c>
      <c r="E858" t="s">
        <v>64</v>
      </c>
      <c r="F858" t="s">
        <v>318</v>
      </c>
      <c r="H858">
        <v>80</v>
      </c>
      <c r="I858">
        <v>1401</v>
      </c>
      <c r="J858" t="s">
        <v>4480</v>
      </c>
      <c r="K858" t="s">
        <v>4481</v>
      </c>
      <c r="M858" t="s">
        <v>3450</v>
      </c>
      <c r="N858">
        <v>70702</v>
      </c>
      <c r="O858" t="s">
        <v>70</v>
      </c>
      <c r="Q858" t="s">
        <v>3451</v>
      </c>
      <c r="R858" t="s">
        <v>4482</v>
      </c>
      <c r="S858" t="s">
        <v>4199</v>
      </c>
      <c r="T858" s="6">
        <v>3800000000</v>
      </c>
      <c r="U858" s="45">
        <f>VLOOKUP(B858,realPrices!C:G,5,0)</f>
        <v>4875141555</v>
      </c>
      <c r="W858" t="str">
        <f t="shared" si="13"/>
        <v>DENA+EF7TC A1401</v>
      </c>
      <c r="X858">
        <f>VLOOKUP(W858,Sheet10!D:F,2,0)*10000000</f>
        <v>7250000000</v>
      </c>
      <c r="Y858" t="s">
        <v>114</v>
      </c>
    </row>
    <row r="859" spans="1:25" x14ac:dyDescent="0.25">
      <c r="A859" t="s">
        <v>4483</v>
      </c>
      <c r="B859" t="s">
        <v>4484</v>
      </c>
      <c r="C859">
        <v>606</v>
      </c>
      <c r="D859" t="s">
        <v>63</v>
      </c>
      <c r="E859" t="s">
        <v>64</v>
      </c>
      <c r="F859" t="s">
        <v>4256</v>
      </c>
      <c r="H859">
        <v>31</v>
      </c>
      <c r="I859">
        <v>1400</v>
      </c>
      <c r="J859" t="s">
        <v>4485</v>
      </c>
      <c r="K859" t="s">
        <v>4486</v>
      </c>
      <c r="M859" t="s">
        <v>4487</v>
      </c>
      <c r="N859">
        <v>60602</v>
      </c>
      <c r="O859" t="s">
        <v>4488</v>
      </c>
      <c r="Q859" t="s">
        <v>4489</v>
      </c>
      <c r="R859" t="s">
        <v>4490</v>
      </c>
      <c r="S859" t="s">
        <v>4491</v>
      </c>
      <c r="T859" s="6">
        <v>3800000000</v>
      </c>
      <c r="U859" s="45">
        <f>VLOOKUP(B859,realPrices!C:G,5,0)</f>
        <v>4753399999</v>
      </c>
      <c r="W859" t="str">
        <f t="shared" si="13"/>
        <v>207i TU5P A1400</v>
      </c>
      <c r="X859">
        <f>VLOOKUP(W859,Sheet10!D:F,2,0)*10000000</f>
        <v>7000000000</v>
      </c>
      <c r="Y859" t="s">
        <v>74</v>
      </c>
    </row>
    <row r="860" spans="1:25" x14ac:dyDescent="0.25">
      <c r="A860" t="s">
        <v>3478</v>
      </c>
      <c r="B860" t="s">
        <v>4492</v>
      </c>
      <c r="C860">
        <v>707</v>
      </c>
      <c r="D860" t="s">
        <v>259</v>
      </c>
      <c r="E860" t="s">
        <v>64</v>
      </c>
      <c r="F860" t="s">
        <v>491</v>
      </c>
      <c r="H860">
        <v>35</v>
      </c>
      <c r="I860">
        <v>1401</v>
      </c>
      <c r="J860" t="s">
        <v>4493</v>
      </c>
      <c r="K860" t="s">
        <v>4494</v>
      </c>
      <c r="M860" t="s">
        <v>3450</v>
      </c>
      <c r="N860">
        <v>70702</v>
      </c>
      <c r="O860" t="s">
        <v>70</v>
      </c>
      <c r="Q860" t="s">
        <v>3451</v>
      </c>
      <c r="R860" t="s">
        <v>4495</v>
      </c>
      <c r="S860" t="s">
        <v>4496</v>
      </c>
      <c r="T860" s="6">
        <v>3800000000</v>
      </c>
      <c r="U860" s="45">
        <f>VLOOKUP(B860,realPrices!C:G,5,0)</f>
        <v>5095100000</v>
      </c>
      <c r="W860" t="str">
        <f t="shared" si="13"/>
        <v>DENA+EF7TC A1401</v>
      </c>
      <c r="X860">
        <f>VLOOKUP(W860,Sheet10!D:F,2,0)*10000000</f>
        <v>7250000000</v>
      </c>
      <c r="Y860" t="s">
        <v>74</v>
      </c>
    </row>
    <row r="861" spans="1:25" x14ac:dyDescent="0.25">
      <c r="A861" t="s">
        <v>4497</v>
      </c>
      <c r="B861" t="s">
        <v>4498</v>
      </c>
      <c r="C861">
        <v>606</v>
      </c>
      <c r="D861" t="s">
        <v>77</v>
      </c>
      <c r="E861" t="s">
        <v>64</v>
      </c>
      <c r="F861" t="s">
        <v>4256</v>
      </c>
      <c r="H861">
        <v>44</v>
      </c>
      <c r="I861">
        <v>1400</v>
      </c>
      <c r="J861" t="s">
        <v>4499</v>
      </c>
      <c r="K861" t="s">
        <v>4500</v>
      </c>
      <c r="M861" t="s">
        <v>4487</v>
      </c>
      <c r="N861">
        <v>60602</v>
      </c>
      <c r="O861" t="s">
        <v>4488</v>
      </c>
      <c r="Q861" t="s">
        <v>4489</v>
      </c>
      <c r="R861" t="s">
        <v>4501</v>
      </c>
      <c r="S861" t="s">
        <v>4502</v>
      </c>
      <c r="T861" s="6">
        <v>3800000000</v>
      </c>
      <c r="U861" s="45">
        <f>VLOOKUP(B861,realPrices!C:G,5,0)</f>
        <v>4463335551</v>
      </c>
      <c r="W861" t="str">
        <f t="shared" si="13"/>
        <v>207i TU5P A1400</v>
      </c>
      <c r="X861">
        <f>VLOOKUP(W861,Sheet10!D:F,2,0)*10000000</f>
        <v>7000000000</v>
      </c>
      <c r="Y861" t="s">
        <v>74</v>
      </c>
    </row>
    <row r="862" spans="1:25" x14ac:dyDescent="0.25">
      <c r="A862" t="s">
        <v>4497</v>
      </c>
      <c r="B862" t="s">
        <v>4503</v>
      </c>
      <c r="C862">
        <v>606</v>
      </c>
      <c r="D862" t="s">
        <v>77</v>
      </c>
      <c r="E862" t="s">
        <v>64</v>
      </c>
      <c r="F862" t="s">
        <v>4256</v>
      </c>
      <c r="H862">
        <v>89</v>
      </c>
      <c r="I862">
        <v>1400</v>
      </c>
      <c r="J862" t="s">
        <v>4504</v>
      </c>
      <c r="K862" t="s">
        <v>4505</v>
      </c>
      <c r="M862" t="s">
        <v>4487</v>
      </c>
      <c r="N862">
        <v>60602</v>
      </c>
      <c r="O862" t="s">
        <v>4488</v>
      </c>
      <c r="Q862" t="s">
        <v>4489</v>
      </c>
      <c r="R862" t="s">
        <v>4506</v>
      </c>
      <c r="S862" t="s">
        <v>4507</v>
      </c>
      <c r="T862" s="6">
        <v>3800000000</v>
      </c>
      <c r="U862" s="45">
        <f>VLOOKUP(B862,realPrices!C:G,5,0)</f>
        <v>4481540369</v>
      </c>
      <c r="W862" t="str">
        <f t="shared" si="13"/>
        <v>207i TU5P A1400</v>
      </c>
      <c r="X862">
        <f>VLOOKUP(W862,Sheet10!D:F,2,0)*10000000</f>
        <v>7000000000</v>
      </c>
      <c r="Y862" t="s">
        <v>74</v>
      </c>
    </row>
    <row r="863" spans="1:25" x14ac:dyDescent="0.25">
      <c r="A863" t="s">
        <v>4497</v>
      </c>
      <c r="B863" t="s">
        <v>4508</v>
      </c>
      <c r="C863">
        <v>606</v>
      </c>
      <c r="D863" t="s">
        <v>77</v>
      </c>
      <c r="E863" t="s">
        <v>64</v>
      </c>
      <c r="F863" t="s">
        <v>4256</v>
      </c>
      <c r="H863">
        <v>83</v>
      </c>
      <c r="I863">
        <v>1400</v>
      </c>
      <c r="J863" t="s">
        <v>4509</v>
      </c>
      <c r="K863" t="s">
        <v>4510</v>
      </c>
      <c r="M863" t="s">
        <v>4487</v>
      </c>
      <c r="N863">
        <v>60602</v>
      </c>
      <c r="O863" t="s">
        <v>4488</v>
      </c>
      <c r="Q863" t="s">
        <v>4489</v>
      </c>
      <c r="R863" t="s">
        <v>4511</v>
      </c>
      <c r="S863" t="s">
        <v>3722</v>
      </c>
      <c r="T863" s="6">
        <v>3800000000</v>
      </c>
      <c r="U863" s="45">
        <f>VLOOKUP(B863,realPrices!C:G,5,0)</f>
        <v>4988888888</v>
      </c>
      <c r="W863" t="str">
        <f t="shared" si="13"/>
        <v>207i TU5P A1400</v>
      </c>
      <c r="X863">
        <f>VLOOKUP(W863,Sheet10!D:F,2,0)*10000000</f>
        <v>7000000000</v>
      </c>
      <c r="Y863" t="s">
        <v>74</v>
      </c>
    </row>
    <row r="864" spans="1:25" x14ac:dyDescent="0.25">
      <c r="A864" t="s">
        <v>4497</v>
      </c>
      <c r="B864" t="s">
        <v>4512</v>
      </c>
      <c r="C864">
        <v>606</v>
      </c>
      <c r="D864" t="s">
        <v>77</v>
      </c>
      <c r="E864" t="s">
        <v>64</v>
      </c>
      <c r="F864" t="s">
        <v>4256</v>
      </c>
      <c r="H864">
        <v>74</v>
      </c>
      <c r="I864">
        <v>1400</v>
      </c>
      <c r="J864" t="s">
        <v>4513</v>
      </c>
      <c r="K864" t="s">
        <v>4514</v>
      </c>
      <c r="M864" t="s">
        <v>4487</v>
      </c>
      <c r="N864">
        <v>60602</v>
      </c>
      <c r="O864" t="s">
        <v>4488</v>
      </c>
      <c r="Q864" t="s">
        <v>4489</v>
      </c>
      <c r="R864" t="s">
        <v>4515</v>
      </c>
      <c r="S864" t="s">
        <v>4516</v>
      </c>
      <c r="T864" s="6">
        <v>3800000000</v>
      </c>
      <c r="U864" s="45">
        <f>VLOOKUP(B864,realPrices!C:G,5,0)</f>
        <v>4450000000</v>
      </c>
      <c r="W864" t="str">
        <f t="shared" si="13"/>
        <v>207i TU5P A1400</v>
      </c>
      <c r="X864">
        <f>VLOOKUP(W864,Sheet10!D:F,2,0)*10000000</f>
        <v>7000000000</v>
      </c>
      <c r="Y864" t="s">
        <v>74</v>
      </c>
    </row>
    <row r="865" spans="1:25" x14ac:dyDescent="0.25">
      <c r="A865" t="s">
        <v>191</v>
      </c>
      <c r="B865" t="s">
        <v>4517</v>
      </c>
      <c r="C865">
        <v>285</v>
      </c>
      <c r="D865" t="s">
        <v>63</v>
      </c>
      <c r="E865" t="s">
        <v>64</v>
      </c>
      <c r="F865" t="s">
        <v>2436</v>
      </c>
      <c r="H865">
        <v>100</v>
      </c>
      <c r="I865">
        <v>1401</v>
      </c>
      <c r="J865" t="s">
        <v>4518</v>
      </c>
      <c r="K865" t="s">
        <v>4519</v>
      </c>
      <c r="M865" t="s">
        <v>198</v>
      </c>
      <c r="N865">
        <v>28520</v>
      </c>
      <c r="O865" t="s">
        <v>70</v>
      </c>
      <c r="Q865" t="s">
        <v>199</v>
      </c>
      <c r="R865" t="s">
        <v>4520</v>
      </c>
      <c r="S865" t="s">
        <v>4521</v>
      </c>
      <c r="T865" s="6">
        <v>3850000000</v>
      </c>
      <c r="U865" s="45">
        <f>VLOOKUP(B865,realPrices!C:G,5,0)</f>
        <v>4510000222</v>
      </c>
      <c r="W865" t="str">
        <f t="shared" si="13"/>
        <v>PARS TU51401</v>
      </c>
      <c r="X865">
        <f>VLOOKUP(W865,Sheet10!D:F,2,0)*10000000</f>
        <v>5250000000</v>
      </c>
      <c r="Y865" t="s">
        <v>114</v>
      </c>
    </row>
    <row r="866" spans="1:25" x14ac:dyDescent="0.25">
      <c r="A866" t="s">
        <v>191</v>
      </c>
      <c r="B866" t="s">
        <v>4522</v>
      </c>
      <c r="C866">
        <v>285</v>
      </c>
      <c r="D866" t="s">
        <v>63</v>
      </c>
      <c r="E866" t="s">
        <v>64</v>
      </c>
      <c r="F866" t="s">
        <v>491</v>
      </c>
      <c r="H866">
        <v>50</v>
      </c>
      <c r="I866">
        <v>1400</v>
      </c>
      <c r="J866" t="s">
        <v>4523</v>
      </c>
      <c r="K866" t="s">
        <v>4524</v>
      </c>
      <c r="M866" t="s">
        <v>198</v>
      </c>
      <c r="N866">
        <v>28520</v>
      </c>
      <c r="O866" t="s">
        <v>70</v>
      </c>
      <c r="Q866" t="s">
        <v>199</v>
      </c>
      <c r="R866" t="s">
        <v>4525</v>
      </c>
      <c r="S866" t="s">
        <v>3039</v>
      </c>
      <c r="T866" s="6">
        <v>3850000000</v>
      </c>
      <c r="U866" s="45">
        <f>VLOOKUP(B866,realPrices!C:G,5,0)</f>
        <v>4300000000</v>
      </c>
      <c r="W866" t="str">
        <f t="shared" si="13"/>
        <v>PARS TU51400</v>
      </c>
      <c r="X866">
        <f>VLOOKUP(W866,Sheet10!D:F,2,0)*10000000</f>
        <v>5100000000</v>
      </c>
      <c r="Y866" t="s">
        <v>114</v>
      </c>
    </row>
    <row r="867" spans="1:25" x14ac:dyDescent="0.25">
      <c r="A867" t="s">
        <v>191</v>
      </c>
      <c r="B867" t="s">
        <v>4526</v>
      </c>
      <c r="C867">
        <v>285</v>
      </c>
      <c r="D867" t="s">
        <v>63</v>
      </c>
      <c r="E867" t="s">
        <v>64</v>
      </c>
      <c r="F867" t="s">
        <v>318</v>
      </c>
      <c r="H867">
        <v>25</v>
      </c>
      <c r="I867">
        <v>1400</v>
      </c>
      <c r="J867" t="s">
        <v>4527</v>
      </c>
      <c r="K867" t="s">
        <v>4528</v>
      </c>
      <c r="M867" t="s">
        <v>198</v>
      </c>
      <c r="N867">
        <v>28520</v>
      </c>
      <c r="O867" t="s">
        <v>70</v>
      </c>
      <c r="Q867" t="s">
        <v>199</v>
      </c>
      <c r="R867" t="s">
        <v>4529</v>
      </c>
      <c r="S867" t="s">
        <v>4530</v>
      </c>
      <c r="T867" s="6">
        <v>3850000000</v>
      </c>
      <c r="U867" s="45">
        <f>VLOOKUP(B867,realPrices!C:G,5,0)</f>
        <v>4395550000</v>
      </c>
      <c r="W867" t="str">
        <f t="shared" si="13"/>
        <v>PARS TU51400</v>
      </c>
      <c r="X867">
        <f>VLOOKUP(W867,Sheet10!D:F,2,0)*10000000</f>
        <v>5100000000</v>
      </c>
      <c r="Y867" t="s">
        <v>114</v>
      </c>
    </row>
    <row r="868" spans="1:25" x14ac:dyDescent="0.25">
      <c r="A868" t="s">
        <v>191</v>
      </c>
      <c r="B868" t="s">
        <v>4531</v>
      </c>
      <c r="C868">
        <v>285</v>
      </c>
      <c r="D868" t="s">
        <v>63</v>
      </c>
      <c r="E868" t="s">
        <v>64</v>
      </c>
      <c r="F868" t="s">
        <v>362</v>
      </c>
      <c r="H868">
        <v>183</v>
      </c>
      <c r="I868">
        <v>1400</v>
      </c>
      <c r="J868" t="s">
        <v>4532</v>
      </c>
      <c r="K868" t="s">
        <v>4533</v>
      </c>
      <c r="M868" t="s">
        <v>198</v>
      </c>
      <c r="N868">
        <v>28520</v>
      </c>
      <c r="O868" t="s">
        <v>70</v>
      </c>
      <c r="Q868" t="s">
        <v>199</v>
      </c>
      <c r="R868" t="s">
        <v>4534</v>
      </c>
      <c r="S868" t="s">
        <v>4535</v>
      </c>
      <c r="T868" s="6">
        <v>3850000000</v>
      </c>
      <c r="U868" s="45">
        <f>VLOOKUP(B868,realPrices!C:G,5,0)</f>
        <v>4180000000</v>
      </c>
      <c r="W868" t="str">
        <f t="shared" si="13"/>
        <v>PARS TU51400</v>
      </c>
      <c r="X868">
        <f>VLOOKUP(W868,Sheet10!D:F,2,0)*10000000</f>
        <v>5100000000</v>
      </c>
      <c r="Y868" t="s">
        <v>114</v>
      </c>
    </row>
    <row r="869" spans="1:25" x14ac:dyDescent="0.25">
      <c r="A869" t="s">
        <v>3242</v>
      </c>
      <c r="B869" t="s">
        <v>4536</v>
      </c>
      <c r="C869">
        <v>600</v>
      </c>
      <c r="D869" t="s">
        <v>63</v>
      </c>
      <c r="E869" t="s">
        <v>64</v>
      </c>
      <c r="F869" t="s">
        <v>205</v>
      </c>
      <c r="G869" t="s">
        <v>206</v>
      </c>
      <c r="H869">
        <v>3626</v>
      </c>
      <c r="I869">
        <v>1400</v>
      </c>
      <c r="J869" t="s">
        <v>4537</v>
      </c>
      <c r="K869" t="s">
        <v>4538</v>
      </c>
      <c r="L869" t="s">
        <v>4539</v>
      </c>
      <c r="M869" t="s">
        <v>3246</v>
      </c>
      <c r="N869">
        <v>60010</v>
      </c>
      <c r="O869" t="s">
        <v>303</v>
      </c>
      <c r="Q869" t="s">
        <v>3247</v>
      </c>
      <c r="R869" t="s">
        <v>4540</v>
      </c>
      <c r="S869" t="s">
        <v>3520</v>
      </c>
      <c r="T869" s="6">
        <v>3850000000</v>
      </c>
      <c r="U869" s="45">
        <f>VLOOKUP(B869,realPrices!C:G,5,0)</f>
        <v>5308888889</v>
      </c>
      <c r="W869" t="str">
        <f t="shared" si="13"/>
        <v>207i-MT1400</v>
      </c>
      <c r="X869">
        <f>VLOOKUP(W869,Sheet10!D:F,2,0)*10000000</f>
        <v>5600000000</v>
      </c>
      <c r="Y869" t="s">
        <v>114</v>
      </c>
    </row>
    <row r="870" spans="1:25" x14ac:dyDescent="0.25">
      <c r="A870" t="s">
        <v>4483</v>
      </c>
      <c r="B870" t="s">
        <v>4541</v>
      </c>
      <c r="C870">
        <v>606</v>
      </c>
      <c r="D870" t="s">
        <v>63</v>
      </c>
      <c r="E870" t="s">
        <v>64</v>
      </c>
      <c r="F870" t="s">
        <v>420</v>
      </c>
      <c r="H870">
        <v>48</v>
      </c>
      <c r="I870">
        <v>1400</v>
      </c>
      <c r="J870" t="s">
        <v>4542</v>
      </c>
      <c r="K870" t="s">
        <v>4543</v>
      </c>
      <c r="M870" t="s">
        <v>4487</v>
      </c>
      <c r="N870">
        <v>60602</v>
      </c>
      <c r="O870" t="s">
        <v>4488</v>
      </c>
      <c r="Q870" t="s">
        <v>4489</v>
      </c>
      <c r="R870" t="s">
        <v>4544</v>
      </c>
      <c r="S870" t="s">
        <v>4545</v>
      </c>
      <c r="T870" s="6">
        <v>3850000000</v>
      </c>
      <c r="U870" s="45">
        <f>VLOOKUP(B870,realPrices!C:G,5,0)</f>
        <v>4381111111</v>
      </c>
      <c r="W870" t="str">
        <f t="shared" si="13"/>
        <v>207i TU5P A1400</v>
      </c>
      <c r="X870">
        <f>VLOOKUP(W870,Sheet10!D:F,2,0)*10000000</f>
        <v>7000000000</v>
      </c>
      <c r="Y870" t="s">
        <v>74</v>
      </c>
    </row>
    <row r="871" spans="1:25" x14ac:dyDescent="0.25">
      <c r="A871" t="s">
        <v>4483</v>
      </c>
      <c r="B871" t="s">
        <v>4546</v>
      </c>
      <c r="C871">
        <v>606</v>
      </c>
      <c r="D871" t="s">
        <v>63</v>
      </c>
      <c r="E871" t="s">
        <v>64</v>
      </c>
      <c r="F871" t="s">
        <v>4256</v>
      </c>
      <c r="H871">
        <v>42</v>
      </c>
      <c r="I871">
        <v>1400</v>
      </c>
      <c r="J871" t="s">
        <v>4547</v>
      </c>
      <c r="K871" t="s">
        <v>4548</v>
      </c>
      <c r="M871" t="s">
        <v>4487</v>
      </c>
      <c r="N871">
        <v>60602</v>
      </c>
      <c r="O871" t="s">
        <v>4488</v>
      </c>
      <c r="Q871" t="s">
        <v>4489</v>
      </c>
      <c r="R871" t="s">
        <v>4549</v>
      </c>
      <c r="S871" t="s">
        <v>4309</v>
      </c>
      <c r="T871" s="6">
        <v>3850000000</v>
      </c>
      <c r="U871" s="45">
        <f>VLOOKUP(B871,realPrices!C:G,5,0)</f>
        <v>4401099999</v>
      </c>
      <c r="W871" t="str">
        <f t="shared" si="13"/>
        <v>207i TU5P A1400</v>
      </c>
      <c r="X871">
        <f>VLOOKUP(W871,Sheet10!D:F,2,0)*10000000</f>
        <v>7000000000</v>
      </c>
      <c r="Y871" t="s">
        <v>74</v>
      </c>
    </row>
    <row r="872" spans="1:25" x14ac:dyDescent="0.25">
      <c r="A872" t="s">
        <v>4497</v>
      </c>
      <c r="B872" t="s">
        <v>4550</v>
      </c>
      <c r="C872">
        <v>606</v>
      </c>
      <c r="D872" t="s">
        <v>77</v>
      </c>
      <c r="E872" t="s">
        <v>64</v>
      </c>
      <c r="F872" t="s">
        <v>4256</v>
      </c>
      <c r="H872">
        <v>66</v>
      </c>
      <c r="I872">
        <v>1400</v>
      </c>
      <c r="J872" t="s">
        <v>4551</v>
      </c>
      <c r="K872" t="s">
        <v>4552</v>
      </c>
      <c r="M872" t="s">
        <v>4487</v>
      </c>
      <c r="N872">
        <v>60602</v>
      </c>
      <c r="O872" t="s">
        <v>4488</v>
      </c>
      <c r="Q872" t="s">
        <v>4489</v>
      </c>
      <c r="R872" t="s">
        <v>4553</v>
      </c>
      <c r="S872" t="s">
        <v>3753</v>
      </c>
      <c r="T872" s="6">
        <v>3850000000</v>
      </c>
      <c r="U872" s="45">
        <f>VLOOKUP(B872,realPrices!C:G,5,0)</f>
        <v>4416666666</v>
      </c>
      <c r="W872" t="str">
        <f t="shared" si="13"/>
        <v>207i TU5P A1400</v>
      </c>
      <c r="X872">
        <f>VLOOKUP(W872,Sheet10!D:F,2,0)*10000000</f>
        <v>7000000000</v>
      </c>
      <c r="Y872" t="s">
        <v>74</v>
      </c>
    </row>
    <row r="873" spans="1:25" x14ac:dyDescent="0.25">
      <c r="A873" t="s">
        <v>4497</v>
      </c>
      <c r="B873" t="s">
        <v>4554</v>
      </c>
      <c r="C873">
        <v>606</v>
      </c>
      <c r="D873" t="s">
        <v>77</v>
      </c>
      <c r="E873" t="s">
        <v>64</v>
      </c>
      <c r="F873" t="s">
        <v>4256</v>
      </c>
      <c r="H873">
        <v>28</v>
      </c>
      <c r="I873">
        <v>1400</v>
      </c>
      <c r="J873" t="s">
        <v>4555</v>
      </c>
      <c r="K873" t="s">
        <v>4556</v>
      </c>
      <c r="M873" t="s">
        <v>4487</v>
      </c>
      <c r="N873">
        <v>60602</v>
      </c>
      <c r="O873" t="s">
        <v>4488</v>
      </c>
      <c r="Q873" t="s">
        <v>4489</v>
      </c>
      <c r="R873" t="s">
        <v>4557</v>
      </c>
      <c r="S873" t="s">
        <v>4558</v>
      </c>
      <c r="T873" s="6">
        <v>3870000000</v>
      </c>
      <c r="U873" s="45">
        <f>VLOOKUP(B873,realPrices!C:G,5,0)</f>
        <v>4519999999</v>
      </c>
      <c r="W873" t="str">
        <f t="shared" si="13"/>
        <v>207i TU5P A1400</v>
      </c>
      <c r="X873">
        <f>VLOOKUP(W873,Sheet10!D:F,2,0)*10000000</f>
        <v>7000000000</v>
      </c>
      <c r="Y873" t="s">
        <v>74</v>
      </c>
    </row>
    <row r="874" spans="1:25" x14ac:dyDescent="0.25">
      <c r="A874" t="s">
        <v>4483</v>
      </c>
      <c r="B874" t="s">
        <v>4559</v>
      </c>
      <c r="C874">
        <v>606</v>
      </c>
      <c r="D874" t="s">
        <v>63</v>
      </c>
      <c r="E874" t="s">
        <v>64</v>
      </c>
      <c r="F874" t="s">
        <v>4256</v>
      </c>
      <c r="H874">
        <v>42</v>
      </c>
      <c r="I874">
        <v>1400</v>
      </c>
      <c r="J874" t="s">
        <v>4560</v>
      </c>
      <c r="K874" t="s">
        <v>4561</v>
      </c>
      <c r="M874" t="s">
        <v>4487</v>
      </c>
      <c r="N874">
        <v>60602</v>
      </c>
      <c r="O874" t="s">
        <v>4488</v>
      </c>
      <c r="Q874" t="s">
        <v>4489</v>
      </c>
      <c r="R874" t="s">
        <v>4562</v>
      </c>
      <c r="S874" t="s">
        <v>4414</v>
      </c>
      <c r="T874" s="6">
        <v>3870000000</v>
      </c>
      <c r="U874" s="45">
        <f>VLOOKUP(B874,realPrices!C:G,5,0)</f>
        <v>5019999999</v>
      </c>
      <c r="W874" t="str">
        <f t="shared" si="13"/>
        <v>207i TU5P A1400</v>
      </c>
      <c r="X874">
        <f>VLOOKUP(W874,Sheet10!D:F,2,0)*10000000</f>
        <v>7000000000</v>
      </c>
      <c r="Y874" t="s">
        <v>74</v>
      </c>
    </row>
    <row r="875" spans="1:25" x14ac:dyDescent="0.25">
      <c r="A875" t="s">
        <v>4497</v>
      </c>
      <c r="B875" t="s">
        <v>4563</v>
      </c>
      <c r="C875">
        <v>606</v>
      </c>
      <c r="D875" t="s">
        <v>77</v>
      </c>
      <c r="E875" t="s">
        <v>64</v>
      </c>
      <c r="F875" t="s">
        <v>4256</v>
      </c>
      <c r="H875">
        <v>72</v>
      </c>
      <c r="I875">
        <v>1400</v>
      </c>
      <c r="J875" t="s">
        <v>4564</v>
      </c>
      <c r="K875" t="s">
        <v>4565</v>
      </c>
      <c r="M875" t="s">
        <v>4487</v>
      </c>
      <c r="N875">
        <v>60602</v>
      </c>
      <c r="O875" t="s">
        <v>4488</v>
      </c>
      <c r="Q875" t="s">
        <v>4489</v>
      </c>
      <c r="R875" t="s">
        <v>4566</v>
      </c>
      <c r="S875" t="s">
        <v>4371</v>
      </c>
      <c r="T875" s="6">
        <v>3870000000</v>
      </c>
      <c r="U875" s="45">
        <f>VLOOKUP(B875,realPrices!C:G,5,0)</f>
        <v>4588888888</v>
      </c>
      <c r="W875" t="str">
        <f t="shared" si="13"/>
        <v>207i TU5P A1400</v>
      </c>
      <c r="X875">
        <f>VLOOKUP(W875,Sheet10!D:F,2,0)*10000000</f>
        <v>7000000000</v>
      </c>
      <c r="Y875" t="s">
        <v>74</v>
      </c>
    </row>
    <row r="876" spans="1:25" x14ac:dyDescent="0.25">
      <c r="A876" t="s">
        <v>4483</v>
      </c>
      <c r="B876" t="s">
        <v>4567</v>
      </c>
      <c r="C876">
        <v>606</v>
      </c>
      <c r="D876" t="s">
        <v>63</v>
      </c>
      <c r="E876" t="s">
        <v>64</v>
      </c>
      <c r="F876" t="s">
        <v>4256</v>
      </c>
      <c r="H876">
        <v>65</v>
      </c>
      <c r="I876">
        <v>1400</v>
      </c>
      <c r="J876" t="s">
        <v>4568</v>
      </c>
      <c r="K876" t="s">
        <v>4569</v>
      </c>
      <c r="M876" t="s">
        <v>4487</v>
      </c>
      <c r="N876">
        <v>60602</v>
      </c>
      <c r="O876" t="s">
        <v>4488</v>
      </c>
      <c r="Q876" t="s">
        <v>4489</v>
      </c>
      <c r="R876" t="s">
        <v>4570</v>
      </c>
      <c r="S876" t="s">
        <v>4571</v>
      </c>
      <c r="T876" s="6">
        <v>3870000000</v>
      </c>
      <c r="U876" s="45">
        <f>VLOOKUP(B876,realPrices!C:G,5,0)</f>
        <v>4550000999</v>
      </c>
      <c r="W876" t="str">
        <f t="shared" si="13"/>
        <v>207i TU5P A1400</v>
      </c>
      <c r="X876">
        <f>VLOOKUP(W876,Sheet10!D:F,2,0)*10000000</f>
        <v>7000000000</v>
      </c>
      <c r="Y876" t="s">
        <v>74</v>
      </c>
    </row>
    <row r="877" spans="1:25" x14ac:dyDescent="0.25">
      <c r="A877" t="s">
        <v>4497</v>
      </c>
      <c r="B877" t="s">
        <v>4572</v>
      </c>
      <c r="C877">
        <v>606</v>
      </c>
      <c r="D877" t="s">
        <v>77</v>
      </c>
      <c r="E877" t="s">
        <v>64</v>
      </c>
      <c r="F877" t="s">
        <v>4256</v>
      </c>
      <c r="H877">
        <v>85</v>
      </c>
      <c r="I877">
        <v>1400</v>
      </c>
      <c r="J877" t="s">
        <v>4573</v>
      </c>
      <c r="K877" t="s">
        <v>4574</v>
      </c>
      <c r="M877" t="s">
        <v>4487</v>
      </c>
      <c r="N877">
        <v>60602</v>
      </c>
      <c r="O877" t="s">
        <v>4488</v>
      </c>
      <c r="Q877" t="s">
        <v>4489</v>
      </c>
      <c r="R877" t="s">
        <v>4575</v>
      </c>
      <c r="S877" t="s">
        <v>4435</v>
      </c>
      <c r="T877" s="6">
        <v>3870000000</v>
      </c>
      <c r="U877" s="45">
        <f>VLOOKUP(B877,realPrices!C:G,5,0)</f>
        <v>4477777000</v>
      </c>
      <c r="W877" t="str">
        <f t="shared" si="13"/>
        <v>207i TU5P A1400</v>
      </c>
      <c r="X877">
        <f>VLOOKUP(W877,Sheet10!D:F,2,0)*10000000</f>
        <v>7000000000</v>
      </c>
      <c r="Y877" t="s">
        <v>74</v>
      </c>
    </row>
    <row r="878" spans="1:25" x14ac:dyDescent="0.25">
      <c r="A878" t="s">
        <v>4483</v>
      </c>
      <c r="B878" t="s">
        <v>4576</v>
      </c>
      <c r="C878">
        <v>606</v>
      </c>
      <c r="D878" t="s">
        <v>63</v>
      </c>
      <c r="E878" t="s">
        <v>64</v>
      </c>
      <c r="F878" t="s">
        <v>4256</v>
      </c>
      <c r="H878">
        <v>64</v>
      </c>
      <c r="I878">
        <v>1400</v>
      </c>
      <c r="J878" t="s">
        <v>4577</v>
      </c>
      <c r="K878" t="s">
        <v>4578</v>
      </c>
      <c r="M878" t="s">
        <v>4487</v>
      </c>
      <c r="N878">
        <v>60602</v>
      </c>
      <c r="O878" t="s">
        <v>4488</v>
      </c>
      <c r="Q878" t="s">
        <v>4489</v>
      </c>
      <c r="R878" t="s">
        <v>4579</v>
      </c>
      <c r="S878" t="s">
        <v>4580</v>
      </c>
      <c r="T878" s="6">
        <v>3880000000</v>
      </c>
      <c r="U878" s="45">
        <f>VLOOKUP(B878,realPrices!C:G,5,0)</f>
        <v>4480000000</v>
      </c>
      <c r="W878" t="str">
        <f t="shared" si="13"/>
        <v>207i TU5P A1400</v>
      </c>
      <c r="X878">
        <f>VLOOKUP(W878,Sheet10!D:F,2,0)*10000000</f>
        <v>7000000000</v>
      </c>
      <c r="Y878" t="s">
        <v>74</v>
      </c>
    </row>
    <row r="879" spans="1:25" x14ac:dyDescent="0.25">
      <c r="A879" t="s">
        <v>4497</v>
      </c>
      <c r="B879" t="s">
        <v>4581</v>
      </c>
      <c r="C879">
        <v>606</v>
      </c>
      <c r="D879" t="s">
        <v>77</v>
      </c>
      <c r="E879" t="s">
        <v>64</v>
      </c>
      <c r="F879" t="s">
        <v>4256</v>
      </c>
      <c r="H879">
        <v>53</v>
      </c>
      <c r="I879">
        <v>1400</v>
      </c>
      <c r="J879" t="s">
        <v>4582</v>
      </c>
      <c r="K879" t="s">
        <v>4583</v>
      </c>
      <c r="M879" t="s">
        <v>4487</v>
      </c>
      <c r="N879">
        <v>60602</v>
      </c>
      <c r="O879" t="s">
        <v>4488</v>
      </c>
      <c r="Q879" t="s">
        <v>4489</v>
      </c>
      <c r="R879" t="s">
        <v>4584</v>
      </c>
      <c r="S879" t="s">
        <v>3694</v>
      </c>
      <c r="T879" s="6">
        <v>3880000000</v>
      </c>
      <c r="U879" s="45">
        <f>VLOOKUP(B879,realPrices!C:G,5,0)</f>
        <v>4617897897</v>
      </c>
      <c r="W879" t="str">
        <f t="shared" si="13"/>
        <v>207i TU5P A1400</v>
      </c>
      <c r="X879">
        <f>VLOOKUP(W879,Sheet10!D:F,2,0)*10000000</f>
        <v>7000000000</v>
      </c>
      <c r="Y879" t="s">
        <v>74</v>
      </c>
    </row>
    <row r="880" spans="1:25" x14ac:dyDescent="0.25">
      <c r="A880" t="s">
        <v>4483</v>
      </c>
      <c r="B880" t="s">
        <v>4585</v>
      </c>
      <c r="C880">
        <v>606</v>
      </c>
      <c r="D880" t="s">
        <v>63</v>
      </c>
      <c r="E880" t="s">
        <v>64</v>
      </c>
      <c r="F880" t="s">
        <v>4256</v>
      </c>
      <c r="H880">
        <v>96</v>
      </c>
      <c r="I880">
        <v>1400</v>
      </c>
      <c r="J880" t="s">
        <v>4586</v>
      </c>
      <c r="K880" t="s">
        <v>4587</v>
      </c>
      <c r="M880" t="s">
        <v>4487</v>
      </c>
      <c r="N880">
        <v>60602</v>
      </c>
      <c r="O880" t="s">
        <v>4488</v>
      </c>
      <c r="Q880" t="s">
        <v>4489</v>
      </c>
      <c r="R880" t="s">
        <v>4588</v>
      </c>
      <c r="S880" t="s">
        <v>4589</v>
      </c>
      <c r="T880" s="6">
        <v>3880000000</v>
      </c>
      <c r="U880" s="45">
        <f>VLOOKUP(B880,realPrices!C:G,5,0)</f>
        <v>4361999999</v>
      </c>
      <c r="W880" t="str">
        <f t="shared" si="13"/>
        <v>207i TU5P A1400</v>
      </c>
      <c r="X880">
        <f>VLOOKUP(W880,Sheet10!D:F,2,0)*10000000</f>
        <v>7000000000</v>
      </c>
      <c r="Y880" t="s">
        <v>74</v>
      </c>
    </row>
    <row r="881" spans="1:25" x14ac:dyDescent="0.25">
      <c r="A881" t="s">
        <v>4497</v>
      </c>
      <c r="B881" t="s">
        <v>4590</v>
      </c>
      <c r="C881">
        <v>606</v>
      </c>
      <c r="D881" t="s">
        <v>77</v>
      </c>
      <c r="E881" t="s">
        <v>64</v>
      </c>
      <c r="F881" t="s">
        <v>4256</v>
      </c>
      <c r="H881">
        <v>61</v>
      </c>
      <c r="I881">
        <v>1400</v>
      </c>
      <c r="J881" t="s">
        <v>4591</v>
      </c>
      <c r="K881" t="s">
        <v>4592</v>
      </c>
      <c r="M881" t="s">
        <v>4487</v>
      </c>
      <c r="N881">
        <v>60602</v>
      </c>
      <c r="O881" t="s">
        <v>4488</v>
      </c>
      <c r="Q881" t="s">
        <v>4489</v>
      </c>
      <c r="R881" t="s">
        <v>4593</v>
      </c>
      <c r="S881" t="s">
        <v>4594</v>
      </c>
      <c r="T881" s="6">
        <v>3880000000</v>
      </c>
      <c r="U881" s="45">
        <f>VLOOKUP(B881,realPrices!C:G,5,0)</f>
        <v>4090000000</v>
      </c>
      <c r="W881" t="str">
        <f t="shared" si="13"/>
        <v>207i TU5P A1400</v>
      </c>
      <c r="X881">
        <f>VLOOKUP(W881,Sheet10!D:F,2,0)*10000000</f>
        <v>7000000000</v>
      </c>
      <c r="Y881" t="s">
        <v>74</v>
      </c>
    </row>
    <row r="882" spans="1:25" x14ac:dyDescent="0.25">
      <c r="A882" t="s">
        <v>4483</v>
      </c>
      <c r="B882" t="s">
        <v>4595</v>
      </c>
      <c r="C882">
        <v>606</v>
      </c>
      <c r="D882" t="s">
        <v>63</v>
      </c>
      <c r="E882" t="s">
        <v>64</v>
      </c>
      <c r="F882" t="s">
        <v>4256</v>
      </c>
      <c r="H882">
        <v>56</v>
      </c>
      <c r="I882">
        <v>1400</v>
      </c>
      <c r="J882" t="s">
        <v>4596</v>
      </c>
      <c r="K882" t="s">
        <v>4597</v>
      </c>
      <c r="M882" t="s">
        <v>4487</v>
      </c>
      <c r="N882">
        <v>60602</v>
      </c>
      <c r="O882" t="s">
        <v>4488</v>
      </c>
      <c r="Q882" t="s">
        <v>4489</v>
      </c>
      <c r="R882" t="s">
        <v>4598</v>
      </c>
      <c r="S882" t="s">
        <v>4599</v>
      </c>
      <c r="T882" s="6">
        <v>3880000000</v>
      </c>
      <c r="U882" s="45">
        <f>VLOOKUP(B882,realPrices!C:G,5,0)</f>
        <v>4459999999</v>
      </c>
      <c r="W882" t="str">
        <f t="shared" si="13"/>
        <v>207i TU5P A1400</v>
      </c>
      <c r="X882">
        <f>VLOOKUP(W882,Sheet10!D:F,2,0)*10000000</f>
        <v>7000000000</v>
      </c>
      <c r="Y882" t="s">
        <v>74</v>
      </c>
    </row>
    <row r="883" spans="1:25" x14ac:dyDescent="0.25">
      <c r="A883" t="s">
        <v>4497</v>
      </c>
      <c r="B883" t="s">
        <v>4600</v>
      </c>
      <c r="C883">
        <v>606</v>
      </c>
      <c r="D883" t="s">
        <v>77</v>
      </c>
      <c r="E883" t="s">
        <v>64</v>
      </c>
      <c r="F883" t="s">
        <v>4256</v>
      </c>
      <c r="H883">
        <v>31</v>
      </c>
      <c r="I883">
        <v>1400</v>
      </c>
      <c r="J883" t="s">
        <v>4601</v>
      </c>
      <c r="K883" t="s">
        <v>4602</v>
      </c>
      <c r="M883" t="s">
        <v>4487</v>
      </c>
      <c r="N883">
        <v>60602</v>
      </c>
      <c r="O883" t="s">
        <v>4488</v>
      </c>
      <c r="Q883" t="s">
        <v>4489</v>
      </c>
      <c r="R883" t="s">
        <v>4603</v>
      </c>
      <c r="S883" t="s">
        <v>3950</v>
      </c>
      <c r="T883" s="6">
        <v>3890000000</v>
      </c>
      <c r="U883" s="45">
        <f>VLOOKUP(B883,realPrices!C:G,5,0)</f>
        <v>4500000001</v>
      </c>
      <c r="W883" t="str">
        <f t="shared" si="13"/>
        <v>207i TU5P A1400</v>
      </c>
      <c r="X883">
        <f>VLOOKUP(W883,Sheet10!D:F,2,0)*10000000</f>
        <v>7000000000</v>
      </c>
      <c r="Y883" t="s">
        <v>74</v>
      </c>
    </row>
    <row r="884" spans="1:25" x14ac:dyDescent="0.25">
      <c r="A884" t="s">
        <v>4497</v>
      </c>
      <c r="B884" t="s">
        <v>4604</v>
      </c>
      <c r="C884">
        <v>606</v>
      </c>
      <c r="D884" t="s">
        <v>77</v>
      </c>
      <c r="E884" t="s">
        <v>64</v>
      </c>
      <c r="F884" t="s">
        <v>4256</v>
      </c>
      <c r="H884">
        <v>97</v>
      </c>
      <c r="I884">
        <v>1400</v>
      </c>
      <c r="J884" t="s">
        <v>4605</v>
      </c>
      <c r="K884" t="s">
        <v>4606</v>
      </c>
      <c r="M884" t="s">
        <v>4487</v>
      </c>
      <c r="N884">
        <v>60602</v>
      </c>
      <c r="O884" t="s">
        <v>4488</v>
      </c>
      <c r="Q884" t="s">
        <v>4489</v>
      </c>
      <c r="R884" t="s">
        <v>4607</v>
      </c>
      <c r="S884" t="s">
        <v>4608</v>
      </c>
      <c r="T884" s="6">
        <v>3890000000</v>
      </c>
      <c r="U884" s="45">
        <f>VLOOKUP(B884,realPrices!C:G,5,0)</f>
        <v>4688787000</v>
      </c>
      <c r="W884" t="str">
        <f t="shared" si="13"/>
        <v>207i TU5P A1400</v>
      </c>
      <c r="X884">
        <f>VLOOKUP(W884,Sheet10!D:F,2,0)*10000000</f>
        <v>7000000000</v>
      </c>
      <c r="Y884" t="s">
        <v>74</v>
      </c>
    </row>
    <row r="885" spans="1:25" x14ac:dyDescent="0.25">
      <c r="A885" t="s">
        <v>4609</v>
      </c>
      <c r="B885" t="s">
        <v>4610</v>
      </c>
      <c r="C885">
        <v>560</v>
      </c>
      <c r="D885" t="s">
        <v>4611</v>
      </c>
      <c r="E885" t="s">
        <v>64</v>
      </c>
      <c r="F885" t="s">
        <v>362</v>
      </c>
      <c r="G885" t="s">
        <v>363</v>
      </c>
      <c r="H885">
        <v>33</v>
      </c>
      <c r="I885">
        <v>1398</v>
      </c>
      <c r="J885" t="s">
        <v>4612</v>
      </c>
      <c r="K885" t="s">
        <v>4613</v>
      </c>
      <c r="L885" t="s">
        <v>4614</v>
      </c>
      <c r="M885" t="s">
        <v>234</v>
      </c>
      <c r="N885">
        <v>56080</v>
      </c>
      <c r="O885" t="s">
        <v>70</v>
      </c>
      <c r="Q885" t="s">
        <v>4615</v>
      </c>
      <c r="R885" t="s">
        <v>4616</v>
      </c>
      <c r="S885" t="s">
        <v>4617</v>
      </c>
      <c r="T885" s="6">
        <v>3900000000</v>
      </c>
      <c r="U885" s="45">
        <f>VLOOKUP(B885,realPrices!C:G,5,0)</f>
        <v>12888888888</v>
      </c>
      <c r="W885" t="str">
        <f t="shared" si="13"/>
        <v>TONDAR 90 K4M1398</v>
      </c>
      <c r="X885">
        <f>VLOOKUP(W885,Sheet10!D:F,2,0)*10000000</f>
        <v>6750000000</v>
      </c>
      <c r="Y885" t="s">
        <v>74</v>
      </c>
    </row>
    <row r="886" spans="1:25" x14ac:dyDescent="0.25">
      <c r="A886" t="s">
        <v>3478</v>
      </c>
      <c r="B886" t="s">
        <v>4618</v>
      </c>
      <c r="C886">
        <v>707</v>
      </c>
      <c r="D886" t="s">
        <v>259</v>
      </c>
      <c r="E886" t="s">
        <v>64</v>
      </c>
      <c r="F886" t="s">
        <v>205</v>
      </c>
      <c r="G886" t="s">
        <v>4619</v>
      </c>
      <c r="H886">
        <v>8372</v>
      </c>
      <c r="I886">
        <v>1401</v>
      </c>
      <c r="J886" t="s">
        <v>4620</v>
      </c>
      <c r="K886" t="s">
        <v>4621</v>
      </c>
      <c r="L886" t="s">
        <v>4622</v>
      </c>
      <c r="M886" t="s">
        <v>3450</v>
      </c>
      <c r="N886">
        <v>70702</v>
      </c>
      <c r="O886" t="s">
        <v>70</v>
      </c>
      <c r="Q886" t="s">
        <v>3451</v>
      </c>
      <c r="R886" t="s">
        <v>4623</v>
      </c>
      <c r="S886" t="s">
        <v>2163</v>
      </c>
      <c r="T886" s="6">
        <v>3900000000</v>
      </c>
      <c r="U886" s="45">
        <f>VLOOKUP(B886,realPrices!C:G,5,0)</f>
        <v>5056999999</v>
      </c>
      <c r="W886" t="str">
        <f t="shared" si="13"/>
        <v>DENA+EF7TC A1401</v>
      </c>
      <c r="X886">
        <f>VLOOKUP(W886,Sheet10!D:F,2,0)*10000000</f>
        <v>7250000000</v>
      </c>
      <c r="Y886" t="s">
        <v>74</v>
      </c>
    </row>
    <row r="887" spans="1:25" x14ac:dyDescent="0.25">
      <c r="A887" t="s">
        <v>4483</v>
      </c>
      <c r="B887" t="s">
        <v>4624</v>
      </c>
      <c r="C887">
        <v>606</v>
      </c>
      <c r="D887" t="s">
        <v>63</v>
      </c>
      <c r="E887" t="s">
        <v>64</v>
      </c>
      <c r="F887" t="s">
        <v>4256</v>
      </c>
      <c r="H887">
        <v>29</v>
      </c>
      <c r="I887">
        <v>1400</v>
      </c>
      <c r="J887" t="s">
        <v>4625</v>
      </c>
      <c r="K887" t="s">
        <v>4626</v>
      </c>
      <c r="M887" t="s">
        <v>4487</v>
      </c>
      <c r="N887">
        <v>60602</v>
      </c>
      <c r="O887" t="s">
        <v>4488</v>
      </c>
      <c r="Q887" t="s">
        <v>4489</v>
      </c>
      <c r="R887" t="s">
        <v>4627</v>
      </c>
      <c r="S887" t="s">
        <v>4628</v>
      </c>
      <c r="T887" s="6">
        <v>3900000000</v>
      </c>
      <c r="U887" s="45">
        <f>VLOOKUP(B887,realPrices!C:G,5,0)</f>
        <v>4731600000</v>
      </c>
      <c r="W887" t="str">
        <f t="shared" si="13"/>
        <v>207i TU5P A1400</v>
      </c>
      <c r="X887">
        <f>VLOOKUP(W887,Sheet10!D:F,2,0)*10000000</f>
        <v>7000000000</v>
      </c>
      <c r="Y887" t="s">
        <v>74</v>
      </c>
    </row>
    <row r="888" spans="1:25" x14ac:dyDescent="0.25">
      <c r="A888" t="s">
        <v>4497</v>
      </c>
      <c r="B888" t="s">
        <v>4629</v>
      </c>
      <c r="C888">
        <v>606</v>
      </c>
      <c r="D888" t="s">
        <v>77</v>
      </c>
      <c r="E888" t="s">
        <v>64</v>
      </c>
      <c r="F888" t="s">
        <v>4256</v>
      </c>
      <c r="H888">
        <v>32</v>
      </c>
      <c r="I888">
        <v>1400</v>
      </c>
      <c r="J888" t="s">
        <v>4630</v>
      </c>
      <c r="K888" t="s">
        <v>4631</v>
      </c>
      <c r="M888" t="s">
        <v>4487</v>
      </c>
      <c r="N888">
        <v>60602</v>
      </c>
      <c r="O888" t="s">
        <v>4488</v>
      </c>
      <c r="Q888" t="s">
        <v>4489</v>
      </c>
      <c r="R888" t="s">
        <v>4632</v>
      </c>
      <c r="S888" t="s">
        <v>4633</v>
      </c>
      <c r="T888" s="6">
        <v>3900000000</v>
      </c>
      <c r="U888" s="45">
        <f>VLOOKUP(B888,realPrices!C:G,5,0)</f>
        <v>4611000000</v>
      </c>
      <c r="W888" t="str">
        <f t="shared" si="13"/>
        <v>207i TU5P A1400</v>
      </c>
      <c r="X888">
        <f>VLOOKUP(W888,Sheet10!D:F,2,0)*10000000</f>
        <v>7000000000</v>
      </c>
      <c r="Y888" t="s">
        <v>74</v>
      </c>
    </row>
    <row r="889" spans="1:25" x14ac:dyDescent="0.25">
      <c r="A889" t="s">
        <v>3521</v>
      </c>
      <c r="B889" t="s">
        <v>4634</v>
      </c>
      <c r="C889">
        <v>707</v>
      </c>
      <c r="D889" t="s">
        <v>77</v>
      </c>
      <c r="E889" t="s">
        <v>64</v>
      </c>
      <c r="F889" t="s">
        <v>491</v>
      </c>
      <c r="H889">
        <v>35</v>
      </c>
      <c r="I889">
        <v>1401</v>
      </c>
      <c r="J889" t="s">
        <v>4635</v>
      </c>
      <c r="K889" t="s">
        <v>4636</v>
      </c>
      <c r="M889" t="s">
        <v>3450</v>
      </c>
      <c r="N889">
        <v>70702</v>
      </c>
      <c r="O889" t="s">
        <v>70</v>
      </c>
      <c r="Q889" t="s">
        <v>3451</v>
      </c>
      <c r="R889" t="s">
        <v>4637</v>
      </c>
      <c r="S889" t="s">
        <v>4638</v>
      </c>
      <c r="T889" s="6">
        <v>3900000000</v>
      </c>
      <c r="U889" s="45">
        <f>VLOOKUP(B889,realPrices!C:G,5,0)</f>
        <v>5112000000</v>
      </c>
      <c r="W889" t="str">
        <f t="shared" si="13"/>
        <v>DENA+EF7TC A1401</v>
      </c>
      <c r="X889">
        <f>VLOOKUP(W889,Sheet10!D:F,2,0)*10000000</f>
        <v>7250000000</v>
      </c>
      <c r="Y889" t="s">
        <v>74</v>
      </c>
    </row>
    <row r="890" spans="1:25" x14ac:dyDescent="0.25">
      <c r="A890" t="s">
        <v>4497</v>
      </c>
      <c r="B890" t="s">
        <v>4639</v>
      </c>
      <c r="C890">
        <v>606</v>
      </c>
      <c r="D890" t="s">
        <v>77</v>
      </c>
      <c r="E890" t="s">
        <v>64</v>
      </c>
      <c r="F890" t="s">
        <v>4256</v>
      </c>
      <c r="H890">
        <v>34</v>
      </c>
      <c r="I890">
        <v>1400</v>
      </c>
      <c r="J890" t="s">
        <v>4640</v>
      </c>
      <c r="K890" t="s">
        <v>4641</v>
      </c>
      <c r="M890" t="s">
        <v>4487</v>
      </c>
      <c r="N890">
        <v>60602</v>
      </c>
      <c r="O890" t="s">
        <v>4488</v>
      </c>
      <c r="Q890" t="s">
        <v>4489</v>
      </c>
      <c r="R890" t="s">
        <v>4642</v>
      </c>
      <c r="S890" t="s">
        <v>3752</v>
      </c>
      <c r="T890" s="6">
        <v>3900000000</v>
      </c>
      <c r="U890" s="45">
        <f>VLOOKUP(B890,realPrices!C:G,5,0)</f>
        <v>4933000000</v>
      </c>
      <c r="W890" t="str">
        <f t="shared" si="13"/>
        <v>207i TU5P A1400</v>
      </c>
      <c r="X890">
        <f>VLOOKUP(W890,Sheet10!D:F,2,0)*10000000</f>
        <v>7000000000</v>
      </c>
      <c r="Y890" t="s">
        <v>74</v>
      </c>
    </row>
    <row r="891" spans="1:25" x14ac:dyDescent="0.25">
      <c r="A891" t="s">
        <v>4483</v>
      </c>
      <c r="B891" t="s">
        <v>4643</v>
      </c>
      <c r="C891">
        <v>606</v>
      </c>
      <c r="D891" t="s">
        <v>63</v>
      </c>
      <c r="E891" t="s">
        <v>64</v>
      </c>
      <c r="F891" t="s">
        <v>4256</v>
      </c>
      <c r="H891">
        <v>39</v>
      </c>
      <c r="I891">
        <v>1400</v>
      </c>
      <c r="J891" t="s">
        <v>4644</v>
      </c>
      <c r="K891" t="s">
        <v>4641</v>
      </c>
      <c r="M891" t="s">
        <v>4487</v>
      </c>
      <c r="N891">
        <v>60602</v>
      </c>
      <c r="O891" t="s">
        <v>4488</v>
      </c>
      <c r="Q891" t="s">
        <v>4489</v>
      </c>
      <c r="R891" t="s">
        <v>4645</v>
      </c>
      <c r="S891" t="s">
        <v>4646</v>
      </c>
      <c r="T891" s="6">
        <v>3900000000</v>
      </c>
      <c r="U891" s="45">
        <f>VLOOKUP(B891,realPrices!C:G,5,0)</f>
        <v>5100000111</v>
      </c>
      <c r="W891" t="str">
        <f t="shared" si="13"/>
        <v>207i TU5P A1400</v>
      </c>
      <c r="X891">
        <f>VLOOKUP(W891,Sheet10!D:F,2,0)*10000000</f>
        <v>7000000000</v>
      </c>
      <c r="Y891" t="s">
        <v>74</v>
      </c>
    </row>
    <row r="892" spans="1:25" x14ac:dyDescent="0.25">
      <c r="A892" t="s">
        <v>4497</v>
      </c>
      <c r="B892" t="s">
        <v>4647</v>
      </c>
      <c r="C892">
        <v>606</v>
      </c>
      <c r="D892" t="s">
        <v>77</v>
      </c>
      <c r="E892" t="s">
        <v>64</v>
      </c>
      <c r="F892" t="s">
        <v>4256</v>
      </c>
      <c r="H892">
        <v>45</v>
      </c>
      <c r="I892">
        <v>1400</v>
      </c>
      <c r="J892" t="s">
        <v>4648</v>
      </c>
      <c r="K892" t="s">
        <v>4641</v>
      </c>
      <c r="M892" t="s">
        <v>4487</v>
      </c>
      <c r="N892">
        <v>60602</v>
      </c>
      <c r="O892" t="s">
        <v>4488</v>
      </c>
      <c r="Q892" t="s">
        <v>4489</v>
      </c>
      <c r="R892" t="s">
        <v>4649</v>
      </c>
      <c r="S892" t="s">
        <v>3751</v>
      </c>
      <c r="T892" s="6">
        <v>3900000000</v>
      </c>
      <c r="U892" s="45">
        <f>VLOOKUP(B892,realPrices!C:G,5,0)</f>
        <v>4910000000</v>
      </c>
      <c r="W892" t="str">
        <f t="shared" si="13"/>
        <v>207i TU5P A1400</v>
      </c>
      <c r="X892">
        <f>VLOOKUP(W892,Sheet10!D:F,2,0)*10000000</f>
        <v>7000000000</v>
      </c>
      <c r="Y892" t="s">
        <v>74</v>
      </c>
    </row>
    <row r="893" spans="1:25" x14ac:dyDescent="0.25">
      <c r="A893" t="s">
        <v>4497</v>
      </c>
      <c r="B893" t="s">
        <v>4650</v>
      </c>
      <c r="C893">
        <v>606</v>
      </c>
      <c r="D893" t="s">
        <v>77</v>
      </c>
      <c r="E893" t="s">
        <v>64</v>
      </c>
      <c r="F893" t="s">
        <v>4256</v>
      </c>
      <c r="H893">
        <v>44</v>
      </c>
      <c r="I893">
        <v>1400</v>
      </c>
      <c r="J893" t="s">
        <v>4651</v>
      </c>
      <c r="K893" t="s">
        <v>4641</v>
      </c>
      <c r="M893" t="s">
        <v>4487</v>
      </c>
      <c r="N893">
        <v>60602</v>
      </c>
      <c r="O893" t="s">
        <v>4488</v>
      </c>
      <c r="Q893" t="s">
        <v>4489</v>
      </c>
      <c r="R893" t="s">
        <v>4652</v>
      </c>
      <c r="S893" t="s">
        <v>4653</v>
      </c>
      <c r="T893" s="6">
        <v>3900000000</v>
      </c>
      <c r="U893" s="45">
        <f>VLOOKUP(B893,realPrices!C:G,5,0)</f>
        <v>4897979000</v>
      </c>
      <c r="W893" t="str">
        <f t="shared" si="13"/>
        <v>207i TU5P A1400</v>
      </c>
      <c r="X893">
        <f>VLOOKUP(W893,Sheet10!D:F,2,0)*10000000</f>
        <v>7000000000</v>
      </c>
      <c r="Y893" t="s">
        <v>74</v>
      </c>
    </row>
    <row r="894" spans="1:25" x14ac:dyDescent="0.25">
      <c r="A894" t="s">
        <v>4483</v>
      </c>
      <c r="B894" t="s">
        <v>4654</v>
      </c>
      <c r="C894">
        <v>606</v>
      </c>
      <c r="D894" t="s">
        <v>63</v>
      </c>
      <c r="E894" t="s">
        <v>64</v>
      </c>
      <c r="F894" t="s">
        <v>4256</v>
      </c>
      <c r="H894">
        <v>43</v>
      </c>
      <c r="I894">
        <v>1400</v>
      </c>
      <c r="J894" t="s">
        <v>4655</v>
      </c>
      <c r="K894" t="s">
        <v>4641</v>
      </c>
      <c r="M894" t="s">
        <v>4487</v>
      </c>
      <c r="N894">
        <v>60602</v>
      </c>
      <c r="O894" t="s">
        <v>4488</v>
      </c>
      <c r="Q894" t="s">
        <v>4489</v>
      </c>
      <c r="R894" t="s">
        <v>4656</v>
      </c>
      <c r="S894" t="s">
        <v>4657</v>
      </c>
      <c r="T894" s="6">
        <v>3900000000</v>
      </c>
      <c r="U894" s="45">
        <f>VLOOKUP(B894,realPrices!C:G,5,0)</f>
        <v>4858756000</v>
      </c>
      <c r="W894" t="str">
        <f t="shared" si="13"/>
        <v>207i TU5P A1400</v>
      </c>
      <c r="X894">
        <f>VLOOKUP(W894,Sheet10!D:F,2,0)*10000000</f>
        <v>7000000000</v>
      </c>
      <c r="Y894" t="s">
        <v>74</v>
      </c>
    </row>
    <row r="895" spans="1:25" x14ac:dyDescent="0.25">
      <c r="A895" t="s">
        <v>4483</v>
      </c>
      <c r="B895" t="s">
        <v>4658</v>
      </c>
      <c r="C895">
        <v>606</v>
      </c>
      <c r="D895" t="s">
        <v>63</v>
      </c>
      <c r="E895" t="s">
        <v>64</v>
      </c>
      <c r="F895" t="s">
        <v>4256</v>
      </c>
      <c r="H895">
        <v>96</v>
      </c>
      <c r="I895">
        <v>1400</v>
      </c>
      <c r="J895" t="s">
        <v>4659</v>
      </c>
      <c r="K895" t="s">
        <v>4641</v>
      </c>
      <c r="M895" t="s">
        <v>4487</v>
      </c>
      <c r="N895">
        <v>60602</v>
      </c>
      <c r="O895" t="s">
        <v>4488</v>
      </c>
      <c r="Q895" t="s">
        <v>4489</v>
      </c>
      <c r="R895" t="s">
        <v>4660</v>
      </c>
      <c r="S895" t="s">
        <v>4430</v>
      </c>
      <c r="T895" s="6">
        <v>3900000000</v>
      </c>
      <c r="U895" s="45">
        <f>VLOOKUP(B895,realPrices!C:G,5,0)</f>
        <v>4858756000</v>
      </c>
      <c r="W895" t="str">
        <f t="shared" si="13"/>
        <v>207i TU5P A1400</v>
      </c>
      <c r="X895">
        <f>VLOOKUP(W895,Sheet10!D:F,2,0)*10000000</f>
        <v>7000000000</v>
      </c>
      <c r="Y895" t="s">
        <v>74</v>
      </c>
    </row>
    <row r="896" spans="1:25" x14ac:dyDescent="0.25">
      <c r="A896" t="s">
        <v>4483</v>
      </c>
      <c r="B896" t="s">
        <v>4661</v>
      </c>
      <c r="C896">
        <v>606</v>
      </c>
      <c r="D896" t="s">
        <v>63</v>
      </c>
      <c r="E896" t="s">
        <v>64</v>
      </c>
      <c r="F896" t="s">
        <v>4256</v>
      </c>
      <c r="H896">
        <v>91</v>
      </c>
      <c r="I896">
        <v>1400</v>
      </c>
      <c r="J896" t="s">
        <v>4662</v>
      </c>
      <c r="K896" t="s">
        <v>4641</v>
      </c>
      <c r="M896" t="s">
        <v>4487</v>
      </c>
      <c r="N896">
        <v>60602</v>
      </c>
      <c r="O896" t="s">
        <v>4488</v>
      </c>
      <c r="Q896" t="s">
        <v>4489</v>
      </c>
      <c r="R896" t="s">
        <v>4663</v>
      </c>
      <c r="S896" t="s">
        <v>4664</v>
      </c>
      <c r="T896" s="6">
        <v>3900000000</v>
      </c>
      <c r="U896" s="45">
        <f>VLOOKUP(B896,realPrices!C:G,5,0)</f>
        <v>4875000000</v>
      </c>
      <c r="W896" t="str">
        <f t="shared" si="13"/>
        <v>207i TU5P A1400</v>
      </c>
      <c r="X896">
        <f>VLOOKUP(W896,Sheet10!D:F,2,0)*10000000</f>
        <v>7000000000</v>
      </c>
      <c r="Y896" t="s">
        <v>74</v>
      </c>
    </row>
    <row r="897" spans="1:25" x14ac:dyDescent="0.25">
      <c r="A897" t="s">
        <v>4483</v>
      </c>
      <c r="B897" t="s">
        <v>4665</v>
      </c>
      <c r="C897">
        <v>606</v>
      </c>
      <c r="D897" t="s">
        <v>63</v>
      </c>
      <c r="E897" t="s">
        <v>64</v>
      </c>
      <c r="F897" t="s">
        <v>4256</v>
      </c>
      <c r="H897">
        <v>81</v>
      </c>
      <c r="I897">
        <v>1400</v>
      </c>
      <c r="J897" t="s">
        <v>4666</v>
      </c>
      <c r="K897" t="s">
        <v>4667</v>
      </c>
      <c r="M897" t="s">
        <v>4487</v>
      </c>
      <c r="N897">
        <v>60602</v>
      </c>
      <c r="O897" t="s">
        <v>4488</v>
      </c>
      <c r="Q897" t="s">
        <v>4489</v>
      </c>
      <c r="R897" t="s">
        <v>4668</v>
      </c>
      <c r="S897" t="s">
        <v>4669</v>
      </c>
      <c r="T897" s="6">
        <v>3900000000</v>
      </c>
      <c r="U897" s="45">
        <f>VLOOKUP(B897,realPrices!C:G,5,0)</f>
        <v>5129983269</v>
      </c>
      <c r="W897" t="str">
        <f t="shared" si="13"/>
        <v>207i TU5P A1400</v>
      </c>
      <c r="X897">
        <f>VLOOKUP(W897,Sheet10!D:F,2,0)*10000000</f>
        <v>7000000000</v>
      </c>
      <c r="Y897" t="s">
        <v>74</v>
      </c>
    </row>
    <row r="898" spans="1:25" x14ac:dyDescent="0.25">
      <c r="A898" t="s">
        <v>4483</v>
      </c>
      <c r="B898" t="s">
        <v>4670</v>
      </c>
      <c r="C898">
        <v>606</v>
      </c>
      <c r="D898" t="s">
        <v>63</v>
      </c>
      <c r="E898" t="s">
        <v>64</v>
      </c>
      <c r="F898" t="s">
        <v>4256</v>
      </c>
      <c r="H898">
        <v>76</v>
      </c>
      <c r="I898">
        <v>1400</v>
      </c>
      <c r="J898" t="s">
        <v>4671</v>
      </c>
      <c r="K898" t="s">
        <v>4672</v>
      </c>
      <c r="M898" t="s">
        <v>4487</v>
      </c>
      <c r="N898">
        <v>60602</v>
      </c>
      <c r="O898" t="s">
        <v>4488</v>
      </c>
      <c r="Q898" t="s">
        <v>4489</v>
      </c>
      <c r="R898" t="s">
        <v>4673</v>
      </c>
      <c r="S898" t="s">
        <v>3968</v>
      </c>
      <c r="T898" s="6">
        <v>3900000000</v>
      </c>
      <c r="U898" s="45">
        <f>VLOOKUP(B898,realPrices!C:G,5,0)</f>
        <v>4731600000</v>
      </c>
      <c r="W898" t="str">
        <f t="shared" ref="W898:W961" si="14">M898&amp;I898</f>
        <v>207i TU5P A1400</v>
      </c>
      <c r="X898">
        <f>VLOOKUP(W898,Sheet10!D:F,2,0)*10000000</f>
        <v>7000000000</v>
      </c>
      <c r="Y898" t="s">
        <v>74</v>
      </c>
    </row>
    <row r="899" spans="1:25" x14ac:dyDescent="0.25">
      <c r="A899" t="s">
        <v>4483</v>
      </c>
      <c r="B899" t="s">
        <v>4674</v>
      </c>
      <c r="C899">
        <v>606</v>
      </c>
      <c r="D899" t="s">
        <v>63</v>
      </c>
      <c r="E899" t="s">
        <v>64</v>
      </c>
      <c r="F899" t="s">
        <v>4256</v>
      </c>
      <c r="H899">
        <v>67</v>
      </c>
      <c r="I899">
        <v>1400</v>
      </c>
      <c r="J899" t="s">
        <v>4675</v>
      </c>
      <c r="K899" t="s">
        <v>4676</v>
      </c>
      <c r="M899" t="s">
        <v>4487</v>
      </c>
      <c r="N899">
        <v>60602</v>
      </c>
      <c r="O899" t="s">
        <v>4488</v>
      </c>
      <c r="Q899" t="s">
        <v>4489</v>
      </c>
      <c r="R899" t="s">
        <v>4677</v>
      </c>
      <c r="S899" t="s">
        <v>4678</v>
      </c>
      <c r="T899" s="6">
        <v>3900000000</v>
      </c>
      <c r="U899" s="45">
        <f>VLOOKUP(B899,realPrices!C:G,5,0)</f>
        <v>4715550777</v>
      </c>
      <c r="W899" t="str">
        <f t="shared" si="14"/>
        <v>207i TU5P A1400</v>
      </c>
      <c r="X899">
        <f>VLOOKUP(W899,Sheet10!D:F,2,0)*10000000</f>
        <v>7000000000</v>
      </c>
      <c r="Y899" t="s">
        <v>74</v>
      </c>
    </row>
    <row r="900" spans="1:25" x14ac:dyDescent="0.25">
      <c r="A900" t="s">
        <v>4497</v>
      </c>
      <c r="B900" t="s">
        <v>4679</v>
      </c>
      <c r="C900">
        <v>606</v>
      </c>
      <c r="D900" t="s">
        <v>77</v>
      </c>
      <c r="E900" t="s">
        <v>64</v>
      </c>
      <c r="F900" t="s">
        <v>4256</v>
      </c>
      <c r="H900">
        <v>57</v>
      </c>
      <c r="I900">
        <v>1400</v>
      </c>
      <c r="J900" t="s">
        <v>4680</v>
      </c>
      <c r="K900" t="s">
        <v>4672</v>
      </c>
      <c r="M900" t="s">
        <v>4487</v>
      </c>
      <c r="N900">
        <v>60602</v>
      </c>
      <c r="O900" t="s">
        <v>4488</v>
      </c>
      <c r="Q900" t="s">
        <v>4489</v>
      </c>
      <c r="R900" t="s">
        <v>4681</v>
      </c>
      <c r="S900" t="s">
        <v>4682</v>
      </c>
      <c r="T900" s="6">
        <v>3900000000</v>
      </c>
      <c r="U900" s="45">
        <f>VLOOKUP(B900,realPrices!C:G,5,0)</f>
        <v>4601000000</v>
      </c>
      <c r="W900" t="str">
        <f t="shared" si="14"/>
        <v>207i TU5P A1400</v>
      </c>
      <c r="X900">
        <f>VLOOKUP(W900,Sheet10!D:F,2,0)*10000000</f>
        <v>7000000000</v>
      </c>
      <c r="Y900" t="s">
        <v>74</v>
      </c>
    </row>
    <row r="901" spans="1:25" x14ac:dyDescent="0.25">
      <c r="A901" t="s">
        <v>4483</v>
      </c>
      <c r="B901" t="s">
        <v>4683</v>
      </c>
      <c r="C901">
        <v>606</v>
      </c>
      <c r="D901" t="s">
        <v>63</v>
      </c>
      <c r="E901" t="s">
        <v>64</v>
      </c>
      <c r="F901" t="s">
        <v>4256</v>
      </c>
      <c r="H901">
        <v>56</v>
      </c>
      <c r="I901">
        <v>1400</v>
      </c>
      <c r="J901" t="s">
        <v>4684</v>
      </c>
      <c r="K901" t="s">
        <v>4641</v>
      </c>
      <c r="M901" t="s">
        <v>4487</v>
      </c>
      <c r="N901">
        <v>60602</v>
      </c>
      <c r="O901" t="s">
        <v>4488</v>
      </c>
      <c r="Q901" t="s">
        <v>4489</v>
      </c>
      <c r="R901" t="s">
        <v>4685</v>
      </c>
      <c r="S901" t="s">
        <v>4686</v>
      </c>
      <c r="T901" s="6">
        <v>3900000000</v>
      </c>
      <c r="U901" s="45">
        <f>VLOOKUP(B901,realPrices!C:G,5,0)</f>
        <v>4756990000</v>
      </c>
      <c r="W901" t="str">
        <f t="shared" si="14"/>
        <v>207i TU5P A1400</v>
      </c>
      <c r="X901">
        <f>VLOOKUP(W901,Sheet10!D:F,2,0)*10000000</f>
        <v>7000000000</v>
      </c>
      <c r="Y901" t="s">
        <v>74</v>
      </c>
    </row>
    <row r="902" spans="1:25" x14ac:dyDescent="0.25">
      <c r="A902" t="s">
        <v>4497</v>
      </c>
      <c r="B902" t="s">
        <v>4687</v>
      </c>
      <c r="C902">
        <v>606</v>
      </c>
      <c r="D902" t="s">
        <v>77</v>
      </c>
      <c r="E902" t="s">
        <v>64</v>
      </c>
      <c r="F902" t="s">
        <v>4256</v>
      </c>
      <c r="H902">
        <v>54</v>
      </c>
      <c r="I902">
        <v>1400</v>
      </c>
      <c r="J902" t="s">
        <v>4688</v>
      </c>
      <c r="K902" t="s">
        <v>4641</v>
      </c>
      <c r="M902" t="s">
        <v>4487</v>
      </c>
      <c r="N902">
        <v>60602</v>
      </c>
      <c r="O902" t="s">
        <v>4488</v>
      </c>
      <c r="Q902" t="s">
        <v>4489</v>
      </c>
      <c r="R902" t="s">
        <v>4689</v>
      </c>
      <c r="S902" t="s">
        <v>4365</v>
      </c>
      <c r="T902" s="6">
        <v>3900000000</v>
      </c>
      <c r="U902" s="45">
        <f>VLOOKUP(B902,realPrices!C:G,5,0)</f>
        <v>4665839999</v>
      </c>
      <c r="W902" t="str">
        <f t="shared" si="14"/>
        <v>207i TU5P A1400</v>
      </c>
      <c r="X902">
        <f>VLOOKUP(W902,Sheet10!D:F,2,0)*10000000</f>
        <v>7000000000</v>
      </c>
      <c r="Y902" t="s">
        <v>74</v>
      </c>
    </row>
    <row r="903" spans="1:25" x14ac:dyDescent="0.25">
      <c r="A903" t="s">
        <v>4483</v>
      </c>
      <c r="B903" t="s">
        <v>4690</v>
      </c>
      <c r="C903">
        <v>606</v>
      </c>
      <c r="D903" t="s">
        <v>63</v>
      </c>
      <c r="E903" t="s">
        <v>64</v>
      </c>
      <c r="F903" t="s">
        <v>4256</v>
      </c>
      <c r="H903">
        <v>110</v>
      </c>
      <c r="I903">
        <v>1400</v>
      </c>
      <c r="J903" t="s">
        <v>4691</v>
      </c>
      <c r="K903" t="s">
        <v>4641</v>
      </c>
      <c r="M903" t="s">
        <v>4487</v>
      </c>
      <c r="N903">
        <v>60602</v>
      </c>
      <c r="O903" t="s">
        <v>4488</v>
      </c>
      <c r="Q903" t="s">
        <v>4489</v>
      </c>
      <c r="R903" t="s">
        <v>4692</v>
      </c>
      <c r="S903" t="s">
        <v>3699</v>
      </c>
      <c r="T903" s="6">
        <v>3900000000</v>
      </c>
      <c r="U903" s="45">
        <f>VLOOKUP(B903,realPrices!C:G,5,0)</f>
        <v>4858756000</v>
      </c>
      <c r="W903" t="str">
        <f t="shared" si="14"/>
        <v>207i TU5P A1400</v>
      </c>
      <c r="X903">
        <f>VLOOKUP(W903,Sheet10!D:F,2,0)*10000000</f>
        <v>7000000000</v>
      </c>
      <c r="Y903" t="s">
        <v>74</v>
      </c>
    </row>
    <row r="904" spans="1:25" x14ac:dyDescent="0.25">
      <c r="A904" t="s">
        <v>4497</v>
      </c>
      <c r="B904" t="s">
        <v>4693</v>
      </c>
      <c r="C904">
        <v>606</v>
      </c>
      <c r="D904" t="s">
        <v>77</v>
      </c>
      <c r="E904" t="s">
        <v>64</v>
      </c>
      <c r="F904" t="s">
        <v>4256</v>
      </c>
      <c r="H904">
        <v>104</v>
      </c>
      <c r="I904">
        <v>1400</v>
      </c>
      <c r="J904" t="s">
        <v>4694</v>
      </c>
      <c r="K904" t="s">
        <v>4695</v>
      </c>
      <c r="M904" t="s">
        <v>4487</v>
      </c>
      <c r="N904">
        <v>60602</v>
      </c>
      <c r="O904" t="s">
        <v>4488</v>
      </c>
      <c r="Q904" t="s">
        <v>4489</v>
      </c>
      <c r="R904" t="s">
        <v>4696</v>
      </c>
      <c r="S904" t="s">
        <v>4697</v>
      </c>
      <c r="T904" s="6">
        <v>3900000000</v>
      </c>
      <c r="U904" s="45">
        <f>VLOOKUP(B904,realPrices!C:G,5,0)</f>
        <v>4990000000</v>
      </c>
      <c r="W904" t="str">
        <f t="shared" si="14"/>
        <v>207i TU5P A1400</v>
      </c>
      <c r="X904">
        <f>VLOOKUP(W904,Sheet10!D:F,2,0)*10000000</f>
        <v>7000000000</v>
      </c>
      <c r="Y904" t="s">
        <v>74</v>
      </c>
    </row>
    <row r="905" spans="1:25" x14ac:dyDescent="0.25">
      <c r="A905" t="s">
        <v>3446</v>
      </c>
      <c r="B905" t="s">
        <v>4698</v>
      </c>
      <c r="C905">
        <v>707</v>
      </c>
      <c r="D905" t="s">
        <v>63</v>
      </c>
      <c r="E905" t="s">
        <v>64</v>
      </c>
      <c r="F905" t="s">
        <v>491</v>
      </c>
      <c r="H905">
        <v>100</v>
      </c>
      <c r="I905">
        <v>1401</v>
      </c>
      <c r="J905" t="s">
        <v>4699</v>
      </c>
      <c r="K905" t="s">
        <v>4700</v>
      </c>
      <c r="M905" t="s">
        <v>3450</v>
      </c>
      <c r="N905">
        <v>70702</v>
      </c>
      <c r="O905" t="s">
        <v>70</v>
      </c>
      <c r="Q905" t="s">
        <v>3451</v>
      </c>
      <c r="R905" t="s">
        <v>4701</v>
      </c>
      <c r="S905" t="s">
        <v>2124</v>
      </c>
      <c r="T905" s="6">
        <v>3900000000</v>
      </c>
      <c r="U905" s="45">
        <f>VLOOKUP(B905,realPrices!C:G,5,0)</f>
        <v>4869999999</v>
      </c>
      <c r="W905" t="str">
        <f t="shared" si="14"/>
        <v>DENA+EF7TC A1401</v>
      </c>
      <c r="X905">
        <f>VLOOKUP(W905,Sheet10!D:F,2,0)*10000000</f>
        <v>7250000000</v>
      </c>
      <c r="Y905" t="s">
        <v>74</v>
      </c>
    </row>
    <row r="906" spans="1:25" x14ac:dyDescent="0.25">
      <c r="A906" t="s">
        <v>4483</v>
      </c>
      <c r="B906" t="s">
        <v>4702</v>
      </c>
      <c r="C906">
        <v>606</v>
      </c>
      <c r="D906" t="s">
        <v>63</v>
      </c>
      <c r="E906" t="s">
        <v>64</v>
      </c>
      <c r="F906" t="s">
        <v>4256</v>
      </c>
      <c r="H906">
        <v>95</v>
      </c>
      <c r="I906">
        <v>1400</v>
      </c>
      <c r="J906" t="s">
        <v>4703</v>
      </c>
      <c r="K906" t="s">
        <v>4641</v>
      </c>
      <c r="M906" t="s">
        <v>4487</v>
      </c>
      <c r="N906">
        <v>60602</v>
      </c>
      <c r="O906" t="s">
        <v>4488</v>
      </c>
      <c r="Q906" t="s">
        <v>4489</v>
      </c>
      <c r="R906" t="s">
        <v>4704</v>
      </c>
      <c r="S906" t="s">
        <v>4705</v>
      </c>
      <c r="T906" s="6">
        <v>3900000000</v>
      </c>
      <c r="U906" s="45">
        <f>VLOOKUP(B906,realPrices!C:G,5,0)</f>
        <v>5155555599</v>
      </c>
      <c r="W906" t="str">
        <f t="shared" si="14"/>
        <v>207i TU5P A1400</v>
      </c>
      <c r="X906">
        <f>VLOOKUP(W906,Sheet10!D:F,2,0)*10000000</f>
        <v>7000000000</v>
      </c>
      <c r="Y906" t="s">
        <v>74</v>
      </c>
    </row>
    <row r="907" spans="1:25" x14ac:dyDescent="0.25">
      <c r="A907" t="s">
        <v>4497</v>
      </c>
      <c r="B907" t="s">
        <v>4706</v>
      </c>
      <c r="C907">
        <v>606</v>
      </c>
      <c r="D907" t="s">
        <v>77</v>
      </c>
      <c r="E907" t="s">
        <v>64</v>
      </c>
      <c r="F907" t="s">
        <v>4256</v>
      </c>
      <c r="H907">
        <v>89</v>
      </c>
      <c r="I907">
        <v>1400</v>
      </c>
      <c r="J907" t="s">
        <v>4707</v>
      </c>
      <c r="K907" t="s">
        <v>4543</v>
      </c>
      <c r="M907" t="s">
        <v>4487</v>
      </c>
      <c r="N907">
        <v>60602</v>
      </c>
      <c r="O907" t="s">
        <v>4488</v>
      </c>
      <c r="Q907" t="s">
        <v>4489</v>
      </c>
      <c r="R907" t="s">
        <v>4708</v>
      </c>
      <c r="S907" t="s">
        <v>4709</v>
      </c>
      <c r="T907" s="6">
        <v>3900000000</v>
      </c>
      <c r="U907" s="45">
        <f>VLOOKUP(B907,realPrices!C:G,5,0)</f>
        <v>4495210000</v>
      </c>
      <c r="W907" t="str">
        <f t="shared" si="14"/>
        <v>207i TU5P A1400</v>
      </c>
      <c r="X907">
        <f>VLOOKUP(W907,Sheet10!D:F,2,0)*10000000</f>
        <v>7000000000</v>
      </c>
      <c r="Y907" t="s">
        <v>74</v>
      </c>
    </row>
    <row r="908" spans="1:25" x14ac:dyDescent="0.25">
      <c r="A908" t="s">
        <v>4483</v>
      </c>
      <c r="B908" t="s">
        <v>4710</v>
      </c>
      <c r="C908">
        <v>606</v>
      </c>
      <c r="D908" t="s">
        <v>63</v>
      </c>
      <c r="E908" t="s">
        <v>64</v>
      </c>
      <c r="F908" t="s">
        <v>4256</v>
      </c>
      <c r="H908">
        <v>80</v>
      </c>
      <c r="I908">
        <v>1400</v>
      </c>
      <c r="J908" t="s">
        <v>4711</v>
      </c>
      <c r="K908" t="s">
        <v>4712</v>
      </c>
      <c r="M908" t="s">
        <v>4487</v>
      </c>
      <c r="N908">
        <v>60602</v>
      </c>
      <c r="O908" t="s">
        <v>4488</v>
      </c>
      <c r="Q908" t="s">
        <v>4489</v>
      </c>
      <c r="R908" t="s">
        <v>4713</v>
      </c>
      <c r="S908" t="s">
        <v>4714</v>
      </c>
      <c r="T908" s="6">
        <v>3900000000</v>
      </c>
      <c r="U908" s="45">
        <f>VLOOKUP(B908,realPrices!C:G,5,0)</f>
        <v>5069843720</v>
      </c>
      <c r="W908" t="str">
        <f t="shared" si="14"/>
        <v>207i TU5P A1400</v>
      </c>
      <c r="X908">
        <f>VLOOKUP(W908,Sheet10!D:F,2,0)*10000000</f>
        <v>7000000000</v>
      </c>
      <c r="Y908" t="s">
        <v>74</v>
      </c>
    </row>
    <row r="909" spans="1:25" x14ac:dyDescent="0.25">
      <c r="A909" t="s">
        <v>4483</v>
      </c>
      <c r="B909" t="s">
        <v>4715</v>
      </c>
      <c r="C909">
        <v>606</v>
      </c>
      <c r="D909" t="s">
        <v>63</v>
      </c>
      <c r="E909" t="s">
        <v>64</v>
      </c>
      <c r="F909" t="s">
        <v>4256</v>
      </c>
      <c r="H909">
        <v>78</v>
      </c>
      <c r="I909">
        <v>1400</v>
      </c>
      <c r="J909" t="s">
        <v>4716</v>
      </c>
      <c r="K909" t="s">
        <v>4717</v>
      </c>
      <c r="M909" t="s">
        <v>4487</v>
      </c>
      <c r="N909">
        <v>60602</v>
      </c>
      <c r="O909" t="s">
        <v>4488</v>
      </c>
      <c r="Q909" t="s">
        <v>4489</v>
      </c>
      <c r="R909" t="s">
        <v>4718</v>
      </c>
      <c r="S909" t="s">
        <v>3862</v>
      </c>
      <c r="T909" s="6">
        <v>3900000000</v>
      </c>
      <c r="U909" s="45">
        <f>VLOOKUP(B909,realPrices!C:G,5,0)</f>
        <v>5052000000</v>
      </c>
      <c r="W909" t="str">
        <f t="shared" si="14"/>
        <v>207i TU5P A1400</v>
      </c>
      <c r="X909">
        <f>VLOOKUP(W909,Sheet10!D:F,2,0)*10000000</f>
        <v>7000000000</v>
      </c>
      <c r="Y909" t="s">
        <v>74</v>
      </c>
    </row>
    <row r="910" spans="1:25" x14ac:dyDescent="0.25">
      <c r="A910" t="s">
        <v>4483</v>
      </c>
      <c r="B910" t="s">
        <v>4719</v>
      </c>
      <c r="C910">
        <v>606</v>
      </c>
      <c r="D910" t="s">
        <v>63</v>
      </c>
      <c r="E910" t="s">
        <v>64</v>
      </c>
      <c r="F910" t="s">
        <v>4256</v>
      </c>
      <c r="H910">
        <v>63</v>
      </c>
      <c r="I910">
        <v>1400</v>
      </c>
      <c r="J910" t="s">
        <v>4720</v>
      </c>
      <c r="K910" t="s">
        <v>4721</v>
      </c>
      <c r="M910" t="s">
        <v>4487</v>
      </c>
      <c r="N910">
        <v>60602</v>
      </c>
      <c r="O910" t="s">
        <v>4488</v>
      </c>
      <c r="Q910" t="s">
        <v>4489</v>
      </c>
      <c r="R910" t="s">
        <v>4722</v>
      </c>
      <c r="S910" t="s">
        <v>2143</v>
      </c>
      <c r="T910" s="6">
        <v>3900000000</v>
      </c>
      <c r="U910" s="45">
        <f>VLOOKUP(B910,realPrices!C:G,5,0)</f>
        <v>5000000000</v>
      </c>
      <c r="W910" t="str">
        <f t="shared" si="14"/>
        <v>207i TU5P A1400</v>
      </c>
      <c r="X910">
        <f>VLOOKUP(W910,Sheet10!D:F,2,0)*10000000</f>
        <v>7000000000</v>
      </c>
      <c r="Y910" t="s">
        <v>74</v>
      </c>
    </row>
    <row r="911" spans="1:25" x14ac:dyDescent="0.25">
      <c r="A911" t="s">
        <v>4497</v>
      </c>
      <c r="B911" t="s">
        <v>4723</v>
      </c>
      <c r="C911">
        <v>606</v>
      </c>
      <c r="D911" t="s">
        <v>77</v>
      </c>
      <c r="E911" t="s">
        <v>64</v>
      </c>
      <c r="F911" t="s">
        <v>4256</v>
      </c>
      <c r="H911">
        <v>60</v>
      </c>
      <c r="I911">
        <v>1400</v>
      </c>
      <c r="J911" t="s">
        <v>4724</v>
      </c>
      <c r="K911" t="s">
        <v>4641</v>
      </c>
      <c r="M911" t="s">
        <v>4487</v>
      </c>
      <c r="N911">
        <v>60602</v>
      </c>
      <c r="O911" t="s">
        <v>4488</v>
      </c>
      <c r="Q911" t="s">
        <v>4489</v>
      </c>
      <c r="R911" t="s">
        <v>4725</v>
      </c>
      <c r="S911" t="s">
        <v>4726</v>
      </c>
      <c r="T911" s="6">
        <v>3900000000</v>
      </c>
      <c r="U911" s="45">
        <f>VLOOKUP(B911,realPrices!C:G,5,0)</f>
        <v>4858756000</v>
      </c>
      <c r="W911" t="str">
        <f t="shared" si="14"/>
        <v>207i TU5P A1400</v>
      </c>
      <c r="X911">
        <f>VLOOKUP(W911,Sheet10!D:F,2,0)*10000000</f>
        <v>7000000000</v>
      </c>
      <c r="Y911" t="s">
        <v>74</v>
      </c>
    </row>
    <row r="912" spans="1:25" x14ac:dyDescent="0.25">
      <c r="A912" t="s">
        <v>4483</v>
      </c>
      <c r="B912" t="s">
        <v>4727</v>
      </c>
      <c r="C912">
        <v>606</v>
      </c>
      <c r="D912" t="s">
        <v>63</v>
      </c>
      <c r="E912" t="s">
        <v>64</v>
      </c>
      <c r="F912" t="s">
        <v>4256</v>
      </c>
      <c r="H912">
        <v>57</v>
      </c>
      <c r="I912">
        <v>1400</v>
      </c>
      <c r="J912" t="s">
        <v>4728</v>
      </c>
      <c r="K912" t="s">
        <v>4729</v>
      </c>
      <c r="M912" t="s">
        <v>4487</v>
      </c>
      <c r="N912">
        <v>60602</v>
      </c>
      <c r="O912" t="s">
        <v>4488</v>
      </c>
      <c r="Q912" t="s">
        <v>4489</v>
      </c>
      <c r="R912" t="s">
        <v>4730</v>
      </c>
      <c r="S912" t="s">
        <v>4731</v>
      </c>
      <c r="T912" s="6">
        <v>3900000000</v>
      </c>
      <c r="U912" s="45">
        <f>VLOOKUP(B912,realPrices!C:G,5,0)</f>
        <v>5105555555</v>
      </c>
      <c r="W912" t="str">
        <f t="shared" si="14"/>
        <v>207i TU5P A1400</v>
      </c>
      <c r="X912">
        <f>VLOOKUP(W912,Sheet10!D:F,2,0)*10000000</f>
        <v>7000000000</v>
      </c>
      <c r="Y912" t="s">
        <v>74</v>
      </c>
    </row>
    <row r="913" spans="1:25" x14ac:dyDescent="0.25">
      <c r="A913" t="s">
        <v>4483</v>
      </c>
      <c r="B913" t="s">
        <v>4732</v>
      </c>
      <c r="C913">
        <v>606</v>
      </c>
      <c r="D913" t="s">
        <v>63</v>
      </c>
      <c r="E913" t="s">
        <v>64</v>
      </c>
      <c r="F913" t="s">
        <v>4256</v>
      </c>
      <c r="H913">
        <v>54</v>
      </c>
      <c r="I913">
        <v>1400</v>
      </c>
      <c r="J913" t="s">
        <v>4733</v>
      </c>
      <c r="K913" t="s">
        <v>4641</v>
      </c>
      <c r="M913" t="s">
        <v>4487</v>
      </c>
      <c r="N913">
        <v>60602</v>
      </c>
      <c r="O913" t="s">
        <v>4488</v>
      </c>
      <c r="Q913" t="s">
        <v>4489</v>
      </c>
      <c r="R913" t="s">
        <v>4734</v>
      </c>
      <c r="S913" t="s">
        <v>4521</v>
      </c>
      <c r="T913" s="6">
        <v>3900000000</v>
      </c>
      <c r="U913" s="45">
        <f>VLOOKUP(B913,realPrices!C:G,5,0)</f>
        <v>4985756000</v>
      </c>
      <c r="W913" t="str">
        <f t="shared" si="14"/>
        <v>207i TU5P A1400</v>
      </c>
      <c r="X913">
        <f>VLOOKUP(W913,Sheet10!D:F,2,0)*10000000</f>
        <v>7000000000</v>
      </c>
      <c r="Y913" t="s">
        <v>74</v>
      </c>
    </row>
    <row r="914" spans="1:25" x14ac:dyDescent="0.25">
      <c r="A914" t="s">
        <v>4483</v>
      </c>
      <c r="B914" t="s">
        <v>4735</v>
      </c>
      <c r="C914">
        <v>606</v>
      </c>
      <c r="D914" t="s">
        <v>63</v>
      </c>
      <c r="E914" t="s">
        <v>64</v>
      </c>
      <c r="F914" t="s">
        <v>4256</v>
      </c>
      <c r="H914">
        <v>53</v>
      </c>
      <c r="I914">
        <v>1400</v>
      </c>
      <c r="J914" t="s">
        <v>4736</v>
      </c>
      <c r="K914" t="s">
        <v>4641</v>
      </c>
      <c r="M914" t="s">
        <v>4487</v>
      </c>
      <c r="N914">
        <v>60602</v>
      </c>
      <c r="O914" t="s">
        <v>4488</v>
      </c>
      <c r="Q914" t="s">
        <v>4489</v>
      </c>
      <c r="R914" t="s">
        <v>4737</v>
      </c>
      <c r="S914" t="s">
        <v>4738</v>
      </c>
      <c r="T914" s="6">
        <v>3900000000</v>
      </c>
      <c r="U914" s="45">
        <f>VLOOKUP(B914,realPrices!C:G,5,0)</f>
        <v>5093214652</v>
      </c>
      <c r="W914" t="str">
        <f t="shared" si="14"/>
        <v>207i TU5P A1400</v>
      </c>
      <c r="X914">
        <f>VLOOKUP(W914,Sheet10!D:F,2,0)*10000000</f>
        <v>7000000000</v>
      </c>
      <c r="Y914" t="s">
        <v>74</v>
      </c>
    </row>
    <row r="915" spans="1:25" x14ac:dyDescent="0.25">
      <c r="A915" t="s">
        <v>4497</v>
      </c>
      <c r="B915" t="s">
        <v>4739</v>
      </c>
      <c r="C915">
        <v>606</v>
      </c>
      <c r="D915" t="s">
        <v>77</v>
      </c>
      <c r="E915" t="s">
        <v>64</v>
      </c>
      <c r="F915" t="s">
        <v>4256</v>
      </c>
      <c r="H915">
        <v>116</v>
      </c>
      <c r="I915">
        <v>1400</v>
      </c>
      <c r="J915" t="s">
        <v>4740</v>
      </c>
      <c r="K915" t="s">
        <v>4641</v>
      </c>
      <c r="M915" t="s">
        <v>4487</v>
      </c>
      <c r="N915">
        <v>60602</v>
      </c>
      <c r="O915" t="s">
        <v>4488</v>
      </c>
      <c r="Q915" t="s">
        <v>4489</v>
      </c>
      <c r="R915" t="s">
        <v>4741</v>
      </c>
      <c r="S915" t="s">
        <v>3847</v>
      </c>
      <c r="T915" s="6">
        <v>3900000000</v>
      </c>
      <c r="U915" s="45">
        <f>VLOOKUP(B915,realPrices!C:G,5,0)</f>
        <v>4837870000</v>
      </c>
      <c r="W915" t="str">
        <f t="shared" si="14"/>
        <v>207i TU5P A1400</v>
      </c>
      <c r="X915">
        <f>VLOOKUP(W915,Sheet10!D:F,2,0)*10000000</f>
        <v>7000000000</v>
      </c>
      <c r="Y915" t="s">
        <v>74</v>
      </c>
    </row>
    <row r="916" spans="1:25" x14ac:dyDescent="0.25">
      <c r="A916" t="s">
        <v>3521</v>
      </c>
      <c r="B916" t="s">
        <v>4742</v>
      </c>
      <c r="C916">
        <v>707</v>
      </c>
      <c r="D916" t="s">
        <v>77</v>
      </c>
      <c r="E916" t="s">
        <v>64</v>
      </c>
      <c r="F916" t="s">
        <v>420</v>
      </c>
      <c r="G916" t="s">
        <v>4743</v>
      </c>
      <c r="H916">
        <v>5124</v>
      </c>
      <c r="I916">
        <v>1401</v>
      </c>
      <c r="J916" t="s">
        <v>4744</v>
      </c>
      <c r="K916" t="s">
        <v>4745</v>
      </c>
      <c r="L916" t="s">
        <v>4746</v>
      </c>
      <c r="M916" t="s">
        <v>3450</v>
      </c>
      <c r="N916">
        <v>70702</v>
      </c>
      <c r="O916" t="s">
        <v>70</v>
      </c>
      <c r="Q916" t="s">
        <v>3451</v>
      </c>
      <c r="R916" t="s">
        <v>4747</v>
      </c>
      <c r="S916" t="s">
        <v>2157</v>
      </c>
      <c r="T916" s="6">
        <v>3950000000</v>
      </c>
      <c r="U916" s="45">
        <f>VLOOKUP(B916,realPrices!C:G,5,0)</f>
        <v>5375000000</v>
      </c>
      <c r="W916" t="str">
        <f t="shared" si="14"/>
        <v>DENA+EF7TC A1401</v>
      </c>
      <c r="X916">
        <f>VLOOKUP(W916,Sheet10!D:F,2,0)*10000000</f>
        <v>7250000000</v>
      </c>
      <c r="Y916" t="s">
        <v>74</v>
      </c>
    </row>
    <row r="917" spans="1:25" x14ac:dyDescent="0.25">
      <c r="A917" t="s">
        <v>191</v>
      </c>
      <c r="B917" t="s">
        <v>4748</v>
      </c>
      <c r="C917">
        <v>285</v>
      </c>
      <c r="D917" t="s">
        <v>63</v>
      </c>
      <c r="E917" t="s">
        <v>64</v>
      </c>
      <c r="F917" t="s">
        <v>318</v>
      </c>
      <c r="H917">
        <v>100</v>
      </c>
      <c r="I917">
        <v>1401</v>
      </c>
      <c r="J917" t="s">
        <v>4749</v>
      </c>
      <c r="K917" t="s">
        <v>4750</v>
      </c>
      <c r="M917" t="s">
        <v>198</v>
      </c>
      <c r="N917">
        <v>28520</v>
      </c>
      <c r="O917" t="s">
        <v>70</v>
      </c>
      <c r="Q917" t="s">
        <v>199</v>
      </c>
      <c r="R917" t="s">
        <v>4751</v>
      </c>
      <c r="S917" t="s">
        <v>4752</v>
      </c>
      <c r="T917" s="6">
        <v>3950000000</v>
      </c>
      <c r="U917" s="45">
        <f>VLOOKUP(B917,realPrices!C:G,5,0)</f>
        <v>4055555555</v>
      </c>
      <c r="W917" t="str">
        <f t="shared" si="14"/>
        <v>PARS TU51401</v>
      </c>
      <c r="X917">
        <f>VLOOKUP(W917,Sheet10!D:F,2,0)*10000000</f>
        <v>5250000000</v>
      </c>
      <c r="Y917" t="s">
        <v>114</v>
      </c>
    </row>
    <row r="918" spans="1:25" x14ac:dyDescent="0.25">
      <c r="A918" t="s">
        <v>3521</v>
      </c>
      <c r="B918" t="s">
        <v>4753</v>
      </c>
      <c r="C918">
        <v>707</v>
      </c>
      <c r="D918" t="s">
        <v>77</v>
      </c>
      <c r="E918" t="s">
        <v>64</v>
      </c>
      <c r="F918" t="s">
        <v>205</v>
      </c>
      <c r="G918" t="s">
        <v>4754</v>
      </c>
      <c r="H918">
        <v>2520</v>
      </c>
      <c r="I918">
        <v>1401</v>
      </c>
      <c r="J918" t="s">
        <v>4755</v>
      </c>
      <c r="K918" t="s">
        <v>4756</v>
      </c>
      <c r="L918" t="s">
        <v>4757</v>
      </c>
      <c r="M918" t="s">
        <v>3450</v>
      </c>
      <c r="N918">
        <v>70702</v>
      </c>
      <c r="O918" t="s">
        <v>70</v>
      </c>
      <c r="Q918" t="s">
        <v>3451</v>
      </c>
      <c r="R918" t="s">
        <v>4758</v>
      </c>
      <c r="S918" t="s">
        <v>2178</v>
      </c>
      <c r="T918" s="6">
        <v>3950000000</v>
      </c>
      <c r="U918" s="45">
        <f>VLOOKUP(B918,realPrices!C:G,5,0)</f>
        <v>5080000000</v>
      </c>
      <c r="W918" t="str">
        <f t="shared" si="14"/>
        <v>DENA+EF7TC A1401</v>
      </c>
      <c r="X918">
        <f>VLOOKUP(W918,Sheet10!D:F,2,0)*10000000</f>
        <v>7250000000</v>
      </c>
      <c r="Y918" t="s">
        <v>74</v>
      </c>
    </row>
    <row r="919" spans="1:25" x14ac:dyDescent="0.25">
      <c r="A919" t="s">
        <v>4483</v>
      </c>
      <c r="B919" t="s">
        <v>4759</v>
      </c>
      <c r="C919">
        <v>606</v>
      </c>
      <c r="D919" t="s">
        <v>63</v>
      </c>
      <c r="E919" t="s">
        <v>64</v>
      </c>
      <c r="F919" t="s">
        <v>420</v>
      </c>
      <c r="H919">
        <v>27</v>
      </c>
      <c r="I919">
        <v>1401</v>
      </c>
      <c r="J919" t="s">
        <v>4760</v>
      </c>
      <c r="K919" t="s">
        <v>4761</v>
      </c>
      <c r="M919" t="s">
        <v>4487</v>
      </c>
      <c r="N919">
        <v>60602</v>
      </c>
      <c r="O919" t="s">
        <v>4488</v>
      </c>
      <c r="Q919" t="s">
        <v>4489</v>
      </c>
      <c r="R919" t="s">
        <v>4762</v>
      </c>
      <c r="S919" t="s">
        <v>4425</v>
      </c>
      <c r="T919" s="6">
        <v>3970000000</v>
      </c>
      <c r="U919" s="45">
        <f>VLOOKUP(B919,realPrices!C:G,5,0)</f>
        <v>4739500000</v>
      </c>
      <c r="W919" t="str">
        <f t="shared" si="14"/>
        <v>207i TU5P A1401</v>
      </c>
      <c r="X919">
        <f>VLOOKUP(W919,Sheet10!D:F,2,0)*10000000</f>
        <v>7100000000</v>
      </c>
      <c r="Y919" t="s">
        <v>74</v>
      </c>
    </row>
    <row r="920" spans="1:25" x14ac:dyDescent="0.25">
      <c r="A920" t="s">
        <v>4497</v>
      </c>
      <c r="B920" t="s">
        <v>4763</v>
      </c>
      <c r="C920">
        <v>606</v>
      </c>
      <c r="D920" t="s">
        <v>77</v>
      </c>
      <c r="E920" t="s">
        <v>64</v>
      </c>
      <c r="F920" t="s">
        <v>420</v>
      </c>
      <c r="H920">
        <v>31</v>
      </c>
      <c r="I920">
        <v>1401</v>
      </c>
      <c r="J920" t="s">
        <v>4764</v>
      </c>
      <c r="K920" t="s">
        <v>4765</v>
      </c>
      <c r="M920" t="s">
        <v>4487</v>
      </c>
      <c r="N920">
        <v>60602</v>
      </c>
      <c r="O920" t="s">
        <v>4488</v>
      </c>
      <c r="Q920" t="s">
        <v>4489</v>
      </c>
      <c r="R920" t="s">
        <v>4766</v>
      </c>
      <c r="S920" t="s">
        <v>3676</v>
      </c>
      <c r="T920" s="6">
        <v>3980000000</v>
      </c>
      <c r="U920" s="45">
        <f>VLOOKUP(B920,realPrices!C:G,5,0)</f>
        <v>4541999999</v>
      </c>
      <c r="W920" t="str">
        <f t="shared" si="14"/>
        <v>207i TU5P A1401</v>
      </c>
      <c r="X920">
        <f>VLOOKUP(W920,Sheet10!D:F,2,0)*10000000</f>
        <v>7100000000</v>
      </c>
      <c r="Y920" t="s">
        <v>74</v>
      </c>
    </row>
    <row r="921" spans="1:25" x14ac:dyDescent="0.25">
      <c r="A921" t="s">
        <v>191</v>
      </c>
      <c r="B921" t="s">
        <v>4767</v>
      </c>
      <c r="C921">
        <v>285</v>
      </c>
      <c r="D921" t="s">
        <v>63</v>
      </c>
      <c r="E921" t="s">
        <v>64</v>
      </c>
      <c r="F921" t="s">
        <v>3186</v>
      </c>
      <c r="H921">
        <v>69</v>
      </c>
      <c r="I921">
        <v>1400</v>
      </c>
      <c r="J921" t="s">
        <v>4768</v>
      </c>
      <c r="K921" t="s">
        <v>4769</v>
      </c>
      <c r="M921" t="s">
        <v>198</v>
      </c>
      <c r="N921">
        <v>28520</v>
      </c>
      <c r="O921" t="s">
        <v>70</v>
      </c>
      <c r="Q921" t="s">
        <v>199</v>
      </c>
      <c r="R921" t="s">
        <v>4770</v>
      </c>
      <c r="S921" t="s">
        <v>4714</v>
      </c>
      <c r="T921" s="6">
        <v>4000000000</v>
      </c>
      <c r="U921" s="45">
        <f>VLOOKUP(B921,realPrices!C:G,5,0)</f>
        <v>4477557000</v>
      </c>
      <c r="W921" t="str">
        <f t="shared" si="14"/>
        <v>PARS TU51400</v>
      </c>
      <c r="X921">
        <f>VLOOKUP(W921,Sheet10!D:F,2,0)*10000000</f>
        <v>5100000000</v>
      </c>
      <c r="Y921" t="s">
        <v>114</v>
      </c>
    </row>
    <row r="922" spans="1:25" x14ac:dyDescent="0.25">
      <c r="A922" t="s">
        <v>3521</v>
      </c>
      <c r="B922" t="s">
        <v>4771</v>
      </c>
      <c r="C922">
        <v>707</v>
      </c>
      <c r="D922" t="s">
        <v>77</v>
      </c>
      <c r="E922" t="s">
        <v>64</v>
      </c>
      <c r="F922" t="s">
        <v>420</v>
      </c>
      <c r="G922" t="s">
        <v>3472</v>
      </c>
      <c r="H922">
        <v>5874</v>
      </c>
      <c r="I922">
        <v>1401</v>
      </c>
      <c r="J922" t="s">
        <v>4772</v>
      </c>
      <c r="K922" t="s">
        <v>4773</v>
      </c>
      <c r="L922" t="s">
        <v>4774</v>
      </c>
      <c r="M922" t="s">
        <v>3450</v>
      </c>
      <c r="N922">
        <v>70702</v>
      </c>
      <c r="O922" t="s">
        <v>70</v>
      </c>
      <c r="Q922" t="s">
        <v>3451</v>
      </c>
      <c r="R922" t="s">
        <v>4775</v>
      </c>
      <c r="S922" t="s">
        <v>2173</v>
      </c>
      <c r="T922" s="6">
        <v>4000000000</v>
      </c>
      <c r="U922" s="45">
        <f>VLOOKUP(B922,realPrices!C:G,5,0)</f>
        <v>5399000000</v>
      </c>
      <c r="W922" t="str">
        <f t="shared" si="14"/>
        <v>DENA+EF7TC A1401</v>
      </c>
      <c r="X922">
        <f>VLOOKUP(W922,Sheet10!D:F,2,0)*10000000</f>
        <v>7250000000</v>
      </c>
      <c r="Y922" t="s">
        <v>74</v>
      </c>
    </row>
    <row r="923" spans="1:25" x14ac:dyDescent="0.25">
      <c r="A923" t="s">
        <v>4609</v>
      </c>
      <c r="B923" t="s">
        <v>4610</v>
      </c>
      <c r="C923">
        <v>560</v>
      </c>
      <c r="D923" t="s">
        <v>4611</v>
      </c>
      <c r="E923" t="s">
        <v>64</v>
      </c>
      <c r="F923" t="s">
        <v>362</v>
      </c>
      <c r="G923" t="s">
        <v>363</v>
      </c>
      <c r="H923">
        <v>33</v>
      </c>
      <c r="I923">
        <v>1398</v>
      </c>
      <c r="J923" t="s">
        <v>4612</v>
      </c>
      <c r="K923" t="s">
        <v>4613</v>
      </c>
      <c r="L923" t="s">
        <v>4614</v>
      </c>
      <c r="M923" t="s">
        <v>234</v>
      </c>
      <c r="N923">
        <v>56080</v>
      </c>
      <c r="O923" t="s">
        <v>70</v>
      </c>
      <c r="Q923" t="s">
        <v>4615</v>
      </c>
      <c r="R923" t="s">
        <v>4616</v>
      </c>
      <c r="S923" t="s">
        <v>4119</v>
      </c>
      <c r="T923" s="6">
        <v>4000000000</v>
      </c>
      <c r="U923" s="45">
        <f>VLOOKUP(B923,realPrices!C:G,5,0)</f>
        <v>12888888888</v>
      </c>
      <c r="W923" t="str">
        <f t="shared" si="14"/>
        <v>TONDAR 90 K4M1398</v>
      </c>
      <c r="X923">
        <f>VLOOKUP(W923,Sheet10!D:F,2,0)*10000000</f>
        <v>6750000000</v>
      </c>
      <c r="Y923" t="s">
        <v>114</v>
      </c>
    </row>
    <row r="924" spans="1:25" x14ac:dyDescent="0.25">
      <c r="A924" t="s">
        <v>4497</v>
      </c>
      <c r="B924" t="s">
        <v>4776</v>
      </c>
      <c r="C924">
        <v>606</v>
      </c>
      <c r="D924" t="s">
        <v>77</v>
      </c>
      <c r="E924" t="s">
        <v>64</v>
      </c>
      <c r="F924" t="s">
        <v>491</v>
      </c>
      <c r="H924">
        <v>23</v>
      </c>
      <c r="I924">
        <v>1401</v>
      </c>
      <c r="J924" t="s">
        <v>4777</v>
      </c>
      <c r="K924" t="s">
        <v>4778</v>
      </c>
      <c r="M924" t="s">
        <v>4487</v>
      </c>
      <c r="N924">
        <v>60602</v>
      </c>
      <c r="O924" t="s">
        <v>4488</v>
      </c>
      <c r="Q924" t="s">
        <v>4489</v>
      </c>
      <c r="R924" t="s">
        <v>4779</v>
      </c>
      <c r="S924" t="s">
        <v>3671</v>
      </c>
      <c r="T924" s="6">
        <v>4000000000</v>
      </c>
      <c r="U924" s="45">
        <f>VLOOKUP(B924,realPrices!C:G,5,0)</f>
        <v>4666500001</v>
      </c>
      <c r="W924" t="str">
        <f t="shared" si="14"/>
        <v>207i TU5P A1401</v>
      </c>
      <c r="X924">
        <f>VLOOKUP(W924,Sheet10!D:F,2,0)*10000000</f>
        <v>7100000000</v>
      </c>
      <c r="Y924" t="s">
        <v>74</v>
      </c>
    </row>
    <row r="925" spans="1:25" x14ac:dyDescent="0.25">
      <c r="A925" t="s">
        <v>3521</v>
      </c>
      <c r="B925" t="s">
        <v>4780</v>
      </c>
      <c r="C925">
        <v>707</v>
      </c>
      <c r="D925" t="s">
        <v>77</v>
      </c>
      <c r="E925" t="s">
        <v>64</v>
      </c>
      <c r="F925" t="s">
        <v>491</v>
      </c>
      <c r="H925">
        <v>30</v>
      </c>
      <c r="I925">
        <v>1401</v>
      </c>
      <c r="J925" t="s">
        <v>4781</v>
      </c>
      <c r="K925" t="s">
        <v>4782</v>
      </c>
      <c r="M925" t="s">
        <v>3450</v>
      </c>
      <c r="N925">
        <v>70702</v>
      </c>
      <c r="O925" t="s">
        <v>70</v>
      </c>
      <c r="Q925" t="s">
        <v>3451</v>
      </c>
      <c r="R925" t="s">
        <v>4783</v>
      </c>
      <c r="S925" t="s">
        <v>4784</v>
      </c>
      <c r="T925" s="6">
        <v>4000000000</v>
      </c>
      <c r="U925" s="45">
        <f>VLOOKUP(B925,realPrices!C:G,5,0)</f>
        <v>4960000000</v>
      </c>
      <c r="W925" t="str">
        <f t="shared" si="14"/>
        <v>DENA+EF7TC A1401</v>
      </c>
      <c r="X925">
        <f>VLOOKUP(W925,Sheet10!D:F,2,0)*10000000</f>
        <v>7250000000</v>
      </c>
      <c r="Y925" t="s">
        <v>74</v>
      </c>
    </row>
    <row r="926" spans="1:25" x14ac:dyDescent="0.25">
      <c r="A926" t="s">
        <v>3478</v>
      </c>
      <c r="B926" t="s">
        <v>4785</v>
      </c>
      <c r="C926">
        <v>707</v>
      </c>
      <c r="D926" t="s">
        <v>259</v>
      </c>
      <c r="E926" t="s">
        <v>64</v>
      </c>
      <c r="F926" t="s">
        <v>491</v>
      </c>
      <c r="H926">
        <v>29</v>
      </c>
      <c r="I926">
        <v>1401</v>
      </c>
      <c r="J926" t="s">
        <v>4786</v>
      </c>
      <c r="K926" t="s">
        <v>4787</v>
      </c>
      <c r="M926" t="s">
        <v>3450</v>
      </c>
      <c r="N926">
        <v>70702</v>
      </c>
      <c r="O926" t="s">
        <v>70</v>
      </c>
      <c r="Q926" t="s">
        <v>3451</v>
      </c>
      <c r="R926" t="s">
        <v>4788</v>
      </c>
      <c r="S926" t="s">
        <v>4789</v>
      </c>
      <c r="T926" s="6">
        <v>4000000000</v>
      </c>
      <c r="U926" s="45">
        <f>VLOOKUP(B926,realPrices!C:G,5,0)</f>
        <v>4911999999</v>
      </c>
      <c r="W926" t="str">
        <f t="shared" si="14"/>
        <v>DENA+EF7TC A1401</v>
      </c>
      <c r="X926">
        <f>VLOOKUP(W926,Sheet10!D:F,2,0)*10000000</f>
        <v>7250000000</v>
      </c>
      <c r="Y926" t="s">
        <v>74</v>
      </c>
    </row>
    <row r="927" spans="1:25" x14ac:dyDescent="0.25">
      <c r="A927" t="s">
        <v>4483</v>
      </c>
      <c r="B927" t="s">
        <v>4790</v>
      </c>
      <c r="C927">
        <v>606</v>
      </c>
      <c r="D927" t="s">
        <v>63</v>
      </c>
      <c r="E927" t="s">
        <v>64</v>
      </c>
      <c r="F927" t="s">
        <v>420</v>
      </c>
      <c r="H927">
        <v>28</v>
      </c>
      <c r="I927">
        <v>1401</v>
      </c>
      <c r="J927" t="s">
        <v>4791</v>
      </c>
      <c r="K927" t="s">
        <v>4792</v>
      </c>
      <c r="M927" t="s">
        <v>4487</v>
      </c>
      <c r="N927">
        <v>60602</v>
      </c>
      <c r="O927" t="s">
        <v>4488</v>
      </c>
      <c r="Q927" t="s">
        <v>4489</v>
      </c>
      <c r="R927" t="s">
        <v>4793</v>
      </c>
      <c r="S927" t="s">
        <v>4794</v>
      </c>
      <c r="T927" s="6">
        <v>4000000000</v>
      </c>
      <c r="U927" s="45">
        <f>VLOOKUP(B927,realPrices!C:G,5,0)</f>
        <v>4652150000</v>
      </c>
      <c r="W927" t="str">
        <f t="shared" si="14"/>
        <v>207i TU5P A1401</v>
      </c>
      <c r="X927">
        <f>VLOOKUP(W927,Sheet10!D:F,2,0)*10000000</f>
        <v>7100000000</v>
      </c>
      <c r="Y927" t="s">
        <v>74</v>
      </c>
    </row>
    <row r="928" spans="1:25" x14ac:dyDescent="0.25">
      <c r="A928" t="s">
        <v>3521</v>
      </c>
      <c r="B928" t="s">
        <v>4795</v>
      </c>
      <c r="C928">
        <v>707</v>
      </c>
      <c r="D928" t="s">
        <v>77</v>
      </c>
      <c r="E928" t="s">
        <v>64</v>
      </c>
      <c r="F928" t="s">
        <v>420</v>
      </c>
      <c r="H928">
        <v>28</v>
      </c>
      <c r="I928">
        <v>1401</v>
      </c>
      <c r="J928" t="s">
        <v>4796</v>
      </c>
      <c r="K928" t="s">
        <v>4797</v>
      </c>
      <c r="M928" t="s">
        <v>3450</v>
      </c>
      <c r="N928">
        <v>70702</v>
      </c>
      <c r="O928" t="s">
        <v>70</v>
      </c>
      <c r="Q928" t="s">
        <v>3451</v>
      </c>
      <c r="R928" t="s">
        <v>4798</v>
      </c>
      <c r="S928" t="s">
        <v>4799</v>
      </c>
      <c r="T928" s="6">
        <v>4000000000</v>
      </c>
      <c r="U928" s="45">
        <f>VLOOKUP(B928,realPrices!C:G,5,0)</f>
        <v>5212345678</v>
      </c>
      <c r="W928" t="str">
        <f t="shared" si="14"/>
        <v>DENA+EF7TC A1401</v>
      </c>
      <c r="X928">
        <f>VLOOKUP(W928,Sheet10!D:F,2,0)*10000000</f>
        <v>7250000000</v>
      </c>
      <c r="Y928" t="s">
        <v>74</v>
      </c>
    </row>
    <row r="929" spans="1:25" x14ac:dyDescent="0.25">
      <c r="A929" t="s">
        <v>3521</v>
      </c>
      <c r="B929" t="s">
        <v>4800</v>
      </c>
      <c r="C929">
        <v>707</v>
      </c>
      <c r="D929" t="s">
        <v>77</v>
      </c>
      <c r="E929" t="s">
        <v>64</v>
      </c>
      <c r="F929" t="s">
        <v>491</v>
      </c>
      <c r="H929">
        <v>37</v>
      </c>
      <c r="I929">
        <v>1401</v>
      </c>
      <c r="J929" t="s">
        <v>4801</v>
      </c>
      <c r="K929" t="s">
        <v>4802</v>
      </c>
      <c r="M929" t="s">
        <v>3450</v>
      </c>
      <c r="N929">
        <v>70702</v>
      </c>
      <c r="O929" t="s">
        <v>70</v>
      </c>
      <c r="Q929" t="s">
        <v>3451</v>
      </c>
      <c r="R929" t="s">
        <v>4803</v>
      </c>
      <c r="S929" t="s">
        <v>4804</v>
      </c>
      <c r="T929" s="6">
        <v>4000000000</v>
      </c>
      <c r="U929" s="45">
        <f>VLOOKUP(B929,realPrices!C:G,5,0)</f>
        <v>4125500000</v>
      </c>
      <c r="W929" t="str">
        <f t="shared" si="14"/>
        <v>DENA+EF7TC A1401</v>
      </c>
      <c r="X929">
        <f>VLOOKUP(W929,Sheet10!D:F,2,0)*10000000</f>
        <v>7250000000</v>
      </c>
      <c r="Y929" t="s">
        <v>74</v>
      </c>
    </row>
    <row r="930" spans="1:25" x14ac:dyDescent="0.25">
      <c r="A930" t="s">
        <v>4497</v>
      </c>
      <c r="B930" t="s">
        <v>4805</v>
      </c>
      <c r="C930">
        <v>606</v>
      </c>
      <c r="D930" t="s">
        <v>77</v>
      </c>
      <c r="E930" t="s">
        <v>64</v>
      </c>
      <c r="F930" t="s">
        <v>420</v>
      </c>
      <c r="H930">
        <v>40</v>
      </c>
      <c r="I930">
        <v>1401</v>
      </c>
      <c r="J930" t="s">
        <v>4806</v>
      </c>
      <c r="K930" t="s">
        <v>4807</v>
      </c>
      <c r="M930" t="s">
        <v>4487</v>
      </c>
      <c r="N930">
        <v>60602</v>
      </c>
      <c r="O930" t="s">
        <v>4488</v>
      </c>
      <c r="Q930" t="s">
        <v>4489</v>
      </c>
      <c r="R930" t="s">
        <v>4808</v>
      </c>
      <c r="S930" t="s">
        <v>4809</v>
      </c>
      <c r="T930" s="6">
        <v>4000000000</v>
      </c>
      <c r="U930" s="45">
        <f>VLOOKUP(B930,realPrices!C:G,5,0)</f>
        <v>4777777777</v>
      </c>
      <c r="W930" t="str">
        <f t="shared" si="14"/>
        <v>207i TU5P A1401</v>
      </c>
      <c r="X930">
        <f>VLOOKUP(W930,Sheet10!D:F,2,0)*10000000</f>
        <v>7100000000</v>
      </c>
      <c r="Y930" t="s">
        <v>74</v>
      </c>
    </row>
    <row r="931" spans="1:25" x14ac:dyDescent="0.25">
      <c r="A931" t="s">
        <v>4483</v>
      </c>
      <c r="B931" t="s">
        <v>4810</v>
      </c>
      <c r="C931">
        <v>606</v>
      </c>
      <c r="D931" t="s">
        <v>63</v>
      </c>
      <c r="E931" t="s">
        <v>64</v>
      </c>
      <c r="F931" t="s">
        <v>2696</v>
      </c>
      <c r="H931">
        <v>74</v>
      </c>
      <c r="I931">
        <v>1401</v>
      </c>
      <c r="J931" t="s">
        <v>4811</v>
      </c>
      <c r="K931" t="s">
        <v>4812</v>
      </c>
      <c r="M931" t="s">
        <v>4487</v>
      </c>
      <c r="N931">
        <v>60602</v>
      </c>
      <c r="O931" t="s">
        <v>4488</v>
      </c>
      <c r="Q931" t="s">
        <v>4489</v>
      </c>
      <c r="R931" t="s">
        <v>4813</v>
      </c>
      <c r="S931" t="s">
        <v>3688</v>
      </c>
      <c r="T931" s="6">
        <v>4000000000</v>
      </c>
      <c r="U931" s="45">
        <f>VLOOKUP(B931,realPrices!C:G,5,0)</f>
        <v>4776000000</v>
      </c>
      <c r="W931" t="str">
        <f t="shared" si="14"/>
        <v>207i TU5P A1401</v>
      </c>
      <c r="X931">
        <f>VLOOKUP(W931,Sheet10!D:F,2,0)*10000000</f>
        <v>7100000000</v>
      </c>
      <c r="Y931" t="s">
        <v>74</v>
      </c>
    </row>
    <row r="932" spans="1:25" x14ac:dyDescent="0.25">
      <c r="A932" t="s">
        <v>4497</v>
      </c>
      <c r="B932" t="s">
        <v>4814</v>
      </c>
      <c r="C932">
        <v>606</v>
      </c>
      <c r="D932" t="s">
        <v>77</v>
      </c>
      <c r="E932" t="s">
        <v>64</v>
      </c>
      <c r="F932" t="s">
        <v>420</v>
      </c>
      <c r="H932">
        <v>70</v>
      </c>
      <c r="I932">
        <v>1401</v>
      </c>
      <c r="J932" t="s">
        <v>4815</v>
      </c>
      <c r="K932" t="s">
        <v>4816</v>
      </c>
      <c r="M932" t="s">
        <v>4487</v>
      </c>
      <c r="N932">
        <v>60602</v>
      </c>
      <c r="O932" t="s">
        <v>4488</v>
      </c>
      <c r="Q932" t="s">
        <v>4489</v>
      </c>
      <c r="R932" t="s">
        <v>4817</v>
      </c>
      <c r="S932" t="s">
        <v>4818</v>
      </c>
      <c r="T932" s="6">
        <v>4000000000</v>
      </c>
      <c r="U932" s="45">
        <f>VLOOKUP(B932,realPrices!C:G,5,0)</f>
        <v>4650000000</v>
      </c>
      <c r="W932" t="str">
        <f t="shared" si="14"/>
        <v>207i TU5P A1401</v>
      </c>
      <c r="X932">
        <f>VLOOKUP(W932,Sheet10!D:F,2,0)*10000000</f>
        <v>7100000000</v>
      </c>
      <c r="Y932" t="s">
        <v>74</v>
      </c>
    </row>
    <row r="933" spans="1:25" x14ac:dyDescent="0.25">
      <c r="A933" t="s">
        <v>4497</v>
      </c>
      <c r="B933" t="s">
        <v>4819</v>
      </c>
      <c r="C933">
        <v>606</v>
      </c>
      <c r="D933" t="s">
        <v>77</v>
      </c>
      <c r="E933" t="s">
        <v>64</v>
      </c>
      <c r="F933" t="s">
        <v>420</v>
      </c>
      <c r="H933">
        <v>28</v>
      </c>
      <c r="I933">
        <v>1401</v>
      </c>
      <c r="J933" t="s">
        <v>4820</v>
      </c>
      <c r="K933" t="s">
        <v>4821</v>
      </c>
      <c r="M933" t="s">
        <v>4487</v>
      </c>
      <c r="N933">
        <v>60602</v>
      </c>
      <c r="O933" t="s">
        <v>4488</v>
      </c>
      <c r="Q933" t="s">
        <v>4489</v>
      </c>
      <c r="R933" t="s">
        <v>4822</v>
      </c>
      <c r="S933" t="s">
        <v>4823</v>
      </c>
      <c r="T933" s="6">
        <v>4020000000</v>
      </c>
      <c r="U933" s="45">
        <f>VLOOKUP(B933,realPrices!C:G,5,0)</f>
        <v>4860000000</v>
      </c>
      <c r="W933" t="str">
        <f t="shared" si="14"/>
        <v>207i TU5P A1401</v>
      </c>
      <c r="X933">
        <f>VLOOKUP(W933,Sheet10!D:F,2,0)*10000000</f>
        <v>7100000000</v>
      </c>
      <c r="Y933" t="s">
        <v>74</v>
      </c>
    </row>
    <row r="934" spans="1:25" x14ac:dyDescent="0.25">
      <c r="A934" t="s">
        <v>4483</v>
      </c>
      <c r="B934" t="s">
        <v>4824</v>
      </c>
      <c r="C934">
        <v>606</v>
      </c>
      <c r="D934" t="s">
        <v>63</v>
      </c>
      <c r="E934" t="s">
        <v>64</v>
      </c>
      <c r="F934" t="s">
        <v>420</v>
      </c>
      <c r="H934">
        <v>21</v>
      </c>
      <c r="I934">
        <v>1401</v>
      </c>
      <c r="J934" t="s">
        <v>4825</v>
      </c>
      <c r="K934" t="s">
        <v>4826</v>
      </c>
      <c r="M934" t="s">
        <v>4487</v>
      </c>
      <c r="N934">
        <v>60602</v>
      </c>
      <c r="O934" t="s">
        <v>4488</v>
      </c>
      <c r="Q934" t="s">
        <v>4489</v>
      </c>
      <c r="R934" t="s">
        <v>4827</v>
      </c>
      <c r="S934" t="s">
        <v>4828</v>
      </c>
      <c r="T934" s="6">
        <v>4030000000</v>
      </c>
      <c r="U934" s="45">
        <f>VLOOKUP(B934,realPrices!C:G,5,0)</f>
        <v>4777777777</v>
      </c>
      <c r="W934" t="str">
        <f t="shared" si="14"/>
        <v>207i TU5P A1401</v>
      </c>
      <c r="X934">
        <f>VLOOKUP(W934,Sheet10!D:F,2,0)*10000000</f>
        <v>7100000000</v>
      </c>
      <c r="Y934" t="s">
        <v>74</v>
      </c>
    </row>
    <row r="935" spans="1:25" x14ac:dyDescent="0.25">
      <c r="A935" t="s">
        <v>4497</v>
      </c>
      <c r="B935" t="s">
        <v>4829</v>
      </c>
      <c r="C935">
        <v>606</v>
      </c>
      <c r="D935" t="s">
        <v>77</v>
      </c>
      <c r="E935" t="s">
        <v>64</v>
      </c>
      <c r="F935" t="s">
        <v>420</v>
      </c>
      <c r="H935">
        <v>84</v>
      </c>
      <c r="I935">
        <v>1401</v>
      </c>
      <c r="J935" t="s">
        <v>4830</v>
      </c>
      <c r="K935" t="s">
        <v>4831</v>
      </c>
      <c r="M935" t="s">
        <v>4487</v>
      </c>
      <c r="N935">
        <v>60602</v>
      </c>
      <c r="O935" t="s">
        <v>4488</v>
      </c>
      <c r="Q935" t="s">
        <v>4489</v>
      </c>
      <c r="R935" t="s">
        <v>4832</v>
      </c>
      <c r="S935" t="s">
        <v>3949</v>
      </c>
      <c r="T935" s="6">
        <v>4030000000</v>
      </c>
      <c r="U935" s="45">
        <f>VLOOKUP(B935,realPrices!C:G,5,0)</f>
        <v>4755000000</v>
      </c>
      <c r="W935" t="str">
        <f t="shared" si="14"/>
        <v>207i TU5P A1401</v>
      </c>
      <c r="X935">
        <f>VLOOKUP(W935,Sheet10!D:F,2,0)*10000000</f>
        <v>7100000000</v>
      </c>
      <c r="Y935" t="s">
        <v>74</v>
      </c>
    </row>
    <row r="936" spans="1:25" x14ac:dyDescent="0.25">
      <c r="A936" t="s">
        <v>191</v>
      </c>
      <c r="B936" t="s">
        <v>4833</v>
      </c>
      <c r="C936">
        <v>285</v>
      </c>
      <c r="D936" t="s">
        <v>63</v>
      </c>
      <c r="E936" t="s">
        <v>64</v>
      </c>
      <c r="F936" t="s">
        <v>318</v>
      </c>
      <c r="H936">
        <v>29</v>
      </c>
      <c r="I936">
        <v>1401</v>
      </c>
      <c r="J936" t="s">
        <v>4834</v>
      </c>
      <c r="K936" t="s">
        <v>4835</v>
      </c>
      <c r="M936" t="s">
        <v>198</v>
      </c>
      <c r="N936">
        <v>28520</v>
      </c>
      <c r="O936" t="s">
        <v>70</v>
      </c>
      <c r="Q936" t="s">
        <v>199</v>
      </c>
      <c r="R936" t="s">
        <v>4836</v>
      </c>
      <c r="S936" t="s">
        <v>2617</v>
      </c>
      <c r="T936" s="6">
        <v>4040000000</v>
      </c>
      <c r="U936" s="45">
        <f>VLOOKUP(B936,realPrices!C:G,5,0)</f>
        <v>0</v>
      </c>
      <c r="W936" t="str">
        <f t="shared" si="14"/>
        <v>PARS TU51401</v>
      </c>
      <c r="X936">
        <f>VLOOKUP(W936,Sheet10!D:F,2,0)*10000000</f>
        <v>5250000000</v>
      </c>
      <c r="Y936" t="s">
        <v>114</v>
      </c>
    </row>
    <row r="937" spans="1:25" x14ac:dyDescent="0.25">
      <c r="A937" t="s">
        <v>191</v>
      </c>
      <c r="B937" t="s">
        <v>4837</v>
      </c>
      <c r="C937">
        <v>285</v>
      </c>
      <c r="D937" t="s">
        <v>63</v>
      </c>
      <c r="E937" t="s">
        <v>64</v>
      </c>
      <c r="F937" t="s">
        <v>318</v>
      </c>
      <c r="H937">
        <v>2767</v>
      </c>
      <c r="I937">
        <v>1401</v>
      </c>
      <c r="J937" t="s">
        <v>4838</v>
      </c>
      <c r="K937" t="s">
        <v>4839</v>
      </c>
      <c r="M937" t="s">
        <v>198</v>
      </c>
      <c r="N937">
        <v>28520</v>
      </c>
      <c r="O937" t="s">
        <v>70</v>
      </c>
      <c r="Q937" t="s">
        <v>199</v>
      </c>
      <c r="R937" t="s">
        <v>4840</v>
      </c>
      <c r="S937" t="s">
        <v>2680</v>
      </c>
      <c r="T937" s="6">
        <v>4040000000</v>
      </c>
      <c r="U937" s="45">
        <f>VLOOKUP(B937,realPrices!C:G,5,0)</f>
        <v>4449999999</v>
      </c>
      <c r="W937" t="str">
        <f t="shared" si="14"/>
        <v>PARS TU51401</v>
      </c>
      <c r="X937">
        <f>VLOOKUP(W937,Sheet10!D:F,2,0)*10000000</f>
        <v>5250000000</v>
      </c>
      <c r="Y937" t="s">
        <v>114</v>
      </c>
    </row>
    <row r="938" spans="1:25" x14ac:dyDescent="0.25">
      <c r="A938" t="s">
        <v>4497</v>
      </c>
      <c r="B938" t="s">
        <v>4841</v>
      </c>
      <c r="C938">
        <v>606</v>
      </c>
      <c r="D938" t="s">
        <v>77</v>
      </c>
      <c r="E938" t="s">
        <v>64</v>
      </c>
      <c r="F938" t="s">
        <v>420</v>
      </c>
      <c r="H938">
        <v>23</v>
      </c>
      <c r="I938">
        <v>1401</v>
      </c>
      <c r="J938" t="s">
        <v>4842</v>
      </c>
      <c r="K938" t="s">
        <v>4843</v>
      </c>
      <c r="M938" t="s">
        <v>4487</v>
      </c>
      <c r="N938">
        <v>60602</v>
      </c>
      <c r="O938" t="s">
        <v>4488</v>
      </c>
      <c r="Q938" t="s">
        <v>4489</v>
      </c>
      <c r="R938" t="s">
        <v>4844</v>
      </c>
      <c r="S938" t="s">
        <v>4845</v>
      </c>
      <c r="T938" s="6">
        <v>4050000000</v>
      </c>
      <c r="U938" s="45">
        <f>VLOOKUP(B938,realPrices!C:G,5,0)</f>
        <v>4634444444</v>
      </c>
      <c r="W938" t="str">
        <f t="shared" si="14"/>
        <v>207i TU5P A1401</v>
      </c>
      <c r="X938">
        <f>VLOOKUP(W938,Sheet10!D:F,2,0)*10000000</f>
        <v>7100000000</v>
      </c>
      <c r="Y938" t="s">
        <v>74</v>
      </c>
    </row>
    <row r="939" spans="1:25" x14ac:dyDescent="0.25">
      <c r="A939" t="s">
        <v>4497</v>
      </c>
      <c r="B939" t="s">
        <v>4846</v>
      </c>
      <c r="C939">
        <v>606</v>
      </c>
      <c r="D939" t="s">
        <v>77</v>
      </c>
      <c r="E939" t="s">
        <v>64</v>
      </c>
      <c r="F939" t="s">
        <v>420</v>
      </c>
      <c r="H939">
        <v>26</v>
      </c>
      <c r="I939">
        <v>1401</v>
      </c>
      <c r="J939" t="s">
        <v>4847</v>
      </c>
      <c r="K939" t="s">
        <v>4848</v>
      </c>
      <c r="M939" t="s">
        <v>4487</v>
      </c>
      <c r="N939">
        <v>60602</v>
      </c>
      <c r="O939" t="s">
        <v>4488</v>
      </c>
      <c r="Q939" t="s">
        <v>4489</v>
      </c>
      <c r="R939" t="s">
        <v>4849</v>
      </c>
      <c r="S939" t="s">
        <v>3934</v>
      </c>
      <c r="T939" s="6">
        <v>4050000000</v>
      </c>
      <c r="U939" s="45">
        <f>VLOOKUP(B939,realPrices!C:G,5,0)</f>
        <v>5210000000</v>
      </c>
      <c r="W939" t="str">
        <f t="shared" si="14"/>
        <v>207i TU5P A1401</v>
      </c>
      <c r="X939">
        <f>VLOOKUP(W939,Sheet10!D:F,2,0)*10000000</f>
        <v>7100000000</v>
      </c>
      <c r="Y939" t="s">
        <v>74</v>
      </c>
    </row>
    <row r="940" spans="1:25" x14ac:dyDescent="0.25">
      <c r="A940" t="s">
        <v>4497</v>
      </c>
      <c r="B940" t="s">
        <v>4850</v>
      </c>
      <c r="C940">
        <v>606</v>
      </c>
      <c r="D940" t="s">
        <v>77</v>
      </c>
      <c r="E940" t="s">
        <v>64</v>
      </c>
      <c r="F940" t="s">
        <v>420</v>
      </c>
      <c r="H940">
        <v>37</v>
      </c>
      <c r="I940">
        <v>1401</v>
      </c>
      <c r="J940" t="s">
        <v>4851</v>
      </c>
      <c r="K940" t="s">
        <v>4852</v>
      </c>
      <c r="M940" t="s">
        <v>4487</v>
      </c>
      <c r="N940">
        <v>60602</v>
      </c>
      <c r="O940" t="s">
        <v>4488</v>
      </c>
      <c r="Q940" t="s">
        <v>4489</v>
      </c>
      <c r="R940" t="s">
        <v>4853</v>
      </c>
      <c r="S940" t="s">
        <v>4854</v>
      </c>
      <c r="T940" s="6">
        <v>4050000000</v>
      </c>
      <c r="U940" s="45">
        <f>VLOOKUP(B940,realPrices!C:G,5,0)</f>
        <v>4465888888</v>
      </c>
      <c r="W940" t="str">
        <f t="shared" si="14"/>
        <v>207i TU5P A1401</v>
      </c>
      <c r="X940">
        <f>VLOOKUP(W940,Sheet10!D:F,2,0)*10000000</f>
        <v>7100000000</v>
      </c>
      <c r="Y940" t="s">
        <v>74</v>
      </c>
    </row>
    <row r="941" spans="1:25" x14ac:dyDescent="0.25">
      <c r="A941" t="s">
        <v>4497</v>
      </c>
      <c r="B941" t="s">
        <v>4855</v>
      </c>
      <c r="C941">
        <v>606</v>
      </c>
      <c r="D941" t="s">
        <v>77</v>
      </c>
      <c r="E941" t="s">
        <v>64</v>
      </c>
      <c r="F941" t="s">
        <v>420</v>
      </c>
      <c r="H941">
        <v>45</v>
      </c>
      <c r="I941">
        <v>1401</v>
      </c>
      <c r="J941" t="s">
        <v>4856</v>
      </c>
      <c r="K941" t="s">
        <v>4857</v>
      </c>
      <c r="M941" t="s">
        <v>4487</v>
      </c>
      <c r="N941">
        <v>60602</v>
      </c>
      <c r="O941" t="s">
        <v>4488</v>
      </c>
      <c r="Q941" t="s">
        <v>4489</v>
      </c>
      <c r="R941" t="s">
        <v>4858</v>
      </c>
      <c r="S941" t="s">
        <v>3857</v>
      </c>
      <c r="T941" s="6">
        <v>4050000000</v>
      </c>
      <c r="U941" s="45">
        <f>VLOOKUP(B941,realPrices!C:G,5,0)</f>
        <v>4760000000</v>
      </c>
      <c r="W941" t="str">
        <f t="shared" si="14"/>
        <v>207i TU5P A1401</v>
      </c>
      <c r="X941">
        <f>VLOOKUP(W941,Sheet10!D:F,2,0)*10000000</f>
        <v>7100000000</v>
      </c>
      <c r="Y941" t="s">
        <v>74</v>
      </c>
    </row>
    <row r="942" spans="1:25" x14ac:dyDescent="0.25">
      <c r="A942" t="s">
        <v>4497</v>
      </c>
      <c r="B942" t="s">
        <v>4859</v>
      </c>
      <c r="C942">
        <v>606</v>
      </c>
      <c r="D942" t="s">
        <v>77</v>
      </c>
      <c r="E942" t="s">
        <v>64</v>
      </c>
      <c r="F942" t="s">
        <v>420</v>
      </c>
      <c r="H942">
        <v>43</v>
      </c>
      <c r="I942">
        <v>1401</v>
      </c>
      <c r="J942" t="s">
        <v>4860</v>
      </c>
      <c r="K942" t="s">
        <v>4861</v>
      </c>
      <c r="M942" t="s">
        <v>4487</v>
      </c>
      <c r="N942">
        <v>60602</v>
      </c>
      <c r="O942" t="s">
        <v>4488</v>
      </c>
      <c r="Q942" t="s">
        <v>4489</v>
      </c>
      <c r="R942" t="s">
        <v>4862</v>
      </c>
      <c r="S942" t="s">
        <v>4863</v>
      </c>
      <c r="T942" s="6">
        <v>4050000000</v>
      </c>
      <c r="U942" s="45">
        <f>VLOOKUP(B942,realPrices!C:G,5,0)</f>
        <v>4539999999</v>
      </c>
      <c r="W942" t="str">
        <f t="shared" si="14"/>
        <v>207i TU5P A1401</v>
      </c>
      <c r="X942">
        <f>VLOOKUP(W942,Sheet10!D:F,2,0)*10000000</f>
        <v>7100000000</v>
      </c>
      <c r="Y942" t="s">
        <v>74</v>
      </c>
    </row>
    <row r="943" spans="1:25" x14ac:dyDescent="0.25">
      <c r="A943" t="s">
        <v>4318</v>
      </c>
      <c r="B943" t="s">
        <v>4864</v>
      </c>
      <c r="C943">
        <v>707</v>
      </c>
      <c r="D943" t="s">
        <v>240</v>
      </c>
      <c r="E943" t="s">
        <v>64</v>
      </c>
      <c r="F943" t="s">
        <v>420</v>
      </c>
      <c r="H943">
        <v>60</v>
      </c>
      <c r="I943">
        <v>1401</v>
      </c>
      <c r="J943" t="s">
        <v>4865</v>
      </c>
      <c r="K943" t="s">
        <v>4866</v>
      </c>
      <c r="M943" t="s">
        <v>3450</v>
      </c>
      <c r="N943">
        <v>70702</v>
      </c>
      <c r="O943" t="s">
        <v>70</v>
      </c>
      <c r="Q943" t="s">
        <v>3451</v>
      </c>
      <c r="R943" t="s">
        <v>4867</v>
      </c>
      <c r="S943" t="s">
        <v>4868</v>
      </c>
      <c r="T943" s="6">
        <v>4050000000</v>
      </c>
      <c r="U943" s="45">
        <f>VLOOKUP(B943,realPrices!C:G,5,0)</f>
        <v>5050000000</v>
      </c>
      <c r="W943" t="str">
        <f t="shared" si="14"/>
        <v>DENA+EF7TC A1401</v>
      </c>
      <c r="X943">
        <f>VLOOKUP(W943,Sheet10!D:F,2,0)*10000000</f>
        <v>7250000000</v>
      </c>
      <c r="Y943" t="s">
        <v>74</v>
      </c>
    </row>
    <row r="944" spans="1:25" x14ac:dyDescent="0.25">
      <c r="A944" t="s">
        <v>4497</v>
      </c>
      <c r="B944" t="s">
        <v>4869</v>
      </c>
      <c r="C944">
        <v>606</v>
      </c>
      <c r="D944" t="s">
        <v>77</v>
      </c>
      <c r="E944" t="s">
        <v>64</v>
      </c>
      <c r="F944" t="s">
        <v>2696</v>
      </c>
      <c r="H944">
        <v>57</v>
      </c>
      <c r="I944">
        <v>1401</v>
      </c>
      <c r="J944" t="s">
        <v>4870</v>
      </c>
      <c r="K944" t="s">
        <v>4871</v>
      </c>
      <c r="M944" t="s">
        <v>4487</v>
      </c>
      <c r="N944">
        <v>60602</v>
      </c>
      <c r="O944" t="s">
        <v>4488</v>
      </c>
      <c r="Q944" t="s">
        <v>4489</v>
      </c>
      <c r="R944" t="s">
        <v>4872</v>
      </c>
      <c r="S944" t="s">
        <v>4354</v>
      </c>
      <c r="T944" s="6">
        <v>4050000000</v>
      </c>
      <c r="U944" s="45">
        <f>VLOOKUP(B944,realPrices!C:G,5,0)</f>
        <v>4755555555</v>
      </c>
      <c r="W944" t="str">
        <f t="shared" si="14"/>
        <v>207i TU5P A1401</v>
      </c>
      <c r="X944">
        <f>VLOOKUP(W944,Sheet10!D:F,2,0)*10000000</f>
        <v>7100000000</v>
      </c>
      <c r="Y944" t="s">
        <v>74</v>
      </c>
    </row>
    <row r="945" spans="1:25" x14ac:dyDescent="0.25">
      <c r="A945" t="s">
        <v>4497</v>
      </c>
      <c r="B945" t="s">
        <v>4873</v>
      </c>
      <c r="C945">
        <v>606</v>
      </c>
      <c r="D945" t="s">
        <v>77</v>
      </c>
      <c r="E945" t="s">
        <v>64</v>
      </c>
      <c r="F945" t="s">
        <v>420</v>
      </c>
      <c r="H945">
        <v>53</v>
      </c>
      <c r="I945">
        <v>1401</v>
      </c>
      <c r="J945" t="s">
        <v>4874</v>
      </c>
      <c r="K945" t="s">
        <v>4875</v>
      </c>
      <c r="M945" t="s">
        <v>4487</v>
      </c>
      <c r="N945">
        <v>60602</v>
      </c>
      <c r="O945" t="s">
        <v>4488</v>
      </c>
      <c r="Q945" t="s">
        <v>4489</v>
      </c>
      <c r="R945" t="s">
        <v>4876</v>
      </c>
      <c r="S945" t="s">
        <v>4877</v>
      </c>
      <c r="T945" s="6">
        <v>4050000000</v>
      </c>
      <c r="U945" s="45">
        <f>VLOOKUP(B945,realPrices!C:G,5,0)</f>
        <v>4619553250</v>
      </c>
      <c r="W945" t="str">
        <f t="shared" si="14"/>
        <v>207i TU5P A1401</v>
      </c>
      <c r="X945">
        <f>VLOOKUP(W945,Sheet10!D:F,2,0)*10000000</f>
        <v>7100000000</v>
      </c>
      <c r="Y945" t="s">
        <v>74</v>
      </c>
    </row>
    <row r="946" spans="1:25" x14ac:dyDescent="0.25">
      <c r="A946" t="s">
        <v>4483</v>
      </c>
      <c r="B946" t="s">
        <v>4878</v>
      </c>
      <c r="C946">
        <v>606</v>
      </c>
      <c r="D946" t="s">
        <v>63</v>
      </c>
      <c r="E946" t="s">
        <v>64</v>
      </c>
      <c r="F946" t="s">
        <v>420</v>
      </c>
      <c r="H946">
        <v>27</v>
      </c>
      <c r="I946">
        <v>1401</v>
      </c>
      <c r="J946" t="s">
        <v>4879</v>
      </c>
      <c r="K946" t="s">
        <v>4880</v>
      </c>
      <c r="M946" t="s">
        <v>4487</v>
      </c>
      <c r="N946">
        <v>60602</v>
      </c>
      <c r="O946" t="s">
        <v>4488</v>
      </c>
      <c r="Q946" t="s">
        <v>4489</v>
      </c>
      <c r="R946" t="s">
        <v>4881</v>
      </c>
      <c r="S946" t="s">
        <v>4882</v>
      </c>
      <c r="T946" s="6">
        <v>4070000000</v>
      </c>
      <c r="U946" s="45">
        <f>VLOOKUP(B946,realPrices!C:G,5,0)</f>
        <v>4750888000</v>
      </c>
      <c r="W946" t="str">
        <f t="shared" si="14"/>
        <v>207i TU5P A1401</v>
      </c>
      <c r="X946">
        <f>VLOOKUP(W946,Sheet10!D:F,2,0)*10000000</f>
        <v>7100000000</v>
      </c>
      <c r="Y946" t="s">
        <v>74</v>
      </c>
    </row>
    <row r="947" spans="1:25" x14ac:dyDescent="0.25">
      <c r="A947" t="s">
        <v>4497</v>
      </c>
      <c r="B947" t="s">
        <v>4883</v>
      </c>
      <c r="C947">
        <v>606</v>
      </c>
      <c r="D947" t="s">
        <v>77</v>
      </c>
      <c r="E947" t="s">
        <v>64</v>
      </c>
      <c r="F947" t="s">
        <v>420</v>
      </c>
      <c r="H947">
        <v>37</v>
      </c>
      <c r="I947">
        <v>1401</v>
      </c>
      <c r="J947" t="s">
        <v>4884</v>
      </c>
      <c r="K947" t="s">
        <v>4885</v>
      </c>
      <c r="M947" t="s">
        <v>4487</v>
      </c>
      <c r="N947">
        <v>60602</v>
      </c>
      <c r="O947" t="s">
        <v>4488</v>
      </c>
      <c r="Q947" t="s">
        <v>4489</v>
      </c>
      <c r="R947" t="s">
        <v>4886</v>
      </c>
      <c r="S947" t="s">
        <v>4887</v>
      </c>
      <c r="T947" s="6">
        <v>4070000000</v>
      </c>
      <c r="U947" s="45">
        <f>VLOOKUP(B947,realPrices!C:G,5,0)</f>
        <v>4880009990</v>
      </c>
      <c r="W947" t="str">
        <f t="shared" si="14"/>
        <v>207i TU5P A1401</v>
      </c>
      <c r="X947">
        <f>VLOOKUP(W947,Sheet10!D:F,2,0)*10000000</f>
        <v>7100000000</v>
      </c>
      <c r="Y947" t="s">
        <v>74</v>
      </c>
    </row>
    <row r="948" spans="1:25" x14ac:dyDescent="0.25">
      <c r="A948" t="s">
        <v>4497</v>
      </c>
      <c r="B948" t="s">
        <v>4888</v>
      </c>
      <c r="C948">
        <v>606</v>
      </c>
      <c r="D948" t="s">
        <v>77</v>
      </c>
      <c r="E948" t="s">
        <v>64</v>
      </c>
      <c r="F948" t="s">
        <v>420</v>
      </c>
      <c r="H948">
        <v>46</v>
      </c>
      <c r="I948">
        <v>1401</v>
      </c>
      <c r="J948" t="s">
        <v>4889</v>
      </c>
      <c r="K948" t="s">
        <v>4890</v>
      </c>
      <c r="M948" t="s">
        <v>4487</v>
      </c>
      <c r="N948">
        <v>60602</v>
      </c>
      <c r="O948" t="s">
        <v>4488</v>
      </c>
      <c r="Q948" t="s">
        <v>4489</v>
      </c>
      <c r="R948" t="s">
        <v>4891</v>
      </c>
      <c r="S948" t="s">
        <v>4360</v>
      </c>
      <c r="T948" s="6">
        <v>4070000000</v>
      </c>
      <c r="U948" s="45">
        <f>VLOOKUP(B948,realPrices!C:G,5,0)</f>
        <v>4767000000</v>
      </c>
      <c r="W948" t="str">
        <f t="shared" si="14"/>
        <v>207i TU5P A1401</v>
      </c>
      <c r="X948">
        <f>VLOOKUP(W948,Sheet10!D:F,2,0)*10000000</f>
        <v>7100000000</v>
      </c>
      <c r="Y948" t="s">
        <v>74</v>
      </c>
    </row>
    <row r="949" spans="1:25" x14ac:dyDescent="0.25">
      <c r="A949" t="s">
        <v>4483</v>
      </c>
      <c r="B949" t="s">
        <v>4892</v>
      </c>
      <c r="C949">
        <v>606</v>
      </c>
      <c r="D949" t="s">
        <v>63</v>
      </c>
      <c r="E949" t="s">
        <v>64</v>
      </c>
      <c r="F949" t="s">
        <v>420</v>
      </c>
      <c r="H949">
        <v>21</v>
      </c>
      <c r="I949">
        <v>1401</v>
      </c>
      <c r="J949" t="s">
        <v>4893</v>
      </c>
      <c r="K949" t="s">
        <v>4894</v>
      </c>
      <c r="M949" t="s">
        <v>4487</v>
      </c>
      <c r="N949">
        <v>60602</v>
      </c>
      <c r="O949" t="s">
        <v>4488</v>
      </c>
      <c r="Q949" t="s">
        <v>4489</v>
      </c>
      <c r="R949" t="s">
        <v>4895</v>
      </c>
      <c r="S949" t="s">
        <v>4451</v>
      </c>
      <c r="T949" s="6">
        <v>4080000000</v>
      </c>
      <c r="U949" s="45">
        <f>VLOOKUP(B949,realPrices!C:G,5,0)</f>
        <v>5080080000</v>
      </c>
      <c r="W949" t="str">
        <f t="shared" si="14"/>
        <v>207i TU5P A1401</v>
      </c>
      <c r="X949">
        <f>VLOOKUP(W949,Sheet10!D:F,2,0)*10000000</f>
        <v>7100000000</v>
      </c>
      <c r="Y949" t="s">
        <v>74</v>
      </c>
    </row>
    <row r="950" spans="1:25" x14ac:dyDescent="0.25">
      <c r="A950" t="s">
        <v>4483</v>
      </c>
      <c r="B950" t="s">
        <v>4896</v>
      </c>
      <c r="C950">
        <v>606</v>
      </c>
      <c r="D950" t="s">
        <v>63</v>
      </c>
      <c r="E950" t="s">
        <v>64</v>
      </c>
      <c r="F950" t="s">
        <v>420</v>
      </c>
      <c r="H950">
        <v>25</v>
      </c>
      <c r="I950">
        <v>1401</v>
      </c>
      <c r="J950" t="s">
        <v>4897</v>
      </c>
      <c r="K950" t="s">
        <v>4826</v>
      </c>
      <c r="M950" t="s">
        <v>4487</v>
      </c>
      <c r="N950">
        <v>60602</v>
      </c>
      <c r="O950" t="s">
        <v>4488</v>
      </c>
      <c r="Q950" t="s">
        <v>4489</v>
      </c>
      <c r="R950" t="s">
        <v>4898</v>
      </c>
      <c r="S950" t="s">
        <v>3842</v>
      </c>
      <c r="T950" s="6">
        <v>4080000000</v>
      </c>
      <c r="U950" s="45">
        <f>VLOOKUP(B950,realPrices!C:G,5,0)</f>
        <v>4856950000</v>
      </c>
      <c r="W950" t="str">
        <f t="shared" si="14"/>
        <v>207i TU5P A1401</v>
      </c>
      <c r="X950">
        <f>VLOOKUP(W950,Sheet10!D:F,2,0)*10000000</f>
        <v>7100000000</v>
      </c>
      <c r="Y950" t="s">
        <v>74</v>
      </c>
    </row>
    <row r="951" spans="1:25" x14ac:dyDescent="0.25">
      <c r="A951" t="s">
        <v>4497</v>
      </c>
      <c r="B951" t="s">
        <v>4899</v>
      </c>
      <c r="C951">
        <v>606</v>
      </c>
      <c r="D951" t="s">
        <v>77</v>
      </c>
      <c r="E951" t="s">
        <v>64</v>
      </c>
      <c r="F951" t="s">
        <v>420</v>
      </c>
      <c r="H951">
        <v>28</v>
      </c>
      <c r="I951">
        <v>1401</v>
      </c>
      <c r="J951" t="s">
        <v>4900</v>
      </c>
      <c r="K951" t="s">
        <v>4901</v>
      </c>
      <c r="M951" t="s">
        <v>4487</v>
      </c>
      <c r="N951">
        <v>60602</v>
      </c>
      <c r="O951" t="s">
        <v>4488</v>
      </c>
      <c r="Q951" t="s">
        <v>4489</v>
      </c>
      <c r="R951" t="s">
        <v>4902</v>
      </c>
      <c r="S951" t="s">
        <v>4903</v>
      </c>
      <c r="T951" s="6">
        <v>4080000000</v>
      </c>
      <c r="U951" s="45">
        <f>VLOOKUP(B951,realPrices!C:G,5,0)</f>
        <v>4782350000</v>
      </c>
      <c r="W951" t="str">
        <f t="shared" si="14"/>
        <v>207i TU5P A1401</v>
      </c>
      <c r="X951">
        <f>VLOOKUP(W951,Sheet10!D:F,2,0)*10000000</f>
        <v>7100000000</v>
      </c>
      <c r="Y951" t="s">
        <v>74</v>
      </c>
    </row>
    <row r="952" spans="1:25" x14ac:dyDescent="0.25">
      <c r="A952" t="s">
        <v>4497</v>
      </c>
      <c r="B952" t="s">
        <v>4904</v>
      </c>
      <c r="C952">
        <v>606</v>
      </c>
      <c r="D952" t="s">
        <v>77</v>
      </c>
      <c r="E952" t="s">
        <v>64</v>
      </c>
      <c r="F952" t="s">
        <v>420</v>
      </c>
      <c r="H952">
        <v>31</v>
      </c>
      <c r="I952">
        <v>1401</v>
      </c>
      <c r="J952" t="s">
        <v>4905</v>
      </c>
      <c r="K952" t="s">
        <v>4906</v>
      </c>
      <c r="M952" t="s">
        <v>4487</v>
      </c>
      <c r="N952">
        <v>60602</v>
      </c>
      <c r="O952" t="s">
        <v>4488</v>
      </c>
      <c r="Q952" t="s">
        <v>4489</v>
      </c>
      <c r="R952" t="s">
        <v>4907</v>
      </c>
      <c r="S952" t="s">
        <v>3732</v>
      </c>
      <c r="T952" s="6">
        <v>4080000000</v>
      </c>
      <c r="U952" s="45">
        <f>VLOOKUP(B952,realPrices!C:G,5,0)</f>
        <v>4895452139</v>
      </c>
      <c r="W952" t="str">
        <f t="shared" si="14"/>
        <v>207i TU5P A1401</v>
      </c>
      <c r="X952">
        <f>VLOOKUP(W952,Sheet10!D:F,2,0)*10000000</f>
        <v>7100000000</v>
      </c>
      <c r="Y952" t="s">
        <v>74</v>
      </c>
    </row>
    <row r="953" spans="1:25" x14ac:dyDescent="0.25">
      <c r="A953" t="s">
        <v>4497</v>
      </c>
      <c r="B953" t="s">
        <v>4908</v>
      </c>
      <c r="C953">
        <v>606</v>
      </c>
      <c r="D953" t="s">
        <v>77</v>
      </c>
      <c r="E953" t="s">
        <v>64</v>
      </c>
      <c r="F953" t="s">
        <v>420</v>
      </c>
      <c r="H953">
        <v>36</v>
      </c>
      <c r="I953">
        <v>1401</v>
      </c>
      <c r="J953" t="s">
        <v>4909</v>
      </c>
      <c r="K953" t="s">
        <v>4910</v>
      </c>
      <c r="M953" t="s">
        <v>4487</v>
      </c>
      <c r="N953">
        <v>60602</v>
      </c>
      <c r="O953" t="s">
        <v>4488</v>
      </c>
      <c r="Q953" t="s">
        <v>4489</v>
      </c>
      <c r="R953" t="s">
        <v>4911</v>
      </c>
      <c r="S953" t="s">
        <v>4308</v>
      </c>
      <c r="T953" s="6">
        <v>4080000000</v>
      </c>
      <c r="U953" s="45">
        <f>VLOOKUP(B953,realPrices!C:G,5,0)</f>
        <v>5010000000</v>
      </c>
      <c r="W953" t="str">
        <f t="shared" si="14"/>
        <v>207i TU5P A1401</v>
      </c>
      <c r="X953">
        <f>VLOOKUP(W953,Sheet10!D:F,2,0)*10000000</f>
        <v>7100000000</v>
      </c>
      <c r="Y953" t="s">
        <v>74</v>
      </c>
    </row>
    <row r="954" spans="1:25" x14ac:dyDescent="0.25">
      <c r="A954" t="s">
        <v>3250</v>
      </c>
      <c r="B954" t="s">
        <v>4912</v>
      </c>
      <c r="C954">
        <v>285</v>
      </c>
      <c r="D954" t="s">
        <v>77</v>
      </c>
      <c r="E954" t="s">
        <v>64</v>
      </c>
      <c r="F954" t="s">
        <v>491</v>
      </c>
      <c r="H954">
        <v>15</v>
      </c>
      <c r="I954">
        <v>1401</v>
      </c>
      <c r="J954" t="s">
        <v>4913</v>
      </c>
      <c r="K954" t="s">
        <v>4914</v>
      </c>
      <c r="M954" t="s">
        <v>198</v>
      </c>
      <c r="N954">
        <v>28520</v>
      </c>
      <c r="O954" t="s">
        <v>70</v>
      </c>
      <c r="Q954" t="s">
        <v>199</v>
      </c>
      <c r="R954" t="s">
        <v>4915</v>
      </c>
      <c r="S954" t="s">
        <v>4657</v>
      </c>
      <c r="T954" s="6">
        <v>4100000000</v>
      </c>
      <c r="U954" s="45">
        <f>VLOOKUP(B954,realPrices!C:G,5,0)</f>
        <v>4719999999</v>
      </c>
      <c r="W954" t="str">
        <f t="shared" si="14"/>
        <v>PARS TU51401</v>
      </c>
      <c r="X954">
        <f>VLOOKUP(W954,Sheet10!D:F,2,0)*10000000</f>
        <v>5250000000</v>
      </c>
      <c r="Y954" t="s">
        <v>114</v>
      </c>
    </row>
    <row r="955" spans="1:25" x14ac:dyDescent="0.25">
      <c r="A955" t="s">
        <v>4483</v>
      </c>
      <c r="B955" t="s">
        <v>4916</v>
      </c>
      <c r="C955">
        <v>606</v>
      </c>
      <c r="D955" t="s">
        <v>63</v>
      </c>
      <c r="E955" t="s">
        <v>64</v>
      </c>
      <c r="F955" t="s">
        <v>318</v>
      </c>
      <c r="H955">
        <v>19</v>
      </c>
      <c r="I955">
        <v>1401</v>
      </c>
      <c r="J955" t="s">
        <v>4917</v>
      </c>
      <c r="K955" t="s">
        <v>4918</v>
      </c>
      <c r="M955" t="s">
        <v>4487</v>
      </c>
      <c r="N955">
        <v>60602</v>
      </c>
      <c r="O955" t="s">
        <v>4488</v>
      </c>
      <c r="Q955" t="s">
        <v>4489</v>
      </c>
      <c r="R955" t="s">
        <v>4919</v>
      </c>
      <c r="S955" t="s">
        <v>4294</v>
      </c>
      <c r="T955" s="6">
        <v>4100000000</v>
      </c>
      <c r="U955" s="45">
        <f>VLOOKUP(B955,realPrices!C:G,5,0)</f>
        <v>5880000000</v>
      </c>
      <c r="W955" t="str">
        <f t="shared" si="14"/>
        <v>207i TU5P A1401</v>
      </c>
      <c r="X955">
        <f>VLOOKUP(W955,Sheet10!D:F,2,0)*10000000</f>
        <v>7100000000</v>
      </c>
      <c r="Y955" t="s">
        <v>114</v>
      </c>
    </row>
    <row r="956" spans="1:25" x14ac:dyDescent="0.25">
      <c r="A956" t="s">
        <v>4497</v>
      </c>
      <c r="B956" t="s">
        <v>4920</v>
      </c>
      <c r="C956">
        <v>606</v>
      </c>
      <c r="D956" t="s">
        <v>77</v>
      </c>
      <c r="E956" t="s">
        <v>64</v>
      </c>
      <c r="F956" t="s">
        <v>420</v>
      </c>
      <c r="H956">
        <v>25</v>
      </c>
      <c r="I956">
        <v>1401</v>
      </c>
      <c r="J956" t="s">
        <v>4921</v>
      </c>
      <c r="K956" t="s">
        <v>4922</v>
      </c>
      <c r="M956" t="s">
        <v>4487</v>
      </c>
      <c r="N956">
        <v>60602</v>
      </c>
      <c r="O956" t="s">
        <v>4488</v>
      </c>
      <c r="Q956" t="s">
        <v>4489</v>
      </c>
      <c r="R956" t="s">
        <v>4923</v>
      </c>
      <c r="S956" t="s">
        <v>4924</v>
      </c>
      <c r="T956" s="6">
        <v>4100000000</v>
      </c>
      <c r="U956" s="45">
        <f>VLOOKUP(B956,realPrices!C:G,5,0)</f>
        <v>4888888888</v>
      </c>
      <c r="W956" t="str">
        <f t="shared" si="14"/>
        <v>207i TU5P A1401</v>
      </c>
      <c r="X956">
        <f>VLOOKUP(W956,Sheet10!D:F,2,0)*10000000</f>
        <v>7100000000</v>
      </c>
      <c r="Y956" t="s">
        <v>74</v>
      </c>
    </row>
    <row r="957" spans="1:25" x14ac:dyDescent="0.25">
      <c r="A957" t="s">
        <v>4497</v>
      </c>
      <c r="B957" t="s">
        <v>4925</v>
      </c>
      <c r="C957">
        <v>606</v>
      </c>
      <c r="D957" t="s">
        <v>77</v>
      </c>
      <c r="E957" t="s">
        <v>64</v>
      </c>
      <c r="F957" t="s">
        <v>420</v>
      </c>
      <c r="H957">
        <v>19</v>
      </c>
      <c r="I957">
        <v>1401</v>
      </c>
      <c r="J957" t="s">
        <v>4926</v>
      </c>
      <c r="K957" t="s">
        <v>4927</v>
      </c>
      <c r="M957" t="s">
        <v>4487</v>
      </c>
      <c r="N957">
        <v>60602</v>
      </c>
      <c r="O957" t="s">
        <v>4488</v>
      </c>
      <c r="Q957" t="s">
        <v>4489</v>
      </c>
      <c r="R957" t="s">
        <v>4928</v>
      </c>
      <c r="S957" t="s">
        <v>4929</v>
      </c>
      <c r="T957" s="6">
        <v>4100000000</v>
      </c>
      <c r="U957" s="45">
        <f>VLOOKUP(B957,realPrices!C:G,5,0)</f>
        <v>5188888888</v>
      </c>
      <c r="W957" t="str">
        <f t="shared" si="14"/>
        <v>207i TU5P A1401</v>
      </c>
      <c r="X957">
        <f>VLOOKUP(W957,Sheet10!D:F,2,0)*10000000</f>
        <v>7100000000</v>
      </c>
      <c r="Y957" t="s">
        <v>74</v>
      </c>
    </row>
    <row r="958" spans="1:25" x14ac:dyDescent="0.25">
      <c r="A958" t="s">
        <v>4497</v>
      </c>
      <c r="B958" t="s">
        <v>4930</v>
      </c>
      <c r="C958">
        <v>606</v>
      </c>
      <c r="D958" t="s">
        <v>77</v>
      </c>
      <c r="E958" t="s">
        <v>64</v>
      </c>
      <c r="F958" t="s">
        <v>420</v>
      </c>
      <c r="H958">
        <v>25</v>
      </c>
      <c r="I958">
        <v>1401</v>
      </c>
      <c r="J958" t="s">
        <v>4931</v>
      </c>
      <c r="K958" t="s">
        <v>4932</v>
      </c>
      <c r="M958" t="s">
        <v>4487</v>
      </c>
      <c r="N958">
        <v>60602</v>
      </c>
      <c r="O958" t="s">
        <v>4488</v>
      </c>
      <c r="Q958" t="s">
        <v>4489</v>
      </c>
      <c r="R958" t="s">
        <v>4933</v>
      </c>
      <c r="S958" t="s">
        <v>4934</v>
      </c>
      <c r="T958" s="6">
        <v>4100000000</v>
      </c>
      <c r="U958" s="45">
        <f>VLOOKUP(B958,realPrices!C:G,5,0)</f>
        <v>5155555555</v>
      </c>
      <c r="W958" t="str">
        <f t="shared" si="14"/>
        <v>207i TU5P A1401</v>
      </c>
      <c r="X958">
        <f>VLOOKUP(W958,Sheet10!D:F,2,0)*10000000</f>
        <v>7100000000</v>
      </c>
      <c r="Y958" t="s">
        <v>74</v>
      </c>
    </row>
    <row r="959" spans="1:25" x14ac:dyDescent="0.25">
      <c r="A959" t="s">
        <v>4497</v>
      </c>
      <c r="B959" t="s">
        <v>4935</v>
      </c>
      <c r="C959">
        <v>606</v>
      </c>
      <c r="D959" t="s">
        <v>77</v>
      </c>
      <c r="E959" t="s">
        <v>64</v>
      </c>
      <c r="F959" t="s">
        <v>420</v>
      </c>
      <c r="H959">
        <v>27</v>
      </c>
      <c r="I959">
        <v>1401</v>
      </c>
      <c r="J959" t="s">
        <v>4936</v>
      </c>
      <c r="K959" t="s">
        <v>4937</v>
      </c>
      <c r="M959" t="s">
        <v>4487</v>
      </c>
      <c r="N959">
        <v>60602</v>
      </c>
      <c r="O959" t="s">
        <v>4488</v>
      </c>
      <c r="Q959" t="s">
        <v>4489</v>
      </c>
      <c r="R959" t="s">
        <v>4938</v>
      </c>
      <c r="S959" t="s">
        <v>3955</v>
      </c>
      <c r="T959" s="6">
        <v>4100000000</v>
      </c>
      <c r="U959" s="45">
        <f>VLOOKUP(B959,realPrices!C:G,5,0)</f>
        <v>4650000000</v>
      </c>
      <c r="W959" t="str">
        <f t="shared" si="14"/>
        <v>207i TU5P A1401</v>
      </c>
      <c r="X959">
        <f>VLOOKUP(W959,Sheet10!D:F,2,0)*10000000</f>
        <v>7100000000</v>
      </c>
      <c r="Y959" t="s">
        <v>74</v>
      </c>
    </row>
    <row r="960" spans="1:25" x14ac:dyDescent="0.25">
      <c r="A960" t="s">
        <v>4497</v>
      </c>
      <c r="B960" t="s">
        <v>4939</v>
      </c>
      <c r="C960">
        <v>606</v>
      </c>
      <c r="D960" t="s">
        <v>77</v>
      </c>
      <c r="E960" t="s">
        <v>64</v>
      </c>
      <c r="F960" t="s">
        <v>420</v>
      </c>
      <c r="H960">
        <v>30</v>
      </c>
      <c r="I960">
        <v>1401</v>
      </c>
      <c r="J960" t="s">
        <v>4940</v>
      </c>
      <c r="K960" t="s">
        <v>4941</v>
      </c>
      <c r="M960" t="s">
        <v>4487</v>
      </c>
      <c r="N960">
        <v>60602</v>
      </c>
      <c r="O960" t="s">
        <v>4488</v>
      </c>
      <c r="Q960" t="s">
        <v>4489</v>
      </c>
      <c r="R960" t="s">
        <v>4942</v>
      </c>
      <c r="S960" t="s">
        <v>4943</v>
      </c>
      <c r="T960" s="6">
        <v>4100000000</v>
      </c>
      <c r="U960" s="45">
        <f>VLOOKUP(B960,realPrices!C:G,5,0)</f>
        <v>4615000000</v>
      </c>
      <c r="W960" t="str">
        <f t="shared" si="14"/>
        <v>207i TU5P A1401</v>
      </c>
      <c r="X960">
        <f>VLOOKUP(W960,Sheet10!D:F,2,0)*10000000</f>
        <v>7100000000</v>
      </c>
      <c r="Y960" t="s">
        <v>74</v>
      </c>
    </row>
    <row r="961" spans="1:25" x14ac:dyDescent="0.25">
      <c r="A961" t="s">
        <v>4497</v>
      </c>
      <c r="B961" t="s">
        <v>4944</v>
      </c>
      <c r="C961">
        <v>606</v>
      </c>
      <c r="D961" t="s">
        <v>77</v>
      </c>
      <c r="E961" t="s">
        <v>64</v>
      </c>
      <c r="F961" t="s">
        <v>420</v>
      </c>
      <c r="H961">
        <v>39</v>
      </c>
      <c r="I961">
        <v>1401</v>
      </c>
      <c r="J961" t="s">
        <v>4945</v>
      </c>
      <c r="K961" t="s">
        <v>4946</v>
      </c>
      <c r="M961" t="s">
        <v>4487</v>
      </c>
      <c r="N961">
        <v>60602</v>
      </c>
      <c r="O961" t="s">
        <v>4488</v>
      </c>
      <c r="Q961" t="s">
        <v>4489</v>
      </c>
      <c r="R961" t="s">
        <v>4947</v>
      </c>
      <c r="S961" t="s">
        <v>4355</v>
      </c>
      <c r="T961" s="6">
        <v>4100000000</v>
      </c>
      <c r="U961" s="45">
        <f>VLOOKUP(B961,realPrices!C:G,5,0)</f>
        <v>4723000000</v>
      </c>
      <c r="W961" t="str">
        <f t="shared" si="14"/>
        <v>207i TU5P A1401</v>
      </c>
      <c r="X961">
        <f>VLOOKUP(W961,Sheet10!D:F,2,0)*10000000</f>
        <v>7100000000</v>
      </c>
      <c r="Y961" t="s">
        <v>74</v>
      </c>
    </row>
    <row r="962" spans="1:25" x14ac:dyDescent="0.25">
      <c r="A962" t="s">
        <v>4497</v>
      </c>
      <c r="B962" t="s">
        <v>4948</v>
      </c>
      <c r="C962">
        <v>606</v>
      </c>
      <c r="D962" t="s">
        <v>77</v>
      </c>
      <c r="E962" t="s">
        <v>64</v>
      </c>
      <c r="F962" t="s">
        <v>420</v>
      </c>
      <c r="H962">
        <v>41</v>
      </c>
      <c r="I962">
        <v>1401</v>
      </c>
      <c r="J962" t="s">
        <v>4949</v>
      </c>
      <c r="K962" t="s">
        <v>4950</v>
      </c>
      <c r="M962" t="s">
        <v>4487</v>
      </c>
      <c r="N962">
        <v>60602</v>
      </c>
      <c r="O962" t="s">
        <v>4488</v>
      </c>
      <c r="Q962" t="s">
        <v>4489</v>
      </c>
      <c r="R962" t="s">
        <v>4951</v>
      </c>
      <c r="S962" t="s">
        <v>3727</v>
      </c>
      <c r="T962" s="6">
        <v>4100000000</v>
      </c>
      <c r="U962" s="45">
        <f>VLOOKUP(B962,realPrices!C:G,5,0)</f>
        <v>4759999999</v>
      </c>
      <c r="W962" t="str">
        <f t="shared" ref="W962:W1025" si="15">M962&amp;I962</f>
        <v>207i TU5P A1401</v>
      </c>
      <c r="X962">
        <f>VLOOKUP(W962,Sheet10!D:F,2,0)*10000000</f>
        <v>7100000000</v>
      </c>
      <c r="Y962" t="s">
        <v>74</v>
      </c>
    </row>
    <row r="963" spans="1:25" x14ac:dyDescent="0.25">
      <c r="A963" t="s">
        <v>3521</v>
      </c>
      <c r="B963" t="s">
        <v>4952</v>
      </c>
      <c r="C963">
        <v>707</v>
      </c>
      <c r="D963" t="s">
        <v>77</v>
      </c>
      <c r="E963" t="s">
        <v>64</v>
      </c>
      <c r="F963" t="s">
        <v>362</v>
      </c>
      <c r="H963">
        <v>59</v>
      </c>
      <c r="I963">
        <v>1400</v>
      </c>
      <c r="J963" t="s">
        <v>4953</v>
      </c>
      <c r="K963" t="s">
        <v>4954</v>
      </c>
      <c r="M963" t="s">
        <v>3450</v>
      </c>
      <c r="N963">
        <v>70702</v>
      </c>
      <c r="O963" t="s">
        <v>70</v>
      </c>
      <c r="Q963" t="s">
        <v>3451</v>
      </c>
      <c r="R963" t="s">
        <v>4955</v>
      </c>
      <c r="S963" t="s">
        <v>4956</v>
      </c>
      <c r="T963" s="6">
        <v>4100000000</v>
      </c>
      <c r="U963" s="45">
        <f>VLOOKUP(B963,realPrices!C:G,5,0)</f>
        <v>5235000000</v>
      </c>
      <c r="W963" t="str">
        <f t="shared" si="15"/>
        <v>DENA+EF7TC A1400</v>
      </c>
      <c r="X963">
        <f>VLOOKUP(W963,Sheet10!D:F,2,0)*10000000</f>
        <v>7100000000</v>
      </c>
      <c r="Y963" t="s">
        <v>74</v>
      </c>
    </row>
    <row r="964" spans="1:25" x14ac:dyDescent="0.25">
      <c r="A964" t="s">
        <v>3446</v>
      </c>
      <c r="B964" t="s">
        <v>4957</v>
      </c>
      <c r="C964">
        <v>707</v>
      </c>
      <c r="D964" t="s">
        <v>63</v>
      </c>
      <c r="E964" t="s">
        <v>64</v>
      </c>
      <c r="F964" t="s">
        <v>420</v>
      </c>
      <c r="H964">
        <v>68</v>
      </c>
      <c r="I964">
        <v>1401</v>
      </c>
      <c r="J964" t="s">
        <v>4958</v>
      </c>
      <c r="K964" t="s">
        <v>4959</v>
      </c>
      <c r="M964" t="s">
        <v>3450</v>
      </c>
      <c r="N964">
        <v>70702</v>
      </c>
      <c r="O964" t="s">
        <v>70</v>
      </c>
      <c r="Q964" t="s">
        <v>3451</v>
      </c>
      <c r="R964" t="s">
        <v>4960</v>
      </c>
      <c r="S964" t="s">
        <v>4961</v>
      </c>
      <c r="T964" s="6">
        <v>4100000000</v>
      </c>
      <c r="U964" s="45">
        <f>VLOOKUP(B964,realPrices!C:G,5,0)</f>
        <v>5425500000</v>
      </c>
      <c r="W964" t="str">
        <f t="shared" si="15"/>
        <v>DENA+EF7TC A1401</v>
      </c>
      <c r="X964">
        <f>VLOOKUP(W964,Sheet10!D:F,2,0)*10000000</f>
        <v>7250000000</v>
      </c>
      <c r="Y964" t="s">
        <v>74</v>
      </c>
    </row>
    <row r="965" spans="1:25" x14ac:dyDescent="0.25">
      <c r="A965" t="s">
        <v>3446</v>
      </c>
      <c r="B965" t="s">
        <v>4962</v>
      </c>
      <c r="C965">
        <v>707</v>
      </c>
      <c r="D965" t="s">
        <v>63</v>
      </c>
      <c r="E965" t="s">
        <v>64</v>
      </c>
      <c r="F965" t="s">
        <v>420</v>
      </c>
      <c r="H965">
        <v>60</v>
      </c>
      <c r="I965">
        <v>1401</v>
      </c>
      <c r="J965" t="s">
        <v>4963</v>
      </c>
      <c r="K965" t="s">
        <v>4964</v>
      </c>
      <c r="M965" t="s">
        <v>3450</v>
      </c>
      <c r="N965">
        <v>70702</v>
      </c>
      <c r="O965" t="s">
        <v>70</v>
      </c>
      <c r="Q965" t="s">
        <v>3451</v>
      </c>
      <c r="R965" t="s">
        <v>4965</v>
      </c>
      <c r="S965" t="s">
        <v>4966</v>
      </c>
      <c r="T965" s="6">
        <v>4100000000</v>
      </c>
      <c r="U965" s="45">
        <f>VLOOKUP(B965,realPrices!C:G,5,0)</f>
        <v>5355500000</v>
      </c>
      <c r="W965" t="str">
        <f t="shared" si="15"/>
        <v>DENA+EF7TC A1401</v>
      </c>
      <c r="X965">
        <f>VLOOKUP(W965,Sheet10!D:F,2,0)*10000000</f>
        <v>7250000000</v>
      </c>
      <c r="Y965" t="s">
        <v>74</v>
      </c>
    </row>
    <row r="966" spans="1:25" x14ac:dyDescent="0.25">
      <c r="A966" t="s">
        <v>191</v>
      </c>
      <c r="B966" t="s">
        <v>4967</v>
      </c>
      <c r="C966">
        <v>285</v>
      </c>
      <c r="D966" t="s">
        <v>63</v>
      </c>
      <c r="E966" t="s">
        <v>64</v>
      </c>
      <c r="F966" t="s">
        <v>2436</v>
      </c>
      <c r="H966">
        <v>12</v>
      </c>
      <c r="I966">
        <v>1401</v>
      </c>
      <c r="J966" t="s">
        <v>4968</v>
      </c>
      <c r="K966" t="s">
        <v>4969</v>
      </c>
      <c r="M966" t="s">
        <v>198</v>
      </c>
      <c r="N966">
        <v>28520</v>
      </c>
      <c r="O966" t="s">
        <v>70</v>
      </c>
      <c r="Q966" t="s">
        <v>199</v>
      </c>
      <c r="R966" t="s">
        <v>4970</v>
      </c>
      <c r="S966" t="s">
        <v>4971</v>
      </c>
      <c r="T966" s="6">
        <v>4120000000</v>
      </c>
      <c r="U966" s="45">
        <f>VLOOKUP(B966,realPrices!C:G,5,0)</f>
        <v>0</v>
      </c>
      <c r="W966" t="str">
        <f t="shared" si="15"/>
        <v>PARS TU51401</v>
      </c>
      <c r="X966">
        <f>VLOOKUP(W966,Sheet10!D:F,2,0)*10000000</f>
        <v>5250000000</v>
      </c>
      <c r="Y966" t="s">
        <v>114</v>
      </c>
    </row>
    <row r="967" spans="1:25" x14ac:dyDescent="0.25">
      <c r="A967" t="s">
        <v>4609</v>
      </c>
      <c r="B967" t="s">
        <v>4972</v>
      </c>
      <c r="C967">
        <v>560</v>
      </c>
      <c r="D967" t="s">
        <v>4611</v>
      </c>
      <c r="E967" t="s">
        <v>64</v>
      </c>
      <c r="F967" t="s">
        <v>362</v>
      </c>
      <c r="G967" t="s">
        <v>363</v>
      </c>
      <c r="H967">
        <v>52</v>
      </c>
      <c r="I967">
        <v>1398</v>
      </c>
      <c r="J967" t="s">
        <v>4973</v>
      </c>
      <c r="K967" t="s">
        <v>4974</v>
      </c>
      <c r="L967" t="s">
        <v>4975</v>
      </c>
      <c r="M967" t="s">
        <v>234</v>
      </c>
      <c r="N967">
        <v>56080</v>
      </c>
      <c r="O967" t="s">
        <v>70</v>
      </c>
      <c r="Q967" t="s">
        <v>4615</v>
      </c>
      <c r="R967" t="s">
        <v>4976</v>
      </c>
      <c r="S967" t="s">
        <v>4073</v>
      </c>
      <c r="T967" s="6">
        <v>4120000000</v>
      </c>
      <c r="U967" s="45">
        <f>VLOOKUP(B967,realPrices!C:G,5,0)</f>
        <v>6029999999</v>
      </c>
      <c r="W967" t="str">
        <f t="shared" si="15"/>
        <v>TONDAR 90 K4M1398</v>
      </c>
      <c r="X967">
        <f>VLOOKUP(W967,Sheet10!D:F,2,0)*10000000</f>
        <v>6750000000</v>
      </c>
      <c r="Y967" t="s">
        <v>114</v>
      </c>
    </row>
    <row r="968" spans="1:25" x14ac:dyDescent="0.25">
      <c r="A968" t="s">
        <v>4483</v>
      </c>
      <c r="B968" t="s">
        <v>4977</v>
      </c>
      <c r="C968">
        <v>606</v>
      </c>
      <c r="D968" t="s">
        <v>63</v>
      </c>
      <c r="E968" t="s">
        <v>64</v>
      </c>
      <c r="F968" t="s">
        <v>420</v>
      </c>
      <c r="H968">
        <v>30</v>
      </c>
      <c r="I968">
        <v>1401</v>
      </c>
      <c r="J968" t="s">
        <v>4978</v>
      </c>
      <c r="K968" t="s">
        <v>4979</v>
      </c>
      <c r="M968" t="s">
        <v>4487</v>
      </c>
      <c r="N968">
        <v>60602</v>
      </c>
      <c r="O968" t="s">
        <v>4488</v>
      </c>
      <c r="Q968" t="s">
        <v>4489</v>
      </c>
      <c r="R968" t="s">
        <v>4980</v>
      </c>
      <c r="S968" t="s">
        <v>4981</v>
      </c>
      <c r="T968" s="6">
        <v>4120000000</v>
      </c>
      <c r="U968" s="45">
        <f>VLOOKUP(B968,realPrices!C:G,5,0)</f>
        <v>4800000000</v>
      </c>
      <c r="W968" t="str">
        <f t="shared" si="15"/>
        <v>207i TU5P A1401</v>
      </c>
      <c r="X968">
        <f>VLOOKUP(W968,Sheet10!D:F,2,0)*10000000</f>
        <v>7100000000</v>
      </c>
      <c r="Y968" t="s">
        <v>74</v>
      </c>
    </row>
    <row r="969" spans="1:25" x14ac:dyDescent="0.25">
      <c r="A969" t="s">
        <v>191</v>
      </c>
      <c r="B969" t="s">
        <v>4982</v>
      </c>
      <c r="C969">
        <v>285</v>
      </c>
      <c r="D969" t="s">
        <v>63</v>
      </c>
      <c r="E969" t="s">
        <v>64</v>
      </c>
      <c r="F969" t="s">
        <v>2436</v>
      </c>
      <c r="H969">
        <v>99</v>
      </c>
      <c r="I969">
        <v>1401</v>
      </c>
      <c r="J969" t="s">
        <v>4983</v>
      </c>
      <c r="K969" t="s">
        <v>4984</v>
      </c>
      <c r="M969" t="s">
        <v>198</v>
      </c>
      <c r="N969">
        <v>28520</v>
      </c>
      <c r="O969" t="s">
        <v>70</v>
      </c>
      <c r="Q969" t="s">
        <v>199</v>
      </c>
      <c r="R969" t="s">
        <v>4985</v>
      </c>
      <c r="S969" t="s">
        <v>4986</v>
      </c>
      <c r="T969" s="6">
        <v>4140000000</v>
      </c>
      <c r="U969" s="45">
        <f>VLOOKUP(B969,realPrices!C:G,5,0)</f>
        <v>4876599999</v>
      </c>
      <c r="W969" t="str">
        <f t="shared" si="15"/>
        <v>PARS TU51401</v>
      </c>
      <c r="X969">
        <f>VLOOKUP(W969,Sheet10!D:F,2,0)*10000000</f>
        <v>5250000000</v>
      </c>
      <c r="Y969" t="s">
        <v>114</v>
      </c>
    </row>
    <row r="970" spans="1:25" x14ac:dyDescent="0.25">
      <c r="A970" t="s">
        <v>4609</v>
      </c>
      <c r="B970" t="s">
        <v>4987</v>
      </c>
      <c r="C970">
        <v>560</v>
      </c>
      <c r="D970" t="s">
        <v>4611</v>
      </c>
      <c r="E970" t="s">
        <v>64</v>
      </c>
      <c r="F970" t="s">
        <v>362</v>
      </c>
      <c r="G970" t="s">
        <v>363</v>
      </c>
      <c r="H970">
        <v>58</v>
      </c>
      <c r="I970">
        <v>1398</v>
      </c>
      <c r="J970" t="s">
        <v>4988</v>
      </c>
      <c r="K970" t="s">
        <v>599</v>
      </c>
      <c r="L970" t="s">
        <v>4989</v>
      </c>
      <c r="M970" t="s">
        <v>234</v>
      </c>
      <c r="N970">
        <v>56080</v>
      </c>
      <c r="O970" t="s">
        <v>70</v>
      </c>
      <c r="Q970" t="s">
        <v>4615</v>
      </c>
      <c r="R970" t="s">
        <v>4990</v>
      </c>
      <c r="S970" t="s">
        <v>4282</v>
      </c>
      <c r="T970" s="6">
        <v>4150000000</v>
      </c>
      <c r="U970" s="45">
        <f>VLOOKUP(B970,realPrices!C:G,5,0)</f>
        <v>6362000000</v>
      </c>
      <c r="W970" t="str">
        <f t="shared" si="15"/>
        <v>TONDAR 90 K4M1398</v>
      </c>
      <c r="X970">
        <f>VLOOKUP(W970,Sheet10!D:F,2,0)*10000000</f>
        <v>6750000000</v>
      </c>
      <c r="Y970" t="s">
        <v>114</v>
      </c>
    </row>
    <row r="971" spans="1:25" x14ac:dyDescent="0.25">
      <c r="A971" t="s">
        <v>4609</v>
      </c>
      <c r="B971" t="s">
        <v>4991</v>
      </c>
      <c r="C971">
        <v>560</v>
      </c>
      <c r="D971" t="s">
        <v>4611</v>
      </c>
      <c r="E971" t="s">
        <v>64</v>
      </c>
      <c r="F971" t="s">
        <v>362</v>
      </c>
      <c r="G971" t="s">
        <v>363</v>
      </c>
      <c r="H971">
        <v>56</v>
      </c>
      <c r="I971">
        <v>1398</v>
      </c>
      <c r="J971" t="s">
        <v>4992</v>
      </c>
      <c r="K971" t="s">
        <v>4993</v>
      </c>
      <c r="L971" t="s">
        <v>4994</v>
      </c>
      <c r="M971" t="s">
        <v>234</v>
      </c>
      <c r="N971">
        <v>56080</v>
      </c>
      <c r="O971" t="s">
        <v>70</v>
      </c>
      <c r="Q971" t="s">
        <v>4615</v>
      </c>
      <c r="R971" t="s">
        <v>4995</v>
      </c>
      <c r="S971" t="s">
        <v>4035</v>
      </c>
      <c r="T971" s="6">
        <v>4150000000</v>
      </c>
      <c r="U971" s="45">
        <f>VLOOKUP(B971,realPrices!C:G,5,0)</f>
        <v>6400000000</v>
      </c>
      <c r="W971" t="str">
        <f t="shared" si="15"/>
        <v>TONDAR 90 K4M1398</v>
      </c>
      <c r="X971">
        <f>VLOOKUP(W971,Sheet10!D:F,2,0)*10000000</f>
        <v>6750000000</v>
      </c>
      <c r="Y971" t="s">
        <v>114</v>
      </c>
    </row>
    <row r="972" spans="1:25" x14ac:dyDescent="0.25">
      <c r="A972" t="s">
        <v>4609</v>
      </c>
      <c r="B972" t="s">
        <v>4996</v>
      </c>
      <c r="C972">
        <v>560</v>
      </c>
      <c r="D972" t="s">
        <v>4611</v>
      </c>
      <c r="E972" t="s">
        <v>64</v>
      </c>
      <c r="F972" t="s">
        <v>362</v>
      </c>
      <c r="G972" t="s">
        <v>363</v>
      </c>
      <c r="H972">
        <v>54</v>
      </c>
      <c r="I972">
        <v>1398</v>
      </c>
      <c r="J972" t="s">
        <v>4997</v>
      </c>
      <c r="K972" t="s">
        <v>4998</v>
      </c>
      <c r="L972" t="s">
        <v>4999</v>
      </c>
      <c r="M972" t="s">
        <v>234</v>
      </c>
      <c r="N972">
        <v>56080</v>
      </c>
      <c r="O972" t="s">
        <v>70</v>
      </c>
      <c r="Q972" t="s">
        <v>4615</v>
      </c>
      <c r="R972" t="s">
        <v>5000</v>
      </c>
      <c r="S972" t="s">
        <v>4045</v>
      </c>
      <c r="T972" s="6">
        <v>4150000000</v>
      </c>
      <c r="U972" s="45">
        <f>VLOOKUP(B972,realPrices!C:G,5,0)</f>
        <v>5872200000</v>
      </c>
      <c r="W972" t="str">
        <f t="shared" si="15"/>
        <v>TONDAR 90 K4M1398</v>
      </c>
      <c r="X972">
        <f>VLOOKUP(W972,Sheet10!D:F,2,0)*10000000</f>
        <v>6750000000</v>
      </c>
      <c r="Y972" t="s">
        <v>114</v>
      </c>
    </row>
    <row r="973" spans="1:25" x14ac:dyDescent="0.25">
      <c r="A973" t="s">
        <v>4609</v>
      </c>
      <c r="B973" t="s">
        <v>5001</v>
      </c>
      <c r="C973">
        <v>560</v>
      </c>
      <c r="D973" t="s">
        <v>4611</v>
      </c>
      <c r="E973" t="s">
        <v>64</v>
      </c>
      <c r="F973" t="s">
        <v>362</v>
      </c>
      <c r="G973" t="s">
        <v>363</v>
      </c>
      <c r="H973">
        <v>61</v>
      </c>
      <c r="I973">
        <v>1398</v>
      </c>
      <c r="J973" t="s">
        <v>5002</v>
      </c>
      <c r="K973" t="s">
        <v>4998</v>
      </c>
      <c r="L973" t="s">
        <v>5003</v>
      </c>
      <c r="M973" t="s">
        <v>234</v>
      </c>
      <c r="N973">
        <v>56080</v>
      </c>
      <c r="O973" t="s">
        <v>70</v>
      </c>
      <c r="Q973" t="s">
        <v>4615</v>
      </c>
      <c r="R973" t="s">
        <v>5004</v>
      </c>
      <c r="S973" t="s">
        <v>4002</v>
      </c>
      <c r="T973" s="6">
        <v>4150000000</v>
      </c>
      <c r="U973" s="45">
        <f>VLOOKUP(B973,realPrices!C:G,5,0)</f>
        <v>6148758930</v>
      </c>
      <c r="W973" t="str">
        <f t="shared" si="15"/>
        <v>TONDAR 90 K4M1398</v>
      </c>
      <c r="X973">
        <f>VLOOKUP(W973,Sheet10!D:F,2,0)*10000000</f>
        <v>6750000000</v>
      </c>
      <c r="Y973" t="s">
        <v>114</v>
      </c>
    </row>
    <row r="974" spans="1:25" x14ac:dyDescent="0.25">
      <c r="A974" t="s">
        <v>4609</v>
      </c>
      <c r="B974" t="s">
        <v>5005</v>
      </c>
      <c r="C974">
        <v>560</v>
      </c>
      <c r="D974" t="s">
        <v>4611</v>
      </c>
      <c r="E974" t="s">
        <v>64</v>
      </c>
      <c r="F974" t="s">
        <v>362</v>
      </c>
      <c r="G974" t="s">
        <v>363</v>
      </c>
      <c r="H974">
        <v>54</v>
      </c>
      <c r="I974">
        <v>1398</v>
      </c>
      <c r="J974" t="s">
        <v>5006</v>
      </c>
      <c r="K974" t="s">
        <v>4993</v>
      </c>
      <c r="L974" t="s">
        <v>5007</v>
      </c>
      <c r="M974" t="s">
        <v>234</v>
      </c>
      <c r="N974">
        <v>56080</v>
      </c>
      <c r="O974" t="s">
        <v>70</v>
      </c>
      <c r="Q974" t="s">
        <v>4615</v>
      </c>
      <c r="R974" t="s">
        <v>5008</v>
      </c>
      <c r="S974" t="s">
        <v>4204</v>
      </c>
      <c r="T974" s="6">
        <v>4150000000</v>
      </c>
      <c r="U974" s="45">
        <f>VLOOKUP(B974,realPrices!C:G,5,0)</f>
        <v>6148758930</v>
      </c>
      <c r="W974" t="str">
        <f t="shared" si="15"/>
        <v>TONDAR 90 K4M1398</v>
      </c>
      <c r="X974">
        <f>VLOOKUP(W974,Sheet10!D:F,2,0)*10000000</f>
        <v>6750000000</v>
      </c>
      <c r="Y974" t="s">
        <v>114</v>
      </c>
    </row>
    <row r="975" spans="1:25" x14ac:dyDescent="0.25">
      <c r="A975" t="s">
        <v>4609</v>
      </c>
      <c r="B975" t="s">
        <v>5009</v>
      </c>
      <c r="C975">
        <v>560</v>
      </c>
      <c r="D975" t="s">
        <v>4611</v>
      </c>
      <c r="E975" t="s">
        <v>64</v>
      </c>
      <c r="F975" t="s">
        <v>362</v>
      </c>
      <c r="G975" t="s">
        <v>363</v>
      </c>
      <c r="H975">
        <v>57</v>
      </c>
      <c r="I975">
        <v>1398</v>
      </c>
      <c r="J975" t="s">
        <v>5010</v>
      </c>
      <c r="K975" t="s">
        <v>5011</v>
      </c>
      <c r="L975" t="s">
        <v>5012</v>
      </c>
      <c r="M975" t="s">
        <v>234</v>
      </c>
      <c r="N975">
        <v>56080</v>
      </c>
      <c r="O975" t="s">
        <v>70</v>
      </c>
      <c r="Q975" t="s">
        <v>4615</v>
      </c>
      <c r="R975" t="s">
        <v>5013</v>
      </c>
      <c r="S975" t="s">
        <v>4176</v>
      </c>
      <c r="T975" s="6">
        <v>4150000000</v>
      </c>
      <c r="U975" s="45">
        <f>VLOOKUP(B975,realPrices!C:G,5,0)</f>
        <v>6148758930</v>
      </c>
      <c r="W975" t="str">
        <f t="shared" si="15"/>
        <v>TONDAR 90 K4M1398</v>
      </c>
      <c r="X975">
        <f>VLOOKUP(W975,Sheet10!D:F,2,0)*10000000</f>
        <v>6750000000</v>
      </c>
      <c r="Y975" t="s">
        <v>114</v>
      </c>
    </row>
    <row r="976" spans="1:25" x14ac:dyDescent="0.25">
      <c r="A976" t="s">
        <v>4609</v>
      </c>
      <c r="B976" t="s">
        <v>5014</v>
      </c>
      <c r="C976">
        <v>560</v>
      </c>
      <c r="D976" t="s">
        <v>4611</v>
      </c>
      <c r="E976" t="s">
        <v>64</v>
      </c>
      <c r="F976" t="s">
        <v>362</v>
      </c>
      <c r="G976" t="s">
        <v>363</v>
      </c>
      <c r="H976">
        <v>54</v>
      </c>
      <c r="I976">
        <v>1398</v>
      </c>
      <c r="J976" t="s">
        <v>5015</v>
      </c>
      <c r="K976" t="s">
        <v>5016</v>
      </c>
      <c r="L976" t="s">
        <v>5017</v>
      </c>
      <c r="M976" t="s">
        <v>234</v>
      </c>
      <c r="N976">
        <v>56080</v>
      </c>
      <c r="O976" t="s">
        <v>70</v>
      </c>
      <c r="Q976" t="s">
        <v>4615</v>
      </c>
      <c r="R976" t="s">
        <v>5018</v>
      </c>
      <c r="S976" t="s">
        <v>4219</v>
      </c>
      <c r="T976" s="6">
        <v>4150000000</v>
      </c>
      <c r="U976" s="45">
        <f>VLOOKUP(B976,realPrices!C:G,5,0)</f>
        <v>5688669999</v>
      </c>
      <c r="W976" t="str">
        <f t="shared" si="15"/>
        <v>TONDAR 90 K4M1398</v>
      </c>
      <c r="X976">
        <f>VLOOKUP(W976,Sheet10!D:F,2,0)*10000000</f>
        <v>6750000000</v>
      </c>
      <c r="Y976" t="s">
        <v>114</v>
      </c>
    </row>
    <row r="977" spans="1:25" x14ac:dyDescent="0.25">
      <c r="A977" t="s">
        <v>4609</v>
      </c>
      <c r="B977" t="s">
        <v>5019</v>
      </c>
      <c r="C977">
        <v>560</v>
      </c>
      <c r="D977" t="s">
        <v>4611</v>
      </c>
      <c r="E977" t="s">
        <v>64</v>
      </c>
      <c r="F977" t="s">
        <v>362</v>
      </c>
      <c r="G977" t="s">
        <v>363</v>
      </c>
      <c r="H977">
        <v>55</v>
      </c>
      <c r="I977">
        <v>1398</v>
      </c>
      <c r="J977" t="s">
        <v>5020</v>
      </c>
      <c r="K977" t="s">
        <v>5021</v>
      </c>
      <c r="L977" t="s">
        <v>5022</v>
      </c>
      <c r="M977" t="s">
        <v>234</v>
      </c>
      <c r="N977">
        <v>56080</v>
      </c>
      <c r="O977" t="s">
        <v>70</v>
      </c>
      <c r="Q977" t="s">
        <v>4615</v>
      </c>
      <c r="R977" t="s">
        <v>5023</v>
      </c>
      <c r="S977" t="s">
        <v>4303</v>
      </c>
      <c r="T977" s="6">
        <v>4150000000</v>
      </c>
      <c r="U977" s="45">
        <f>VLOOKUP(B977,realPrices!C:G,5,0)</f>
        <v>6153285590</v>
      </c>
      <c r="W977" t="str">
        <f t="shared" si="15"/>
        <v>TONDAR 90 K4M1398</v>
      </c>
      <c r="X977">
        <f>VLOOKUP(W977,Sheet10!D:F,2,0)*10000000</f>
        <v>6750000000</v>
      </c>
      <c r="Y977" t="s">
        <v>114</v>
      </c>
    </row>
    <row r="978" spans="1:25" x14ac:dyDescent="0.25">
      <c r="A978" t="s">
        <v>4609</v>
      </c>
      <c r="B978" t="s">
        <v>5024</v>
      </c>
      <c r="C978">
        <v>560</v>
      </c>
      <c r="D978" t="s">
        <v>4611</v>
      </c>
      <c r="E978" t="s">
        <v>64</v>
      </c>
      <c r="F978" t="s">
        <v>362</v>
      </c>
      <c r="G978" t="s">
        <v>363</v>
      </c>
      <c r="H978">
        <v>53</v>
      </c>
      <c r="I978">
        <v>1398</v>
      </c>
      <c r="J978" t="s">
        <v>5025</v>
      </c>
      <c r="K978" t="s">
        <v>599</v>
      </c>
      <c r="L978" t="s">
        <v>5026</v>
      </c>
      <c r="M978" t="s">
        <v>234</v>
      </c>
      <c r="N978">
        <v>56080</v>
      </c>
      <c r="O978" t="s">
        <v>70</v>
      </c>
      <c r="Q978" t="s">
        <v>4615</v>
      </c>
      <c r="R978" t="s">
        <v>5027</v>
      </c>
      <c r="S978" t="s">
        <v>4114</v>
      </c>
      <c r="T978" s="6">
        <v>4150000000</v>
      </c>
      <c r="U978" s="45">
        <f>VLOOKUP(B978,realPrices!C:G,5,0)</f>
        <v>6280000000</v>
      </c>
      <c r="W978" t="str">
        <f t="shared" si="15"/>
        <v>TONDAR 90 K4M1398</v>
      </c>
      <c r="X978">
        <f>VLOOKUP(W978,Sheet10!D:F,2,0)*10000000</f>
        <v>6750000000</v>
      </c>
      <c r="Y978" t="s">
        <v>114</v>
      </c>
    </row>
    <row r="979" spans="1:25" x14ac:dyDescent="0.25">
      <c r="A979" t="s">
        <v>4609</v>
      </c>
      <c r="B979" t="s">
        <v>5028</v>
      </c>
      <c r="C979">
        <v>560</v>
      </c>
      <c r="D979" t="s">
        <v>4611</v>
      </c>
      <c r="E979" t="s">
        <v>64</v>
      </c>
      <c r="F979" t="s">
        <v>362</v>
      </c>
      <c r="G979" t="s">
        <v>363</v>
      </c>
      <c r="H979">
        <v>55</v>
      </c>
      <c r="I979">
        <v>1398</v>
      </c>
      <c r="J979" t="s">
        <v>5029</v>
      </c>
      <c r="K979" t="s">
        <v>599</v>
      </c>
      <c r="L979" t="s">
        <v>5030</v>
      </c>
      <c r="M979" t="s">
        <v>234</v>
      </c>
      <c r="N979">
        <v>56080</v>
      </c>
      <c r="O979" t="s">
        <v>70</v>
      </c>
      <c r="Q979" t="s">
        <v>4615</v>
      </c>
      <c r="R979" t="s">
        <v>5031</v>
      </c>
      <c r="S979" t="s">
        <v>4063</v>
      </c>
      <c r="T979" s="6">
        <v>4150000000</v>
      </c>
      <c r="U979" s="45">
        <f>VLOOKUP(B979,realPrices!C:G,5,0)</f>
        <v>6500000000</v>
      </c>
      <c r="W979" t="str">
        <f t="shared" si="15"/>
        <v>TONDAR 90 K4M1398</v>
      </c>
      <c r="X979">
        <f>VLOOKUP(W979,Sheet10!D:F,2,0)*10000000</f>
        <v>6750000000</v>
      </c>
      <c r="Y979" t="s">
        <v>114</v>
      </c>
    </row>
    <row r="980" spans="1:25" x14ac:dyDescent="0.25">
      <c r="A980" t="s">
        <v>4609</v>
      </c>
      <c r="B980" t="s">
        <v>5032</v>
      </c>
      <c r="C980">
        <v>560</v>
      </c>
      <c r="D980" t="s">
        <v>4611</v>
      </c>
      <c r="E980" t="s">
        <v>64</v>
      </c>
      <c r="F980" t="s">
        <v>362</v>
      </c>
      <c r="G980" t="s">
        <v>363</v>
      </c>
      <c r="H980">
        <v>66</v>
      </c>
      <c r="I980">
        <v>1398</v>
      </c>
      <c r="J980" t="s">
        <v>5033</v>
      </c>
      <c r="K980" t="s">
        <v>599</v>
      </c>
      <c r="L980" t="s">
        <v>5034</v>
      </c>
      <c r="M980" t="s">
        <v>234</v>
      </c>
      <c r="N980">
        <v>56080</v>
      </c>
      <c r="O980" t="s">
        <v>70</v>
      </c>
      <c r="Q980" t="s">
        <v>4615</v>
      </c>
      <c r="R980" t="s">
        <v>5035</v>
      </c>
      <c r="S980" t="s">
        <v>4244</v>
      </c>
      <c r="T980" s="6">
        <v>4150000000</v>
      </c>
      <c r="U980" s="45">
        <f>VLOOKUP(B980,realPrices!C:G,5,0)</f>
        <v>6153285590</v>
      </c>
      <c r="W980" t="str">
        <f t="shared" si="15"/>
        <v>TONDAR 90 K4M1398</v>
      </c>
      <c r="X980">
        <f>VLOOKUP(W980,Sheet10!D:F,2,0)*10000000</f>
        <v>6750000000</v>
      </c>
      <c r="Y980" t="s">
        <v>114</v>
      </c>
    </row>
    <row r="981" spans="1:25" x14ac:dyDescent="0.25">
      <c r="A981" t="s">
        <v>4609</v>
      </c>
      <c r="B981" t="s">
        <v>5036</v>
      </c>
      <c r="C981">
        <v>560</v>
      </c>
      <c r="D981" t="s">
        <v>4611</v>
      </c>
      <c r="E981" t="s">
        <v>64</v>
      </c>
      <c r="F981" t="s">
        <v>362</v>
      </c>
      <c r="G981" t="s">
        <v>363</v>
      </c>
      <c r="H981">
        <v>34</v>
      </c>
      <c r="I981">
        <v>1398</v>
      </c>
      <c r="J981" t="s">
        <v>5037</v>
      </c>
      <c r="K981" t="s">
        <v>5038</v>
      </c>
      <c r="L981" t="s">
        <v>5039</v>
      </c>
      <c r="M981" t="s">
        <v>234</v>
      </c>
      <c r="N981">
        <v>56080</v>
      </c>
      <c r="O981" t="s">
        <v>70</v>
      </c>
      <c r="Q981" t="s">
        <v>4615</v>
      </c>
      <c r="R981" t="s">
        <v>5040</v>
      </c>
      <c r="S981" t="s">
        <v>4277</v>
      </c>
      <c r="T981" s="6">
        <v>4150000000</v>
      </c>
      <c r="U981" s="45">
        <f>VLOOKUP(B981,realPrices!C:G,5,0)</f>
        <v>6148758930</v>
      </c>
      <c r="W981" t="str">
        <f t="shared" si="15"/>
        <v>TONDAR 90 K4M1398</v>
      </c>
      <c r="X981">
        <f>VLOOKUP(W981,Sheet10!D:F,2,0)*10000000</f>
        <v>6750000000</v>
      </c>
      <c r="Y981" t="s">
        <v>114</v>
      </c>
    </row>
    <row r="982" spans="1:25" x14ac:dyDescent="0.25">
      <c r="A982" t="s">
        <v>4609</v>
      </c>
      <c r="B982" t="s">
        <v>5041</v>
      </c>
      <c r="C982">
        <v>560</v>
      </c>
      <c r="D982" t="s">
        <v>4611</v>
      </c>
      <c r="E982" t="s">
        <v>64</v>
      </c>
      <c r="F982" t="s">
        <v>362</v>
      </c>
      <c r="G982" t="s">
        <v>363</v>
      </c>
      <c r="H982">
        <v>55</v>
      </c>
      <c r="I982">
        <v>1398</v>
      </c>
      <c r="J982" t="s">
        <v>5042</v>
      </c>
      <c r="K982" t="s">
        <v>5043</v>
      </c>
      <c r="L982" t="s">
        <v>5044</v>
      </c>
      <c r="M982" t="s">
        <v>234</v>
      </c>
      <c r="N982">
        <v>56080</v>
      </c>
      <c r="O982" t="s">
        <v>70</v>
      </c>
      <c r="Q982" t="s">
        <v>4615</v>
      </c>
      <c r="R982" t="s">
        <v>5045</v>
      </c>
      <c r="S982" t="s">
        <v>4286</v>
      </c>
      <c r="T982" s="6">
        <v>4150000000</v>
      </c>
      <c r="U982" s="45">
        <f>VLOOKUP(B982,realPrices!C:G,5,0)</f>
        <v>5999999999</v>
      </c>
      <c r="W982" t="str">
        <f t="shared" si="15"/>
        <v>TONDAR 90 K4M1398</v>
      </c>
      <c r="X982">
        <f>VLOOKUP(W982,Sheet10!D:F,2,0)*10000000</f>
        <v>6750000000</v>
      </c>
      <c r="Y982" t="s">
        <v>114</v>
      </c>
    </row>
    <row r="983" spans="1:25" x14ac:dyDescent="0.25">
      <c r="A983" t="s">
        <v>3521</v>
      </c>
      <c r="B983" t="s">
        <v>5046</v>
      </c>
      <c r="C983">
        <v>707</v>
      </c>
      <c r="D983" t="s">
        <v>77</v>
      </c>
      <c r="E983" t="s">
        <v>64</v>
      </c>
      <c r="F983" t="s">
        <v>2436</v>
      </c>
      <c r="H983">
        <v>34</v>
      </c>
      <c r="I983">
        <v>1401</v>
      </c>
      <c r="J983" t="s">
        <v>5047</v>
      </c>
      <c r="K983" t="s">
        <v>5048</v>
      </c>
      <c r="M983" t="s">
        <v>3450</v>
      </c>
      <c r="N983">
        <v>70702</v>
      </c>
      <c r="O983" t="s">
        <v>70</v>
      </c>
      <c r="Q983" t="s">
        <v>3451</v>
      </c>
      <c r="R983" t="s">
        <v>5049</v>
      </c>
      <c r="S983" t="s">
        <v>5050</v>
      </c>
      <c r="T983" s="6">
        <v>4150000000</v>
      </c>
      <c r="U983" s="45">
        <f>VLOOKUP(B983,realPrices!C:G,5,0)</f>
        <v>5310000000</v>
      </c>
      <c r="W983" t="str">
        <f t="shared" si="15"/>
        <v>DENA+EF7TC A1401</v>
      </c>
      <c r="X983">
        <f>VLOOKUP(W983,Sheet10!D:F,2,0)*10000000</f>
        <v>7250000000</v>
      </c>
      <c r="Y983" t="s">
        <v>74</v>
      </c>
    </row>
    <row r="984" spans="1:25" x14ac:dyDescent="0.25">
      <c r="A984" t="s">
        <v>404</v>
      </c>
      <c r="B984" t="s">
        <v>5051</v>
      </c>
      <c r="C984">
        <v>701</v>
      </c>
      <c r="D984" t="s">
        <v>63</v>
      </c>
      <c r="E984" t="s">
        <v>64</v>
      </c>
      <c r="F984" t="s">
        <v>4256</v>
      </c>
      <c r="H984">
        <v>86</v>
      </c>
      <c r="I984">
        <v>1400</v>
      </c>
      <c r="J984" t="s">
        <v>5052</v>
      </c>
      <c r="K984" t="s">
        <v>5053</v>
      </c>
      <c r="M984" t="s">
        <v>408</v>
      </c>
      <c r="N984">
        <v>70117</v>
      </c>
      <c r="O984" t="s">
        <v>70</v>
      </c>
      <c r="Q984" t="s">
        <v>409</v>
      </c>
      <c r="R984" t="s">
        <v>5054</v>
      </c>
      <c r="S984" t="s">
        <v>4491</v>
      </c>
      <c r="T984" s="6">
        <v>4200000000</v>
      </c>
      <c r="U984" s="45">
        <f>VLOOKUP(B984,realPrices!C:G,5,0)</f>
        <v>5152999999</v>
      </c>
      <c r="W984" t="str">
        <f t="shared" si="15"/>
        <v>DENA EF71400</v>
      </c>
      <c r="X984" t="e">
        <f>VLOOKUP(W984,Sheet10!D:F,2,0)*10000000</f>
        <v>#N/A</v>
      </c>
      <c r="Y984" t="s">
        <v>114</v>
      </c>
    </row>
    <row r="985" spans="1:25" x14ac:dyDescent="0.25">
      <c r="A985" t="s">
        <v>191</v>
      </c>
      <c r="B985" t="s">
        <v>5055</v>
      </c>
      <c r="C985">
        <v>285</v>
      </c>
      <c r="D985" t="s">
        <v>63</v>
      </c>
      <c r="E985" t="s">
        <v>64</v>
      </c>
      <c r="F985" t="s">
        <v>420</v>
      </c>
      <c r="H985">
        <v>23</v>
      </c>
      <c r="I985">
        <v>1401</v>
      </c>
      <c r="J985" t="s">
        <v>5056</v>
      </c>
      <c r="K985" t="s">
        <v>5057</v>
      </c>
      <c r="M985" t="s">
        <v>198</v>
      </c>
      <c r="N985">
        <v>28520</v>
      </c>
      <c r="O985" t="s">
        <v>70</v>
      </c>
      <c r="Q985" t="s">
        <v>199</v>
      </c>
      <c r="R985" t="s">
        <v>5058</v>
      </c>
      <c r="S985" t="s">
        <v>2612</v>
      </c>
      <c r="T985" s="6">
        <v>4200000000</v>
      </c>
      <c r="U985" s="45">
        <f>VLOOKUP(B985,realPrices!C:G,5,0)</f>
        <v>4967999000</v>
      </c>
      <c r="W985" t="str">
        <f t="shared" si="15"/>
        <v>PARS TU51401</v>
      </c>
      <c r="X985">
        <f>VLOOKUP(W985,Sheet10!D:F,2,0)*10000000</f>
        <v>5250000000</v>
      </c>
      <c r="Y985" t="s">
        <v>114</v>
      </c>
    </row>
    <row r="986" spans="1:25" x14ac:dyDescent="0.25">
      <c r="A986" t="s">
        <v>191</v>
      </c>
      <c r="B986" t="s">
        <v>5059</v>
      </c>
      <c r="C986">
        <v>285</v>
      </c>
      <c r="D986" t="s">
        <v>63</v>
      </c>
      <c r="E986" t="s">
        <v>64</v>
      </c>
      <c r="F986" t="s">
        <v>420</v>
      </c>
      <c r="H986">
        <v>100</v>
      </c>
      <c r="I986">
        <v>1401</v>
      </c>
      <c r="J986" t="s">
        <v>5060</v>
      </c>
      <c r="K986" t="s">
        <v>5061</v>
      </c>
      <c r="M986" t="s">
        <v>198</v>
      </c>
      <c r="N986">
        <v>28520</v>
      </c>
      <c r="O986" t="s">
        <v>70</v>
      </c>
      <c r="Q986" t="s">
        <v>199</v>
      </c>
      <c r="R986" t="s">
        <v>5062</v>
      </c>
      <c r="S986" t="s">
        <v>5063</v>
      </c>
      <c r="T986" s="6">
        <v>4200000000</v>
      </c>
      <c r="U986" s="45">
        <f>VLOOKUP(B986,realPrices!C:G,5,0)</f>
        <v>4550000000</v>
      </c>
      <c r="W986" t="str">
        <f t="shared" si="15"/>
        <v>PARS TU51401</v>
      </c>
      <c r="X986">
        <f>VLOOKUP(W986,Sheet10!D:F,2,0)*10000000</f>
        <v>5250000000</v>
      </c>
      <c r="Y986" t="s">
        <v>114</v>
      </c>
    </row>
    <row r="987" spans="1:25" x14ac:dyDescent="0.25">
      <c r="A987" t="s">
        <v>191</v>
      </c>
      <c r="B987" t="s">
        <v>5064</v>
      </c>
      <c r="C987">
        <v>285</v>
      </c>
      <c r="D987" t="s">
        <v>63</v>
      </c>
      <c r="E987" t="s">
        <v>64</v>
      </c>
      <c r="F987" t="s">
        <v>420</v>
      </c>
      <c r="H987">
        <v>27</v>
      </c>
      <c r="I987">
        <v>1401</v>
      </c>
      <c r="J987" t="s">
        <v>5065</v>
      </c>
      <c r="K987" t="s">
        <v>5066</v>
      </c>
      <c r="M987" t="s">
        <v>198</v>
      </c>
      <c r="N987">
        <v>28520</v>
      </c>
      <c r="O987" t="s">
        <v>70</v>
      </c>
      <c r="Q987" t="s">
        <v>199</v>
      </c>
      <c r="R987" t="s">
        <v>5067</v>
      </c>
      <c r="S987" t="s">
        <v>5068</v>
      </c>
      <c r="T987" s="6">
        <v>4200000000</v>
      </c>
      <c r="U987" s="45">
        <f>VLOOKUP(B987,realPrices!C:G,5,0)</f>
        <v>4941500000</v>
      </c>
      <c r="W987" t="str">
        <f t="shared" si="15"/>
        <v>PARS TU51401</v>
      </c>
      <c r="X987">
        <f>VLOOKUP(W987,Sheet10!D:F,2,0)*10000000</f>
        <v>5250000000</v>
      </c>
      <c r="Y987" t="s">
        <v>114</v>
      </c>
    </row>
    <row r="988" spans="1:25" x14ac:dyDescent="0.25">
      <c r="A988" t="s">
        <v>3446</v>
      </c>
      <c r="B988" t="s">
        <v>5069</v>
      </c>
      <c r="C988">
        <v>707</v>
      </c>
      <c r="D988" t="s">
        <v>63</v>
      </c>
      <c r="E988" t="s">
        <v>64</v>
      </c>
      <c r="F988" t="s">
        <v>205</v>
      </c>
      <c r="G988" t="s">
        <v>206</v>
      </c>
      <c r="H988">
        <v>38339</v>
      </c>
      <c r="I988">
        <v>1399</v>
      </c>
      <c r="J988" t="s">
        <v>5070</v>
      </c>
      <c r="K988" t="s">
        <v>5071</v>
      </c>
      <c r="L988" t="s">
        <v>5072</v>
      </c>
      <c r="M988" t="s">
        <v>3450</v>
      </c>
      <c r="N988">
        <v>70702</v>
      </c>
      <c r="O988" t="s">
        <v>70</v>
      </c>
      <c r="Q988" t="s">
        <v>3451</v>
      </c>
      <c r="R988" t="s">
        <v>5073</v>
      </c>
      <c r="S988" t="s">
        <v>2440</v>
      </c>
      <c r="T988" s="6">
        <v>4200000000</v>
      </c>
      <c r="U988" s="45">
        <f>VLOOKUP(B988,realPrices!C:G,5,0)</f>
        <v>5209999999</v>
      </c>
      <c r="W988" t="str">
        <f t="shared" si="15"/>
        <v>DENA+EF7TC A1399</v>
      </c>
      <c r="X988">
        <f>VLOOKUP(W988,Sheet10!D:F,2,0)*10000000</f>
        <v>6900000000</v>
      </c>
      <c r="Y988" t="s">
        <v>114</v>
      </c>
    </row>
    <row r="989" spans="1:25" x14ac:dyDescent="0.25">
      <c r="A989" t="s">
        <v>5074</v>
      </c>
      <c r="B989" t="s">
        <v>5075</v>
      </c>
      <c r="C989">
        <v>723</v>
      </c>
      <c r="D989" t="s">
        <v>63</v>
      </c>
      <c r="E989" t="s">
        <v>64</v>
      </c>
      <c r="F989" t="s">
        <v>362</v>
      </c>
      <c r="G989" t="s">
        <v>363</v>
      </c>
      <c r="H989">
        <v>63</v>
      </c>
      <c r="I989">
        <v>1398</v>
      </c>
      <c r="J989" t="s">
        <v>5076</v>
      </c>
      <c r="K989" t="s">
        <v>5077</v>
      </c>
      <c r="L989" t="s">
        <v>5078</v>
      </c>
      <c r="M989" t="s">
        <v>302</v>
      </c>
      <c r="N989">
        <v>72304</v>
      </c>
      <c r="O989" t="s">
        <v>303</v>
      </c>
      <c r="Q989" t="s">
        <v>5079</v>
      </c>
      <c r="R989" t="s">
        <v>5080</v>
      </c>
      <c r="S989" t="s">
        <v>3379</v>
      </c>
      <c r="T989" s="6">
        <v>4200000000</v>
      </c>
      <c r="U989" s="45">
        <f>VLOOKUP(B989,realPrices!C:G,5,0)</f>
        <v>6165400000</v>
      </c>
      <c r="W989" t="str">
        <f t="shared" si="15"/>
        <v>H30 TU5 A1398</v>
      </c>
      <c r="X989">
        <f>VLOOKUP(W989,Sheet10!D:F,2,0)*10000000</f>
        <v>0</v>
      </c>
      <c r="Y989" t="s">
        <v>114</v>
      </c>
    </row>
    <row r="990" spans="1:25" x14ac:dyDescent="0.25">
      <c r="A990" t="s">
        <v>5074</v>
      </c>
      <c r="B990" t="s">
        <v>5081</v>
      </c>
      <c r="C990">
        <v>723</v>
      </c>
      <c r="D990" t="s">
        <v>63</v>
      </c>
      <c r="E990" t="s">
        <v>64</v>
      </c>
      <c r="F990" t="s">
        <v>362</v>
      </c>
      <c r="G990" t="s">
        <v>363</v>
      </c>
      <c r="H990">
        <v>70</v>
      </c>
      <c r="I990">
        <v>1398</v>
      </c>
      <c r="J990" t="s">
        <v>5082</v>
      </c>
      <c r="K990" t="s">
        <v>5083</v>
      </c>
      <c r="L990" t="s">
        <v>5084</v>
      </c>
      <c r="M990" t="s">
        <v>302</v>
      </c>
      <c r="N990">
        <v>72304</v>
      </c>
      <c r="O990" t="s">
        <v>303</v>
      </c>
      <c r="Q990" t="s">
        <v>5079</v>
      </c>
      <c r="R990" t="s">
        <v>5085</v>
      </c>
      <c r="S990" t="s">
        <v>3384</v>
      </c>
      <c r="T990" s="6">
        <v>4200000000</v>
      </c>
      <c r="U990" s="45">
        <f>VLOOKUP(B990,realPrices!C:G,5,0)</f>
        <v>6626000000</v>
      </c>
      <c r="W990" t="str">
        <f t="shared" si="15"/>
        <v>H30 TU5 A1398</v>
      </c>
      <c r="X990">
        <f>VLOOKUP(W990,Sheet10!D:F,2,0)*10000000</f>
        <v>0</v>
      </c>
      <c r="Y990" t="s">
        <v>114</v>
      </c>
    </row>
    <row r="991" spans="1:25" x14ac:dyDescent="0.25">
      <c r="A991" t="s">
        <v>3521</v>
      </c>
      <c r="B991" t="s">
        <v>5086</v>
      </c>
      <c r="C991">
        <v>707</v>
      </c>
      <c r="D991" t="s">
        <v>77</v>
      </c>
      <c r="E991" t="s">
        <v>64</v>
      </c>
      <c r="F991" t="s">
        <v>2436</v>
      </c>
      <c r="H991">
        <v>26</v>
      </c>
      <c r="I991">
        <v>1401</v>
      </c>
      <c r="J991" t="s">
        <v>5087</v>
      </c>
      <c r="K991" t="s">
        <v>5088</v>
      </c>
      <c r="M991" t="s">
        <v>3450</v>
      </c>
      <c r="N991">
        <v>70702</v>
      </c>
      <c r="O991" t="s">
        <v>70</v>
      </c>
      <c r="Q991" t="s">
        <v>3451</v>
      </c>
      <c r="R991" t="s">
        <v>5089</v>
      </c>
      <c r="S991" t="s">
        <v>5090</v>
      </c>
      <c r="T991" s="6">
        <v>4200000000</v>
      </c>
      <c r="U991" s="45">
        <f>VLOOKUP(B991,realPrices!C:G,5,0)</f>
        <v>5367019999</v>
      </c>
      <c r="W991" t="str">
        <f t="shared" si="15"/>
        <v>DENA+EF7TC A1401</v>
      </c>
      <c r="X991">
        <f>VLOOKUP(W991,Sheet10!D:F,2,0)*10000000</f>
        <v>7250000000</v>
      </c>
      <c r="Y991" t="s">
        <v>74</v>
      </c>
    </row>
    <row r="992" spans="1:25" x14ac:dyDescent="0.25">
      <c r="A992" t="s">
        <v>3521</v>
      </c>
      <c r="B992" t="s">
        <v>5091</v>
      </c>
      <c r="C992">
        <v>707</v>
      </c>
      <c r="D992" t="s">
        <v>77</v>
      </c>
      <c r="E992" t="s">
        <v>64</v>
      </c>
      <c r="F992" t="s">
        <v>2696</v>
      </c>
      <c r="H992">
        <v>101</v>
      </c>
      <c r="I992">
        <v>1401</v>
      </c>
      <c r="J992" t="s">
        <v>5092</v>
      </c>
      <c r="K992" t="s">
        <v>5093</v>
      </c>
      <c r="M992" t="s">
        <v>3450</v>
      </c>
      <c r="N992">
        <v>70702</v>
      </c>
      <c r="O992" t="s">
        <v>70</v>
      </c>
      <c r="Q992" t="s">
        <v>3451</v>
      </c>
      <c r="R992" t="s">
        <v>5094</v>
      </c>
      <c r="S992" t="s">
        <v>5095</v>
      </c>
      <c r="T992" s="6">
        <v>4200000000</v>
      </c>
      <c r="U992" s="45">
        <f>VLOOKUP(B992,realPrices!C:G,5,0)</f>
        <v>5367129999</v>
      </c>
      <c r="W992" t="str">
        <f t="shared" si="15"/>
        <v>DENA+EF7TC A1401</v>
      </c>
      <c r="X992">
        <f>VLOOKUP(W992,Sheet10!D:F,2,0)*10000000</f>
        <v>7250000000</v>
      </c>
      <c r="Y992" t="s">
        <v>74</v>
      </c>
    </row>
    <row r="993" spans="1:25" x14ac:dyDescent="0.25">
      <c r="A993" t="s">
        <v>3647</v>
      </c>
      <c r="B993" t="s">
        <v>5096</v>
      </c>
      <c r="C993">
        <v>285</v>
      </c>
      <c r="D993" t="s">
        <v>240</v>
      </c>
      <c r="E993" t="s">
        <v>64</v>
      </c>
      <c r="F993" t="s">
        <v>3186</v>
      </c>
      <c r="H993">
        <v>1062</v>
      </c>
      <c r="I993">
        <v>1401</v>
      </c>
      <c r="J993" t="s">
        <v>5097</v>
      </c>
      <c r="K993" t="s">
        <v>5098</v>
      </c>
      <c r="M993" t="s">
        <v>198</v>
      </c>
      <c r="N993">
        <v>28520</v>
      </c>
      <c r="O993" t="s">
        <v>70</v>
      </c>
      <c r="Q993" t="s">
        <v>199</v>
      </c>
      <c r="R993" t="s">
        <v>5099</v>
      </c>
      <c r="S993" t="s">
        <v>5100</v>
      </c>
      <c r="T993" s="6">
        <v>4220000000</v>
      </c>
      <c r="U993" s="45">
        <f>VLOOKUP(B993,realPrices!C:G,5,0)</f>
        <v>4777557000</v>
      </c>
      <c r="W993" t="str">
        <f t="shared" si="15"/>
        <v>PARS TU51401</v>
      </c>
      <c r="X993">
        <f>VLOOKUP(W993,Sheet10!D:F,2,0)*10000000</f>
        <v>5250000000</v>
      </c>
      <c r="Y993" t="s">
        <v>114</v>
      </c>
    </row>
    <row r="994" spans="1:25" x14ac:dyDescent="0.25">
      <c r="A994" t="s">
        <v>5101</v>
      </c>
      <c r="B994" t="s">
        <v>5102</v>
      </c>
      <c r="C994">
        <v>285</v>
      </c>
      <c r="D994" t="s">
        <v>4327</v>
      </c>
      <c r="E994" t="s">
        <v>64</v>
      </c>
      <c r="F994" t="s">
        <v>420</v>
      </c>
      <c r="H994">
        <v>30</v>
      </c>
      <c r="I994">
        <v>1401</v>
      </c>
      <c r="J994" t="s">
        <v>5103</v>
      </c>
      <c r="K994" t="s">
        <v>5104</v>
      </c>
      <c r="M994" t="s">
        <v>198</v>
      </c>
      <c r="N994">
        <v>28520</v>
      </c>
      <c r="O994" t="s">
        <v>70</v>
      </c>
      <c r="Q994" t="s">
        <v>199</v>
      </c>
      <c r="R994" t="s">
        <v>5105</v>
      </c>
      <c r="S994" t="s">
        <v>4823</v>
      </c>
      <c r="T994" s="6">
        <v>4240000000</v>
      </c>
      <c r="U994" s="45">
        <f>VLOOKUP(B994,realPrices!C:G,5,0)</f>
        <v>4958530000</v>
      </c>
      <c r="W994" t="str">
        <f t="shared" si="15"/>
        <v>PARS TU51401</v>
      </c>
      <c r="X994">
        <f>VLOOKUP(W994,Sheet10!D:F,2,0)*10000000</f>
        <v>5250000000</v>
      </c>
      <c r="Y994" t="s">
        <v>114</v>
      </c>
    </row>
    <row r="995" spans="1:25" x14ac:dyDescent="0.25">
      <c r="A995" t="s">
        <v>191</v>
      </c>
      <c r="B995" t="s">
        <v>3585</v>
      </c>
      <c r="C995">
        <v>285</v>
      </c>
      <c r="D995" t="s">
        <v>63</v>
      </c>
      <c r="E995" t="s">
        <v>64</v>
      </c>
      <c r="F995" t="s">
        <v>420</v>
      </c>
      <c r="H995">
        <v>21</v>
      </c>
      <c r="I995">
        <v>1401</v>
      </c>
      <c r="J995" t="s">
        <v>3586</v>
      </c>
      <c r="K995" t="s">
        <v>3587</v>
      </c>
      <c r="M995" t="s">
        <v>198</v>
      </c>
      <c r="N995">
        <v>28520</v>
      </c>
      <c r="O995" t="s">
        <v>70</v>
      </c>
      <c r="Q995" t="s">
        <v>199</v>
      </c>
      <c r="R995" t="s">
        <v>3588</v>
      </c>
      <c r="S995" t="s">
        <v>5106</v>
      </c>
      <c r="T995" s="6">
        <v>4240000000</v>
      </c>
      <c r="U995" s="45">
        <f>VLOOKUP(B995,realPrices!C:G,5,0)</f>
        <v>4123129129</v>
      </c>
      <c r="W995" t="str">
        <f t="shared" si="15"/>
        <v>PARS TU51401</v>
      </c>
      <c r="X995">
        <f>VLOOKUP(W995,Sheet10!D:F,2,0)*10000000</f>
        <v>5250000000</v>
      </c>
      <c r="Y995" t="s">
        <v>114</v>
      </c>
    </row>
    <row r="996" spans="1:25" x14ac:dyDescent="0.25">
      <c r="A996" t="s">
        <v>191</v>
      </c>
      <c r="B996" t="s">
        <v>5107</v>
      </c>
      <c r="C996">
        <v>285</v>
      </c>
      <c r="D996" t="s">
        <v>63</v>
      </c>
      <c r="E996" t="s">
        <v>64</v>
      </c>
      <c r="F996" t="s">
        <v>420</v>
      </c>
      <c r="H996">
        <v>24</v>
      </c>
      <c r="I996">
        <v>1401</v>
      </c>
      <c r="J996" t="s">
        <v>5108</v>
      </c>
      <c r="K996" t="s">
        <v>5109</v>
      </c>
      <c r="M996" t="s">
        <v>198</v>
      </c>
      <c r="N996">
        <v>28520</v>
      </c>
      <c r="O996" t="s">
        <v>70</v>
      </c>
      <c r="Q996" t="s">
        <v>199</v>
      </c>
      <c r="R996" t="s">
        <v>5110</v>
      </c>
      <c r="S996" t="s">
        <v>2871</v>
      </c>
      <c r="T996" s="6">
        <v>4250000000</v>
      </c>
      <c r="U996" s="45">
        <f>VLOOKUP(B996,realPrices!C:G,5,0)</f>
        <v>4759999999</v>
      </c>
      <c r="W996" t="str">
        <f t="shared" si="15"/>
        <v>PARS TU51401</v>
      </c>
      <c r="X996">
        <f>VLOOKUP(W996,Sheet10!D:F,2,0)*10000000</f>
        <v>5250000000</v>
      </c>
      <c r="Y996" t="s">
        <v>114</v>
      </c>
    </row>
    <row r="997" spans="1:25" x14ac:dyDescent="0.25">
      <c r="A997" t="s">
        <v>3478</v>
      </c>
      <c r="B997" t="s">
        <v>5111</v>
      </c>
      <c r="C997">
        <v>707</v>
      </c>
      <c r="D997" t="s">
        <v>259</v>
      </c>
      <c r="E997" t="s">
        <v>64</v>
      </c>
      <c r="F997" t="s">
        <v>205</v>
      </c>
      <c r="G997" t="s">
        <v>3523</v>
      </c>
      <c r="H997">
        <v>41452</v>
      </c>
      <c r="I997">
        <v>1399</v>
      </c>
      <c r="J997" t="s">
        <v>5112</v>
      </c>
      <c r="K997" t="s">
        <v>5113</v>
      </c>
      <c r="L997" t="s">
        <v>5114</v>
      </c>
      <c r="M997" t="s">
        <v>3450</v>
      </c>
      <c r="N997">
        <v>70702</v>
      </c>
      <c r="O997" t="s">
        <v>70</v>
      </c>
      <c r="Q997" t="s">
        <v>3451</v>
      </c>
      <c r="R997" t="s">
        <v>5115</v>
      </c>
      <c r="S997" t="s">
        <v>2579</v>
      </c>
      <c r="T997" s="6">
        <v>4250000000</v>
      </c>
      <c r="U997" s="45">
        <f>VLOOKUP(B997,realPrices!C:G,5,0)</f>
        <v>4767214000</v>
      </c>
      <c r="W997" t="str">
        <f t="shared" si="15"/>
        <v>DENA+EF7TC A1399</v>
      </c>
      <c r="X997">
        <f>VLOOKUP(W997,Sheet10!D:F,2,0)*10000000</f>
        <v>6900000000</v>
      </c>
      <c r="Y997" t="s">
        <v>114</v>
      </c>
    </row>
    <row r="998" spans="1:25" x14ac:dyDescent="0.25">
      <c r="A998" t="s">
        <v>3521</v>
      </c>
      <c r="B998" t="s">
        <v>5116</v>
      </c>
      <c r="C998">
        <v>707</v>
      </c>
      <c r="D998" t="s">
        <v>77</v>
      </c>
      <c r="E998" t="s">
        <v>64</v>
      </c>
      <c r="F998" t="s">
        <v>205</v>
      </c>
      <c r="G998" t="s">
        <v>3523</v>
      </c>
      <c r="H998">
        <v>39806</v>
      </c>
      <c r="I998">
        <v>1399</v>
      </c>
      <c r="J998" t="s">
        <v>5117</v>
      </c>
      <c r="K998" t="s">
        <v>5118</v>
      </c>
      <c r="L998" t="s">
        <v>5119</v>
      </c>
      <c r="M998" t="s">
        <v>3450</v>
      </c>
      <c r="N998">
        <v>70702</v>
      </c>
      <c r="O998" t="s">
        <v>70</v>
      </c>
      <c r="Q998" t="s">
        <v>3451</v>
      </c>
      <c r="R998" t="s">
        <v>5120</v>
      </c>
      <c r="S998" t="s">
        <v>2567</v>
      </c>
      <c r="T998" s="6">
        <v>4250000000</v>
      </c>
      <c r="U998" s="45">
        <f>VLOOKUP(B998,realPrices!C:G,5,0)</f>
        <v>5050000999</v>
      </c>
      <c r="W998" t="str">
        <f t="shared" si="15"/>
        <v>DENA+EF7TC A1399</v>
      </c>
      <c r="X998">
        <f>VLOOKUP(W998,Sheet10!D:F,2,0)*10000000</f>
        <v>6900000000</v>
      </c>
      <c r="Y998" t="s">
        <v>114</v>
      </c>
    </row>
    <row r="999" spans="1:25" x14ac:dyDescent="0.25">
      <c r="A999" t="s">
        <v>3521</v>
      </c>
      <c r="B999" t="s">
        <v>5121</v>
      </c>
      <c r="C999">
        <v>707</v>
      </c>
      <c r="D999" t="s">
        <v>77</v>
      </c>
      <c r="E999" t="s">
        <v>64</v>
      </c>
      <c r="F999" t="s">
        <v>205</v>
      </c>
      <c r="G999" t="s">
        <v>206</v>
      </c>
      <c r="H999">
        <v>59210</v>
      </c>
      <c r="I999">
        <v>1399</v>
      </c>
      <c r="J999" t="s">
        <v>5122</v>
      </c>
      <c r="K999" t="s">
        <v>5123</v>
      </c>
      <c r="L999" t="s">
        <v>5124</v>
      </c>
      <c r="M999" t="s">
        <v>3450</v>
      </c>
      <c r="N999">
        <v>70702</v>
      </c>
      <c r="O999" t="s">
        <v>70</v>
      </c>
      <c r="Q999" t="s">
        <v>3451</v>
      </c>
      <c r="R999" t="s">
        <v>5125</v>
      </c>
      <c r="S999" t="s">
        <v>2830</v>
      </c>
      <c r="T999" s="6">
        <v>4250000000</v>
      </c>
      <c r="U999" s="45">
        <f>VLOOKUP(B999,realPrices!C:G,5,0)</f>
        <v>4776688445</v>
      </c>
      <c r="W999" t="str">
        <f t="shared" si="15"/>
        <v>DENA+EF7TC A1399</v>
      </c>
      <c r="X999">
        <f>VLOOKUP(W999,Sheet10!D:F,2,0)*10000000</f>
        <v>6900000000</v>
      </c>
      <c r="Y999" t="s">
        <v>114</v>
      </c>
    </row>
    <row r="1000" spans="1:25" x14ac:dyDescent="0.25">
      <c r="A1000" t="s">
        <v>5126</v>
      </c>
      <c r="B1000" t="s">
        <v>5127</v>
      </c>
      <c r="C1000">
        <v>707</v>
      </c>
      <c r="D1000" t="s">
        <v>2461</v>
      </c>
      <c r="E1000" t="s">
        <v>64</v>
      </c>
      <c r="F1000" t="s">
        <v>205</v>
      </c>
      <c r="G1000" t="s">
        <v>206</v>
      </c>
      <c r="H1000">
        <v>73894</v>
      </c>
      <c r="I1000">
        <v>1399</v>
      </c>
      <c r="J1000" t="s">
        <v>5128</v>
      </c>
      <c r="K1000" t="s">
        <v>5129</v>
      </c>
      <c r="L1000" t="s">
        <v>5130</v>
      </c>
      <c r="M1000" t="s">
        <v>3450</v>
      </c>
      <c r="N1000">
        <v>70702</v>
      </c>
      <c r="O1000" t="s">
        <v>70</v>
      </c>
      <c r="Q1000" t="s">
        <v>3451</v>
      </c>
      <c r="R1000" t="s">
        <v>5131</v>
      </c>
      <c r="S1000" t="s">
        <v>2700</v>
      </c>
      <c r="T1000" s="6">
        <v>4250000000</v>
      </c>
      <c r="U1000" s="45">
        <f>VLOOKUP(B1000,realPrices!C:G,5,0)</f>
        <v>5000000008</v>
      </c>
      <c r="W1000" t="str">
        <f t="shared" si="15"/>
        <v>DENA+EF7TC A1399</v>
      </c>
      <c r="X1000">
        <f>VLOOKUP(W1000,Sheet10!D:F,2,0)*10000000</f>
        <v>6900000000</v>
      </c>
      <c r="Y1000" t="s">
        <v>114</v>
      </c>
    </row>
    <row r="1001" spans="1:25" x14ac:dyDescent="0.25">
      <c r="A1001" t="s">
        <v>3478</v>
      </c>
      <c r="B1001" t="s">
        <v>5132</v>
      </c>
      <c r="C1001">
        <v>707</v>
      </c>
      <c r="D1001" t="s">
        <v>259</v>
      </c>
      <c r="E1001" t="s">
        <v>64</v>
      </c>
      <c r="F1001" t="s">
        <v>205</v>
      </c>
      <c r="G1001" t="s">
        <v>3523</v>
      </c>
      <c r="H1001">
        <v>17749</v>
      </c>
      <c r="I1001">
        <v>1399</v>
      </c>
      <c r="J1001" t="s">
        <v>5133</v>
      </c>
      <c r="K1001" t="s">
        <v>5134</v>
      </c>
      <c r="L1001" t="s">
        <v>5135</v>
      </c>
      <c r="M1001" t="s">
        <v>3450</v>
      </c>
      <c r="N1001">
        <v>70702</v>
      </c>
      <c r="O1001" t="s">
        <v>70</v>
      </c>
      <c r="Q1001" t="s">
        <v>3451</v>
      </c>
      <c r="R1001" t="s">
        <v>5136</v>
      </c>
      <c r="S1001" t="s">
        <v>2751</v>
      </c>
      <c r="T1001" s="6">
        <v>4250000000</v>
      </c>
      <c r="U1001" s="45">
        <f>VLOOKUP(B1001,realPrices!C:G,5,0)</f>
        <v>5762999999</v>
      </c>
      <c r="W1001" t="str">
        <f t="shared" si="15"/>
        <v>DENA+EF7TC A1399</v>
      </c>
      <c r="X1001">
        <f>VLOOKUP(W1001,Sheet10!D:F,2,0)*10000000</f>
        <v>6900000000</v>
      </c>
      <c r="Y1001" t="s">
        <v>114</v>
      </c>
    </row>
    <row r="1002" spans="1:25" x14ac:dyDescent="0.25">
      <c r="A1002" t="s">
        <v>3250</v>
      </c>
      <c r="B1002" t="s">
        <v>5137</v>
      </c>
      <c r="C1002">
        <v>285</v>
      </c>
      <c r="D1002" t="s">
        <v>77</v>
      </c>
      <c r="E1002" t="s">
        <v>64</v>
      </c>
      <c r="F1002" t="s">
        <v>491</v>
      </c>
      <c r="H1002">
        <v>31</v>
      </c>
      <c r="I1002">
        <v>1401</v>
      </c>
      <c r="J1002" t="s">
        <v>5138</v>
      </c>
      <c r="K1002" t="s">
        <v>5139</v>
      </c>
      <c r="M1002" t="s">
        <v>198</v>
      </c>
      <c r="N1002">
        <v>28520</v>
      </c>
      <c r="O1002" t="s">
        <v>70</v>
      </c>
      <c r="Q1002" t="s">
        <v>199</v>
      </c>
      <c r="R1002" t="s">
        <v>5140</v>
      </c>
      <c r="S1002" t="s">
        <v>5141</v>
      </c>
      <c r="T1002" s="6">
        <v>4260000000</v>
      </c>
      <c r="U1002" s="45">
        <f>VLOOKUP(B1002,realPrices!C:G,5,0)</f>
        <v>4743500000</v>
      </c>
      <c r="W1002" t="str">
        <f t="shared" si="15"/>
        <v>PARS TU51401</v>
      </c>
      <c r="X1002">
        <f>VLOOKUP(W1002,Sheet10!D:F,2,0)*10000000</f>
        <v>5250000000</v>
      </c>
      <c r="Y1002" t="s">
        <v>114</v>
      </c>
    </row>
    <row r="1003" spans="1:25" x14ac:dyDescent="0.25">
      <c r="A1003" t="s">
        <v>3250</v>
      </c>
      <c r="B1003" t="s">
        <v>5142</v>
      </c>
      <c r="C1003">
        <v>285</v>
      </c>
      <c r="D1003" t="s">
        <v>77</v>
      </c>
      <c r="E1003" t="s">
        <v>64</v>
      </c>
      <c r="F1003" t="s">
        <v>420</v>
      </c>
      <c r="H1003">
        <v>37</v>
      </c>
      <c r="I1003">
        <v>1401</v>
      </c>
      <c r="J1003" t="s">
        <v>5143</v>
      </c>
      <c r="K1003" t="s">
        <v>5144</v>
      </c>
      <c r="M1003" t="s">
        <v>198</v>
      </c>
      <c r="N1003">
        <v>28520</v>
      </c>
      <c r="O1003" t="s">
        <v>70</v>
      </c>
      <c r="Q1003" t="s">
        <v>199</v>
      </c>
      <c r="R1003" t="s">
        <v>5145</v>
      </c>
      <c r="S1003" t="s">
        <v>5146</v>
      </c>
      <c r="T1003" s="6">
        <v>4280000000</v>
      </c>
      <c r="U1003" s="45">
        <f>VLOOKUP(B1003,realPrices!C:G,5,0)</f>
        <v>5030009990</v>
      </c>
      <c r="W1003" t="str">
        <f t="shared" si="15"/>
        <v>PARS TU51401</v>
      </c>
      <c r="X1003">
        <f>VLOOKUP(W1003,Sheet10!D:F,2,0)*10000000</f>
        <v>5250000000</v>
      </c>
      <c r="Y1003" t="s">
        <v>114</v>
      </c>
    </row>
    <row r="1004" spans="1:25" x14ac:dyDescent="0.25">
      <c r="A1004" t="s">
        <v>3446</v>
      </c>
      <c r="B1004" t="s">
        <v>5147</v>
      </c>
      <c r="C1004">
        <v>707</v>
      </c>
      <c r="D1004" t="s">
        <v>63</v>
      </c>
      <c r="E1004" t="s">
        <v>64</v>
      </c>
      <c r="F1004" t="s">
        <v>205</v>
      </c>
      <c r="G1004" t="s">
        <v>206</v>
      </c>
      <c r="H1004">
        <v>3632</v>
      </c>
      <c r="I1004">
        <v>1399</v>
      </c>
      <c r="J1004" t="s">
        <v>5148</v>
      </c>
      <c r="K1004" t="s">
        <v>5149</v>
      </c>
      <c r="L1004" t="s">
        <v>5150</v>
      </c>
      <c r="M1004" t="s">
        <v>3450</v>
      </c>
      <c r="N1004">
        <v>70702</v>
      </c>
      <c r="O1004" t="s">
        <v>70</v>
      </c>
      <c r="Q1004" t="s">
        <v>3451</v>
      </c>
      <c r="R1004" t="s">
        <v>5151</v>
      </c>
      <c r="S1004" t="s">
        <v>2908</v>
      </c>
      <c r="T1004" s="6">
        <v>4300000000</v>
      </c>
      <c r="U1004" s="45">
        <f>VLOOKUP(B1004,realPrices!C:G,5,0)</f>
        <v>6012345678</v>
      </c>
      <c r="W1004" t="str">
        <f t="shared" si="15"/>
        <v>DENA+EF7TC A1399</v>
      </c>
      <c r="X1004">
        <f>VLOOKUP(W1004,Sheet10!D:F,2,0)*10000000</f>
        <v>6900000000</v>
      </c>
      <c r="Y1004" t="s">
        <v>114</v>
      </c>
    </row>
    <row r="1005" spans="1:25" x14ac:dyDescent="0.25">
      <c r="A1005" t="s">
        <v>3478</v>
      </c>
      <c r="B1005" t="s">
        <v>5152</v>
      </c>
      <c r="C1005">
        <v>707</v>
      </c>
      <c r="D1005" t="s">
        <v>259</v>
      </c>
      <c r="E1005" t="s">
        <v>64</v>
      </c>
      <c r="F1005" t="s">
        <v>205</v>
      </c>
      <c r="G1005" t="s">
        <v>206</v>
      </c>
      <c r="H1005">
        <v>28250</v>
      </c>
      <c r="I1005">
        <v>1399</v>
      </c>
      <c r="J1005" t="s">
        <v>5153</v>
      </c>
      <c r="K1005" t="s">
        <v>5154</v>
      </c>
      <c r="L1005" t="s">
        <v>5155</v>
      </c>
      <c r="M1005" t="s">
        <v>3450</v>
      </c>
      <c r="N1005">
        <v>70702</v>
      </c>
      <c r="O1005" t="s">
        <v>70</v>
      </c>
      <c r="Q1005" t="s">
        <v>3451</v>
      </c>
      <c r="R1005" t="s">
        <v>5156</v>
      </c>
      <c r="S1005" t="s">
        <v>2891</v>
      </c>
      <c r="T1005" s="6">
        <v>4300000000</v>
      </c>
      <c r="U1005" s="45">
        <f>VLOOKUP(B1005,realPrices!C:G,5,0)</f>
        <v>5449999999</v>
      </c>
      <c r="W1005" t="str">
        <f t="shared" si="15"/>
        <v>DENA+EF7TC A1399</v>
      </c>
      <c r="X1005">
        <f>VLOOKUP(W1005,Sheet10!D:F,2,0)*10000000</f>
        <v>6900000000</v>
      </c>
      <c r="Y1005" t="s">
        <v>114</v>
      </c>
    </row>
    <row r="1006" spans="1:25" x14ac:dyDescent="0.25">
      <c r="A1006" t="s">
        <v>3521</v>
      </c>
      <c r="B1006" t="s">
        <v>5157</v>
      </c>
      <c r="C1006">
        <v>707</v>
      </c>
      <c r="D1006" t="s">
        <v>77</v>
      </c>
      <c r="E1006" t="s">
        <v>64</v>
      </c>
      <c r="F1006" t="s">
        <v>205</v>
      </c>
      <c r="G1006" t="s">
        <v>206</v>
      </c>
      <c r="H1006">
        <v>55745</v>
      </c>
      <c r="I1006">
        <v>1399</v>
      </c>
      <c r="J1006" t="s">
        <v>5158</v>
      </c>
      <c r="K1006" t="s">
        <v>5159</v>
      </c>
      <c r="L1006" t="s">
        <v>5160</v>
      </c>
      <c r="M1006" t="s">
        <v>3450</v>
      </c>
      <c r="N1006">
        <v>70702</v>
      </c>
      <c r="O1006" t="s">
        <v>70</v>
      </c>
      <c r="Q1006" t="s">
        <v>3451</v>
      </c>
      <c r="R1006" t="s">
        <v>5161</v>
      </c>
      <c r="S1006" t="s">
        <v>2775</v>
      </c>
      <c r="T1006" s="6">
        <v>4300000000</v>
      </c>
      <c r="U1006" s="45">
        <f>VLOOKUP(B1006,realPrices!C:G,5,0)</f>
        <v>5236999999</v>
      </c>
      <c r="W1006" t="str">
        <f t="shared" si="15"/>
        <v>DENA+EF7TC A1399</v>
      </c>
      <c r="X1006">
        <f>VLOOKUP(W1006,Sheet10!D:F,2,0)*10000000</f>
        <v>6900000000</v>
      </c>
      <c r="Y1006" t="s">
        <v>114</v>
      </c>
    </row>
    <row r="1007" spans="1:25" x14ac:dyDescent="0.25">
      <c r="A1007" t="s">
        <v>3521</v>
      </c>
      <c r="B1007" t="s">
        <v>5162</v>
      </c>
      <c r="C1007">
        <v>707</v>
      </c>
      <c r="D1007" t="s">
        <v>77</v>
      </c>
      <c r="E1007" t="s">
        <v>64</v>
      </c>
      <c r="F1007" t="s">
        <v>205</v>
      </c>
      <c r="G1007" t="s">
        <v>3523</v>
      </c>
      <c r="H1007">
        <v>52770</v>
      </c>
      <c r="I1007">
        <v>1399</v>
      </c>
      <c r="J1007" t="s">
        <v>5163</v>
      </c>
      <c r="K1007" t="s">
        <v>5164</v>
      </c>
      <c r="L1007" t="s">
        <v>5165</v>
      </c>
      <c r="M1007" t="s">
        <v>3450</v>
      </c>
      <c r="N1007">
        <v>70702</v>
      </c>
      <c r="O1007" t="s">
        <v>70</v>
      </c>
      <c r="Q1007" t="s">
        <v>3451</v>
      </c>
      <c r="R1007" t="s">
        <v>5166</v>
      </c>
      <c r="S1007" t="s">
        <v>2968</v>
      </c>
      <c r="T1007" s="6">
        <v>4350000000</v>
      </c>
      <c r="U1007" s="45">
        <f>VLOOKUP(B1007,realPrices!C:G,5,0)</f>
        <v>5462566666</v>
      </c>
      <c r="W1007" t="str">
        <f t="shared" si="15"/>
        <v>DENA+EF7TC A1399</v>
      </c>
      <c r="X1007">
        <f>VLOOKUP(W1007,Sheet10!D:F,2,0)*10000000</f>
        <v>6900000000</v>
      </c>
      <c r="Y1007" t="s">
        <v>114</v>
      </c>
    </row>
    <row r="1008" spans="1:25" x14ac:dyDescent="0.25">
      <c r="A1008" t="s">
        <v>3521</v>
      </c>
      <c r="B1008" t="s">
        <v>5167</v>
      </c>
      <c r="C1008">
        <v>707</v>
      </c>
      <c r="D1008" t="s">
        <v>77</v>
      </c>
      <c r="E1008" t="s">
        <v>64</v>
      </c>
      <c r="F1008" t="s">
        <v>205</v>
      </c>
      <c r="G1008" t="s">
        <v>206</v>
      </c>
      <c r="H1008">
        <v>16444</v>
      </c>
      <c r="I1008">
        <v>1399</v>
      </c>
      <c r="J1008" t="s">
        <v>5168</v>
      </c>
      <c r="K1008" t="s">
        <v>5169</v>
      </c>
      <c r="L1008" t="s">
        <v>5170</v>
      </c>
      <c r="M1008" t="s">
        <v>3450</v>
      </c>
      <c r="N1008">
        <v>70702</v>
      </c>
      <c r="O1008" t="s">
        <v>70</v>
      </c>
      <c r="Q1008" t="s">
        <v>3451</v>
      </c>
      <c r="R1008" t="s">
        <v>5171</v>
      </c>
      <c r="S1008" t="s">
        <v>2770</v>
      </c>
      <c r="T1008" s="6">
        <v>4350000000</v>
      </c>
      <c r="U1008" s="45">
        <f>VLOOKUP(B1008,realPrices!C:G,5,0)</f>
        <v>5517777777</v>
      </c>
      <c r="W1008" t="str">
        <f t="shared" si="15"/>
        <v>DENA+EF7TC A1399</v>
      </c>
      <c r="X1008">
        <f>VLOOKUP(W1008,Sheet10!D:F,2,0)*10000000</f>
        <v>6900000000</v>
      </c>
      <c r="Y1008" t="s">
        <v>114</v>
      </c>
    </row>
    <row r="1009" spans="1:25" x14ac:dyDescent="0.25">
      <c r="A1009" t="s">
        <v>3579</v>
      </c>
      <c r="B1009" t="s">
        <v>3580</v>
      </c>
      <c r="C1009">
        <v>600</v>
      </c>
      <c r="D1009" t="s">
        <v>77</v>
      </c>
      <c r="E1009" t="s">
        <v>64</v>
      </c>
      <c r="F1009" t="s">
        <v>420</v>
      </c>
      <c r="H1009">
        <v>21</v>
      </c>
      <c r="I1009">
        <v>1401</v>
      </c>
      <c r="J1009" t="s">
        <v>3581</v>
      </c>
      <c r="K1009" t="s">
        <v>3582</v>
      </c>
      <c r="M1009" t="s">
        <v>3246</v>
      </c>
      <c r="N1009">
        <v>60006</v>
      </c>
      <c r="O1009" t="s">
        <v>303</v>
      </c>
      <c r="Q1009" t="s">
        <v>3415</v>
      </c>
      <c r="R1009" t="s">
        <v>3583</v>
      </c>
      <c r="S1009" t="s">
        <v>4794</v>
      </c>
      <c r="T1009" s="6">
        <v>4400000000</v>
      </c>
      <c r="U1009" s="45">
        <f>VLOOKUP(B1009,realPrices!C:G,5,0)</f>
        <v>4160000000</v>
      </c>
      <c r="W1009" t="str">
        <f t="shared" si="15"/>
        <v>207i-MT1401</v>
      </c>
      <c r="X1009">
        <f>VLOOKUP(W1009,Sheet10!D:F,2,0)*10000000</f>
        <v>5800000000</v>
      </c>
      <c r="Y1009" t="s">
        <v>114</v>
      </c>
    </row>
    <row r="1010" spans="1:25" x14ac:dyDescent="0.25">
      <c r="A1010" t="s">
        <v>404</v>
      </c>
      <c r="B1010" t="s">
        <v>5172</v>
      </c>
      <c r="C1010">
        <v>701</v>
      </c>
      <c r="D1010" t="s">
        <v>63</v>
      </c>
      <c r="E1010" t="s">
        <v>64</v>
      </c>
      <c r="F1010" t="s">
        <v>4256</v>
      </c>
      <c r="H1010">
        <v>20</v>
      </c>
      <c r="I1010">
        <v>1401</v>
      </c>
      <c r="J1010" t="s">
        <v>5173</v>
      </c>
      <c r="K1010" t="s">
        <v>5174</v>
      </c>
      <c r="M1010" t="s">
        <v>408</v>
      </c>
      <c r="N1010">
        <v>70117</v>
      </c>
      <c r="O1010" t="s">
        <v>70</v>
      </c>
      <c r="Q1010" t="s">
        <v>409</v>
      </c>
      <c r="R1010" t="s">
        <v>5175</v>
      </c>
      <c r="S1010" t="s">
        <v>4571</v>
      </c>
      <c r="T1010" s="6">
        <v>4450000000</v>
      </c>
      <c r="U1010" s="45">
        <f>VLOOKUP(B1010,realPrices!C:G,5,0)</f>
        <v>5250000000</v>
      </c>
      <c r="W1010" t="str">
        <f t="shared" si="15"/>
        <v>DENA EF71401</v>
      </c>
      <c r="X1010" t="e">
        <f>VLOOKUP(W1010,Sheet10!D:F,2,0)*10000000</f>
        <v>#N/A</v>
      </c>
      <c r="Y1010" t="s">
        <v>114</v>
      </c>
    </row>
    <row r="1011" spans="1:25" x14ac:dyDescent="0.25">
      <c r="A1011" t="s">
        <v>404</v>
      </c>
      <c r="B1011" t="s">
        <v>5176</v>
      </c>
      <c r="C1011">
        <v>701</v>
      </c>
      <c r="D1011" t="s">
        <v>63</v>
      </c>
      <c r="E1011" t="s">
        <v>64</v>
      </c>
      <c r="F1011" t="s">
        <v>4256</v>
      </c>
      <c r="H1011">
        <v>26</v>
      </c>
      <c r="I1011">
        <v>1401</v>
      </c>
      <c r="J1011" t="s">
        <v>5177</v>
      </c>
      <c r="K1011" t="s">
        <v>5178</v>
      </c>
      <c r="M1011" t="s">
        <v>408</v>
      </c>
      <c r="N1011">
        <v>70117</v>
      </c>
      <c r="O1011" t="s">
        <v>70</v>
      </c>
      <c r="Q1011" t="s">
        <v>409</v>
      </c>
      <c r="R1011" t="s">
        <v>5179</v>
      </c>
      <c r="S1011" t="s">
        <v>4877</v>
      </c>
      <c r="T1011" s="6">
        <v>4500000000</v>
      </c>
      <c r="U1011" s="45">
        <f>VLOOKUP(B1011,realPrices!C:G,5,0)</f>
        <v>5366666666</v>
      </c>
      <c r="W1011" t="str">
        <f t="shared" si="15"/>
        <v>DENA EF71401</v>
      </c>
      <c r="X1011" t="e">
        <f>VLOOKUP(W1011,Sheet10!D:F,2,0)*10000000</f>
        <v>#N/A</v>
      </c>
      <c r="Y1011" t="s">
        <v>114</v>
      </c>
    </row>
    <row r="1012" spans="1:25" x14ac:dyDescent="0.25">
      <c r="A1012" t="s">
        <v>404</v>
      </c>
      <c r="B1012" t="s">
        <v>5180</v>
      </c>
      <c r="C1012">
        <v>701</v>
      </c>
      <c r="D1012" t="s">
        <v>63</v>
      </c>
      <c r="E1012" t="s">
        <v>64</v>
      </c>
      <c r="F1012" t="s">
        <v>4256</v>
      </c>
      <c r="H1012">
        <v>51</v>
      </c>
      <c r="I1012">
        <v>1401</v>
      </c>
      <c r="J1012" t="s">
        <v>5181</v>
      </c>
      <c r="K1012" t="s">
        <v>5182</v>
      </c>
      <c r="M1012" t="s">
        <v>408</v>
      </c>
      <c r="N1012">
        <v>70117</v>
      </c>
      <c r="O1012" t="s">
        <v>70</v>
      </c>
      <c r="Q1012" t="s">
        <v>409</v>
      </c>
      <c r="R1012" t="s">
        <v>5183</v>
      </c>
      <c r="S1012" t="s">
        <v>4828</v>
      </c>
      <c r="T1012" s="6">
        <v>4500000000</v>
      </c>
      <c r="U1012" s="45">
        <f>VLOOKUP(B1012,realPrices!C:G,5,0)</f>
        <v>5150000000</v>
      </c>
      <c r="W1012" t="str">
        <f t="shared" si="15"/>
        <v>DENA EF71401</v>
      </c>
      <c r="X1012" t="e">
        <f>VLOOKUP(W1012,Sheet10!D:F,2,0)*10000000</f>
        <v>#N/A</v>
      </c>
      <c r="Y1012" t="s">
        <v>114</v>
      </c>
    </row>
    <row r="1013" spans="1:25" x14ac:dyDescent="0.25">
      <c r="A1013" t="s">
        <v>404</v>
      </c>
      <c r="B1013" t="s">
        <v>5184</v>
      </c>
      <c r="C1013">
        <v>701</v>
      </c>
      <c r="D1013" t="s">
        <v>63</v>
      </c>
      <c r="E1013" t="s">
        <v>64</v>
      </c>
      <c r="F1013" t="s">
        <v>4256</v>
      </c>
      <c r="H1013">
        <v>18</v>
      </c>
      <c r="I1013">
        <v>1401</v>
      </c>
      <c r="J1013" t="s">
        <v>5185</v>
      </c>
      <c r="K1013" t="s">
        <v>5186</v>
      </c>
      <c r="M1013" t="s">
        <v>408</v>
      </c>
      <c r="N1013">
        <v>70117</v>
      </c>
      <c r="O1013" t="s">
        <v>70</v>
      </c>
      <c r="Q1013" t="s">
        <v>409</v>
      </c>
      <c r="R1013" t="s">
        <v>5187</v>
      </c>
      <c r="S1013" t="s">
        <v>4854</v>
      </c>
      <c r="T1013" s="6">
        <v>4500000000</v>
      </c>
      <c r="U1013" s="45">
        <f>VLOOKUP(B1013,realPrices!C:G,5,0)</f>
        <v>5156758000</v>
      </c>
      <c r="W1013" t="str">
        <f t="shared" si="15"/>
        <v>DENA EF71401</v>
      </c>
      <c r="X1013" t="e">
        <f>VLOOKUP(W1013,Sheet10!D:F,2,0)*10000000</f>
        <v>#N/A</v>
      </c>
      <c r="Y1013" t="s">
        <v>114</v>
      </c>
    </row>
    <row r="1014" spans="1:25" x14ac:dyDescent="0.25">
      <c r="A1014" t="s">
        <v>5188</v>
      </c>
      <c r="B1014" t="s">
        <v>5189</v>
      </c>
      <c r="C1014">
        <v>323</v>
      </c>
      <c r="D1014" t="s">
        <v>77</v>
      </c>
      <c r="E1014" t="s">
        <v>64</v>
      </c>
      <c r="F1014" t="s">
        <v>420</v>
      </c>
      <c r="H1014">
        <v>18</v>
      </c>
      <c r="I1014">
        <v>1400</v>
      </c>
      <c r="J1014" t="s">
        <v>5190</v>
      </c>
      <c r="K1014" t="s">
        <v>5191</v>
      </c>
      <c r="M1014" t="s">
        <v>5192</v>
      </c>
      <c r="N1014">
        <v>32301</v>
      </c>
      <c r="O1014" t="s">
        <v>70</v>
      </c>
      <c r="Q1014" t="s">
        <v>5193</v>
      </c>
      <c r="R1014" t="s">
        <v>5194</v>
      </c>
      <c r="S1014" t="s">
        <v>4461</v>
      </c>
      <c r="T1014" s="6">
        <v>4500000000</v>
      </c>
      <c r="U1014" s="45">
        <f>VLOOKUP(B1014,realPrices!C:G,5,0)</f>
        <v>4719999999</v>
      </c>
      <c r="W1014" t="str">
        <f t="shared" si="15"/>
        <v>TARA TU5PA1400</v>
      </c>
      <c r="X1014">
        <f>VLOOKUP(W1014,Sheet10!D:F,2,0)*10000000</f>
        <v>7200000000</v>
      </c>
      <c r="Y1014" t="s">
        <v>74</v>
      </c>
    </row>
    <row r="1015" spans="1:25" x14ac:dyDescent="0.25">
      <c r="A1015" t="s">
        <v>5195</v>
      </c>
      <c r="B1015" t="s">
        <v>5196</v>
      </c>
      <c r="C1015">
        <v>323</v>
      </c>
      <c r="D1015" t="s">
        <v>5197</v>
      </c>
      <c r="E1015" t="s">
        <v>64</v>
      </c>
      <c r="F1015" t="s">
        <v>4256</v>
      </c>
      <c r="H1015">
        <v>111</v>
      </c>
      <c r="I1015">
        <v>1400</v>
      </c>
      <c r="J1015" t="s">
        <v>5198</v>
      </c>
      <c r="K1015" t="s">
        <v>5199</v>
      </c>
      <c r="M1015" t="s">
        <v>5192</v>
      </c>
      <c r="N1015">
        <v>32301</v>
      </c>
      <c r="O1015" t="s">
        <v>70</v>
      </c>
      <c r="Q1015" t="s">
        <v>5193</v>
      </c>
      <c r="R1015" t="s">
        <v>5200</v>
      </c>
      <c r="S1015" t="s">
        <v>4381</v>
      </c>
      <c r="T1015" s="6">
        <v>4600000000</v>
      </c>
      <c r="U1015" s="45">
        <f>VLOOKUP(B1015,realPrices!C:G,5,0)</f>
        <v>4999999999</v>
      </c>
      <c r="W1015" t="str">
        <f t="shared" si="15"/>
        <v>TARA TU5PA1400</v>
      </c>
      <c r="X1015">
        <f>VLOOKUP(W1015,Sheet10!D:F,2,0)*10000000</f>
        <v>7200000000</v>
      </c>
      <c r="Y1015" t="s">
        <v>74</v>
      </c>
    </row>
    <row r="1016" spans="1:25" x14ac:dyDescent="0.25">
      <c r="A1016" t="s">
        <v>5201</v>
      </c>
      <c r="B1016" t="s">
        <v>5202</v>
      </c>
      <c r="C1016">
        <v>323</v>
      </c>
      <c r="D1016" t="s">
        <v>259</v>
      </c>
      <c r="E1016" t="s">
        <v>64</v>
      </c>
      <c r="F1016" t="s">
        <v>4256</v>
      </c>
      <c r="H1016">
        <v>293</v>
      </c>
      <c r="I1016">
        <v>1400</v>
      </c>
      <c r="J1016" t="s">
        <v>5203</v>
      </c>
      <c r="K1016" t="s">
        <v>5204</v>
      </c>
      <c r="M1016" t="s">
        <v>5192</v>
      </c>
      <c r="N1016">
        <v>32301</v>
      </c>
      <c r="O1016" t="s">
        <v>70</v>
      </c>
      <c r="Q1016" t="s">
        <v>5193</v>
      </c>
      <c r="R1016" t="s">
        <v>5205</v>
      </c>
      <c r="S1016" t="s">
        <v>4530</v>
      </c>
      <c r="T1016" s="6">
        <v>4600000000</v>
      </c>
      <c r="U1016" s="45">
        <f>VLOOKUP(B1016,realPrices!C:G,5,0)</f>
        <v>5131090000</v>
      </c>
      <c r="W1016" t="str">
        <f t="shared" si="15"/>
        <v>TARA TU5PA1400</v>
      </c>
      <c r="X1016">
        <f>VLOOKUP(W1016,Sheet10!D:F,2,0)*10000000</f>
        <v>7200000000</v>
      </c>
      <c r="Y1016" t="s">
        <v>74</v>
      </c>
    </row>
    <row r="1017" spans="1:25" x14ac:dyDescent="0.25">
      <c r="A1017" t="s">
        <v>5206</v>
      </c>
      <c r="B1017" t="s">
        <v>5207</v>
      </c>
      <c r="C1017">
        <v>323</v>
      </c>
      <c r="D1017" t="s">
        <v>240</v>
      </c>
      <c r="E1017" t="s">
        <v>64</v>
      </c>
      <c r="F1017" t="s">
        <v>4256</v>
      </c>
      <c r="H1017">
        <v>23</v>
      </c>
      <c r="I1017">
        <v>1400</v>
      </c>
      <c r="J1017" t="s">
        <v>5208</v>
      </c>
      <c r="K1017" t="s">
        <v>5209</v>
      </c>
      <c r="M1017" t="s">
        <v>5192</v>
      </c>
      <c r="N1017">
        <v>32301</v>
      </c>
      <c r="O1017" t="s">
        <v>70</v>
      </c>
      <c r="Q1017" t="s">
        <v>5193</v>
      </c>
      <c r="R1017" t="s">
        <v>5210</v>
      </c>
      <c r="S1017" t="s">
        <v>4986</v>
      </c>
      <c r="T1017" s="6">
        <v>4650000000</v>
      </c>
      <c r="U1017" s="45">
        <f>VLOOKUP(B1017,realPrices!C:G,5,0)</f>
        <v>4737892000</v>
      </c>
      <c r="W1017" t="str">
        <f t="shared" si="15"/>
        <v>TARA TU5PA1400</v>
      </c>
      <c r="X1017">
        <f>VLOOKUP(W1017,Sheet10!D:F,2,0)*10000000</f>
        <v>7200000000</v>
      </c>
      <c r="Y1017" t="s">
        <v>74</v>
      </c>
    </row>
    <row r="1018" spans="1:25" x14ac:dyDescent="0.25">
      <c r="A1018" t="s">
        <v>3521</v>
      </c>
      <c r="B1018" t="s">
        <v>5211</v>
      </c>
      <c r="C1018">
        <v>707</v>
      </c>
      <c r="D1018" t="s">
        <v>77</v>
      </c>
      <c r="E1018" t="s">
        <v>64</v>
      </c>
      <c r="F1018" t="s">
        <v>420</v>
      </c>
      <c r="G1018" t="s">
        <v>206</v>
      </c>
      <c r="H1018">
        <v>7359</v>
      </c>
      <c r="I1018">
        <v>1400</v>
      </c>
      <c r="J1018" t="s">
        <v>5212</v>
      </c>
      <c r="K1018" t="s">
        <v>5213</v>
      </c>
      <c r="L1018" t="s">
        <v>5214</v>
      </c>
      <c r="M1018" t="s">
        <v>3450</v>
      </c>
      <c r="N1018">
        <v>70702</v>
      </c>
      <c r="O1018" t="s">
        <v>70</v>
      </c>
      <c r="Q1018" t="s">
        <v>3451</v>
      </c>
      <c r="R1018" t="s">
        <v>5215</v>
      </c>
      <c r="S1018" t="s">
        <v>2721</v>
      </c>
      <c r="T1018" s="6">
        <v>4680000000</v>
      </c>
      <c r="U1018" s="45">
        <f>VLOOKUP(B1018,realPrices!C:G,5,0)</f>
        <v>5925555555</v>
      </c>
      <c r="W1018" t="str">
        <f t="shared" si="15"/>
        <v>DENA+EF7TC A1400</v>
      </c>
      <c r="X1018">
        <f>VLOOKUP(W1018,Sheet10!D:F,2,0)*10000000</f>
        <v>7100000000</v>
      </c>
      <c r="Y1018" t="s">
        <v>114</v>
      </c>
    </row>
    <row r="1019" spans="1:25" x14ac:dyDescent="0.25">
      <c r="A1019" t="s">
        <v>5216</v>
      </c>
      <c r="B1019" t="s">
        <v>5217</v>
      </c>
      <c r="C1019">
        <v>323</v>
      </c>
      <c r="D1019" t="s">
        <v>63</v>
      </c>
      <c r="E1019" t="s">
        <v>64</v>
      </c>
      <c r="F1019" t="s">
        <v>4256</v>
      </c>
      <c r="H1019">
        <v>952</v>
      </c>
      <c r="I1019">
        <v>1400</v>
      </c>
      <c r="J1019" t="s">
        <v>5218</v>
      </c>
      <c r="K1019" t="s">
        <v>5219</v>
      </c>
      <c r="M1019" t="s">
        <v>5192</v>
      </c>
      <c r="N1019">
        <v>32301</v>
      </c>
      <c r="O1019" t="s">
        <v>70</v>
      </c>
      <c r="Q1019" t="s">
        <v>5193</v>
      </c>
      <c r="R1019" t="s">
        <v>5220</v>
      </c>
      <c r="S1019" t="s">
        <v>5146</v>
      </c>
      <c r="T1019" s="6">
        <v>4680000000</v>
      </c>
      <c r="U1019" s="45">
        <f>VLOOKUP(B1019,realPrices!C:G,5,0)</f>
        <v>5136666666</v>
      </c>
      <c r="W1019" t="str">
        <f t="shared" si="15"/>
        <v>TARA TU5PA1400</v>
      </c>
      <c r="X1019">
        <f>VLOOKUP(W1019,Sheet10!D:F,2,0)*10000000</f>
        <v>7200000000</v>
      </c>
      <c r="Y1019" t="s">
        <v>74</v>
      </c>
    </row>
    <row r="1020" spans="1:25" x14ac:dyDescent="0.25">
      <c r="A1020" t="s">
        <v>3242</v>
      </c>
      <c r="B1020" t="s">
        <v>5221</v>
      </c>
      <c r="C1020">
        <v>600</v>
      </c>
      <c r="D1020" t="s">
        <v>63</v>
      </c>
      <c r="E1020" t="s">
        <v>64</v>
      </c>
      <c r="F1020" t="s">
        <v>491</v>
      </c>
      <c r="H1020">
        <v>36</v>
      </c>
      <c r="I1020">
        <v>1401</v>
      </c>
      <c r="J1020" t="s">
        <v>5222</v>
      </c>
      <c r="K1020" t="s">
        <v>5223</v>
      </c>
      <c r="M1020" t="s">
        <v>3246</v>
      </c>
      <c r="N1020">
        <v>60010</v>
      </c>
      <c r="O1020" t="s">
        <v>303</v>
      </c>
      <c r="Q1020" t="s">
        <v>3247</v>
      </c>
      <c r="R1020" t="s">
        <v>5224</v>
      </c>
      <c r="S1020" t="s">
        <v>3683</v>
      </c>
      <c r="T1020" s="6">
        <v>4700000000</v>
      </c>
      <c r="U1020" s="45">
        <f>VLOOKUP(B1020,realPrices!C:G,5,0)</f>
        <v>5389999999</v>
      </c>
      <c r="W1020" t="str">
        <f t="shared" si="15"/>
        <v>207i-MT1401</v>
      </c>
      <c r="X1020">
        <f>VLOOKUP(W1020,Sheet10!D:F,2,0)*10000000</f>
        <v>5800000000</v>
      </c>
      <c r="Y1020" t="s">
        <v>114</v>
      </c>
    </row>
    <row r="1021" spans="1:25" x14ac:dyDescent="0.25">
      <c r="A1021" t="s">
        <v>3521</v>
      </c>
      <c r="B1021" t="s">
        <v>5225</v>
      </c>
      <c r="C1021">
        <v>707</v>
      </c>
      <c r="D1021" t="s">
        <v>77</v>
      </c>
      <c r="E1021" t="s">
        <v>64</v>
      </c>
      <c r="F1021" t="s">
        <v>205</v>
      </c>
      <c r="G1021" t="s">
        <v>5226</v>
      </c>
      <c r="H1021">
        <v>13732</v>
      </c>
      <c r="I1021">
        <v>1400</v>
      </c>
      <c r="J1021" t="s">
        <v>5227</v>
      </c>
      <c r="K1021" t="s">
        <v>5228</v>
      </c>
      <c r="L1021" t="s">
        <v>5229</v>
      </c>
      <c r="M1021" t="s">
        <v>3450</v>
      </c>
      <c r="N1021">
        <v>70702</v>
      </c>
      <c r="O1021" t="s">
        <v>70</v>
      </c>
      <c r="Q1021" t="s">
        <v>3451</v>
      </c>
      <c r="R1021" t="s">
        <v>5230</v>
      </c>
      <c r="S1021" t="s">
        <v>2690</v>
      </c>
      <c r="T1021" s="6">
        <v>4700000000</v>
      </c>
      <c r="U1021" s="45">
        <f>VLOOKUP(B1021,realPrices!C:G,5,0)</f>
        <v>6050004444</v>
      </c>
      <c r="W1021" t="str">
        <f t="shared" si="15"/>
        <v>DENA+EF7TC A1400</v>
      </c>
      <c r="X1021">
        <f>VLOOKUP(W1021,Sheet10!D:F,2,0)*10000000</f>
        <v>7100000000</v>
      </c>
      <c r="Y1021" t="s">
        <v>114</v>
      </c>
    </row>
    <row r="1022" spans="1:25" x14ac:dyDescent="0.25">
      <c r="A1022" t="s">
        <v>5231</v>
      </c>
      <c r="B1022" t="s">
        <v>5232</v>
      </c>
      <c r="C1022">
        <v>323</v>
      </c>
      <c r="D1022" t="s">
        <v>4345</v>
      </c>
      <c r="E1022" t="s">
        <v>64</v>
      </c>
      <c r="F1022" t="s">
        <v>2696</v>
      </c>
      <c r="H1022">
        <v>20</v>
      </c>
      <c r="I1022">
        <v>1400</v>
      </c>
      <c r="J1022" t="s">
        <v>5233</v>
      </c>
      <c r="K1022" t="s">
        <v>5234</v>
      </c>
      <c r="M1022" t="s">
        <v>5192</v>
      </c>
      <c r="N1022">
        <v>32301</v>
      </c>
      <c r="O1022" t="s">
        <v>70</v>
      </c>
      <c r="Q1022" t="s">
        <v>5193</v>
      </c>
      <c r="R1022" t="s">
        <v>5235</v>
      </c>
      <c r="S1022" t="s">
        <v>4752</v>
      </c>
      <c r="T1022" s="6">
        <v>4700000000</v>
      </c>
      <c r="U1022" s="45">
        <f>VLOOKUP(B1022,realPrices!C:G,5,0)</f>
        <v>5380010000</v>
      </c>
      <c r="W1022" t="str">
        <f t="shared" si="15"/>
        <v>TARA TU5PA1400</v>
      </c>
      <c r="X1022">
        <f>VLOOKUP(W1022,Sheet10!D:F,2,0)*10000000</f>
        <v>7200000000</v>
      </c>
      <c r="Y1022" t="s">
        <v>74</v>
      </c>
    </row>
    <row r="1023" spans="1:25" x14ac:dyDescent="0.25">
      <c r="A1023" t="s">
        <v>5216</v>
      </c>
      <c r="B1023" t="s">
        <v>5236</v>
      </c>
      <c r="C1023">
        <v>323</v>
      </c>
      <c r="D1023" t="s">
        <v>63</v>
      </c>
      <c r="E1023" t="s">
        <v>64</v>
      </c>
      <c r="F1023" t="s">
        <v>4256</v>
      </c>
      <c r="H1023">
        <v>17</v>
      </c>
      <c r="I1023">
        <v>1400</v>
      </c>
      <c r="J1023" t="s">
        <v>5237</v>
      </c>
      <c r="K1023" t="s">
        <v>5238</v>
      </c>
      <c r="M1023" t="s">
        <v>5192</v>
      </c>
      <c r="N1023">
        <v>32301</v>
      </c>
      <c r="O1023" t="s">
        <v>70</v>
      </c>
      <c r="Q1023" t="s">
        <v>5193</v>
      </c>
      <c r="R1023" t="s">
        <v>5239</v>
      </c>
      <c r="S1023" t="s">
        <v>4376</v>
      </c>
      <c r="T1023" s="6">
        <v>4700000000</v>
      </c>
      <c r="U1023" s="45">
        <f>VLOOKUP(B1023,realPrices!C:G,5,0)</f>
        <v>5120000000</v>
      </c>
      <c r="W1023" t="str">
        <f t="shared" si="15"/>
        <v>TARA TU5PA1400</v>
      </c>
      <c r="X1023">
        <f>VLOOKUP(W1023,Sheet10!D:F,2,0)*10000000</f>
        <v>7200000000</v>
      </c>
      <c r="Y1023" t="s">
        <v>74</v>
      </c>
    </row>
    <row r="1024" spans="1:25" x14ac:dyDescent="0.25">
      <c r="A1024" t="s">
        <v>3242</v>
      </c>
      <c r="B1024" t="s">
        <v>5240</v>
      </c>
      <c r="C1024">
        <v>600</v>
      </c>
      <c r="D1024" t="s">
        <v>63</v>
      </c>
      <c r="E1024" t="s">
        <v>64</v>
      </c>
      <c r="F1024" t="s">
        <v>491</v>
      </c>
      <c r="H1024">
        <v>33</v>
      </c>
      <c r="I1024">
        <v>1401</v>
      </c>
      <c r="J1024" t="s">
        <v>5241</v>
      </c>
      <c r="K1024" t="s">
        <v>5242</v>
      </c>
      <c r="M1024" t="s">
        <v>3246</v>
      </c>
      <c r="N1024">
        <v>60010</v>
      </c>
      <c r="O1024" t="s">
        <v>303</v>
      </c>
      <c r="Q1024" t="s">
        <v>3247</v>
      </c>
      <c r="R1024" t="s">
        <v>5243</v>
      </c>
      <c r="S1024" t="s">
        <v>4342</v>
      </c>
      <c r="T1024" s="6">
        <v>4750000000</v>
      </c>
      <c r="U1024" s="45">
        <f>VLOOKUP(B1024,realPrices!C:G,5,0)</f>
        <v>5409999999</v>
      </c>
      <c r="W1024" t="str">
        <f t="shared" si="15"/>
        <v>207i-MT1401</v>
      </c>
      <c r="X1024">
        <f>VLOOKUP(W1024,Sheet10!D:F,2,0)*10000000</f>
        <v>5800000000</v>
      </c>
      <c r="Y1024" t="s">
        <v>114</v>
      </c>
    </row>
    <row r="1025" spans="1:25" x14ac:dyDescent="0.25">
      <c r="A1025" t="s">
        <v>3446</v>
      </c>
      <c r="B1025" t="s">
        <v>5244</v>
      </c>
      <c r="C1025">
        <v>707</v>
      </c>
      <c r="D1025" t="s">
        <v>63</v>
      </c>
      <c r="E1025" t="s">
        <v>64</v>
      </c>
      <c r="F1025" t="s">
        <v>420</v>
      </c>
      <c r="G1025" t="s">
        <v>5245</v>
      </c>
      <c r="H1025">
        <v>5399</v>
      </c>
      <c r="I1025">
        <v>1400</v>
      </c>
      <c r="J1025" t="s">
        <v>5246</v>
      </c>
      <c r="K1025" t="s">
        <v>5247</v>
      </c>
      <c r="L1025" t="s">
        <v>5248</v>
      </c>
      <c r="M1025" t="s">
        <v>3450</v>
      </c>
      <c r="N1025">
        <v>70702</v>
      </c>
      <c r="O1025" t="s">
        <v>70</v>
      </c>
      <c r="Q1025" t="s">
        <v>3451</v>
      </c>
      <c r="R1025" t="s">
        <v>5249</v>
      </c>
      <c r="S1025" t="s">
        <v>2486</v>
      </c>
      <c r="T1025" s="6">
        <v>4750000000</v>
      </c>
      <c r="U1025" s="45">
        <f>VLOOKUP(B1025,realPrices!C:G,5,0)</f>
        <v>5897654329</v>
      </c>
      <c r="W1025" t="str">
        <f t="shared" si="15"/>
        <v>DENA+EF7TC A1400</v>
      </c>
      <c r="X1025">
        <f>VLOOKUP(W1025,Sheet10!D:F,2,0)*10000000</f>
        <v>7100000000</v>
      </c>
      <c r="Y1025" t="s">
        <v>114</v>
      </c>
    </row>
    <row r="1026" spans="1:25" x14ac:dyDescent="0.25">
      <c r="A1026" t="s">
        <v>5231</v>
      </c>
      <c r="B1026" t="s">
        <v>5250</v>
      </c>
      <c r="C1026">
        <v>323</v>
      </c>
      <c r="D1026" t="s">
        <v>4345</v>
      </c>
      <c r="E1026" t="s">
        <v>64</v>
      </c>
      <c r="F1026" t="s">
        <v>4256</v>
      </c>
      <c r="H1026">
        <v>25</v>
      </c>
      <c r="I1026">
        <v>1400</v>
      </c>
      <c r="J1026" t="s">
        <v>5251</v>
      </c>
      <c r="K1026" t="s">
        <v>5252</v>
      </c>
      <c r="M1026" t="s">
        <v>5192</v>
      </c>
      <c r="N1026">
        <v>32301</v>
      </c>
      <c r="O1026" t="s">
        <v>70</v>
      </c>
      <c r="Q1026" t="s">
        <v>5193</v>
      </c>
      <c r="R1026" t="s">
        <v>5253</v>
      </c>
      <c r="S1026" t="s">
        <v>4456</v>
      </c>
      <c r="T1026" s="6">
        <v>4750000000</v>
      </c>
      <c r="U1026" s="45">
        <f>VLOOKUP(B1026,realPrices!C:G,5,0)</f>
        <v>5295556849</v>
      </c>
      <c r="W1026" t="str">
        <f t="shared" ref="W1026:W1089" si="16">M1026&amp;I1026</f>
        <v>TARA TU5PA1400</v>
      </c>
      <c r="X1026">
        <f>VLOOKUP(W1026,Sheet10!D:F,2,0)*10000000</f>
        <v>7200000000</v>
      </c>
      <c r="Y1026" t="s">
        <v>74</v>
      </c>
    </row>
    <row r="1027" spans="1:25" x14ac:dyDescent="0.25">
      <c r="A1027" t="s">
        <v>5216</v>
      </c>
      <c r="B1027" t="s">
        <v>5254</v>
      </c>
      <c r="C1027">
        <v>323</v>
      </c>
      <c r="D1027" t="s">
        <v>63</v>
      </c>
      <c r="E1027" t="s">
        <v>64</v>
      </c>
      <c r="F1027" t="s">
        <v>362</v>
      </c>
      <c r="H1027">
        <v>191</v>
      </c>
      <c r="I1027">
        <v>1400</v>
      </c>
      <c r="J1027" t="s">
        <v>5255</v>
      </c>
      <c r="K1027" t="s">
        <v>5256</v>
      </c>
      <c r="M1027" t="s">
        <v>5192</v>
      </c>
      <c r="N1027">
        <v>32301</v>
      </c>
      <c r="O1027" t="s">
        <v>70</v>
      </c>
      <c r="Q1027" t="s">
        <v>5193</v>
      </c>
      <c r="R1027" t="s">
        <v>5257</v>
      </c>
      <c r="S1027" t="s">
        <v>4971</v>
      </c>
      <c r="T1027" s="6">
        <v>4750000000</v>
      </c>
      <c r="U1027" s="45">
        <f>VLOOKUP(B1027,realPrices!C:G,5,0)</f>
        <v>5118000000</v>
      </c>
      <c r="W1027" t="str">
        <f t="shared" si="16"/>
        <v>TARA TU5PA1400</v>
      </c>
      <c r="X1027">
        <f>VLOOKUP(W1027,Sheet10!D:F,2,0)*10000000</f>
        <v>7200000000</v>
      </c>
      <c r="Y1027" t="s">
        <v>74</v>
      </c>
    </row>
    <row r="1028" spans="1:25" x14ac:dyDescent="0.25">
      <c r="A1028" t="s">
        <v>5201</v>
      </c>
      <c r="B1028" t="s">
        <v>5258</v>
      </c>
      <c r="C1028">
        <v>323</v>
      </c>
      <c r="D1028" t="s">
        <v>259</v>
      </c>
      <c r="E1028" t="s">
        <v>64</v>
      </c>
      <c r="F1028" t="s">
        <v>4256</v>
      </c>
      <c r="H1028">
        <v>62</v>
      </c>
      <c r="I1028">
        <v>1400</v>
      </c>
      <c r="J1028" t="s">
        <v>5259</v>
      </c>
      <c r="K1028" t="s">
        <v>5260</v>
      </c>
      <c r="M1028" t="s">
        <v>5192</v>
      </c>
      <c r="N1028">
        <v>32301</v>
      </c>
      <c r="O1028" t="s">
        <v>70</v>
      </c>
      <c r="Q1028" t="s">
        <v>5193</v>
      </c>
      <c r="R1028" t="s">
        <v>5261</v>
      </c>
      <c r="S1028" t="s">
        <v>5141</v>
      </c>
      <c r="T1028" s="6">
        <v>4780000000</v>
      </c>
      <c r="U1028" s="45">
        <f>VLOOKUP(B1028,realPrices!C:G,5,0)</f>
        <v>5319000000</v>
      </c>
      <c r="W1028" t="str">
        <f t="shared" si="16"/>
        <v>TARA TU5PA1400</v>
      </c>
      <c r="X1028">
        <f>VLOOKUP(W1028,Sheet10!D:F,2,0)*10000000</f>
        <v>7200000000</v>
      </c>
      <c r="Y1028" t="s">
        <v>74</v>
      </c>
    </row>
    <row r="1029" spans="1:25" x14ac:dyDescent="0.25">
      <c r="A1029" t="s">
        <v>3497</v>
      </c>
      <c r="B1029" t="s">
        <v>3828</v>
      </c>
      <c r="C1029">
        <v>600</v>
      </c>
      <c r="D1029" t="s">
        <v>77</v>
      </c>
      <c r="E1029" t="s">
        <v>64</v>
      </c>
      <c r="F1029" t="s">
        <v>420</v>
      </c>
      <c r="H1029">
        <v>56</v>
      </c>
      <c r="I1029">
        <v>1401</v>
      </c>
      <c r="J1029" t="s">
        <v>3829</v>
      </c>
      <c r="K1029" t="s">
        <v>3830</v>
      </c>
      <c r="M1029" t="s">
        <v>3246</v>
      </c>
      <c r="N1029">
        <v>60010</v>
      </c>
      <c r="O1029" t="s">
        <v>303</v>
      </c>
      <c r="Q1029" t="s">
        <v>3247</v>
      </c>
      <c r="R1029" t="s">
        <v>3831</v>
      </c>
      <c r="S1029" t="s">
        <v>3897</v>
      </c>
      <c r="T1029" s="6">
        <v>4800000000</v>
      </c>
      <c r="U1029" s="45">
        <f>VLOOKUP(B1029,realPrices!C:G,5,0)</f>
        <v>4800000999</v>
      </c>
      <c r="W1029" t="str">
        <f t="shared" si="16"/>
        <v>207i-MT1401</v>
      </c>
      <c r="X1029">
        <f>VLOOKUP(W1029,Sheet10!D:F,2,0)*10000000</f>
        <v>5800000000</v>
      </c>
      <c r="Y1029" t="s">
        <v>114</v>
      </c>
    </row>
    <row r="1030" spans="1:25" x14ac:dyDescent="0.25">
      <c r="A1030" t="s">
        <v>3497</v>
      </c>
      <c r="B1030" t="s">
        <v>3940</v>
      </c>
      <c r="C1030">
        <v>600</v>
      </c>
      <c r="D1030" t="s">
        <v>77</v>
      </c>
      <c r="E1030" t="s">
        <v>64</v>
      </c>
      <c r="F1030" t="s">
        <v>420</v>
      </c>
      <c r="H1030">
        <v>45</v>
      </c>
      <c r="I1030">
        <v>1401</v>
      </c>
      <c r="J1030" t="s">
        <v>3941</v>
      </c>
      <c r="K1030" t="s">
        <v>3942</v>
      </c>
      <c r="M1030" t="s">
        <v>3246</v>
      </c>
      <c r="N1030">
        <v>60010</v>
      </c>
      <c r="O1030" t="s">
        <v>303</v>
      </c>
      <c r="Q1030" t="s">
        <v>3247</v>
      </c>
      <c r="R1030" t="s">
        <v>3943</v>
      </c>
      <c r="S1030" t="s">
        <v>4214</v>
      </c>
      <c r="T1030" s="6">
        <v>4800000000</v>
      </c>
      <c r="U1030" s="45">
        <f>VLOOKUP(B1030,realPrices!C:G,5,0)</f>
        <v>4775000000</v>
      </c>
      <c r="W1030" t="str">
        <f t="shared" si="16"/>
        <v>207i-MT1401</v>
      </c>
      <c r="X1030">
        <f>VLOOKUP(W1030,Sheet10!D:F,2,0)*10000000</f>
        <v>5800000000</v>
      </c>
      <c r="Y1030" t="s">
        <v>114</v>
      </c>
    </row>
    <row r="1031" spans="1:25" x14ac:dyDescent="0.25">
      <c r="A1031" t="s">
        <v>3431</v>
      </c>
      <c r="B1031" t="s">
        <v>5262</v>
      </c>
      <c r="C1031">
        <v>285</v>
      </c>
      <c r="D1031" t="s">
        <v>63</v>
      </c>
      <c r="E1031" t="s">
        <v>64</v>
      </c>
      <c r="F1031" t="s">
        <v>420</v>
      </c>
      <c r="H1031">
        <v>23</v>
      </c>
      <c r="I1031">
        <v>1401</v>
      </c>
      <c r="J1031" t="s">
        <v>5263</v>
      </c>
      <c r="K1031" t="s">
        <v>5264</v>
      </c>
      <c r="M1031" t="s">
        <v>198</v>
      </c>
      <c r="N1031">
        <v>28527</v>
      </c>
      <c r="O1031" t="s">
        <v>70</v>
      </c>
      <c r="Q1031" t="s">
        <v>3214</v>
      </c>
      <c r="R1031" t="s">
        <v>5265</v>
      </c>
      <c r="S1031" t="s">
        <v>2716</v>
      </c>
      <c r="T1031" s="6">
        <v>4800000000</v>
      </c>
      <c r="U1031" s="45">
        <f>VLOOKUP(B1031,realPrices!C:G,5,0)</f>
        <v>5629999999</v>
      </c>
      <c r="W1031" t="str">
        <f t="shared" si="16"/>
        <v>PARS TU51401</v>
      </c>
      <c r="X1031">
        <f>VLOOKUP(W1031,Sheet10!D:F,2,0)*10000000</f>
        <v>5250000000</v>
      </c>
      <c r="Y1031" t="s">
        <v>114</v>
      </c>
    </row>
    <row r="1032" spans="1:25" x14ac:dyDescent="0.25">
      <c r="A1032" t="s">
        <v>5231</v>
      </c>
      <c r="B1032" t="s">
        <v>5266</v>
      </c>
      <c r="C1032">
        <v>323</v>
      </c>
      <c r="D1032" t="s">
        <v>4345</v>
      </c>
      <c r="E1032" t="s">
        <v>64</v>
      </c>
      <c r="F1032" t="s">
        <v>4256</v>
      </c>
      <c r="H1032">
        <v>32</v>
      </c>
      <c r="I1032">
        <v>1400</v>
      </c>
      <c r="J1032" t="s">
        <v>5267</v>
      </c>
      <c r="K1032" t="s">
        <v>5268</v>
      </c>
      <c r="M1032" t="s">
        <v>5192</v>
      </c>
      <c r="N1032">
        <v>32301</v>
      </c>
      <c r="O1032" t="s">
        <v>70</v>
      </c>
      <c r="Q1032" t="s">
        <v>5193</v>
      </c>
      <c r="R1032" t="s">
        <v>5269</v>
      </c>
      <c r="S1032" t="s">
        <v>5100</v>
      </c>
      <c r="T1032" s="6">
        <v>4800000000</v>
      </c>
      <c r="U1032" s="45">
        <f>VLOOKUP(B1032,realPrices!C:G,5,0)</f>
        <v>5677777777</v>
      </c>
      <c r="W1032" t="str">
        <f t="shared" si="16"/>
        <v>TARA TU5PA1400</v>
      </c>
      <c r="X1032">
        <f>VLOOKUP(W1032,Sheet10!D:F,2,0)*10000000</f>
        <v>7200000000</v>
      </c>
      <c r="Y1032" t="s">
        <v>74</v>
      </c>
    </row>
    <row r="1033" spans="1:25" x14ac:dyDescent="0.25">
      <c r="A1033" t="s">
        <v>5201</v>
      </c>
      <c r="B1033" t="s">
        <v>5270</v>
      </c>
      <c r="C1033">
        <v>323</v>
      </c>
      <c r="D1033" t="s">
        <v>259</v>
      </c>
      <c r="E1033" t="s">
        <v>64</v>
      </c>
      <c r="F1033" t="s">
        <v>4256</v>
      </c>
      <c r="H1033">
        <v>71</v>
      </c>
      <c r="I1033">
        <v>1400</v>
      </c>
      <c r="J1033" t="s">
        <v>5271</v>
      </c>
      <c r="K1033" t="s">
        <v>5272</v>
      </c>
      <c r="M1033" t="s">
        <v>5192</v>
      </c>
      <c r="N1033">
        <v>32301</v>
      </c>
      <c r="O1033" t="s">
        <v>70</v>
      </c>
      <c r="Q1033" t="s">
        <v>5193</v>
      </c>
      <c r="R1033" t="s">
        <v>5273</v>
      </c>
      <c r="S1033" t="s">
        <v>4382</v>
      </c>
      <c r="T1033" s="6">
        <v>4800000000</v>
      </c>
      <c r="U1033" s="45">
        <f>VLOOKUP(B1033,realPrices!C:G,5,0)</f>
        <v>5524850000</v>
      </c>
      <c r="W1033" t="str">
        <f t="shared" si="16"/>
        <v>TARA TU5PA1400</v>
      </c>
      <c r="X1033">
        <f>VLOOKUP(W1033,Sheet10!D:F,2,0)*10000000</f>
        <v>7200000000</v>
      </c>
      <c r="Y1033" t="s">
        <v>74</v>
      </c>
    </row>
    <row r="1034" spans="1:25" x14ac:dyDescent="0.25">
      <c r="A1034" t="s">
        <v>5274</v>
      </c>
      <c r="B1034" t="s">
        <v>5275</v>
      </c>
      <c r="C1034">
        <v>323</v>
      </c>
      <c r="D1034" t="s">
        <v>178</v>
      </c>
      <c r="E1034" t="s">
        <v>64</v>
      </c>
      <c r="F1034" t="s">
        <v>4256</v>
      </c>
      <c r="H1034">
        <v>61</v>
      </c>
      <c r="I1034">
        <v>1400</v>
      </c>
      <c r="J1034" t="s">
        <v>5276</v>
      </c>
      <c r="K1034" t="s">
        <v>5277</v>
      </c>
      <c r="M1034" t="s">
        <v>5192</v>
      </c>
      <c r="N1034">
        <v>32301</v>
      </c>
      <c r="O1034" t="s">
        <v>70</v>
      </c>
      <c r="Q1034" t="s">
        <v>5193</v>
      </c>
      <c r="R1034" t="s">
        <v>5278</v>
      </c>
      <c r="S1034" t="s">
        <v>5106</v>
      </c>
      <c r="T1034" s="6">
        <v>4800000000</v>
      </c>
      <c r="U1034" s="45">
        <f>VLOOKUP(B1034,realPrices!C:G,5,0)</f>
        <v>5351000000</v>
      </c>
      <c r="W1034" t="str">
        <f t="shared" si="16"/>
        <v>TARA TU5PA1400</v>
      </c>
      <c r="X1034">
        <f>VLOOKUP(W1034,Sheet10!D:F,2,0)*10000000</f>
        <v>7200000000</v>
      </c>
      <c r="Y1034" t="s">
        <v>74</v>
      </c>
    </row>
    <row r="1035" spans="1:25" x14ac:dyDescent="0.25">
      <c r="A1035" t="s">
        <v>5231</v>
      </c>
      <c r="B1035" t="s">
        <v>5279</v>
      </c>
      <c r="C1035">
        <v>323</v>
      </c>
      <c r="D1035" t="s">
        <v>4345</v>
      </c>
      <c r="E1035" t="s">
        <v>64</v>
      </c>
      <c r="F1035" t="s">
        <v>4256</v>
      </c>
      <c r="H1035">
        <v>70</v>
      </c>
      <c r="I1035">
        <v>1400</v>
      </c>
      <c r="J1035" t="s">
        <v>5280</v>
      </c>
      <c r="K1035" t="s">
        <v>5281</v>
      </c>
      <c r="M1035" t="s">
        <v>5192</v>
      </c>
      <c r="N1035">
        <v>32301</v>
      </c>
      <c r="O1035" t="s">
        <v>70</v>
      </c>
      <c r="Q1035" t="s">
        <v>5193</v>
      </c>
      <c r="R1035" t="s">
        <v>5282</v>
      </c>
      <c r="S1035" t="s">
        <v>5068</v>
      </c>
      <c r="T1035" s="6">
        <v>4800000000</v>
      </c>
      <c r="U1035" s="45">
        <f>VLOOKUP(B1035,realPrices!C:G,5,0)</f>
        <v>5535966666</v>
      </c>
      <c r="W1035" t="str">
        <f t="shared" si="16"/>
        <v>TARA TU5PA1400</v>
      </c>
      <c r="X1035">
        <f>VLOOKUP(W1035,Sheet10!D:F,2,0)*10000000</f>
        <v>7200000000</v>
      </c>
      <c r="Y1035" t="s">
        <v>74</v>
      </c>
    </row>
    <row r="1036" spans="1:25" x14ac:dyDescent="0.25">
      <c r="A1036" t="s">
        <v>5283</v>
      </c>
      <c r="B1036" t="s">
        <v>5284</v>
      </c>
      <c r="C1036">
        <v>600</v>
      </c>
      <c r="D1036" t="s">
        <v>63</v>
      </c>
      <c r="E1036" t="s">
        <v>64</v>
      </c>
      <c r="F1036" t="s">
        <v>3186</v>
      </c>
      <c r="H1036">
        <v>79</v>
      </c>
      <c r="I1036">
        <v>1401</v>
      </c>
      <c r="J1036" t="s">
        <v>5285</v>
      </c>
      <c r="K1036" t="s">
        <v>5286</v>
      </c>
      <c r="M1036" t="s">
        <v>3246</v>
      </c>
      <c r="N1036">
        <v>60012</v>
      </c>
      <c r="O1036" t="s">
        <v>303</v>
      </c>
      <c r="Q1036" t="s">
        <v>5287</v>
      </c>
      <c r="R1036" t="s">
        <v>5288</v>
      </c>
      <c r="S1036" t="s">
        <v>3666</v>
      </c>
      <c r="T1036" s="6">
        <v>4850000000</v>
      </c>
      <c r="U1036" s="45">
        <f>VLOOKUP(B1036,realPrices!C:G,5,0)</f>
        <v>6011000000</v>
      </c>
      <c r="W1036" t="str">
        <f t="shared" si="16"/>
        <v>207i-MT1401</v>
      </c>
      <c r="X1036">
        <f>VLOOKUP(W1036,Sheet10!D:F,2,0)*10000000</f>
        <v>5800000000</v>
      </c>
      <c r="Y1036" t="s">
        <v>114</v>
      </c>
    </row>
    <row r="1037" spans="1:25" x14ac:dyDescent="0.25">
      <c r="A1037" t="s">
        <v>87</v>
      </c>
      <c r="B1037" t="s">
        <v>5289</v>
      </c>
      <c r="C1037">
        <v>322</v>
      </c>
      <c r="D1037" t="s">
        <v>63</v>
      </c>
      <c r="E1037" t="s">
        <v>64</v>
      </c>
      <c r="F1037" t="s">
        <v>3186</v>
      </c>
      <c r="H1037">
        <v>1047</v>
      </c>
      <c r="I1037">
        <v>1400</v>
      </c>
      <c r="J1037" t="s">
        <v>5290</v>
      </c>
      <c r="K1037" t="s">
        <v>5291</v>
      </c>
      <c r="M1037" t="s">
        <v>92</v>
      </c>
      <c r="N1037">
        <v>32201</v>
      </c>
      <c r="O1037" t="s">
        <v>70</v>
      </c>
      <c r="Q1037" t="s">
        <v>93</v>
      </c>
      <c r="R1037" t="s">
        <v>5292</v>
      </c>
      <c r="S1037" t="s">
        <v>2780</v>
      </c>
      <c r="T1037" s="6">
        <v>4850000000</v>
      </c>
      <c r="U1037" s="45">
        <f>VLOOKUP(B1037,realPrices!C:G,5,0)</f>
        <v>5723000000</v>
      </c>
      <c r="W1037" t="str">
        <f t="shared" si="16"/>
        <v>TARA TU5P1400</v>
      </c>
      <c r="X1037" t="e">
        <f>VLOOKUP(W1037,Sheet10!D:F,2,0)*10000000</f>
        <v>#N/A</v>
      </c>
      <c r="Y1037" t="s">
        <v>114</v>
      </c>
    </row>
    <row r="1038" spans="1:25" x14ac:dyDescent="0.25">
      <c r="A1038" t="s">
        <v>3431</v>
      </c>
      <c r="B1038" t="s">
        <v>5293</v>
      </c>
      <c r="C1038">
        <v>285</v>
      </c>
      <c r="D1038" t="s">
        <v>63</v>
      </c>
      <c r="E1038" t="s">
        <v>64</v>
      </c>
      <c r="F1038" t="s">
        <v>2696</v>
      </c>
      <c r="H1038">
        <v>21</v>
      </c>
      <c r="I1038">
        <v>1401</v>
      </c>
      <c r="J1038" t="s">
        <v>5294</v>
      </c>
      <c r="K1038" t="s">
        <v>5295</v>
      </c>
      <c r="M1038" t="s">
        <v>198</v>
      </c>
      <c r="N1038">
        <v>28527</v>
      </c>
      <c r="O1038" t="s">
        <v>70</v>
      </c>
      <c r="Q1038" t="s">
        <v>3214</v>
      </c>
      <c r="R1038" t="s">
        <v>5296</v>
      </c>
      <c r="S1038" t="s">
        <v>3016</v>
      </c>
      <c r="T1038" s="6">
        <v>4880000000</v>
      </c>
      <c r="U1038" s="45">
        <f>VLOOKUP(B1038,realPrices!C:G,5,0)</f>
        <v>5520009999</v>
      </c>
      <c r="W1038" t="str">
        <f t="shared" si="16"/>
        <v>PARS TU51401</v>
      </c>
      <c r="X1038">
        <f>VLOOKUP(W1038,Sheet10!D:F,2,0)*10000000</f>
        <v>5250000000</v>
      </c>
      <c r="Y1038" t="s">
        <v>114</v>
      </c>
    </row>
    <row r="1039" spans="1:25" x14ac:dyDescent="0.25">
      <c r="A1039" t="s">
        <v>5206</v>
      </c>
      <c r="B1039" t="s">
        <v>5297</v>
      </c>
      <c r="C1039">
        <v>323</v>
      </c>
      <c r="D1039" t="s">
        <v>240</v>
      </c>
      <c r="E1039" t="s">
        <v>64</v>
      </c>
      <c r="F1039" t="s">
        <v>3186</v>
      </c>
      <c r="H1039">
        <v>33</v>
      </c>
      <c r="I1039">
        <v>1401</v>
      </c>
      <c r="J1039" t="s">
        <v>5298</v>
      </c>
      <c r="K1039" t="s">
        <v>5299</v>
      </c>
      <c r="M1039" t="s">
        <v>5192</v>
      </c>
      <c r="N1039">
        <v>32301</v>
      </c>
      <c r="O1039" t="s">
        <v>70</v>
      </c>
      <c r="Q1039" t="s">
        <v>5193</v>
      </c>
      <c r="R1039" t="s">
        <v>5300</v>
      </c>
      <c r="S1039" t="s">
        <v>5063</v>
      </c>
      <c r="T1039" s="6">
        <v>4900000000</v>
      </c>
      <c r="U1039" s="45">
        <f>VLOOKUP(B1039,realPrices!C:G,5,0)</f>
        <v>5030000000</v>
      </c>
      <c r="W1039" t="str">
        <f t="shared" si="16"/>
        <v>TARA TU5PA1401</v>
      </c>
      <c r="X1039" t="e">
        <f>VLOOKUP(W1039,Sheet10!D:F,2,0)*10000000</f>
        <v>#N/A</v>
      </c>
      <c r="Y1039" t="s">
        <v>74</v>
      </c>
    </row>
    <row r="1040" spans="1:25" x14ac:dyDescent="0.25">
      <c r="A1040" t="s">
        <v>3210</v>
      </c>
      <c r="B1040" t="s">
        <v>5301</v>
      </c>
      <c r="C1040">
        <v>285</v>
      </c>
      <c r="D1040" t="s">
        <v>77</v>
      </c>
      <c r="E1040" t="s">
        <v>64</v>
      </c>
      <c r="F1040" t="s">
        <v>420</v>
      </c>
      <c r="H1040">
        <v>32</v>
      </c>
      <c r="I1040">
        <v>1401</v>
      </c>
      <c r="J1040" t="s">
        <v>5302</v>
      </c>
      <c r="K1040" t="s">
        <v>5303</v>
      </c>
      <c r="M1040" t="s">
        <v>198</v>
      </c>
      <c r="N1040">
        <v>28527</v>
      </c>
      <c r="O1040" t="s">
        <v>70</v>
      </c>
      <c r="Q1040" t="s">
        <v>3214</v>
      </c>
      <c r="R1040" t="s">
        <v>5304</v>
      </c>
      <c r="S1040" t="s">
        <v>2963</v>
      </c>
      <c r="T1040" s="6">
        <v>4950000000</v>
      </c>
      <c r="U1040" s="45">
        <f>VLOOKUP(B1040,realPrices!C:G,5,0)</f>
        <v>5309999999</v>
      </c>
      <c r="W1040" t="str">
        <f t="shared" si="16"/>
        <v>PARS TU51401</v>
      </c>
      <c r="X1040">
        <f>VLOOKUP(W1040,Sheet10!D:F,2,0)*10000000</f>
        <v>5250000000</v>
      </c>
      <c r="Y1040" t="s">
        <v>114</v>
      </c>
    </row>
    <row r="1041" spans="1:25" x14ac:dyDescent="0.25">
      <c r="A1041" t="s">
        <v>5206</v>
      </c>
      <c r="B1041" t="s">
        <v>5305</v>
      </c>
      <c r="C1041">
        <v>323</v>
      </c>
      <c r="D1041" t="s">
        <v>240</v>
      </c>
      <c r="E1041" t="s">
        <v>64</v>
      </c>
      <c r="F1041" t="s">
        <v>2596</v>
      </c>
      <c r="H1041">
        <v>45</v>
      </c>
      <c r="I1041">
        <v>1401</v>
      </c>
      <c r="J1041" t="s">
        <v>5306</v>
      </c>
      <c r="K1041" t="s">
        <v>5307</v>
      </c>
      <c r="M1041" t="s">
        <v>5192</v>
      </c>
      <c r="N1041">
        <v>32301</v>
      </c>
      <c r="O1041" t="s">
        <v>70</v>
      </c>
      <c r="Q1041" t="s">
        <v>5193</v>
      </c>
      <c r="R1041" t="s">
        <v>5308</v>
      </c>
      <c r="S1041" t="s">
        <v>4535</v>
      </c>
      <c r="T1041" s="6">
        <v>4950000000</v>
      </c>
      <c r="U1041" s="45">
        <f>VLOOKUP(B1041,realPrices!C:G,5,0)</f>
        <v>5735005555</v>
      </c>
      <c r="W1041" t="str">
        <f t="shared" si="16"/>
        <v>TARA TU5PA1401</v>
      </c>
      <c r="X1041" t="e">
        <f>VLOOKUP(W1041,Sheet10!D:F,2,0)*10000000</f>
        <v>#N/A</v>
      </c>
      <c r="Y1041" t="s">
        <v>74</v>
      </c>
    </row>
    <row r="1042" spans="1:25" x14ac:dyDescent="0.25">
      <c r="A1042" t="s">
        <v>3210</v>
      </c>
      <c r="B1042" t="s">
        <v>4261</v>
      </c>
      <c r="C1042">
        <v>285</v>
      </c>
      <c r="D1042" t="s">
        <v>77</v>
      </c>
      <c r="E1042" t="s">
        <v>64</v>
      </c>
      <c r="F1042" t="s">
        <v>420</v>
      </c>
      <c r="H1042">
        <v>18</v>
      </c>
      <c r="I1042">
        <v>1401</v>
      </c>
      <c r="J1042" t="s">
        <v>4262</v>
      </c>
      <c r="K1042" t="s">
        <v>5309</v>
      </c>
      <c r="M1042" t="s">
        <v>198</v>
      </c>
      <c r="N1042">
        <v>28527</v>
      </c>
      <c r="O1042" t="s">
        <v>70</v>
      </c>
      <c r="Q1042" t="s">
        <v>3214</v>
      </c>
      <c r="R1042" t="s">
        <v>4264</v>
      </c>
      <c r="S1042" t="s">
        <v>2840</v>
      </c>
      <c r="T1042" s="6">
        <v>4980000000</v>
      </c>
      <c r="U1042" s="45">
        <f>VLOOKUP(B1042,realPrices!C:G,5,0)</f>
        <v>4312233451</v>
      </c>
      <c r="W1042" t="str">
        <f t="shared" si="16"/>
        <v>PARS TU51401</v>
      </c>
      <c r="X1042">
        <f>VLOOKUP(W1042,Sheet10!D:F,2,0)*10000000</f>
        <v>5250000000</v>
      </c>
      <c r="Y1042" t="s">
        <v>114</v>
      </c>
    </row>
    <row r="1043" spans="1:25" x14ac:dyDescent="0.25">
      <c r="A1043" t="s">
        <v>3210</v>
      </c>
      <c r="B1043" t="s">
        <v>3883</v>
      </c>
      <c r="C1043">
        <v>285</v>
      </c>
      <c r="D1043" t="s">
        <v>77</v>
      </c>
      <c r="E1043" t="s">
        <v>64</v>
      </c>
      <c r="F1043" t="s">
        <v>420</v>
      </c>
      <c r="H1043">
        <v>25</v>
      </c>
      <c r="I1043">
        <v>1401</v>
      </c>
      <c r="J1043" t="s">
        <v>3884</v>
      </c>
      <c r="K1043" t="s">
        <v>3885</v>
      </c>
      <c r="M1043" t="s">
        <v>198</v>
      </c>
      <c r="N1043">
        <v>28527</v>
      </c>
      <c r="O1043" t="s">
        <v>70</v>
      </c>
      <c r="Q1043" t="s">
        <v>3214</v>
      </c>
      <c r="R1043" t="s">
        <v>3886</v>
      </c>
      <c r="S1043" t="s">
        <v>2685</v>
      </c>
      <c r="T1043" s="6">
        <v>4980000000</v>
      </c>
      <c r="U1043" s="45">
        <f>VLOOKUP(B1043,realPrices!C:G,5,0)</f>
        <v>4380000000</v>
      </c>
      <c r="W1043" t="str">
        <f t="shared" si="16"/>
        <v>PARS TU51401</v>
      </c>
      <c r="X1043">
        <f>VLOOKUP(W1043,Sheet10!D:F,2,0)*10000000</f>
        <v>5250000000</v>
      </c>
      <c r="Y1043" t="s">
        <v>114</v>
      </c>
    </row>
    <row r="1044" spans="1:25" x14ac:dyDescent="0.25">
      <c r="A1044" t="s">
        <v>3210</v>
      </c>
      <c r="B1044" t="s">
        <v>5310</v>
      </c>
      <c r="C1044">
        <v>285</v>
      </c>
      <c r="D1044" t="s">
        <v>77</v>
      </c>
      <c r="E1044" t="s">
        <v>64</v>
      </c>
      <c r="F1044" t="s">
        <v>420</v>
      </c>
      <c r="H1044">
        <v>30</v>
      </c>
      <c r="I1044">
        <v>1401</v>
      </c>
      <c r="J1044" t="s">
        <v>5311</v>
      </c>
      <c r="K1044" t="s">
        <v>5312</v>
      </c>
      <c r="M1044" t="s">
        <v>198</v>
      </c>
      <c r="N1044">
        <v>28527</v>
      </c>
      <c r="O1044" t="s">
        <v>70</v>
      </c>
      <c r="Q1044" t="s">
        <v>3214</v>
      </c>
      <c r="R1044" t="s">
        <v>5313</v>
      </c>
      <c r="S1044" t="s">
        <v>4738</v>
      </c>
      <c r="T1044" s="6">
        <v>4980000000</v>
      </c>
      <c r="U1044" s="45">
        <f>VLOOKUP(B1044,realPrices!C:G,5,0)</f>
        <v>5710000000</v>
      </c>
      <c r="W1044" t="str">
        <f t="shared" si="16"/>
        <v>PARS TU51401</v>
      </c>
      <c r="X1044">
        <f>VLOOKUP(W1044,Sheet10!D:F,2,0)*10000000</f>
        <v>5250000000</v>
      </c>
      <c r="Y1044" t="s">
        <v>114</v>
      </c>
    </row>
    <row r="1045" spans="1:25" x14ac:dyDescent="0.25">
      <c r="A1045" t="s">
        <v>5314</v>
      </c>
      <c r="B1045" t="s">
        <v>5315</v>
      </c>
      <c r="C1045">
        <v>322</v>
      </c>
      <c r="D1045" t="s">
        <v>178</v>
      </c>
      <c r="E1045" t="s">
        <v>64</v>
      </c>
      <c r="F1045" t="s">
        <v>420</v>
      </c>
      <c r="H1045">
        <v>56</v>
      </c>
      <c r="I1045">
        <v>1401</v>
      </c>
      <c r="J1045" t="s">
        <v>5316</v>
      </c>
      <c r="K1045" t="s">
        <v>5317</v>
      </c>
      <c r="M1045" t="s">
        <v>92</v>
      </c>
      <c r="N1045">
        <v>32201</v>
      </c>
      <c r="O1045" t="s">
        <v>70</v>
      </c>
      <c r="Q1045" t="s">
        <v>93</v>
      </c>
      <c r="R1045" t="s">
        <v>5318</v>
      </c>
      <c r="S1045" t="s">
        <v>2607</v>
      </c>
      <c r="T1045" s="6">
        <v>5000000000</v>
      </c>
      <c r="U1045" s="45">
        <f>VLOOKUP(B1045,realPrices!C:G,5,0)</f>
        <v>5629999999</v>
      </c>
      <c r="W1045" t="str">
        <f t="shared" si="16"/>
        <v>TARA TU5P1401</v>
      </c>
      <c r="X1045" t="e">
        <f>VLOOKUP(W1045,Sheet10!D:F,2,0)*10000000</f>
        <v>#N/A</v>
      </c>
      <c r="Y1045" t="s">
        <v>114</v>
      </c>
    </row>
    <row r="1046" spans="1:25" x14ac:dyDescent="0.25">
      <c r="A1046" t="s">
        <v>3210</v>
      </c>
      <c r="B1046" t="s">
        <v>5319</v>
      </c>
      <c r="C1046">
        <v>285</v>
      </c>
      <c r="D1046" t="s">
        <v>77</v>
      </c>
      <c r="E1046" t="s">
        <v>64</v>
      </c>
      <c r="F1046" t="s">
        <v>420</v>
      </c>
      <c r="H1046">
        <v>21</v>
      </c>
      <c r="I1046">
        <v>1401</v>
      </c>
      <c r="J1046" t="s">
        <v>5320</v>
      </c>
      <c r="K1046" t="s">
        <v>5321</v>
      </c>
      <c r="M1046" t="s">
        <v>198</v>
      </c>
      <c r="N1046">
        <v>28527</v>
      </c>
      <c r="O1046" t="s">
        <v>70</v>
      </c>
      <c r="Q1046" t="s">
        <v>3214</v>
      </c>
      <c r="R1046" t="s">
        <v>5322</v>
      </c>
      <c r="S1046" t="s">
        <v>2518</v>
      </c>
      <c r="T1046" s="6">
        <v>5000000000</v>
      </c>
      <c r="U1046" s="45">
        <f>VLOOKUP(B1046,realPrices!C:G,5,0)</f>
        <v>5385555555</v>
      </c>
      <c r="W1046" t="str">
        <f t="shared" si="16"/>
        <v>PARS TU51401</v>
      </c>
      <c r="X1046">
        <f>VLOOKUP(W1046,Sheet10!D:F,2,0)*10000000</f>
        <v>5250000000</v>
      </c>
      <c r="Y1046" t="s">
        <v>114</v>
      </c>
    </row>
    <row r="1047" spans="1:25" x14ac:dyDescent="0.25">
      <c r="A1047" t="s">
        <v>3521</v>
      </c>
      <c r="B1047" t="s">
        <v>5323</v>
      </c>
      <c r="C1047">
        <v>707</v>
      </c>
      <c r="D1047" t="s">
        <v>77</v>
      </c>
      <c r="E1047" t="s">
        <v>64</v>
      </c>
      <c r="F1047" t="s">
        <v>205</v>
      </c>
      <c r="G1047" t="s">
        <v>5324</v>
      </c>
      <c r="H1047">
        <v>391</v>
      </c>
      <c r="I1047">
        <v>1401</v>
      </c>
      <c r="J1047" t="s">
        <v>5325</v>
      </c>
      <c r="K1047" t="s">
        <v>5326</v>
      </c>
      <c r="L1047" t="s">
        <v>5327</v>
      </c>
      <c r="M1047" t="s">
        <v>3450</v>
      </c>
      <c r="N1047">
        <v>70702</v>
      </c>
      <c r="O1047" t="s">
        <v>70</v>
      </c>
      <c r="Q1047" t="s">
        <v>3451</v>
      </c>
      <c r="R1047" t="s">
        <v>5328</v>
      </c>
      <c r="S1047" t="s">
        <v>2918</v>
      </c>
      <c r="T1047" s="6">
        <v>5000000000</v>
      </c>
      <c r="U1047" s="45">
        <f>VLOOKUP(B1047,realPrices!C:G,5,0)</f>
        <v>6217777777</v>
      </c>
      <c r="W1047" t="str">
        <f t="shared" si="16"/>
        <v>DENA+EF7TC A1401</v>
      </c>
      <c r="X1047">
        <f>VLOOKUP(W1047,Sheet10!D:F,2,0)*10000000</f>
        <v>7250000000</v>
      </c>
      <c r="Y1047" t="s">
        <v>114</v>
      </c>
    </row>
    <row r="1048" spans="1:25" x14ac:dyDescent="0.25">
      <c r="A1048" t="s">
        <v>3210</v>
      </c>
      <c r="B1048" t="s">
        <v>5329</v>
      </c>
      <c r="C1048">
        <v>285</v>
      </c>
      <c r="D1048" t="s">
        <v>77</v>
      </c>
      <c r="E1048" t="s">
        <v>64</v>
      </c>
      <c r="F1048" t="s">
        <v>420</v>
      </c>
      <c r="H1048">
        <v>30</v>
      </c>
      <c r="I1048">
        <v>1401</v>
      </c>
      <c r="J1048" t="s">
        <v>5330</v>
      </c>
      <c r="K1048" t="s">
        <v>5331</v>
      </c>
      <c r="M1048" t="s">
        <v>198</v>
      </c>
      <c r="N1048">
        <v>28527</v>
      </c>
      <c r="O1048" t="s">
        <v>70</v>
      </c>
      <c r="Q1048" t="s">
        <v>3214</v>
      </c>
      <c r="R1048" t="s">
        <v>5332</v>
      </c>
      <c r="S1048" t="s">
        <v>2795</v>
      </c>
      <c r="T1048" s="6">
        <v>5050000000</v>
      </c>
      <c r="U1048" s="45">
        <f>VLOOKUP(B1048,realPrices!C:G,5,0)</f>
        <v>5669000000</v>
      </c>
      <c r="W1048" t="str">
        <f t="shared" si="16"/>
        <v>PARS TU51401</v>
      </c>
      <c r="X1048">
        <f>VLOOKUP(W1048,Sheet10!D:F,2,0)*10000000</f>
        <v>5250000000</v>
      </c>
      <c r="Y1048" t="s">
        <v>114</v>
      </c>
    </row>
    <row r="1049" spans="1:25" x14ac:dyDescent="0.25">
      <c r="A1049" t="s">
        <v>3210</v>
      </c>
      <c r="B1049" t="s">
        <v>4018</v>
      </c>
      <c r="C1049">
        <v>285</v>
      </c>
      <c r="D1049" t="s">
        <v>77</v>
      </c>
      <c r="E1049" t="s">
        <v>64</v>
      </c>
      <c r="F1049" t="s">
        <v>420</v>
      </c>
      <c r="H1049">
        <v>22</v>
      </c>
      <c r="I1049">
        <v>1401</v>
      </c>
      <c r="J1049" t="s">
        <v>4019</v>
      </c>
      <c r="K1049" t="s">
        <v>4020</v>
      </c>
      <c r="M1049" t="s">
        <v>198</v>
      </c>
      <c r="N1049">
        <v>28527</v>
      </c>
      <c r="O1049" t="s">
        <v>70</v>
      </c>
      <c r="Q1049" t="s">
        <v>3214</v>
      </c>
      <c r="R1049" t="s">
        <v>4021</v>
      </c>
      <c r="S1049" t="s">
        <v>3062</v>
      </c>
      <c r="T1049" s="6">
        <v>5050000000</v>
      </c>
      <c r="U1049" s="45">
        <f>VLOOKUP(B1049,realPrices!C:G,5,0)</f>
        <v>4437699990</v>
      </c>
      <c r="W1049" t="str">
        <f t="shared" si="16"/>
        <v>PARS TU51401</v>
      </c>
      <c r="X1049">
        <f>VLOOKUP(W1049,Sheet10!D:F,2,0)*10000000</f>
        <v>5250000000</v>
      </c>
      <c r="Y1049" t="s">
        <v>114</v>
      </c>
    </row>
    <row r="1050" spans="1:25" x14ac:dyDescent="0.25">
      <c r="A1050" t="s">
        <v>4397</v>
      </c>
      <c r="B1050" t="s">
        <v>5333</v>
      </c>
      <c r="C1050">
        <v>704</v>
      </c>
      <c r="D1050" t="s">
        <v>63</v>
      </c>
      <c r="E1050" t="s">
        <v>64</v>
      </c>
      <c r="F1050" t="s">
        <v>491</v>
      </c>
      <c r="H1050">
        <v>44</v>
      </c>
      <c r="I1050">
        <v>1401</v>
      </c>
      <c r="J1050" t="s">
        <v>5334</v>
      </c>
      <c r="K1050" t="s">
        <v>5335</v>
      </c>
      <c r="M1050" t="s">
        <v>4401</v>
      </c>
      <c r="N1050">
        <v>70408</v>
      </c>
      <c r="O1050" t="s">
        <v>70</v>
      </c>
      <c r="Q1050" t="s">
        <v>4402</v>
      </c>
      <c r="R1050" t="s">
        <v>5336</v>
      </c>
      <c r="S1050" t="s">
        <v>4818</v>
      </c>
      <c r="T1050" s="6">
        <v>5110000000</v>
      </c>
      <c r="U1050" s="45">
        <f>VLOOKUP(B1050,realPrices!C:G,5,0)</f>
        <v>6011000000</v>
      </c>
      <c r="W1050" t="str">
        <f t="shared" si="16"/>
        <v>DENA EF7 TC-MT1401</v>
      </c>
      <c r="X1050">
        <f>VLOOKUP(W1050,Sheet10!D:F,2,0)*10000000</f>
        <v>6750000000</v>
      </c>
      <c r="Y1050" t="s">
        <v>114</v>
      </c>
    </row>
    <row r="1051" spans="1:25" x14ac:dyDescent="0.25">
      <c r="A1051" t="s">
        <v>4497</v>
      </c>
      <c r="B1051" t="s">
        <v>5337</v>
      </c>
      <c r="C1051">
        <v>606</v>
      </c>
      <c r="D1051" t="s">
        <v>77</v>
      </c>
      <c r="E1051" t="s">
        <v>64</v>
      </c>
      <c r="F1051" t="s">
        <v>4256</v>
      </c>
      <c r="H1051">
        <v>51</v>
      </c>
      <c r="I1051">
        <v>1400</v>
      </c>
      <c r="J1051" t="s">
        <v>5338</v>
      </c>
      <c r="K1051" t="s">
        <v>5339</v>
      </c>
      <c r="M1051" t="s">
        <v>4487</v>
      </c>
      <c r="N1051">
        <v>60602</v>
      </c>
      <c r="O1051" t="s">
        <v>4488</v>
      </c>
      <c r="Q1051" t="s">
        <v>4489</v>
      </c>
      <c r="R1051" t="s">
        <v>5340</v>
      </c>
      <c r="S1051" t="s">
        <v>4789</v>
      </c>
      <c r="T1051" s="6">
        <v>5150000000</v>
      </c>
      <c r="U1051" s="45">
        <f>VLOOKUP(B1051,realPrices!C:G,5,0)</f>
        <v>5877779999</v>
      </c>
      <c r="W1051" t="str">
        <f t="shared" si="16"/>
        <v>207i TU5P A1400</v>
      </c>
      <c r="X1051">
        <f>VLOOKUP(W1051,Sheet10!D:F,2,0)*10000000</f>
        <v>7000000000</v>
      </c>
      <c r="Y1051" t="s">
        <v>114</v>
      </c>
    </row>
    <row r="1052" spans="1:25" x14ac:dyDescent="0.25">
      <c r="A1052" t="s">
        <v>3446</v>
      </c>
      <c r="B1052" t="s">
        <v>5341</v>
      </c>
      <c r="C1052">
        <v>707</v>
      </c>
      <c r="D1052" t="s">
        <v>63</v>
      </c>
      <c r="E1052" t="s">
        <v>64</v>
      </c>
      <c r="F1052" t="s">
        <v>420</v>
      </c>
      <c r="G1052" t="s">
        <v>5342</v>
      </c>
      <c r="H1052">
        <v>80</v>
      </c>
      <c r="I1052">
        <v>1401</v>
      </c>
      <c r="J1052" t="s">
        <v>5343</v>
      </c>
      <c r="K1052" t="s">
        <v>5344</v>
      </c>
      <c r="L1052" t="s">
        <v>5345</v>
      </c>
      <c r="M1052" t="s">
        <v>3450</v>
      </c>
      <c r="N1052">
        <v>70702</v>
      </c>
      <c r="O1052" t="s">
        <v>70</v>
      </c>
      <c r="Q1052" t="s">
        <v>3451</v>
      </c>
      <c r="R1052" t="s">
        <v>5346</v>
      </c>
      <c r="S1052" t="s">
        <v>2978</v>
      </c>
      <c r="T1052" s="6">
        <v>5150000000</v>
      </c>
      <c r="U1052" s="45">
        <f>VLOOKUP(B1052,realPrices!C:G,5,0)</f>
        <v>6759999999</v>
      </c>
      <c r="W1052" t="str">
        <f t="shared" si="16"/>
        <v>DENA+EF7TC A1401</v>
      </c>
      <c r="X1052">
        <f>VLOOKUP(W1052,Sheet10!D:F,2,0)*10000000</f>
        <v>7250000000</v>
      </c>
      <c r="Y1052" t="s">
        <v>114</v>
      </c>
    </row>
    <row r="1053" spans="1:25" x14ac:dyDescent="0.25">
      <c r="A1053" t="s">
        <v>3521</v>
      </c>
      <c r="B1053" t="s">
        <v>5347</v>
      </c>
      <c r="C1053">
        <v>707</v>
      </c>
      <c r="D1053" t="s">
        <v>77</v>
      </c>
      <c r="E1053" t="s">
        <v>64</v>
      </c>
      <c r="F1053" t="s">
        <v>205</v>
      </c>
      <c r="G1053" t="s">
        <v>5348</v>
      </c>
      <c r="H1053">
        <v>340</v>
      </c>
      <c r="I1053">
        <v>1401</v>
      </c>
      <c r="J1053" t="s">
        <v>5349</v>
      </c>
      <c r="K1053" t="s">
        <v>5350</v>
      </c>
      <c r="L1053" t="s">
        <v>5351</v>
      </c>
      <c r="M1053" t="s">
        <v>3450</v>
      </c>
      <c r="N1053">
        <v>70702</v>
      </c>
      <c r="O1053" t="s">
        <v>70</v>
      </c>
      <c r="Q1053" t="s">
        <v>3451</v>
      </c>
      <c r="R1053" t="s">
        <v>5352</v>
      </c>
      <c r="S1053" t="s">
        <v>2533</v>
      </c>
      <c r="T1053" s="6">
        <v>5150000000</v>
      </c>
      <c r="U1053" s="45">
        <f>VLOOKUP(B1053,realPrices!C:G,5,0)</f>
        <v>6500000000</v>
      </c>
      <c r="W1053" t="str">
        <f t="shared" si="16"/>
        <v>DENA+EF7TC A1401</v>
      </c>
      <c r="X1053">
        <f>VLOOKUP(W1053,Sheet10!D:F,2,0)*10000000</f>
        <v>7250000000</v>
      </c>
      <c r="Y1053" t="s">
        <v>114</v>
      </c>
    </row>
    <row r="1054" spans="1:25" x14ac:dyDescent="0.25">
      <c r="A1054" t="s">
        <v>4318</v>
      </c>
      <c r="B1054" t="s">
        <v>5353</v>
      </c>
      <c r="C1054">
        <v>707</v>
      </c>
      <c r="D1054" t="s">
        <v>240</v>
      </c>
      <c r="E1054" t="s">
        <v>64</v>
      </c>
      <c r="F1054" t="s">
        <v>205</v>
      </c>
      <c r="G1054" t="s">
        <v>5354</v>
      </c>
      <c r="H1054">
        <v>573</v>
      </c>
      <c r="I1054">
        <v>1401</v>
      </c>
      <c r="J1054" t="s">
        <v>5355</v>
      </c>
      <c r="K1054" t="s">
        <v>5356</v>
      </c>
      <c r="L1054" t="s">
        <v>5357</v>
      </c>
      <c r="M1054" t="s">
        <v>3450</v>
      </c>
      <c r="N1054">
        <v>70702</v>
      </c>
      <c r="O1054" t="s">
        <v>70</v>
      </c>
      <c r="Q1054" t="s">
        <v>3451</v>
      </c>
      <c r="R1054" t="s">
        <v>5358</v>
      </c>
      <c r="S1054" t="s">
        <v>2726</v>
      </c>
      <c r="T1054" s="6">
        <v>5150000000</v>
      </c>
      <c r="U1054" s="45">
        <f>VLOOKUP(B1054,realPrices!C:G,5,0)</f>
        <v>6500140000</v>
      </c>
      <c r="W1054" t="str">
        <f t="shared" si="16"/>
        <v>DENA+EF7TC A1401</v>
      </c>
      <c r="X1054">
        <f>VLOOKUP(W1054,Sheet10!D:F,2,0)*10000000</f>
        <v>7250000000</v>
      </c>
      <c r="Y1054" t="s">
        <v>114</v>
      </c>
    </row>
    <row r="1055" spans="1:25" x14ac:dyDescent="0.25">
      <c r="A1055" t="s">
        <v>4497</v>
      </c>
      <c r="B1055" t="s">
        <v>5359</v>
      </c>
      <c r="C1055">
        <v>606</v>
      </c>
      <c r="D1055" t="s">
        <v>77</v>
      </c>
      <c r="E1055" t="s">
        <v>64</v>
      </c>
      <c r="F1055" t="s">
        <v>491</v>
      </c>
      <c r="H1055">
        <v>24</v>
      </c>
      <c r="I1055">
        <v>1401</v>
      </c>
      <c r="J1055" t="s">
        <v>5360</v>
      </c>
      <c r="K1055" t="s">
        <v>5361</v>
      </c>
      <c r="M1055" t="s">
        <v>4487</v>
      </c>
      <c r="N1055">
        <v>60602</v>
      </c>
      <c r="O1055" t="s">
        <v>4488</v>
      </c>
      <c r="Q1055" t="s">
        <v>4489</v>
      </c>
      <c r="R1055" t="s">
        <v>5362</v>
      </c>
      <c r="S1055" t="s">
        <v>4599</v>
      </c>
      <c r="T1055" s="6">
        <v>5200000000</v>
      </c>
      <c r="U1055" s="45">
        <f>VLOOKUP(B1055,realPrices!C:G,5,0)</f>
        <v>6021777777</v>
      </c>
      <c r="W1055" t="str">
        <f t="shared" si="16"/>
        <v>207i TU5P A1401</v>
      </c>
      <c r="X1055">
        <f>VLOOKUP(W1055,Sheet10!D:F,2,0)*10000000</f>
        <v>7100000000</v>
      </c>
      <c r="Y1055" t="s">
        <v>114</v>
      </c>
    </row>
    <row r="1056" spans="1:25" x14ac:dyDescent="0.25">
      <c r="A1056" t="s">
        <v>4483</v>
      </c>
      <c r="B1056" t="s">
        <v>4735</v>
      </c>
      <c r="C1056">
        <v>606</v>
      </c>
      <c r="D1056" t="s">
        <v>63</v>
      </c>
      <c r="E1056" t="s">
        <v>64</v>
      </c>
      <c r="F1056" t="s">
        <v>4256</v>
      </c>
      <c r="H1056">
        <v>53</v>
      </c>
      <c r="I1056">
        <v>1400</v>
      </c>
      <c r="J1056" t="s">
        <v>4736</v>
      </c>
      <c r="K1056" t="s">
        <v>4641</v>
      </c>
      <c r="M1056" t="s">
        <v>4487</v>
      </c>
      <c r="N1056">
        <v>60602</v>
      </c>
      <c r="O1056" t="s">
        <v>4488</v>
      </c>
      <c r="Q1056" t="s">
        <v>4489</v>
      </c>
      <c r="R1056" t="s">
        <v>4737</v>
      </c>
      <c r="S1056" t="s">
        <v>2650</v>
      </c>
      <c r="T1056" s="6">
        <v>5200000000</v>
      </c>
      <c r="U1056" s="45">
        <f>VLOOKUP(B1056,realPrices!C:G,5,0)</f>
        <v>5093214652</v>
      </c>
      <c r="W1056" t="str">
        <f t="shared" si="16"/>
        <v>207i TU5P A1400</v>
      </c>
      <c r="X1056">
        <f>VLOOKUP(W1056,Sheet10!D:F,2,0)*10000000</f>
        <v>7000000000</v>
      </c>
      <c r="Y1056" t="s">
        <v>114</v>
      </c>
    </row>
    <row r="1057" spans="1:25" x14ac:dyDescent="0.25">
      <c r="A1057" t="s">
        <v>4483</v>
      </c>
      <c r="B1057" t="s">
        <v>4702</v>
      </c>
      <c r="C1057">
        <v>606</v>
      </c>
      <c r="D1057" t="s">
        <v>63</v>
      </c>
      <c r="E1057" t="s">
        <v>64</v>
      </c>
      <c r="F1057" t="s">
        <v>4256</v>
      </c>
      <c r="H1057">
        <v>95</v>
      </c>
      <c r="I1057">
        <v>1400</v>
      </c>
      <c r="J1057" t="s">
        <v>4703</v>
      </c>
      <c r="K1057" t="s">
        <v>4641</v>
      </c>
      <c r="M1057" t="s">
        <v>4487</v>
      </c>
      <c r="N1057">
        <v>60602</v>
      </c>
      <c r="O1057" t="s">
        <v>4488</v>
      </c>
      <c r="Q1057" t="s">
        <v>4489</v>
      </c>
      <c r="R1057" t="s">
        <v>4704</v>
      </c>
      <c r="S1057" t="s">
        <v>2422</v>
      </c>
      <c r="T1057" s="6">
        <v>5200000000</v>
      </c>
      <c r="U1057" s="45">
        <f>VLOOKUP(B1057,realPrices!C:G,5,0)</f>
        <v>5155555599</v>
      </c>
      <c r="W1057" t="str">
        <f t="shared" si="16"/>
        <v>207i TU5P A1400</v>
      </c>
      <c r="X1057">
        <f>VLOOKUP(W1057,Sheet10!D:F,2,0)*10000000</f>
        <v>7000000000</v>
      </c>
      <c r="Y1057" t="s">
        <v>114</v>
      </c>
    </row>
    <row r="1058" spans="1:25" x14ac:dyDescent="0.25">
      <c r="A1058" t="s">
        <v>4483</v>
      </c>
      <c r="B1058" t="s">
        <v>4710</v>
      </c>
      <c r="C1058">
        <v>606</v>
      </c>
      <c r="D1058" t="s">
        <v>63</v>
      </c>
      <c r="E1058" t="s">
        <v>64</v>
      </c>
      <c r="F1058" t="s">
        <v>4256</v>
      </c>
      <c r="H1058">
        <v>80</v>
      </c>
      <c r="I1058">
        <v>1400</v>
      </c>
      <c r="J1058" t="s">
        <v>4711</v>
      </c>
      <c r="K1058" t="s">
        <v>4712</v>
      </c>
      <c r="M1058" t="s">
        <v>4487</v>
      </c>
      <c r="N1058">
        <v>60602</v>
      </c>
      <c r="O1058" t="s">
        <v>4488</v>
      </c>
      <c r="Q1058" t="s">
        <v>4489</v>
      </c>
      <c r="R1058" t="s">
        <v>4713</v>
      </c>
      <c r="S1058" t="s">
        <v>2589</v>
      </c>
      <c r="T1058" s="6">
        <v>5200000000</v>
      </c>
      <c r="U1058" s="45">
        <f>VLOOKUP(B1058,realPrices!C:G,5,0)</f>
        <v>5069843720</v>
      </c>
      <c r="W1058" t="str">
        <f t="shared" si="16"/>
        <v>207i TU5P A1400</v>
      </c>
      <c r="X1058">
        <f>VLOOKUP(W1058,Sheet10!D:F,2,0)*10000000</f>
        <v>7000000000</v>
      </c>
      <c r="Y1058" t="s">
        <v>114</v>
      </c>
    </row>
    <row r="1059" spans="1:25" x14ac:dyDescent="0.25">
      <c r="A1059" t="s">
        <v>4483</v>
      </c>
      <c r="B1059" t="s">
        <v>4624</v>
      </c>
      <c r="C1059">
        <v>606</v>
      </c>
      <c r="D1059" t="s">
        <v>63</v>
      </c>
      <c r="E1059" t="s">
        <v>64</v>
      </c>
      <c r="F1059" t="s">
        <v>4256</v>
      </c>
      <c r="H1059">
        <v>29</v>
      </c>
      <c r="I1059">
        <v>1400</v>
      </c>
      <c r="J1059" t="s">
        <v>4625</v>
      </c>
      <c r="K1059" t="s">
        <v>4626</v>
      </c>
      <c r="M1059" t="s">
        <v>4487</v>
      </c>
      <c r="N1059">
        <v>60602</v>
      </c>
      <c r="O1059" t="s">
        <v>4488</v>
      </c>
      <c r="Q1059" t="s">
        <v>4489</v>
      </c>
      <c r="R1059" t="s">
        <v>4627</v>
      </c>
      <c r="S1059" t="s">
        <v>2675</v>
      </c>
      <c r="T1059" s="6">
        <v>5200000000</v>
      </c>
      <c r="U1059" s="45">
        <f>VLOOKUP(B1059,realPrices!C:G,5,0)</f>
        <v>4731600000</v>
      </c>
      <c r="W1059" t="str">
        <f t="shared" si="16"/>
        <v>207i TU5P A1400</v>
      </c>
      <c r="X1059">
        <f>VLOOKUP(W1059,Sheet10!D:F,2,0)*10000000</f>
        <v>7000000000</v>
      </c>
      <c r="Y1059" t="s">
        <v>114</v>
      </c>
    </row>
    <row r="1060" spans="1:25" x14ac:dyDescent="0.25">
      <c r="A1060" t="s">
        <v>4497</v>
      </c>
      <c r="B1060" t="s">
        <v>4693</v>
      </c>
      <c r="C1060">
        <v>606</v>
      </c>
      <c r="D1060" t="s">
        <v>77</v>
      </c>
      <c r="E1060" t="s">
        <v>64</v>
      </c>
      <c r="F1060" t="s">
        <v>4256</v>
      </c>
      <c r="H1060">
        <v>104</v>
      </c>
      <c r="I1060">
        <v>1400</v>
      </c>
      <c r="J1060" t="s">
        <v>4694</v>
      </c>
      <c r="K1060" t="s">
        <v>4695</v>
      </c>
      <c r="M1060" t="s">
        <v>4487</v>
      </c>
      <c r="N1060">
        <v>60602</v>
      </c>
      <c r="O1060" t="s">
        <v>4488</v>
      </c>
      <c r="Q1060" t="s">
        <v>4489</v>
      </c>
      <c r="R1060" t="s">
        <v>4696</v>
      </c>
      <c r="S1060" t="s">
        <v>2660</v>
      </c>
      <c r="T1060" s="6">
        <v>5200000000</v>
      </c>
      <c r="U1060" s="45">
        <f>VLOOKUP(B1060,realPrices!C:G,5,0)</f>
        <v>4990000000</v>
      </c>
      <c r="W1060" t="str">
        <f t="shared" si="16"/>
        <v>207i TU5P A1400</v>
      </c>
      <c r="X1060">
        <f>VLOOKUP(W1060,Sheet10!D:F,2,0)*10000000</f>
        <v>7000000000</v>
      </c>
      <c r="Y1060" t="s">
        <v>114</v>
      </c>
    </row>
    <row r="1061" spans="1:25" x14ac:dyDescent="0.25">
      <c r="A1061" t="s">
        <v>4497</v>
      </c>
      <c r="B1061" t="s">
        <v>4650</v>
      </c>
      <c r="C1061">
        <v>606</v>
      </c>
      <c r="D1061" t="s">
        <v>77</v>
      </c>
      <c r="E1061" t="s">
        <v>64</v>
      </c>
      <c r="F1061" t="s">
        <v>4256</v>
      </c>
      <c r="H1061">
        <v>44</v>
      </c>
      <c r="I1061">
        <v>1400</v>
      </c>
      <c r="J1061" t="s">
        <v>4651</v>
      </c>
      <c r="K1061" t="s">
        <v>4641</v>
      </c>
      <c r="M1061" t="s">
        <v>4487</v>
      </c>
      <c r="N1061">
        <v>60602</v>
      </c>
      <c r="O1061" t="s">
        <v>4488</v>
      </c>
      <c r="Q1061" t="s">
        <v>4489</v>
      </c>
      <c r="R1061" t="s">
        <v>4652</v>
      </c>
      <c r="S1061" t="s">
        <v>3067</v>
      </c>
      <c r="T1061" s="6">
        <v>5200000000</v>
      </c>
      <c r="U1061" s="45">
        <f>VLOOKUP(B1061,realPrices!C:G,5,0)</f>
        <v>4897979000</v>
      </c>
      <c r="W1061" t="str">
        <f t="shared" si="16"/>
        <v>207i TU5P A1400</v>
      </c>
      <c r="X1061">
        <f>VLOOKUP(W1061,Sheet10!D:F,2,0)*10000000</f>
        <v>7000000000</v>
      </c>
      <c r="Y1061" t="s">
        <v>114</v>
      </c>
    </row>
    <row r="1062" spans="1:25" x14ac:dyDescent="0.25">
      <c r="A1062" t="s">
        <v>4497</v>
      </c>
      <c r="B1062" t="s">
        <v>4723</v>
      </c>
      <c r="C1062">
        <v>606</v>
      </c>
      <c r="D1062" t="s">
        <v>77</v>
      </c>
      <c r="E1062" t="s">
        <v>64</v>
      </c>
      <c r="F1062" t="s">
        <v>4256</v>
      </c>
      <c r="H1062">
        <v>60</v>
      </c>
      <c r="I1062">
        <v>1400</v>
      </c>
      <c r="J1062" t="s">
        <v>4724</v>
      </c>
      <c r="K1062" t="s">
        <v>4641</v>
      </c>
      <c r="M1062" t="s">
        <v>4487</v>
      </c>
      <c r="N1062">
        <v>60602</v>
      </c>
      <c r="O1062" t="s">
        <v>4488</v>
      </c>
      <c r="Q1062" t="s">
        <v>4489</v>
      </c>
      <c r="R1062" t="s">
        <v>4725</v>
      </c>
      <c r="S1062" t="s">
        <v>3138</v>
      </c>
      <c r="T1062" s="6">
        <v>5200000000</v>
      </c>
      <c r="U1062" s="45">
        <f>VLOOKUP(B1062,realPrices!C:G,5,0)</f>
        <v>4858756000</v>
      </c>
      <c r="W1062" t="str">
        <f t="shared" si="16"/>
        <v>207i TU5P A1400</v>
      </c>
      <c r="X1062">
        <f>VLOOKUP(W1062,Sheet10!D:F,2,0)*10000000</f>
        <v>7000000000</v>
      </c>
      <c r="Y1062" t="s">
        <v>114</v>
      </c>
    </row>
    <row r="1063" spans="1:25" x14ac:dyDescent="0.25">
      <c r="A1063" t="s">
        <v>4483</v>
      </c>
      <c r="B1063" t="s">
        <v>4559</v>
      </c>
      <c r="C1063">
        <v>606</v>
      </c>
      <c r="D1063" t="s">
        <v>63</v>
      </c>
      <c r="E1063" t="s">
        <v>64</v>
      </c>
      <c r="F1063" t="s">
        <v>4256</v>
      </c>
      <c r="H1063">
        <v>42</v>
      </c>
      <c r="I1063">
        <v>1400</v>
      </c>
      <c r="J1063" t="s">
        <v>4560</v>
      </c>
      <c r="K1063" t="s">
        <v>5363</v>
      </c>
      <c r="M1063" t="s">
        <v>4487</v>
      </c>
      <c r="N1063">
        <v>60602</v>
      </c>
      <c r="O1063" t="s">
        <v>4488</v>
      </c>
      <c r="Q1063" t="s">
        <v>4489</v>
      </c>
      <c r="R1063" t="s">
        <v>4562</v>
      </c>
      <c r="S1063" t="s">
        <v>3154</v>
      </c>
      <c r="T1063" s="6">
        <v>5200000000</v>
      </c>
      <c r="U1063" s="45">
        <f>VLOOKUP(B1063,realPrices!C:G,5,0)</f>
        <v>5019999999</v>
      </c>
      <c r="W1063" t="str">
        <f t="shared" si="16"/>
        <v>207i TU5P A1400</v>
      </c>
      <c r="X1063">
        <f>VLOOKUP(W1063,Sheet10!D:F,2,0)*10000000</f>
        <v>7000000000</v>
      </c>
      <c r="Y1063" t="s">
        <v>114</v>
      </c>
    </row>
    <row r="1064" spans="1:25" x14ac:dyDescent="0.25">
      <c r="A1064" t="s">
        <v>4497</v>
      </c>
      <c r="B1064" t="s">
        <v>4639</v>
      </c>
      <c r="C1064">
        <v>606</v>
      </c>
      <c r="D1064" t="s">
        <v>77</v>
      </c>
      <c r="E1064" t="s">
        <v>64</v>
      </c>
      <c r="F1064" t="s">
        <v>4256</v>
      </c>
      <c r="H1064">
        <v>34</v>
      </c>
      <c r="I1064">
        <v>1400</v>
      </c>
      <c r="J1064" t="s">
        <v>4640</v>
      </c>
      <c r="K1064" t="s">
        <v>4641</v>
      </c>
      <c r="M1064" t="s">
        <v>4487</v>
      </c>
      <c r="N1064">
        <v>60602</v>
      </c>
      <c r="O1064" t="s">
        <v>4488</v>
      </c>
      <c r="Q1064" t="s">
        <v>4489</v>
      </c>
      <c r="R1064" t="s">
        <v>4642</v>
      </c>
      <c r="S1064" t="s">
        <v>2866</v>
      </c>
      <c r="T1064" s="6">
        <v>5200000000</v>
      </c>
      <c r="U1064" s="45">
        <f>VLOOKUP(B1064,realPrices!C:G,5,0)</f>
        <v>4933000000</v>
      </c>
      <c r="W1064" t="str">
        <f t="shared" si="16"/>
        <v>207i TU5P A1400</v>
      </c>
      <c r="X1064">
        <f>VLOOKUP(W1064,Sheet10!D:F,2,0)*10000000</f>
        <v>7000000000</v>
      </c>
      <c r="Y1064" t="s">
        <v>114</v>
      </c>
    </row>
    <row r="1065" spans="1:25" x14ac:dyDescent="0.25">
      <c r="A1065" t="s">
        <v>4483</v>
      </c>
      <c r="B1065" t="s">
        <v>4654</v>
      </c>
      <c r="C1065">
        <v>606</v>
      </c>
      <c r="D1065" t="s">
        <v>63</v>
      </c>
      <c r="E1065" t="s">
        <v>64</v>
      </c>
      <c r="F1065" t="s">
        <v>4256</v>
      </c>
      <c r="H1065">
        <v>43</v>
      </c>
      <c r="I1065">
        <v>1400</v>
      </c>
      <c r="J1065" t="s">
        <v>4655</v>
      </c>
      <c r="K1065" t="s">
        <v>4641</v>
      </c>
      <c r="M1065" t="s">
        <v>4487</v>
      </c>
      <c r="N1065">
        <v>60602</v>
      </c>
      <c r="O1065" t="s">
        <v>4488</v>
      </c>
      <c r="Q1065" t="s">
        <v>4489</v>
      </c>
      <c r="R1065" t="s">
        <v>4656</v>
      </c>
      <c r="S1065" t="s">
        <v>2643</v>
      </c>
      <c r="T1065" s="6">
        <v>5200000000</v>
      </c>
      <c r="U1065" s="45">
        <f>VLOOKUP(B1065,realPrices!C:G,5,0)</f>
        <v>4858756000</v>
      </c>
      <c r="W1065" t="str">
        <f t="shared" si="16"/>
        <v>207i TU5P A1400</v>
      </c>
      <c r="X1065">
        <f>VLOOKUP(W1065,Sheet10!D:F,2,0)*10000000</f>
        <v>7000000000</v>
      </c>
      <c r="Y1065" t="s">
        <v>114</v>
      </c>
    </row>
    <row r="1066" spans="1:25" x14ac:dyDescent="0.25">
      <c r="A1066" t="s">
        <v>4483</v>
      </c>
      <c r="B1066" t="s">
        <v>4732</v>
      </c>
      <c r="C1066">
        <v>606</v>
      </c>
      <c r="D1066" t="s">
        <v>63</v>
      </c>
      <c r="E1066" t="s">
        <v>64</v>
      </c>
      <c r="F1066" t="s">
        <v>4256</v>
      </c>
      <c r="H1066">
        <v>54</v>
      </c>
      <c r="I1066">
        <v>1400</v>
      </c>
      <c r="J1066" t="s">
        <v>4733</v>
      </c>
      <c r="K1066" t="s">
        <v>4641</v>
      </c>
      <c r="M1066" t="s">
        <v>4487</v>
      </c>
      <c r="N1066">
        <v>60602</v>
      </c>
      <c r="O1066" t="s">
        <v>4488</v>
      </c>
      <c r="Q1066" t="s">
        <v>4489</v>
      </c>
      <c r="R1066" t="s">
        <v>4734</v>
      </c>
      <c r="S1066" t="s">
        <v>3221</v>
      </c>
      <c r="T1066" s="6">
        <v>5200000000</v>
      </c>
      <c r="U1066" s="45">
        <f>VLOOKUP(B1066,realPrices!C:G,5,0)</f>
        <v>4985756000</v>
      </c>
      <c r="W1066" t="str">
        <f t="shared" si="16"/>
        <v>207i TU5P A1400</v>
      </c>
      <c r="X1066">
        <f>VLOOKUP(W1066,Sheet10!D:F,2,0)*10000000</f>
        <v>7000000000</v>
      </c>
      <c r="Y1066" t="s">
        <v>114</v>
      </c>
    </row>
    <row r="1067" spans="1:25" x14ac:dyDescent="0.25">
      <c r="A1067" t="s">
        <v>4483</v>
      </c>
      <c r="B1067" t="s">
        <v>4658</v>
      </c>
      <c r="C1067">
        <v>606</v>
      </c>
      <c r="D1067" t="s">
        <v>63</v>
      </c>
      <c r="E1067" t="s">
        <v>64</v>
      </c>
      <c r="F1067" t="s">
        <v>4256</v>
      </c>
      <c r="H1067">
        <v>96</v>
      </c>
      <c r="I1067">
        <v>1400</v>
      </c>
      <c r="J1067" t="s">
        <v>4659</v>
      </c>
      <c r="K1067" t="s">
        <v>4641</v>
      </c>
      <c r="M1067" t="s">
        <v>4487</v>
      </c>
      <c r="N1067">
        <v>60602</v>
      </c>
      <c r="O1067" t="s">
        <v>4488</v>
      </c>
      <c r="Q1067" t="s">
        <v>4489</v>
      </c>
      <c r="R1067" t="s">
        <v>4660</v>
      </c>
      <c r="S1067" t="s">
        <v>3044</v>
      </c>
      <c r="T1067" s="6">
        <v>5200000000</v>
      </c>
      <c r="U1067" s="45">
        <f>VLOOKUP(B1067,realPrices!C:G,5,0)</f>
        <v>4858756000</v>
      </c>
      <c r="W1067" t="str">
        <f t="shared" si="16"/>
        <v>207i TU5P A1400</v>
      </c>
      <c r="X1067">
        <f>VLOOKUP(W1067,Sheet10!D:F,2,0)*10000000</f>
        <v>7000000000</v>
      </c>
      <c r="Y1067" t="s">
        <v>114</v>
      </c>
    </row>
    <row r="1068" spans="1:25" x14ac:dyDescent="0.25">
      <c r="A1068" t="s">
        <v>4483</v>
      </c>
      <c r="B1068" t="s">
        <v>4690</v>
      </c>
      <c r="C1068">
        <v>606</v>
      </c>
      <c r="D1068" t="s">
        <v>63</v>
      </c>
      <c r="E1068" t="s">
        <v>64</v>
      </c>
      <c r="F1068" t="s">
        <v>4256</v>
      </c>
      <c r="H1068">
        <v>110</v>
      </c>
      <c r="I1068">
        <v>1400</v>
      </c>
      <c r="J1068" t="s">
        <v>4691</v>
      </c>
      <c r="K1068" t="s">
        <v>4641</v>
      </c>
      <c r="M1068" t="s">
        <v>4487</v>
      </c>
      <c r="N1068">
        <v>60602</v>
      </c>
      <c r="O1068" t="s">
        <v>4488</v>
      </c>
      <c r="Q1068" t="s">
        <v>4489</v>
      </c>
      <c r="R1068" t="s">
        <v>4692</v>
      </c>
      <c r="S1068" t="s">
        <v>2815</v>
      </c>
      <c r="T1068" s="6">
        <v>5200000000</v>
      </c>
      <c r="U1068" s="45">
        <f>VLOOKUP(B1068,realPrices!C:G,5,0)</f>
        <v>4858756000</v>
      </c>
      <c r="W1068" t="str">
        <f t="shared" si="16"/>
        <v>207i TU5P A1400</v>
      </c>
      <c r="X1068">
        <f>VLOOKUP(W1068,Sheet10!D:F,2,0)*10000000</f>
        <v>7000000000</v>
      </c>
      <c r="Y1068" t="s">
        <v>114</v>
      </c>
    </row>
    <row r="1069" spans="1:25" x14ac:dyDescent="0.25">
      <c r="A1069" t="s">
        <v>4497</v>
      </c>
      <c r="B1069" t="s">
        <v>4604</v>
      </c>
      <c r="C1069">
        <v>606</v>
      </c>
      <c r="D1069" t="s">
        <v>77</v>
      </c>
      <c r="E1069" t="s">
        <v>64</v>
      </c>
      <c r="F1069" t="s">
        <v>4256</v>
      </c>
      <c r="H1069">
        <v>97</v>
      </c>
      <c r="I1069">
        <v>1400</v>
      </c>
      <c r="J1069" t="s">
        <v>4605</v>
      </c>
      <c r="K1069" t="s">
        <v>4606</v>
      </c>
      <c r="M1069" t="s">
        <v>4487</v>
      </c>
      <c r="N1069">
        <v>60602</v>
      </c>
      <c r="O1069" t="s">
        <v>4488</v>
      </c>
      <c r="Q1069" t="s">
        <v>4489</v>
      </c>
      <c r="R1069" t="s">
        <v>4607</v>
      </c>
      <c r="S1069" t="s">
        <v>2634</v>
      </c>
      <c r="T1069" s="6">
        <v>5200000000</v>
      </c>
      <c r="U1069" s="45">
        <f>VLOOKUP(B1069,realPrices!C:G,5,0)</f>
        <v>4688787000</v>
      </c>
      <c r="W1069" t="str">
        <f t="shared" si="16"/>
        <v>207i TU5P A1400</v>
      </c>
      <c r="X1069">
        <f>VLOOKUP(W1069,Sheet10!D:F,2,0)*10000000</f>
        <v>7000000000</v>
      </c>
      <c r="Y1069" t="s">
        <v>114</v>
      </c>
    </row>
    <row r="1070" spans="1:25" x14ac:dyDescent="0.25">
      <c r="A1070" t="s">
        <v>4497</v>
      </c>
      <c r="B1070" t="s">
        <v>4687</v>
      </c>
      <c r="C1070">
        <v>606</v>
      </c>
      <c r="D1070" t="s">
        <v>77</v>
      </c>
      <c r="E1070" t="s">
        <v>64</v>
      </c>
      <c r="F1070" t="s">
        <v>4256</v>
      </c>
      <c r="H1070">
        <v>54</v>
      </c>
      <c r="I1070">
        <v>1400</v>
      </c>
      <c r="J1070" t="s">
        <v>4688</v>
      </c>
      <c r="K1070" t="s">
        <v>4641</v>
      </c>
      <c r="M1070" t="s">
        <v>4487</v>
      </c>
      <c r="N1070">
        <v>60602</v>
      </c>
      <c r="O1070" t="s">
        <v>4488</v>
      </c>
      <c r="Q1070" t="s">
        <v>4489</v>
      </c>
      <c r="R1070" t="s">
        <v>4689</v>
      </c>
      <c r="S1070" t="s">
        <v>2855</v>
      </c>
      <c r="T1070" s="6">
        <v>5200000000</v>
      </c>
      <c r="U1070" s="45">
        <f>VLOOKUP(B1070,realPrices!C:G,5,0)</f>
        <v>4665839999</v>
      </c>
      <c r="W1070" t="str">
        <f t="shared" si="16"/>
        <v>207i TU5P A1400</v>
      </c>
      <c r="X1070">
        <f>VLOOKUP(W1070,Sheet10!D:F,2,0)*10000000</f>
        <v>7000000000</v>
      </c>
      <c r="Y1070" t="s">
        <v>114</v>
      </c>
    </row>
    <row r="1071" spans="1:25" x14ac:dyDescent="0.25">
      <c r="A1071" t="s">
        <v>4497</v>
      </c>
      <c r="B1071" t="s">
        <v>4739</v>
      </c>
      <c r="C1071">
        <v>606</v>
      </c>
      <c r="D1071" t="s">
        <v>77</v>
      </c>
      <c r="E1071" t="s">
        <v>64</v>
      </c>
      <c r="F1071" t="s">
        <v>4256</v>
      </c>
      <c r="H1071">
        <v>116</v>
      </c>
      <c r="I1071">
        <v>1400</v>
      </c>
      <c r="J1071" t="s">
        <v>4740</v>
      </c>
      <c r="K1071" t="s">
        <v>4641</v>
      </c>
      <c r="M1071" t="s">
        <v>4487</v>
      </c>
      <c r="N1071">
        <v>60602</v>
      </c>
      <c r="O1071" t="s">
        <v>4488</v>
      </c>
      <c r="Q1071" t="s">
        <v>4489</v>
      </c>
      <c r="R1071" t="s">
        <v>4741</v>
      </c>
      <c r="S1071" t="s">
        <v>2705</v>
      </c>
      <c r="T1071" s="6">
        <v>5200000000</v>
      </c>
      <c r="U1071" s="45">
        <f>VLOOKUP(B1071,realPrices!C:G,5,0)</f>
        <v>4837870000</v>
      </c>
      <c r="W1071" t="str">
        <f t="shared" si="16"/>
        <v>207i TU5P A1400</v>
      </c>
      <c r="X1071">
        <f>VLOOKUP(W1071,Sheet10!D:F,2,0)*10000000</f>
        <v>7000000000</v>
      </c>
      <c r="Y1071" t="s">
        <v>114</v>
      </c>
    </row>
    <row r="1072" spans="1:25" x14ac:dyDescent="0.25">
      <c r="A1072" t="s">
        <v>4483</v>
      </c>
      <c r="B1072" t="s">
        <v>4643</v>
      </c>
      <c r="C1072">
        <v>606</v>
      </c>
      <c r="D1072" t="s">
        <v>63</v>
      </c>
      <c r="E1072" t="s">
        <v>64</v>
      </c>
      <c r="F1072" t="s">
        <v>4256</v>
      </c>
      <c r="H1072">
        <v>39</v>
      </c>
      <c r="I1072">
        <v>1400</v>
      </c>
      <c r="J1072" t="s">
        <v>4644</v>
      </c>
      <c r="K1072" t="s">
        <v>4641</v>
      </c>
      <c r="M1072" t="s">
        <v>4487</v>
      </c>
      <c r="N1072">
        <v>60602</v>
      </c>
      <c r="O1072" t="s">
        <v>4488</v>
      </c>
      <c r="Q1072" t="s">
        <v>4489</v>
      </c>
      <c r="R1072" t="s">
        <v>4645</v>
      </c>
      <c r="S1072" t="s">
        <v>4420</v>
      </c>
      <c r="T1072" s="6">
        <v>5200000000</v>
      </c>
      <c r="U1072" s="45">
        <f>VLOOKUP(B1072,realPrices!C:G,5,0)</f>
        <v>5100000111</v>
      </c>
      <c r="W1072" t="str">
        <f t="shared" si="16"/>
        <v>207i TU5P A1400</v>
      </c>
      <c r="X1072">
        <f>VLOOKUP(W1072,Sheet10!D:F,2,0)*10000000</f>
        <v>7000000000</v>
      </c>
      <c r="Y1072" t="s">
        <v>114</v>
      </c>
    </row>
    <row r="1073" spans="1:25" x14ac:dyDescent="0.25">
      <c r="A1073" t="s">
        <v>5364</v>
      </c>
      <c r="B1073" t="s">
        <v>5365</v>
      </c>
      <c r="C1073">
        <v>704</v>
      </c>
      <c r="D1073" t="s">
        <v>259</v>
      </c>
      <c r="E1073" t="s">
        <v>64</v>
      </c>
      <c r="F1073" t="s">
        <v>491</v>
      </c>
      <c r="H1073">
        <v>44</v>
      </c>
      <c r="I1073">
        <v>1401</v>
      </c>
      <c r="J1073" t="s">
        <v>5366</v>
      </c>
      <c r="K1073" t="s">
        <v>5367</v>
      </c>
      <c r="M1073" t="s">
        <v>4401</v>
      </c>
      <c r="N1073">
        <v>70408</v>
      </c>
      <c r="O1073" t="s">
        <v>70</v>
      </c>
      <c r="Q1073" t="s">
        <v>4402</v>
      </c>
      <c r="R1073" t="s">
        <v>5368</v>
      </c>
      <c r="S1073" t="s">
        <v>4608</v>
      </c>
      <c r="T1073" s="6">
        <v>5210000000</v>
      </c>
      <c r="U1073" s="45">
        <f>VLOOKUP(B1073,realPrices!C:G,5,0)</f>
        <v>5888888888</v>
      </c>
      <c r="W1073" t="str">
        <f t="shared" si="16"/>
        <v>DENA EF7 TC-MT1401</v>
      </c>
      <c r="X1073">
        <f>VLOOKUP(W1073,Sheet10!D:F,2,0)*10000000</f>
        <v>6750000000</v>
      </c>
      <c r="Y1073" t="s">
        <v>114</v>
      </c>
    </row>
    <row r="1074" spans="1:25" x14ac:dyDescent="0.25">
      <c r="A1074" t="s">
        <v>4497</v>
      </c>
      <c r="B1074" t="s">
        <v>5369</v>
      </c>
      <c r="C1074">
        <v>606</v>
      </c>
      <c r="D1074" t="s">
        <v>77</v>
      </c>
      <c r="E1074" t="s">
        <v>64</v>
      </c>
      <c r="F1074" t="s">
        <v>4256</v>
      </c>
      <c r="H1074">
        <v>64</v>
      </c>
      <c r="I1074">
        <v>1400</v>
      </c>
      <c r="J1074" t="s">
        <v>5370</v>
      </c>
      <c r="K1074" t="s">
        <v>5371</v>
      </c>
      <c r="M1074" t="s">
        <v>4487</v>
      </c>
      <c r="N1074">
        <v>60602</v>
      </c>
      <c r="O1074" t="s">
        <v>4488</v>
      </c>
      <c r="Q1074" t="s">
        <v>4489</v>
      </c>
      <c r="R1074" t="s">
        <v>5372</v>
      </c>
      <c r="S1074" t="s">
        <v>4502</v>
      </c>
      <c r="T1074" s="6">
        <v>5220000000</v>
      </c>
      <c r="U1074" s="45">
        <f>VLOOKUP(B1074,realPrices!C:G,5,0)</f>
        <v>6360000000</v>
      </c>
      <c r="W1074" t="str">
        <f t="shared" si="16"/>
        <v>207i TU5P A1400</v>
      </c>
      <c r="X1074">
        <f>VLOOKUP(W1074,Sheet10!D:F,2,0)*10000000</f>
        <v>7000000000</v>
      </c>
      <c r="Y1074" t="s">
        <v>114</v>
      </c>
    </row>
    <row r="1075" spans="1:25" x14ac:dyDescent="0.25">
      <c r="A1075" t="s">
        <v>4497</v>
      </c>
      <c r="B1075" t="s">
        <v>5373</v>
      </c>
      <c r="C1075">
        <v>606</v>
      </c>
      <c r="D1075" t="s">
        <v>77</v>
      </c>
      <c r="E1075" t="s">
        <v>64</v>
      </c>
      <c r="F1075" t="s">
        <v>420</v>
      </c>
      <c r="H1075">
        <v>64</v>
      </c>
      <c r="I1075">
        <v>1400</v>
      </c>
      <c r="J1075" t="s">
        <v>5374</v>
      </c>
      <c r="K1075" t="s">
        <v>5375</v>
      </c>
      <c r="M1075" t="s">
        <v>4487</v>
      </c>
      <c r="N1075">
        <v>60602</v>
      </c>
      <c r="O1075" t="s">
        <v>4488</v>
      </c>
      <c r="Q1075" t="s">
        <v>4489</v>
      </c>
      <c r="R1075" t="s">
        <v>5376</v>
      </c>
      <c r="S1075" t="s">
        <v>2913</v>
      </c>
      <c r="T1075" s="6">
        <v>5220000000</v>
      </c>
      <c r="U1075" s="45">
        <f>VLOOKUP(B1075,realPrices!C:G,5,0)</f>
        <v>5777777777</v>
      </c>
      <c r="W1075" t="str">
        <f t="shared" si="16"/>
        <v>207i TU5P A1400</v>
      </c>
      <c r="X1075">
        <f>VLOOKUP(W1075,Sheet10!D:F,2,0)*10000000</f>
        <v>7000000000</v>
      </c>
      <c r="Y1075" t="s">
        <v>114</v>
      </c>
    </row>
    <row r="1076" spans="1:25" x14ac:dyDescent="0.25">
      <c r="A1076" t="s">
        <v>4483</v>
      </c>
      <c r="B1076" t="s">
        <v>4727</v>
      </c>
      <c r="C1076">
        <v>606</v>
      </c>
      <c r="D1076" t="s">
        <v>63</v>
      </c>
      <c r="E1076" t="s">
        <v>64</v>
      </c>
      <c r="F1076" t="s">
        <v>4256</v>
      </c>
      <c r="H1076">
        <v>57</v>
      </c>
      <c r="I1076">
        <v>1400</v>
      </c>
      <c r="J1076" t="s">
        <v>4728</v>
      </c>
      <c r="K1076" t="s">
        <v>4729</v>
      </c>
      <c r="M1076" t="s">
        <v>4487</v>
      </c>
      <c r="N1076">
        <v>60602</v>
      </c>
      <c r="O1076" t="s">
        <v>4488</v>
      </c>
      <c r="Q1076" t="s">
        <v>4489</v>
      </c>
      <c r="R1076" t="s">
        <v>4730</v>
      </c>
      <c r="S1076" t="s">
        <v>2761</v>
      </c>
      <c r="T1076" s="6">
        <v>5220000000</v>
      </c>
      <c r="U1076" s="45">
        <f>VLOOKUP(B1076,realPrices!C:G,5,0)</f>
        <v>5105555555</v>
      </c>
      <c r="W1076" t="str">
        <f t="shared" si="16"/>
        <v>207i TU5P A1400</v>
      </c>
      <c r="X1076">
        <f>VLOOKUP(W1076,Sheet10!D:F,2,0)*10000000</f>
        <v>7000000000</v>
      </c>
      <c r="Y1076" t="s">
        <v>114</v>
      </c>
    </row>
    <row r="1077" spans="1:25" x14ac:dyDescent="0.25">
      <c r="A1077" t="s">
        <v>4483</v>
      </c>
      <c r="B1077" t="s">
        <v>4665</v>
      </c>
      <c r="C1077">
        <v>606</v>
      </c>
      <c r="D1077" t="s">
        <v>63</v>
      </c>
      <c r="E1077" t="s">
        <v>64</v>
      </c>
      <c r="F1077" t="s">
        <v>4256</v>
      </c>
      <c r="H1077">
        <v>81</v>
      </c>
      <c r="I1077">
        <v>1400</v>
      </c>
      <c r="J1077" t="s">
        <v>4666</v>
      </c>
      <c r="K1077" t="s">
        <v>4667</v>
      </c>
      <c r="M1077" t="s">
        <v>4487</v>
      </c>
      <c r="N1077">
        <v>60602</v>
      </c>
      <c r="O1077" t="s">
        <v>4488</v>
      </c>
      <c r="Q1077" t="s">
        <v>4489</v>
      </c>
      <c r="R1077" t="s">
        <v>4668</v>
      </c>
      <c r="S1077" t="s">
        <v>2886</v>
      </c>
      <c r="T1077" s="6">
        <v>5220000000</v>
      </c>
      <c r="U1077" s="45">
        <f>VLOOKUP(B1077,realPrices!C:G,5,0)</f>
        <v>5129983269</v>
      </c>
      <c r="W1077" t="str">
        <f t="shared" si="16"/>
        <v>207i TU5P A1400</v>
      </c>
      <c r="X1077">
        <f>VLOOKUP(W1077,Sheet10!D:F,2,0)*10000000</f>
        <v>7000000000</v>
      </c>
      <c r="Y1077" t="s">
        <v>114</v>
      </c>
    </row>
    <row r="1078" spans="1:25" x14ac:dyDescent="0.25">
      <c r="A1078" t="s">
        <v>4497</v>
      </c>
      <c r="B1078" t="s">
        <v>5377</v>
      </c>
      <c r="C1078">
        <v>606</v>
      </c>
      <c r="D1078" t="s">
        <v>77</v>
      </c>
      <c r="E1078" t="s">
        <v>64</v>
      </c>
      <c r="F1078" t="s">
        <v>318</v>
      </c>
      <c r="H1078">
        <v>28</v>
      </c>
      <c r="I1078">
        <v>1401</v>
      </c>
      <c r="J1078" t="s">
        <v>5378</v>
      </c>
      <c r="K1078" t="s">
        <v>5379</v>
      </c>
      <c r="M1078" t="s">
        <v>4487</v>
      </c>
      <c r="N1078">
        <v>60602</v>
      </c>
      <c r="O1078" t="s">
        <v>4488</v>
      </c>
      <c r="Q1078" t="s">
        <v>4489</v>
      </c>
      <c r="R1078" t="s">
        <v>5380</v>
      </c>
      <c r="S1078" t="s">
        <v>4981</v>
      </c>
      <c r="T1078" s="6">
        <v>5250000000</v>
      </c>
      <c r="U1078" s="45">
        <f>VLOOKUP(B1078,realPrices!C:G,5,0)</f>
        <v>6097500000</v>
      </c>
      <c r="W1078" t="str">
        <f t="shared" si="16"/>
        <v>207i TU5P A1401</v>
      </c>
      <c r="X1078">
        <f>VLOOKUP(W1078,Sheet10!D:F,2,0)*10000000</f>
        <v>7100000000</v>
      </c>
      <c r="Y1078" t="s">
        <v>114</v>
      </c>
    </row>
    <row r="1079" spans="1:25" x14ac:dyDescent="0.25">
      <c r="A1079" t="s">
        <v>4497</v>
      </c>
      <c r="B1079" t="s">
        <v>5381</v>
      </c>
      <c r="C1079">
        <v>606</v>
      </c>
      <c r="D1079" t="s">
        <v>77</v>
      </c>
      <c r="E1079" t="s">
        <v>64</v>
      </c>
      <c r="F1079" t="s">
        <v>420</v>
      </c>
      <c r="H1079">
        <v>59</v>
      </c>
      <c r="I1079">
        <v>1401</v>
      </c>
      <c r="J1079" t="s">
        <v>5382</v>
      </c>
      <c r="K1079" t="s">
        <v>5383</v>
      </c>
      <c r="M1079" t="s">
        <v>4487</v>
      </c>
      <c r="N1079">
        <v>60602</v>
      </c>
      <c r="O1079" t="s">
        <v>4488</v>
      </c>
      <c r="Q1079" t="s">
        <v>4489</v>
      </c>
      <c r="R1079" t="s">
        <v>5384</v>
      </c>
      <c r="S1079" t="s">
        <v>4558</v>
      </c>
      <c r="T1079" s="6">
        <v>5250000000</v>
      </c>
      <c r="U1079" s="45">
        <f>VLOOKUP(B1079,realPrices!C:G,5,0)</f>
        <v>6066555000</v>
      </c>
      <c r="W1079" t="str">
        <f t="shared" si="16"/>
        <v>207i TU5P A1401</v>
      </c>
      <c r="X1079">
        <f>VLOOKUP(W1079,Sheet10!D:F,2,0)*10000000</f>
        <v>7100000000</v>
      </c>
      <c r="Y1079" t="s">
        <v>114</v>
      </c>
    </row>
    <row r="1080" spans="1:25" x14ac:dyDescent="0.25">
      <c r="A1080" t="s">
        <v>4497</v>
      </c>
      <c r="B1080" t="s">
        <v>5385</v>
      </c>
      <c r="C1080">
        <v>606</v>
      </c>
      <c r="D1080" t="s">
        <v>77</v>
      </c>
      <c r="E1080" t="s">
        <v>64</v>
      </c>
      <c r="F1080" t="s">
        <v>420</v>
      </c>
      <c r="H1080">
        <v>48</v>
      </c>
      <c r="I1080">
        <v>1401</v>
      </c>
      <c r="J1080" t="s">
        <v>5386</v>
      </c>
      <c r="K1080" t="s">
        <v>5387</v>
      </c>
      <c r="M1080" t="s">
        <v>4487</v>
      </c>
      <c r="N1080">
        <v>60602</v>
      </c>
      <c r="O1080" t="s">
        <v>4488</v>
      </c>
      <c r="Q1080" t="s">
        <v>4489</v>
      </c>
      <c r="R1080" t="s">
        <v>5388</v>
      </c>
      <c r="S1080" t="s">
        <v>2670</v>
      </c>
      <c r="T1080" s="6">
        <v>5250000000</v>
      </c>
      <c r="U1080" s="45">
        <f>VLOOKUP(B1080,realPrices!C:G,5,0)</f>
        <v>5866666666</v>
      </c>
      <c r="W1080" t="str">
        <f t="shared" si="16"/>
        <v>207i TU5P A1401</v>
      </c>
      <c r="X1080">
        <f>VLOOKUP(W1080,Sheet10!D:F,2,0)*10000000</f>
        <v>7100000000</v>
      </c>
      <c r="Y1080" t="s">
        <v>114</v>
      </c>
    </row>
    <row r="1081" spans="1:25" x14ac:dyDescent="0.25">
      <c r="A1081" t="s">
        <v>4497</v>
      </c>
      <c r="B1081" t="s">
        <v>5389</v>
      </c>
      <c r="C1081">
        <v>606</v>
      </c>
      <c r="D1081" t="s">
        <v>77</v>
      </c>
      <c r="E1081" t="s">
        <v>64</v>
      </c>
      <c r="F1081" t="s">
        <v>420</v>
      </c>
      <c r="H1081">
        <v>42</v>
      </c>
      <c r="I1081">
        <v>1401</v>
      </c>
      <c r="J1081" t="s">
        <v>5390</v>
      </c>
      <c r="K1081" t="s">
        <v>5391</v>
      </c>
      <c r="M1081" t="s">
        <v>4487</v>
      </c>
      <c r="N1081">
        <v>60602</v>
      </c>
      <c r="O1081" t="s">
        <v>4488</v>
      </c>
      <c r="Q1081" t="s">
        <v>4489</v>
      </c>
      <c r="R1081" t="s">
        <v>5392</v>
      </c>
      <c r="S1081" t="s">
        <v>2538</v>
      </c>
      <c r="T1081" s="6">
        <v>5250000000</v>
      </c>
      <c r="U1081" s="45">
        <f>VLOOKUP(B1081,realPrices!C:G,5,0)</f>
        <v>5939999999</v>
      </c>
      <c r="W1081" t="str">
        <f t="shared" si="16"/>
        <v>207i TU5P A1401</v>
      </c>
      <c r="X1081">
        <f>VLOOKUP(W1081,Sheet10!D:F,2,0)*10000000</f>
        <v>7100000000</v>
      </c>
      <c r="Y1081" t="s">
        <v>114</v>
      </c>
    </row>
    <row r="1082" spans="1:25" x14ac:dyDescent="0.25">
      <c r="A1082" t="s">
        <v>4497</v>
      </c>
      <c r="B1082" t="s">
        <v>4869</v>
      </c>
      <c r="C1082">
        <v>606</v>
      </c>
      <c r="D1082" t="s">
        <v>77</v>
      </c>
      <c r="E1082" t="s">
        <v>64</v>
      </c>
      <c r="F1082" t="s">
        <v>2696</v>
      </c>
      <c r="H1082">
        <v>57</v>
      </c>
      <c r="I1082">
        <v>1401</v>
      </c>
      <c r="J1082" t="s">
        <v>4870</v>
      </c>
      <c r="K1082" t="s">
        <v>4871</v>
      </c>
      <c r="M1082" t="s">
        <v>4487</v>
      </c>
      <c r="N1082">
        <v>60602</v>
      </c>
      <c r="O1082" t="s">
        <v>4488</v>
      </c>
      <c r="Q1082" t="s">
        <v>4489</v>
      </c>
      <c r="R1082" t="s">
        <v>4872</v>
      </c>
      <c r="S1082" t="s">
        <v>2523</v>
      </c>
      <c r="T1082" s="6">
        <v>5250000000</v>
      </c>
      <c r="U1082" s="45">
        <f>VLOOKUP(B1082,realPrices!C:G,5,0)</f>
        <v>4755555555</v>
      </c>
      <c r="W1082" t="str">
        <f t="shared" si="16"/>
        <v>207i TU5P A1401</v>
      </c>
      <c r="X1082">
        <f>VLOOKUP(W1082,Sheet10!D:F,2,0)*10000000</f>
        <v>7100000000</v>
      </c>
      <c r="Y1082" t="s">
        <v>114</v>
      </c>
    </row>
    <row r="1083" spans="1:25" x14ac:dyDescent="0.25">
      <c r="A1083" t="s">
        <v>4497</v>
      </c>
      <c r="B1083" t="s">
        <v>5393</v>
      </c>
      <c r="C1083">
        <v>606</v>
      </c>
      <c r="D1083" t="s">
        <v>77</v>
      </c>
      <c r="E1083" t="s">
        <v>64</v>
      </c>
      <c r="F1083" t="s">
        <v>491</v>
      </c>
      <c r="H1083">
        <v>34</v>
      </c>
      <c r="I1083">
        <v>1401</v>
      </c>
      <c r="J1083" t="s">
        <v>5394</v>
      </c>
      <c r="K1083" t="s">
        <v>5395</v>
      </c>
      <c r="M1083" t="s">
        <v>4487</v>
      </c>
      <c r="N1083">
        <v>60602</v>
      </c>
      <c r="O1083" t="s">
        <v>4488</v>
      </c>
      <c r="Q1083" t="s">
        <v>4489</v>
      </c>
      <c r="R1083" t="s">
        <v>5396</v>
      </c>
      <c r="S1083" t="s">
        <v>4784</v>
      </c>
      <c r="T1083" s="6">
        <v>5250000000</v>
      </c>
      <c r="U1083" s="45">
        <f>VLOOKUP(B1083,realPrices!C:G,5,0)</f>
        <v>5919999999</v>
      </c>
      <c r="W1083" t="str">
        <f t="shared" si="16"/>
        <v>207i TU5P A1401</v>
      </c>
      <c r="X1083">
        <f>VLOOKUP(W1083,Sheet10!D:F,2,0)*10000000</f>
        <v>7100000000</v>
      </c>
      <c r="Y1083" t="s">
        <v>114</v>
      </c>
    </row>
    <row r="1084" spans="1:25" x14ac:dyDescent="0.25">
      <c r="A1084" t="s">
        <v>4483</v>
      </c>
      <c r="B1084" t="s">
        <v>5397</v>
      </c>
      <c r="C1084">
        <v>606</v>
      </c>
      <c r="D1084" t="s">
        <v>63</v>
      </c>
      <c r="E1084" t="s">
        <v>64</v>
      </c>
      <c r="F1084" t="s">
        <v>420</v>
      </c>
      <c r="H1084">
        <v>22</v>
      </c>
      <c r="I1084">
        <v>1401</v>
      </c>
      <c r="J1084" t="s">
        <v>5398</v>
      </c>
      <c r="K1084" t="s">
        <v>5399</v>
      </c>
      <c r="M1084" t="s">
        <v>4487</v>
      </c>
      <c r="N1084">
        <v>60602</v>
      </c>
      <c r="O1084" t="s">
        <v>4488</v>
      </c>
      <c r="Q1084" t="s">
        <v>4489</v>
      </c>
      <c r="R1084" t="s">
        <v>5400</v>
      </c>
      <c r="S1084" t="s">
        <v>5401</v>
      </c>
      <c r="T1084" s="6">
        <v>5250000000</v>
      </c>
      <c r="U1084" s="45">
        <f>VLOOKUP(B1084,realPrices!C:G,5,0)</f>
        <v>6200111000</v>
      </c>
      <c r="W1084" t="str">
        <f t="shared" si="16"/>
        <v>207i TU5P A1401</v>
      </c>
      <c r="X1084">
        <f>VLOOKUP(W1084,Sheet10!D:F,2,0)*10000000</f>
        <v>7100000000</v>
      </c>
      <c r="Y1084" t="s">
        <v>114</v>
      </c>
    </row>
    <row r="1085" spans="1:25" x14ac:dyDescent="0.25">
      <c r="A1085" t="s">
        <v>4497</v>
      </c>
      <c r="B1085" t="s">
        <v>5402</v>
      </c>
      <c r="C1085">
        <v>606</v>
      </c>
      <c r="D1085" t="s">
        <v>77</v>
      </c>
      <c r="E1085" t="s">
        <v>64</v>
      </c>
      <c r="F1085" t="s">
        <v>420</v>
      </c>
      <c r="H1085">
        <v>39</v>
      </c>
      <c r="I1085">
        <v>1401</v>
      </c>
      <c r="J1085" t="s">
        <v>5403</v>
      </c>
      <c r="K1085" t="s">
        <v>5404</v>
      </c>
      <c r="M1085" t="s">
        <v>4487</v>
      </c>
      <c r="N1085">
        <v>60602</v>
      </c>
      <c r="O1085" t="s">
        <v>4488</v>
      </c>
      <c r="Q1085" t="s">
        <v>4489</v>
      </c>
      <c r="R1085" t="s">
        <v>5405</v>
      </c>
      <c r="S1085" t="s">
        <v>4653</v>
      </c>
      <c r="T1085" s="6">
        <v>5270000000</v>
      </c>
      <c r="U1085" s="45">
        <f>VLOOKUP(B1085,realPrices!C:G,5,0)</f>
        <v>5919000000</v>
      </c>
      <c r="W1085" t="str">
        <f t="shared" si="16"/>
        <v>207i TU5P A1401</v>
      </c>
      <c r="X1085">
        <f>VLOOKUP(W1085,Sheet10!D:F,2,0)*10000000</f>
        <v>7100000000</v>
      </c>
      <c r="Y1085" t="s">
        <v>114</v>
      </c>
    </row>
    <row r="1086" spans="1:25" x14ac:dyDescent="0.25">
      <c r="A1086" t="s">
        <v>4497</v>
      </c>
      <c r="B1086" t="s">
        <v>5406</v>
      </c>
      <c r="C1086">
        <v>606</v>
      </c>
      <c r="D1086" t="s">
        <v>77</v>
      </c>
      <c r="E1086" t="s">
        <v>64</v>
      </c>
      <c r="F1086" t="s">
        <v>420</v>
      </c>
      <c r="H1086">
        <v>55</v>
      </c>
      <c r="I1086">
        <v>1401</v>
      </c>
      <c r="J1086" t="s">
        <v>5407</v>
      </c>
      <c r="K1086" t="s">
        <v>5408</v>
      </c>
      <c r="M1086" t="s">
        <v>4487</v>
      </c>
      <c r="N1086">
        <v>60602</v>
      </c>
      <c r="O1086" t="s">
        <v>4488</v>
      </c>
      <c r="Q1086" t="s">
        <v>4489</v>
      </c>
      <c r="R1086" t="s">
        <v>5409</v>
      </c>
      <c r="S1086" t="s">
        <v>3440</v>
      </c>
      <c r="T1086" s="6">
        <v>5280000000</v>
      </c>
      <c r="U1086" s="45">
        <f>VLOOKUP(B1086,realPrices!C:G,5,0)</f>
        <v>5703590000</v>
      </c>
      <c r="W1086" t="str">
        <f t="shared" si="16"/>
        <v>207i TU5P A1401</v>
      </c>
      <c r="X1086">
        <f>VLOOKUP(W1086,Sheet10!D:F,2,0)*10000000</f>
        <v>7100000000</v>
      </c>
      <c r="Y1086" t="s">
        <v>114</v>
      </c>
    </row>
    <row r="1087" spans="1:25" x14ac:dyDescent="0.25">
      <c r="A1087" t="s">
        <v>4497</v>
      </c>
      <c r="B1087" t="s">
        <v>5410</v>
      </c>
      <c r="C1087">
        <v>606</v>
      </c>
      <c r="D1087" t="s">
        <v>77</v>
      </c>
      <c r="E1087" t="s">
        <v>64</v>
      </c>
      <c r="F1087" t="s">
        <v>318</v>
      </c>
      <c r="H1087">
        <v>26</v>
      </c>
      <c r="I1087">
        <v>1401</v>
      </c>
      <c r="J1087" t="s">
        <v>5411</v>
      </c>
      <c r="K1087" t="s">
        <v>5412</v>
      </c>
      <c r="M1087" t="s">
        <v>4487</v>
      </c>
      <c r="N1087">
        <v>60602</v>
      </c>
      <c r="O1087" t="s">
        <v>4488</v>
      </c>
      <c r="Q1087" t="s">
        <v>4489</v>
      </c>
      <c r="R1087" t="s">
        <v>5413</v>
      </c>
      <c r="S1087" t="s">
        <v>4845</v>
      </c>
      <c r="T1087" s="6">
        <v>5300000000</v>
      </c>
      <c r="U1087" s="45">
        <f>VLOOKUP(B1087,realPrices!C:G,5,0)</f>
        <v>6288888888</v>
      </c>
      <c r="W1087" t="str">
        <f t="shared" si="16"/>
        <v>207i TU5P A1401</v>
      </c>
      <c r="X1087">
        <f>VLOOKUP(W1087,Sheet10!D:F,2,0)*10000000</f>
        <v>7100000000</v>
      </c>
      <c r="Y1087" t="s">
        <v>114</v>
      </c>
    </row>
    <row r="1088" spans="1:25" x14ac:dyDescent="0.25">
      <c r="A1088" t="s">
        <v>4497</v>
      </c>
      <c r="B1088" t="s">
        <v>5414</v>
      </c>
      <c r="C1088">
        <v>606</v>
      </c>
      <c r="D1088" t="s">
        <v>77</v>
      </c>
      <c r="E1088" t="s">
        <v>64</v>
      </c>
      <c r="F1088" t="s">
        <v>420</v>
      </c>
      <c r="H1088">
        <v>55</v>
      </c>
      <c r="I1088">
        <v>1401</v>
      </c>
      <c r="J1088" t="s">
        <v>5415</v>
      </c>
      <c r="K1088" t="s">
        <v>5416</v>
      </c>
      <c r="M1088" t="s">
        <v>4487</v>
      </c>
      <c r="N1088">
        <v>60602</v>
      </c>
      <c r="O1088" t="s">
        <v>4488</v>
      </c>
      <c r="Q1088" t="s">
        <v>4489</v>
      </c>
      <c r="R1088" t="s">
        <v>5417</v>
      </c>
      <c r="S1088" t="s">
        <v>4924</v>
      </c>
      <c r="T1088" s="6">
        <v>5300000000</v>
      </c>
      <c r="U1088" s="45">
        <f>VLOOKUP(B1088,realPrices!C:G,5,0)</f>
        <v>6385000000</v>
      </c>
      <c r="W1088" t="str">
        <f t="shared" si="16"/>
        <v>207i TU5P A1401</v>
      </c>
      <c r="X1088">
        <f>VLOOKUP(W1088,Sheet10!D:F,2,0)*10000000</f>
        <v>7100000000</v>
      </c>
      <c r="Y1088" t="s">
        <v>114</v>
      </c>
    </row>
    <row r="1089" spans="1:25" x14ac:dyDescent="0.25">
      <c r="A1089" t="s">
        <v>4497</v>
      </c>
      <c r="B1089" t="s">
        <v>5418</v>
      </c>
      <c r="C1089">
        <v>606</v>
      </c>
      <c r="D1089" t="s">
        <v>77</v>
      </c>
      <c r="E1089" t="s">
        <v>64</v>
      </c>
      <c r="F1089" t="s">
        <v>420</v>
      </c>
      <c r="H1089">
        <v>51</v>
      </c>
      <c r="I1089">
        <v>1401</v>
      </c>
      <c r="J1089" t="s">
        <v>5419</v>
      </c>
      <c r="K1089" t="s">
        <v>5420</v>
      </c>
      <c r="M1089" t="s">
        <v>4487</v>
      </c>
      <c r="N1089">
        <v>60602</v>
      </c>
      <c r="O1089" t="s">
        <v>4488</v>
      </c>
      <c r="Q1089" t="s">
        <v>4489</v>
      </c>
      <c r="R1089" t="s">
        <v>5421</v>
      </c>
      <c r="S1089" t="s">
        <v>4934</v>
      </c>
      <c r="T1089" s="6">
        <v>5300000000</v>
      </c>
      <c r="U1089" s="45">
        <f>VLOOKUP(B1089,realPrices!C:G,5,0)</f>
        <v>5720000000</v>
      </c>
      <c r="W1089" t="str">
        <f t="shared" si="16"/>
        <v>207i TU5P A1401</v>
      </c>
      <c r="X1089">
        <f>VLOOKUP(W1089,Sheet10!D:F,2,0)*10000000</f>
        <v>7100000000</v>
      </c>
      <c r="Y1089" t="s">
        <v>114</v>
      </c>
    </row>
    <row r="1090" spans="1:25" x14ac:dyDescent="0.25">
      <c r="A1090" t="s">
        <v>4497</v>
      </c>
      <c r="B1090" t="s">
        <v>5422</v>
      </c>
      <c r="C1090">
        <v>606</v>
      </c>
      <c r="D1090" t="s">
        <v>77</v>
      </c>
      <c r="E1090" t="s">
        <v>64</v>
      </c>
      <c r="F1090" t="s">
        <v>491</v>
      </c>
      <c r="H1090">
        <v>37</v>
      </c>
      <c r="I1090">
        <v>1401</v>
      </c>
      <c r="J1090" t="s">
        <v>5423</v>
      </c>
      <c r="K1090" t="s">
        <v>5424</v>
      </c>
      <c r="M1090" t="s">
        <v>4487</v>
      </c>
      <c r="N1090">
        <v>60602</v>
      </c>
      <c r="O1090" t="s">
        <v>4488</v>
      </c>
      <c r="Q1090" t="s">
        <v>4489</v>
      </c>
      <c r="R1090" t="s">
        <v>5425</v>
      </c>
      <c r="S1090" t="s">
        <v>4446</v>
      </c>
      <c r="T1090" s="6">
        <v>5300000000</v>
      </c>
      <c r="U1090" s="45">
        <f>VLOOKUP(B1090,realPrices!C:G,5,0)</f>
        <v>5960000000</v>
      </c>
      <c r="W1090" t="str">
        <f t="shared" ref="W1090:W1153" si="17">M1090&amp;I1090</f>
        <v>207i TU5P A1401</v>
      </c>
      <c r="X1090">
        <f>VLOOKUP(W1090,Sheet10!D:F,2,0)*10000000</f>
        <v>7100000000</v>
      </c>
      <c r="Y1090" t="s">
        <v>114</v>
      </c>
    </row>
    <row r="1091" spans="1:25" x14ac:dyDescent="0.25">
      <c r="A1091" t="s">
        <v>4497</v>
      </c>
      <c r="B1091" t="s">
        <v>5426</v>
      </c>
      <c r="C1091">
        <v>606</v>
      </c>
      <c r="D1091" t="s">
        <v>77</v>
      </c>
      <c r="E1091" t="s">
        <v>64</v>
      </c>
      <c r="F1091" t="s">
        <v>420</v>
      </c>
      <c r="H1091">
        <v>28</v>
      </c>
      <c r="I1091">
        <v>1401</v>
      </c>
      <c r="J1091" t="s">
        <v>5427</v>
      </c>
      <c r="K1091" t="s">
        <v>5428</v>
      </c>
      <c r="M1091" t="s">
        <v>4487</v>
      </c>
      <c r="N1091">
        <v>60602</v>
      </c>
      <c r="O1091" t="s">
        <v>4488</v>
      </c>
      <c r="Q1091" t="s">
        <v>4489</v>
      </c>
      <c r="R1091" t="s">
        <v>5429</v>
      </c>
      <c r="S1091" t="s">
        <v>3457</v>
      </c>
      <c r="T1091" s="6">
        <v>5300000000</v>
      </c>
      <c r="U1091" s="45">
        <f>VLOOKUP(B1091,realPrices!C:G,5,0)</f>
        <v>5512000000</v>
      </c>
      <c r="W1091" t="str">
        <f t="shared" si="17"/>
        <v>207i TU5P A1401</v>
      </c>
      <c r="X1091">
        <f>VLOOKUP(W1091,Sheet10!D:F,2,0)*10000000</f>
        <v>7100000000</v>
      </c>
      <c r="Y1091" t="s">
        <v>114</v>
      </c>
    </row>
    <row r="1092" spans="1:25" x14ac:dyDescent="0.25">
      <c r="A1092" t="s">
        <v>4497</v>
      </c>
      <c r="B1092" t="s">
        <v>5430</v>
      </c>
      <c r="C1092">
        <v>606</v>
      </c>
      <c r="D1092" t="s">
        <v>77</v>
      </c>
      <c r="E1092" t="s">
        <v>64</v>
      </c>
      <c r="F1092" t="s">
        <v>491</v>
      </c>
      <c r="H1092">
        <v>22</v>
      </c>
      <c r="I1092">
        <v>1401</v>
      </c>
      <c r="J1092" t="s">
        <v>5431</v>
      </c>
      <c r="K1092" t="s">
        <v>5432</v>
      </c>
      <c r="M1092" t="s">
        <v>4487</v>
      </c>
      <c r="N1092">
        <v>60602</v>
      </c>
      <c r="O1092" t="s">
        <v>4488</v>
      </c>
      <c r="Q1092" t="s">
        <v>4489</v>
      </c>
      <c r="R1092" t="s">
        <v>5433</v>
      </c>
      <c r="S1092" t="s">
        <v>4799</v>
      </c>
      <c r="T1092" s="6">
        <v>5300000000</v>
      </c>
      <c r="U1092" s="45">
        <f>VLOOKUP(B1092,realPrices!C:G,5,0)</f>
        <v>6057777777</v>
      </c>
      <c r="W1092" t="str">
        <f t="shared" si="17"/>
        <v>207i TU5P A1401</v>
      </c>
      <c r="X1092">
        <f>VLOOKUP(W1092,Sheet10!D:F,2,0)*10000000</f>
        <v>7100000000</v>
      </c>
      <c r="Y1092" t="s">
        <v>114</v>
      </c>
    </row>
    <row r="1093" spans="1:25" x14ac:dyDescent="0.25">
      <c r="A1093" t="s">
        <v>4483</v>
      </c>
      <c r="B1093" t="s">
        <v>5434</v>
      </c>
      <c r="C1093">
        <v>606</v>
      </c>
      <c r="D1093" t="s">
        <v>63</v>
      </c>
      <c r="E1093" t="s">
        <v>64</v>
      </c>
      <c r="F1093" t="s">
        <v>491</v>
      </c>
      <c r="H1093">
        <v>25</v>
      </c>
      <c r="I1093">
        <v>1401</v>
      </c>
      <c r="J1093" t="s">
        <v>5435</v>
      </c>
      <c r="K1093" t="s">
        <v>5436</v>
      </c>
      <c r="M1093" t="s">
        <v>4487</v>
      </c>
      <c r="N1093">
        <v>60602</v>
      </c>
      <c r="O1093" t="s">
        <v>4488</v>
      </c>
      <c r="Q1093" t="s">
        <v>4489</v>
      </c>
      <c r="R1093" t="s">
        <v>5437</v>
      </c>
      <c r="S1093" t="s">
        <v>4804</v>
      </c>
      <c r="T1093" s="6">
        <v>5300000000</v>
      </c>
      <c r="U1093" s="45">
        <f>VLOOKUP(B1093,realPrices!C:G,5,0)</f>
        <v>6100111000</v>
      </c>
      <c r="W1093" t="str">
        <f t="shared" si="17"/>
        <v>207i TU5P A1401</v>
      </c>
      <c r="X1093">
        <f>VLOOKUP(W1093,Sheet10!D:F,2,0)*10000000</f>
        <v>7100000000</v>
      </c>
      <c r="Y1093" t="s">
        <v>114</v>
      </c>
    </row>
    <row r="1094" spans="1:25" x14ac:dyDescent="0.25">
      <c r="A1094" t="s">
        <v>4497</v>
      </c>
      <c r="B1094" t="s">
        <v>5438</v>
      </c>
      <c r="C1094">
        <v>606</v>
      </c>
      <c r="D1094" t="s">
        <v>77</v>
      </c>
      <c r="E1094" t="s">
        <v>64</v>
      </c>
      <c r="F1094" t="s">
        <v>420</v>
      </c>
      <c r="H1094">
        <v>77</v>
      </c>
      <c r="I1094">
        <v>1401</v>
      </c>
      <c r="J1094" t="s">
        <v>5439</v>
      </c>
      <c r="K1094" t="s">
        <v>5440</v>
      </c>
      <c r="M1094" t="s">
        <v>4487</v>
      </c>
      <c r="N1094">
        <v>60602</v>
      </c>
      <c r="O1094" t="s">
        <v>4488</v>
      </c>
      <c r="Q1094" t="s">
        <v>4489</v>
      </c>
      <c r="R1094" t="s">
        <v>5441</v>
      </c>
      <c r="S1094" t="s">
        <v>5442</v>
      </c>
      <c r="T1094" s="6">
        <v>5300000000</v>
      </c>
      <c r="U1094" s="45">
        <f>VLOOKUP(B1094,realPrices!C:G,5,0)</f>
        <v>5866666666</v>
      </c>
      <c r="W1094" t="str">
        <f t="shared" si="17"/>
        <v>207i TU5P A1401</v>
      </c>
      <c r="X1094">
        <f>VLOOKUP(W1094,Sheet10!D:F,2,0)*10000000</f>
        <v>7100000000</v>
      </c>
      <c r="Y1094" t="s">
        <v>114</v>
      </c>
    </row>
    <row r="1095" spans="1:25" x14ac:dyDescent="0.25">
      <c r="A1095" t="s">
        <v>3521</v>
      </c>
      <c r="B1095" t="s">
        <v>4771</v>
      </c>
      <c r="C1095">
        <v>707</v>
      </c>
      <c r="D1095" t="s">
        <v>77</v>
      </c>
      <c r="E1095" t="s">
        <v>64</v>
      </c>
      <c r="F1095" t="s">
        <v>420</v>
      </c>
      <c r="G1095" t="s">
        <v>3472</v>
      </c>
      <c r="H1095">
        <v>5874</v>
      </c>
      <c r="I1095">
        <v>1401</v>
      </c>
      <c r="J1095" t="s">
        <v>4772</v>
      </c>
      <c r="K1095" t="s">
        <v>4773</v>
      </c>
      <c r="L1095" t="s">
        <v>4774</v>
      </c>
      <c r="M1095" t="s">
        <v>3450</v>
      </c>
      <c r="N1095">
        <v>70702</v>
      </c>
      <c r="O1095" t="s">
        <v>70</v>
      </c>
      <c r="Q1095" t="s">
        <v>3451</v>
      </c>
      <c r="R1095" t="s">
        <v>4775</v>
      </c>
      <c r="S1095" t="s">
        <v>2746</v>
      </c>
      <c r="T1095" s="6">
        <v>5300000000</v>
      </c>
      <c r="U1095" s="45">
        <f>VLOOKUP(B1095,realPrices!C:G,5,0)</f>
        <v>5399000000</v>
      </c>
      <c r="W1095" t="str">
        <f t="shared" si="17"/>
        <v>DENA+EF7TC A1401</v>
      </c>
      <c r="X1095">
        <f>VLOOKUP(W1095,Sheet10!D:F,2,0)*10000000</f>
        <v>7250000000</v>
      </c>
      <c r="Y1095" t="s">
        <v>114</v>
      </c>
    </row>
    <row r="1096" spans="1:25" x14ac:dyDescent="0.25">
      <c r="A1096" t="s">
        <v>4483</v>
      </c>
      <c r="B1096" t="s">
        <v>5443</v>
      </c>
      <c r="C1096">
        <v>606</v>
      </c>
      <c r="D1096" t="s">
        <v>63</v>
      </c>
      <c r="E1096" t="s">
        <v>64</v>
      </c>
      <c r="F1096" t="s">
        <v>420</v>
      </c>
      <c r="H1096">
        <v>72</v>
      </c>
      <c r="I1096">
        <v>1401</v>
      </c>
      <c r="J1096" t="s">
        <v>5444</v>
      </c>
      <c r="K1096" t="s">
        <v>5445</v>
      </c>
      <c r="M1096" t="s">
        <v>4487</v>
      </c>
      <c r="N1096">
        <v>60602</v>
      </c>
      <c r="O1096" t="s">
        <v>4488</v>
      </c>
      <c r="Q1096" t="s">
        <v>4489</v>
      </c>
      <c r="R1096" t="s">
        <v>5446</v>
      </c>
      <c r="S1096" t="s">
        <v>5447</v>
      </c>
      <c r="T1096" s="6">
        <v>5330000000</v>
      </c>
      <c r="U1096" s="45">
        <f>VLOOKUP(B1096,realPrices!C:G,5,0)</f>
        <v>6200111000</v>
      </c>
      <c r="W1096" t="str">
        <f t="shared" si="17"/>
        <v>207i TU5P A1401</v>
      </c>
      <c r="X1096">
        <f>VLOOKUP(W1096,Sheet10!D:F,2,0)*10000000</f>
        <v>7100000000</v>
      </c>
      <c r="Y1096" t="s">
        <v>114</v>
      </c>
    </row>
    <row r="1097" spans="1:25" x14ac:dyDescent="0.25">
      <c r="A1097" t="s">
        <v>4497</v>
      </c>
      <c r="B1097" t="s">
        <v>5448</v>
      </c>
      <c r="C1097">
        <v>606</v>
      </c>
      <c r="D1097" t="s">
        <v>77</v>
      </c>
      <c r="E1097" t="s">
        <v>64</v>
      </c>
      <c r="F1097" t="s">
        <v>420</v>
      </c>
      <c r="H1097">
        <v>57</v>
      </c>
      <c r="I1097">
        <v>1401</v>
      </c>
      <c r="J1097" t="s">
        <v>5449</v>
      </c>
      <c r="K1097" t="s">
        <v>5450</v>
      </c>
      <c r="M1097" t="s">
        <v>4487</v>
      </c>
      <c r="N1097">
        <v>60602</v>
      </c>
      <c r="O1097" t="s">
        <v>4488</v>
      </c>
      <c r="Q1097" t="s">
        <v>4489</v>
      </c>
      <c r="R1097" t="s">
        <v>5451</v>
      </c>
      <c r="S1097" t="s">
        <v>4594</v>
      </c>
      <c r="T1097" s="6">
        <v>5350000000</v>
      </c>
      <c r="U1097" s="45">
        <f>VLOOKUP(B1097,realPrices!C:G,5,0)</f>
        <v>6277770000</v>
      </c>
      <c r="W1097" t="str">
        <f t="shared" si="17"/>
        <v>207i TU5P A1401</v>
      </c>
      <c r="X1097">
        <f>VLOOKUP(W1097,Sheet10!D:F,2,0)*10000000</f>
        <v>7100000000</v>
      </c>
      <c r="Y1097" t="s">
        <v>114</v>
      </c>
    </row>
    <row r="1098" spans="1:25" x14ac:dyDescent="0.25">
      <c r="A1098" t="s">
        <v>4497</v>
      </c>
      <c r="B1098" t="s">
        <v>5452</v>
      </c>
      <c r="C1098">
        <v>606</v>
      </c>
      <c r="D1098" t="s">
        <v>77</v>
      </c>
      <c r="E1098" t="s">
        <v>64</v>
      </c>
      <c r="F1098" t="s">
        <v>420</v>
      </c>
      <c r="H1098">
        <v>37</v>
      </c>
      <c r="I1098">
        <v>1401</v>
      </c>
      <c r="J1098" t="s">
        <v>5453</v>
      </c>
      <c r="K1098" t="s">
        <v>5454</v>
      </c>
      <c r="M1098" t="s">
        <v>4487</v>
      </c>
      <c r="N1098">
        <v>60602</v>
      </c>
      <c r="O1098" t="s">
        <v>4488</v>
      </c>
      <c r="Q1098" t="s">
        <v>4489</v>
      </c>
      <c r="R1098" t="s">
        <v>5455</v>
      </c>
      <c r="S1098" t="s">
        <v>2528</v>
      </c>
      <c r="T1098" s="6">
        <v>5350000000</v>
      </c>
      <c r="U1098" s="45">
        <f>VLOOKUP(B1098,realPrices!C:G,5,0)</f>
        <v>6255558546</v>
      </c>
      <c r="W1098" t="str">
        <f t="shared" si="17"/>
        <v>207i TU5P A1401</v>
      </c>
      <c r="X1098">
        <f>VLOOKUP(W1098,Sheet10!D:F,2,0)*10000000</f>
        <v>7100000000</v>
      </c>
      <c r="Y1098" t="s">
        <v>114</v>
      </c>
    </row>
    <row r="1099" spans="1:25" x14ac:dyDescent="0.25">
      <c r="A1099" t="s">
        <v>4497</v>
      </c>
      <c r="B1099" t="s">
        <v>5456</v>
      </c>
      <c r="C1099">
        <v>606</v>
      </c>
      <c r="D1099" t="s">
        <v>77</v>
      </c>
      <c r="E1099" t="s">
        <v>64</v>
      </c>
      <c r="F1099" t="s">
        <v>420</v>
      </c>
      <c r="H1099">
        <v>59</v>
      </c>
      <c r="I1099">
        <v>1401</v>
      </c>
      <c r="J1099" t="s">
        <v>5457</v>
      </c>
      <c r="K1099" t="s">
        <v>5458</v>
      </c>
      <c r="M1099" t="s">
        <v>4487</v>
      </c>
      <c r="N1099">
        <v>60602</v>
      </c>
      <c r="O1099" t="s">
        <v>4488</v>
      </c>
      <c r="Q1099" t="s">
        <v>4489</v>
      </c>
      <c r="R1099" t="s">
        <v>5459</v>
      </c>
      <c r="S1099" t="s">
        <v>3049</v>
      </c>
      <c r="T1099" s="6">
        <v>5350000000</v>
      </c>
      <c r="U1099" s="45">
        <f>VLOOKUP(B1099,realPrices!C:G,5,0)</f>
        <v>6006006060</v>
      </c>
      <c r="W1099" t="str">
        <f t="shared" si="17"/>
        <v>207i TU5P A1401</v>
      </c>
      <c r="X1099">
        <f>VLOOKUP(W1099,Sheet10!D:F,2,0)*10000000</f>
        <v>7100000000</v>
      </c>
      <c r="Y1099" t="s">
        <v>114</v>
      </c>
    </row>
    <row r="1100" spans="1:25" x14ac:dyDescent="0.25">
      <c r="A1100" t="s">
        <v>4497</v>
      </c>
      <c r="B1100" t="s">
        <v>4776</v>
      </c>
      <c r="C1100">
        <v>606</v>
      </c>
      <c r="D1100" t="s">
        <v>77</v>
      </c>
      <c r="E1100" t="s">
        <v>64</v>
      </c>
      <c r="F1100" t="s">
        <v>491</v>
      </c>
      <c r="H1100">
        <v>23</v>
      </c>
      <c r="I1100">
        <v>1401</v>
      </c>
      <c r="J1100" t="s">
        <v>4777</v>
      </c>
      <c r="K1100" t="s">
        <v>4778</v>
      </c>
      <c r="M1100" t="s">
        <v>4487</v>
      </c>
      <c r="N1100">
        <v>60602</v>
      </c>
      <c r="O1100" t="s">
        <v>4488</v>
      </c>
      <c r="Q1100" t="s">
        <v>4489</v>
      </c>
      <c r="R1100" t="s">
        <v>4779</v>
      </c>
      <c r="S1100" t="s">
        <v>2756</v>
      </c>
      <c r="T1100" s="6">
        <v>5350000000</v>
      </c>
      <c r="U1100" s="45">
        <f>VLOOKUP(B1100,realPrices!C:G,5,0)</f>
        <v>4666500001</v>
      </c>
      <c r="W1100" t="str">
        <f t="shared" si="17"/>
        <v>207i TU5P A1401</v>
      </c>
      <c r="X1100">
        <f>VLOOKUP(W1100,Sheet10!D:F,2,0)*10000000</f>
        <v>7100000000</v>
      </c>
      <c r="Y1100" t="s">
        <v>114</v>
      </c>
    </row>
    <row r="1101" spans="1:25" x14ac:dyDescent="0.25">
      <c r="A1101" t="s">
        <v>4497</v>
      </c>
      <c r="B1101" t="s">
        <v>5460</v>
      </c>
      <c r="C1101">
        <v>606</v>
      </c>
      <c r="D1101" t="s">
        <v>77</v>
      </c>
      <c r="E1101" t="s">
        <v>64</v>
      </c>
      <c r="F1101" t="s">
        <v>420</v>
      </c>
      <c r="H1101">
        <v>53</v>
      </c>
      <c r="I1101">
        <v>1401</v>
      </c>
      <c r="J1101" t="s">
        <v>5461</v>
      </c>
      <c r="K1101" t="s">
        <v>5462</v>
      </c>
      <c r="M1101" t="s">
        <v>4487</v>
      </c>
      <c r="N1101">
        <v>60602</v>
      </c>
      <c r="O1101" t="s">
        <v>4488</v>
      </c>
      <c r="Q1101" t="s">
        <v>4489</v>
      </c>
      <c r="R1101" t="s">
        <v>5463</v>
      </c>
      <c r="S1101" t="s">
        <v>4956</v>
      </c>
      <c r="T1101" s="6">
        <v>5350000000</v>
      </c>
      <c r="U1101" s="45">
        <f>VLOOKUP(B1101,realPrices!C:G,5,0)</f>
        <v>5960000000</v>
      </c>
      <c r="W1101" t="str">
        <f t="shared" si="17"/>
        <v>207i TU5P A1401</v>
      </c>
      <c r="X1101">
        <f>VLOOKUP(W1101,Sheet10!D:F,2,0)*10000000</f>
        <v>7100000000</v>
      </c>
      <c r="Y1101" t="s">
        <v>114</v>
      </c>
    </row>
    <row r="1102" spans="1:25" x14ac:dyDescent="0.25">
      <c r="A1102" t="s">
        <v>4483</v>
      </c>
      <c r="B1102" t="s">
        <v>5464</v>
      </c>
      <c r="C1102">
        <v>606</v>
      </c>
      <c r="D1102" t="s">
        <v>63</v>
      </c>
      <c r="E1102" t="s">
        <v>64</v>
      </c>
      <c r="F1102" t="s">
        <v>420</v>
      </c>
      <c r="H1102">
        <v>20</v>
      </c>
      <c r="I1102">
        <v>1401</v>
      </c>
      <c r="J1102" t="s">
        <v>5465</v>
      </c>
      <c r="K1102" t="s">
        <v>5466</v>
      </c>
      <c r="M1102" t="s">
        <v>4487</v>
      </c>
      <c r="N1102">
        <v>60602</v>
      </c>
      <c r="O1102" t="s">
        <v>4488</v>
      </c>
      <c r="Q1102" t="s">
        <v>4489</v>
      </c>
      <c r="R1102" t="s">
        <v>5467</v>
      </c>
      <c r="S1102" t="s">
        <v>5090</v>
      </c>
      <c r="T1102" s="6">
        <v>5350000000</v>
      </c>
      <c r="U1102" s="45">
        <f>VLOOKUP(B1102,realPrices!C:G,5,0)</f>
        <v>6100111000</v>
      </c>
      <c r="W1102" t="str">
        <f t="shared" si="17"/>
        <v>207i TU5P A1401</v>
      </c>
      <c r="X1102">
        <f>VLOOKUP(W1102,Sheet10!D:F,2,0)*10000000</f>
        <v>7100000000</v>
      </c>
      <c r="Y1102" t="s">
        <v>114</v>
      </c>
    </row>
    <row r="1103" spans="1:25" x14ac:dyDescent="0.25">
      <c r="A1103" t="s">
        <v>4497</v>
      </c>
      <c r="B1103" t="s">
        <v>5468</v>
      </c>
      <c r="C1103">
        <v>606</v>
      </c>
      <c r="D1103" t="s">
        <v>77</v>
      </c>
      <c r="E1103" t="s">
        <v>64</v>
      </c>
      <c r="F1103" t="s">
        <v>491</v>
      </c>
      <c r="H1103">
        <v>26</v>
      </c>
      <c r="I1103">
        <v>1401</v>
      </c>
      <c r="J1103" t="s">
        <v>5469</v>
      </c>
      <c r="K1103" t="s">
        <v>5470</v>
      </c>
      <c r="M1103" t="s">
        <v>4487</v>
      </c>
      <c r="N1103">
        <v>60602</v>
      </c>
      <c r="O1103" t="s">
        <v>4488</v>
      </c>
      <c r="Q1103" t="s">
        <v>4489</v>
      </c>
      <c r="R1103" t="s">
        <v>5471</v>
      </c>
      <c r="S1103" t="s">
        <v>4638</v>
      </c>
      <c r="T1103" s="6">
        <v>5350000000</v>
      </c>
      <c r="U1103" s="45">
        <f>VLOOKUP(B1103,realPrices!C:G,5,0)</f>
        <v>6260000000</v>
      </c>
      <c r="W1103" t="str">
        <f t="shared" si="17"/>
        <v>207i TU5P A1401</v>
      </c>
      <c r="X1103">
        <f>VLOOKUP(W1103,Sheet10!D:F,2,0)*10000000</f>
        <v>7100000000</v>
      </c>
      <c r="Y1103" t="s">
        <v>114</v>
      </c>
    </row>
    <row r="1104" spans="1:25" x14ac:dyDescent="0.25">
      <c r="A1104" t="s">
        <v>4483</v>
      </c>
      <c r="B1104" t="s">
        <v>5472</v>
      </c>
      <c r="C1104">
        <v>606</v>
      </c>
      <c r="D1104" t="s">
        <v>63</v>
      </c>
      <c r="E1104" t="s">
        <v>64</v>
      </c>
      <c r="F1104" t="s">
        <v>491</v>
      </c>
      <c r="H1104">
        <v>39</v>
      </c>
      <c r="I1104">
        <v>1401</v>
      </c>
      <c r="J1104" t="s">
        <v>5473</v>
      </c>
      <c r="K1104" t="s">
        <v>5474</v>
      </c>
      <c r="M1104" t="s">
        <v>4487</v>
      </c>
      <c r="N1104">
        <v>60602</v>
      </c>
      <c r="O1104" t="s">
        <v>4488</v>
      </c>
      <c r="Q1104" t="s">
        <v>4489</v>
      </c>
      <c r="R1104" t="s">
        <v>5475</v>
      </c>
      <c r="S1104" t="s">
        <v>4966</v>
      </c>
      <c r="T1104" s="6">
        <v>5350000000</v>
      </c>
      <c r="U1104" s="45">
        <f>VLOOKUP(B1104,realPrices!C:G,5,0)</f>
        <v>6200111000</v>
      </c>
      <c r="W1104" t="str">
        <f t="shared" si="17"/>
        <v>207i TU5P A1401</v>
      </c>
      <c r="X1104">
        <f>VLOOKUP(W1104,Sheet10!D:F,2,0)*10000000</f>
        <v>7100000000</v>
      </c>
      <c r="Y1104" t="s">
        <v>114</v>
      </c>
    </row>
    <row r="1105" spans="1:25" x14ac:dyDescent="0.25">
      <c r="A1105" t="s">
        <v>4497</v>
      </c>
      <c r="B1105" t="s">
        <v>5476</v>
      </c>
      <c r="C1105">
        <v>606</v>
      </c>
      <c r="D1105" t="s">
        <v>77</v>
      </c>
      <c r="E1105" t="s">
        <v>64</v>
      </c>
      <c r="F1105" t="s">
        <v>420</v>
      </c>
      <c r="H1105">
        <v>76</v>
      </c>
      <c r="I1105">
        <v>1401</v>
      </c>
      <c r="J1105" t="s">
        <v>5477</v>
      </c>
      <c r="K1105" t="s">
        <v>5478</v>
      </c>
      <c r="M1105" t="s">
        <v>4487</v>
      </c>
      <c r="N1105">
        <v>60602</v>
      </c>
      <c r="O1105" t="s">
        <v>4488</v>
      </c>
      <c r="Q1105" t="s">
        <v>4489</v>
      </c>
      <c r="R1105" t="s">
        <v>5479</v>
      </c>
      <c r="S1105" t="s">
        <v>5050</v>
      </c>
      <c r="T1105" s="6">
        <v>5350000000</v>
      </c>
      <c r="U1105" s="45">
        <f>VLOOKUP(B1105,realPrices!C:G,5,0)</f>
        <v>5590999999</v>
      </c>
      <c r="W1105" t="str">
        <f t="shared" si="17"/>
        <v>207i TU5P A1401</v>
      </c>
      <c r="X1105">
        <f>VLOOKUP(W1105,Sheet10!D:F,2,0)*10000000</f>
        <v>7100000000</v>
      </c>
      <c r="Y1105" t="s">
        <v>114</v>
      </c>
    </row>
    <row r="1106" spans="1:25" x14ac:dyDescent="0.25">
      <c r="A1106" t="s">
        <v>4497</v>
      </c>
      <c r="B1106" t="s">
        <v>5480</v>
      </c>
      <c r="C1106">
        <v>606</v>
      </c>
      <c r="D1106" t="s">
        <v>77</v>
      </c>
      <c r="E1106" t="s">
        <v>64</v>
      </c>
      <c r="F1106" t="s">
        <v>2696</v>
      </c>
      <c r="H1106">
        <v>22</v>
      </c>
      <c r="I1106">
        <v>1401</v>
      </c>
      <c r="J1106" t="s">
        <v>5481</v>
      </c>
      <c r="K1106" t="s">
        <v>5482</v>
      </c>
      <c r="M1106" t="s">
        <v>4487</v>
      </c>
      <c r="N1106">
        <v>60602</v>
      </c>
      <c r="O1106" t="s">
        <v>4488</v>
      </c>
      <c r="Q1106" t="s">
        <v>4489</v>
      </c>
      <c r="R1106" t="s">
        <v>5483</v>
      </c>
      <c r="S1106" t="s">
        <v>4903</v>
      </c>
      <c r="T1106" s="6">
        <v>5400000000</v>
      </c>
      <c r="U1106" s="45">
        <f>VLOOKUP(B1106,realPrices!C:G,5,0)</f>
        <v>6000000000</v>
      </c>
      <c r="W1106" t="str">
        <f t="shared" si="17"/>
        <v>207i TU5P A1401</v>
      </c>
      <c r="X1106">
        <f>VLOOKUP(W1106,Sheet10!D:F,2,0)*10000000</f>
        <v>7100000000</v>
      </c>
      <c r="Y1106" t="s">
        <v>114</v>
      </c>
    </row>
    <row r="1107" spans="1:25" x14ac:dyDescent="0.25">
      <c r="A1107" t="s">
        <v>4483</v>
      </c>
      <c r="B1107" t="s">
        <v>5484</v>
      </c>
      <c r="C1107">
        <v>606</v>
      </c>
      <c r="D1107" t="s">
        <v>63</v>
      </c>
      <c r="E1107" t="s">
        <v>64</v>
      </c>
      <c r="F1107" t="s">
        <v>2696</v>
      </c>
      <c r="H1107">
        <v>36</v>
      </c>
      <c r="I1107">
        <v>1401</v>
      </c>
      <c r="J1107" t="s">
        <v>5485</v>
      </c>
      <c r="K1107" t="s">
        <v>5486</v>
      </c>
      <c r="M1107" t="s">
        <v>4487</v>
      </c>
      <c r="N1107">
        <v>60602</v>
      </c>
      <c r="O1107" t="s">
        <v>4488</v>
      </c>
      <c r="Q1107" t="s">
        <v>4489</v>
      </c>
      <c r="R1107" t="s">
        <v>5487</v>
      </c>
      <c r="S1107" t="s">
        <v>4664</v>
      </c>
      <c r="T1107" s="6">
        <v>5400000000</v>
      </c>
      <c r="U1107" s="45">
        <f>VLOOKUP(B1107,realPrices!C:G,5,0)</f>
        <v>6109999999</v>
      </c>
      <c r="W1107" t="str">
        <f t="shared" si="17"/>
        <v>207i TU5P A1401</v>
      </c>
      <c r="X1107">
        <f>VLOOKUP(W1107,Sheet10!D:F,2,0)*10000000</f>
        <v>7100000000</v>
      </c>
      <c r="Y1107" t="s">
        <v>114</v>
      </c>
    </row>
    <row r="1108" spans="1:25" x14ac:dyDescent="0.25">
      <c r="A1108" t="s">
        <v>4497</v>
      </c>
      <c r="B1108" t="s">
        <v>5488</v>
      </c>
      <c r="C1108">
        <v>606</v>
      </c>
      <c r="D1108" t="s">
        <v>77</v>
      </c>
      <c r="E1108" t="s">
        <v>64</v>
      </c>
      <c r="F1108" t="s">
        <v>420</v>
      </c>
      <c r="H1108">
        <v>25</v>
      </c>
      <c r="I1108">
        <v>1401</v>
      </c>
      <c r="J1108" t="s">
        <v>5489</v>
      </c>
      <c r="K1108" t="s">
        <v>5490</v>
      </c>
      <c r="M1108" t="s">
        <v>4487</v>
      </c>
      <c r="N1108">
        <v>60602</v>
      </c>
      <c r="O1108" t="s">
        <v>4488</v>
      </c>
      <c r="Q1108" t="s">
        <v>4489</v>
      </c>
      <c r="R1108" t="s">
        <v>5491</v>
      </c>
      <c r="S1108" t="s">
        <v>4943</v>
      </c>
      <c r="T1108" s="6">
        <v>5400000000</v>
      </c>
      <c r="U1108" s="45">
        <f>VLOOKUP(B1108,realPrices!C:G,5,0)</f>
        <v>6235555555</v>
      </c>
      <c r="W1108" t="str">
        <f t="shared" si="17"/>
        <v>207i TU5P A1401</v>
      </c>
      <c r="X1108">
        <f>VLOOKUP(W1108,Sheet10!D:F,2,0)*10000000</f>
        <v>7100000000</v>
      </c>
      <c r="Y1108" t="s">
        <v>114</v>
      </c>
    </row>
    <row r="1109" spans="1:25" x14ac:dyDescent="0.25">
      <c r="A1109" t="s">
        <v>4497</v>
      </c>
      <c r="B1109" t="s">
        <v>4819</v>
      </c>
      <c r="C1109">
        <v>606</v>
      </c>
      <c r="D1109" t="s">
        <v>77</v>
      </c>
      <c r="E1109" t="s">
        <v>64</v>
      </c>
      <c r="F1109" t="s">
        <v>420</v>
      </c>
      <c r="H1109">
        <v>28</v>
      </c>
      <c r="I1109">
        <v>1401</v>
      </c>
      <c r="J1109" t="s">
        <v>4820</v>
      </c>
      <c r="K1109" t="s">
        <v>4821</v>
      </c>
      <c r="M1109" t="s">
        <v>4487</v>
      </c>
      <c r="N1109">
        <v>60602</v>
      </c>
      <c r="O1109" t="s">
        <v>4488</v>
      </c>
      <c r="Q1109" t="s">
        <v>4489</v>
      </c>
      <c r="R1109" t="s">
        <v>4822</v>
      </c>
      <c r="S1109" t="s">
        <v>2665</v>
      </c>
      <c r="T1109" s="6">
        <v>5400000000</v>
      </c>
      <c r="U1109" s="45">
        <f>VLOOKUP(B1109,realPrices!C:G,5,0)</f>
        <v>4860000000</v>
      </c>
      <c r="W1109" t="str">
        <f t="shared" si="17"/>
        <v>207i TU5P A1401</v>
      </c>
      <c r="X1109">
        <f>VLOOKUP(W1109,Sheet10!D:F,2,0)*10000000</f>
        <v>7100000000</v>
      </c>
      <c r="Y1109" t="s">
        <v>114</v>
      </c>
    </row>
    <row r="1110" spans="1:25" x14ac:dyDescent="0.25">
      <c r="A1110" t="s">
        <v>4497</v>
      </c>
      <c r="B1110" t="s">
        <v>4899</v>
      </c>
      <c r="C1110">
        <v>606</v>
      </c>
      <c r="D1110" t="s">
        <v>77</v>
      </c>
      <c r="E1110" t="s">
        <v>64</v>
      </c>
      <c r="F1110" t="s">
        <v>420</v>
      </c>
      <c r="H1110">
        <v>28</v>
      </c>
      <c r="I1110">
        <v>1401</v>
      </c>
      <c r="J1110" t="s">
        <v>4900</v>
      </c>
      <c r="K1110" t="s">
        <v>4901</v>
      </c>
      <c r="M1110" t="s">
        <v>4487</v>
      </c>
      <c r="N1110">
        <v>60602</v>
      </c>
      <c r="O1110" t="s">
        <v>4488</v>
      </c>
      <c r="Q1110" t="s">
        <v>4489</v>
      </c>
      <c r="R1110" t="s">
        <v>4902</v>
      </c>
      <c r="S1110" t="s">
        <v>3149</v>
      </c>
      <c r="T1110" s="6">
        <v>5400000000</v>
      </c>
      <c r="U1110" s="45">
        <f>VLOOKUP(B1110,realPrices!C:G,5,0)</f>
        <v>4782350000</v>
      </c>
      <c r="W1110" t="str">
        <f t="shared" si="17"/>
        <v>207i TU5P A1401</v>
      </c>
      <c r="X1110">
        <f>VLOOKUP(W1110,Sheet10!D:F,2,0)*10000000</f>
        <v>7100000000</v>
      </c>
      <c r="Y1110" t="s">
        <v>114</v>
      </c>
    </row>
    <row r="1111" spans="1:25" x14ac:dyDescent="0.25">
      <c r="A1111" t="s">
        <v>4483</v>
      </c>
      <c r="B1111" t="s">
        <v>4892</v>
      </c>
      <c r="C1111">
        <v>606</v>
      </c>
      <c r="D1111" t="s">
        <v>63</v>
      </c>
      <c r="E1111" t="s">
        <v>64</v>
      </c>
      <c r="F1111" t="s">
        <v>420</v>
      </c>
      <c r="H1111">
        <v>21</v>
      </c>
      <c r="I1111">
        <v>1401</v>
      </c>
      <c r="J1111" t="s">
        <v>4893</v>
      </c>
      <c r="K1111" t="s">
        <v>4894</v>
      </c>
      <c r="M1111" t="s">
        <v>4487</v>
      </c>
      <c r="N1111">
        <v>60602</v>
      </c>
      <c r="O1111" t="s">
        <v>4488</v>
      </c>
      <c r="Q1111" t="s">
        <v>4489</v>
      </c>
      <c r="R1111" t="s">
        <v>4895</v>
      </c>
      <c r="S1111" t="s">
        <v>2481</v>
      </c>
      <c r="T1111" s="6">
        <v>5400000000</v>
      </c>
      <c r="U1111" s="45">
        <f>VLOOKUP(B1111,realPrices!C:G,5,0)</f>
        <v>5080080000</v>
      </c>
      <c r="W1111" t="str">
        <f t="shared" si="17"/>
        <v>207i TU5P A1401</v>
      </c>
      <c r="X1111">
        <f>VLOOKUP(W1111,Sheet10!D:F,2,0)*10000000</f>
        <v>7100000000</v>
      </c>
      <c r="Y1111" t="s">
        <v>114</v>
      </c>
    </row>
    <row r="1112" spans="1:25" x14ac:dyDescent="0.25">
      <c r="A1112" t="s">
        <v>4497</v>
      </c>
      <c r="B1112" t="s">
        <v>5492</v>
      </c>
      <c r="C1112">
        <v>606</v>
      </c>
      <c r="D1112" t="s">
        <v>77</v>
      </c>
      <c r="E1112" t="s">
        <v>64</v>
      </c>
      <c r="F1112" t="s">
        <v>420</v>
      </c>
      <c r="H1112">
        <v>35</v>
      </c>
      <c r="I1112">
        <v>1401</v>
      </c>
      <c r="J1112" t="s">
        <v>5493</v>
      </c>
      <c r="K1112" t="s">
        <v>5494</v>
      </c>
      <c r="M1112" t="s">
        <v>4487</v>
      </c>
      <c r="N1112">
        <v>60602</v>
      </c>
      <c r="O1112" t="s">
        <v>4488</v>
      </c>
      <c r="Q1112" t="s">
        <v>4489</v>
      </c>
      <c r="R1112" t="s">
        <v>5495</v>
      </c>
      <c r="S1112" t="s">
        <v>3422</v>
      </c>
      <c r="T1112" s="6">
        <v>5400000000</v>
      </c>
      <c r="U1112" s="45">
        <f>VLOOKUP(B1112,realPrices!C:G,5,0)</f>
        <v>6120000000</v>
      </c>
      <c r="W1112" t="str">
        <f t="shared" si="17"/>
        <v>207i TU5P A1401</v>
      </c>
      <c r="X1112">
        <f>VLOOKUP(W1112,Sheet10!D:F,2,0)*10000000</f>
        <v>7100000000</v>
      </c>
      <c r="Y1112" t="s">
        <v>114</v>
      </c>
    </row>
    <row r="1113" spans="1:25" x14ac:dyDescent="0.25">
      <c r="A1113" t="s">
        <v>4497</v>
      </c>
      <c r="B1113" t="s">
        <v>5496</v>
      </c>
      <c r="C1113">
        <v>606</v>
      </c>
      <c r="D1113" t="s">
        <v>77</v>
      </c>
      <c r="E1113" t="s">
        <v>64</v>
      </c>
      <c r="F1113" t="s">
        <v>420</v>
      </c>
      <c r="H1113">
        <v>99</v>
      </c>
      <c r="I1113">
        <v>1401</v>
      </c>
      <c r="J1113" t="s">
        <v>5497</v>
      </c>
      <c r="K1113" t="s">
        <v>5498</v>
      </c>
      <c r="M1113" t="s">
        <v>4487</v>
      </c>
      <c r="N1113">
        <v>60602</v>
      </c>
      <c r="O1113" t="s">
        <v>4488</v>
      </c>
      <c r="Q1113" t="s">
        <v>4489</v>
      </c>
      <c r="R1113" t="s">
        <v>5499</v>
      </c>
      <c r="S1113" t="s">
        <v>4961</v>
      </c>
      <c r="T1113" s="6">
        <v>5400000000</v>
      </c>
      <c r="U1113" s="45">
        <f>VLOOKUP(B1113,realPrices!C:G,5,0)</f>
        <v>6019500000</v>
      </c>
      <c r="W1113" t="str">
        <f t="shared" si="17"/>
        <v>207i TU5P A1401</v>
      </c>
      <c r="X1113">
        <f>VLOOKUP(W1113,Sheet10!D:F,2,0)*10000000</f>
        <v>7100000000</v>
      </c>
      <c r="Y1113" t="s">
        <v>114</v>
      </c>
    </row>
    <row r="1114" spans="1:25" x14ac:dyDescent="0.25">
      <c r="A1114" t="s">
        <v>4497</v>
      </c>
      <c r="B1114" t="s">
        <v>5500</v>
      </c>
      <c r="C1114">
        <v>606</v>
      </c>
      <c r="D1114" t="s">
        <v>77</v>
      </c>
      <c r="E1114" t="s">
        <v>64</v>
      </c>
      <c r="F1114" t="s">
        <v>420</v>
      </c>
      <c r="H1114">
        <v>24</v>
      </c>
      <c r="I1114">
        <v>1401</v>
      </c>
      <c r="J1114" t="s">
        <v>5501</v>
      </c>
      <c r="K1114" t="s">
        <v>5502</v>
      </c>
      <c r="M1114" t="s">
        <v>4487</v>
      </c>
      <c r="N1114">
        <v>60602</v>
      </c>
      <c r="O1114" t="s">
        <v>4488</v>
      </c>
      <c r="Q1114" t="s">
        <v>4489</v>
      </c>
      <c r="R1114" t="s">
        <v>5503</v>
      </c>
      <c r="S1114" t="s">
        <v>5504</v>
      </c>
      <c r="T1114" s="6">
        <v>5400000000</v>
      </c>
      <c r="U1114" s="45">
        <f>VLOOKUP(B1114,realPrices!C:G,5,0)</f>
        <v>6066550000</v>
      </c>
      <c r="W1114" t="str">
        <f t="shared" si="17"/>
        <v>207i TU5P A1401</v>
      </c>
      <c r="X1114">
        <f>VLOOKUP(W1114,Sheet10!D:F,2,0)*10000000</f>
        <v>7100000000</v>
      </c>
      <c r="Y1114" t="s">
        <v>114</v>
      </c>
    </row>
    <row r="1115" spans="1:25" x14ac:dyDescent="0.25">
      <c r="A1115" t="s">
        <v>4483</v>
      </c>
      <c r="B1115" t="s">
        <v>5505</v>
      </c>
      <c r="C1115">
        <v>606</v>
      </c>
      <c r="D1115" t="s">
        <v>63</v>
      </c>
      <c r="E1115" t="s">
        <v>64</v>
      </c>
      <c r="F1115" t="s">
        <v>420</v>
      </c>
      <c r="H1115">
        <v>61</v>
      </c>
      <c r="I1115">
        <v>1401</v>
      </c>
      <c r="J1115" t="s">
        <v>5506</v>
      </c>
      <c r="K1115" t="s">
        <v>5507</v>
      </c>
      <c r="M1115" t="s">
        <v>4487</v>
      </c>
      <c r="N1115">
        <v>60602</v>
      </c>
      <c r="O1115" t="s">
        <v>4488</v>
      </c>
      <c r="Q1115" t="s">
        <v>4489</v>
      </c>
      <c r="R1115" t="s">
        <v>5508</v>
      </c>
      <c r="S1115" t="s">
        <v>4678</v>
      </c>
      <c r="T1115" s="6">
        <v>5450000000</v>
      </c>
      <c r="U1115" s="45">
        <f>VLOOKUP(B1115,realPrices!C:G,5,0)</f>
        <v>6267500000</v>
      </c>
      <c r="W1115" t="str">
        <f t="shared" si="17"/>
        <v>207i TU5P A1401</v>
      </c>
      <c r="X1115">
        <f>VLOOKUP(W1115,Sheet10!D:F,2,0)*10000000</f>
        <v>7100000000</v>
      </c>
      <c r="Y1115" t="s">
        <v>114</v>
      </c>
    </row>
    <row r="1116" spans="1:25" x14ac:dyDescent="0.25">
      <c r="A1116" t="s">
        <v>4497</v>
      </c>
      <c r="B1116" t="s">
        <v>5509</v>
      </c>
      <c r="C1116">
        <v>606</v>
      </c>
      <c r="D1116" t="s">
        <v>77</v>
      </c>
      <c r="E1116" t="s">
        <v>64</v>
      </c>
      <c r="F1116" t="s">
        <v>420</v>
      </c>
      <c r="H1116">
        <v>55</v>
      </c>
      <c r="I1116">
        <v>1401</v>
      </c>
      <c r="J1116" t="s">
        <v>5510</v>
      </c>
      <c r="K1116" t="s">
        <v>5511</v>
      </c>
      <c r="M1116" t="s">
        <v>4487</v>
      </c>
      <c r="N1116">
        <v>60602</v>
      </c>
      <c r="O1116" t="s">
        <v>4488</v>
      </c>
      <c r="Q1116" t="s">
        <v>4489</v>
      </c>
      <c r="R1116" t="s">
        <v>5512</v>
      </c>
      <c r="S1116" t="s">
        <v>4929</v>
      </c>
      <c r="T1116" s="6">
        <v>5450000000</v>
      </c>
      <c r="U1116" s="45">
        <f>VLOOKUP(B1116,realPrices!C:G,5,0)</f>
        <v>6485236742</v>
      </c>
      <c r="W1116" t="str">
        <f t="shared" si="17"/>
        <v>207i TU5P A1401</v>
      </c>
      <c r="X1116">
        <f>VLOOKUP(W1116,Sheet10!D:F,2,0)*10000000</f>
        <v>7100000000</v>
      </c>
      <c r="Y1116" t="s">
        <v>114</v>
      </c>
    </row>
    <row r="1117" spans="1:25" x14ac:dyDescent="0.25">
      <c r="A1117" t="s">
        <v>4483</v>
      </c>
      <c r="B1117" t="s">
        <v>5513</v>
      </c>
      <c r="C1117">
        <v>606</v>
      </c>
      <c r="D1117" t="s">
        <v>63</v>
      </c>
      <c r="E1117" t="s">
        <v>64</v>
      </c>
      <c r="F1117" t="s">
        <v>420</v>
      </c>
      <c r="H1117">
        <v>54</v>
      </c>
      <c r="I1117">
        <v>1401</v>
      </c>
      <c r="J1117" t="s">
        <v>5514</v>
      </c>
      <c r="K1117" t="s">
        <v>5515</v>
      </c>
      <c r="M1117" t="s">
        <v>4487</v>
      </c>
      <c r="N1117">
        <v>60602</v>
      </c>
      <c r="O1117" t="s">
        <v>4488</v>
      </c>
      <c r="Q1117" t="s">
        <v>4489</v>
      </c>
      <c r="R1117" t="s">
        <v>5516</v>
      </c>
      <c r="S1117" t="s">
        <v>4580</v>
      </c>
      <c r="T1117" s="6">
        <v>5450000000</v>
      </c>
      <c r="U1117" s="45">
        <f>VLOOKUP(B1117,realPrices!C:G,5,0)</f>
        <v>6296800000</v>
      </c>
      <c r="W1117" t="str">
        <f t="shared" si="17"/>
        <v>207i TU5P A1401</v>
      </c>
      <c r="X1117">
        <f>VLOOKUP(W1117,Sheet10!D:F,2,0)*10000000</f>
        <v>7100000000</v>
      </c>
      <c r="Y1117" t="s">
        <v>114</v>
      </c>
    </row>
    <row r="1118" spans="1:25" x14ac:dyDescent="0.25">
      <c r="A1118" t="s">
        <v>4497</v>
      </c>
      <c r="B1118" t="s">
        <v>5517</v>
      </c>
      <c r="C1118">
        <v>606</v>
      </c>
      <c r="D1118" t="s">
        <v>77</v>
      </c>
      <c r="E1118" t="s">
        <v>64</v>
      </c>
      <c r="F1118" t="s">
        <v>420</v>
      </c>
      <c r="H1118">
        <v>39</v>
      </c>
      <c r="I1118">
        <v>1401</v>
      </c>
      <c r="J1118" t="s">
        <v>5518</v>
      </c>
      <c r="K1118" t="s">
        <v>5519</v>
      </c>
      <c r="M1118" t="s">
        <v>4487</v>
      </c>
      <c r="N1118">
        <v>60602</v>
      </c>
      <c r="O1118" t="s">
        <v>4488</v>
      </c>
      <c r="Q1118" t="s">
        <v>4489</v>
      </c>
      <c r="R1118" t="s">
        <v>5520</v>
      </c>
      <c r="S1118" t="s">
        <v>4589</v>
      </c>
      <c r="T1118" s="6">
        <v>5450000000</v>
      </c>
      <c r="U1118" s="45">
        <f>VLOOKUP(B1118,realPrices!C:G,5,0)</f>
        <v>6537829143</v>
      </c>
      <c r="W1118" t="str">
        <f t="shared" si="17"/>
        <v>207i TU5P A1401</v>
      </c>
      <c r="X1118">
        <f>VLOOKUP(W1118,Sheet10!D:F,2,0)*10000000</f>
        <v>7100000000</v>
      </c>
      <c r="Y1118" t="s">
        <v>114</v>
      </c>
    </row>
    <row r="1119" spans="1:25" x14ac:dyDescent="0.25">
      <c r="A1119" t="s">
        <v>4483</v>
      </c>
      <c r="B1119" t="s">
        <v>5521</v>
      </c>
      <c r="C1119">
        <v>606</v>
      </c>
      <c r="D1119" t="s">
        <v>63</v>
      </c>
      <c r="E1119" t="s">
        <v>64</v>
      </c>
      <c r="F1119" t="s">
        <v>420</v>
      </c>
      <c r="H1119">
        <v>67</v>
      </c>
      <c r="I1119">
        <v>1401</v>
      </c>
      <c r="J1119" t="s">
        <v>5522</v>
      </c>
      <c r="K1119" t="s">
        <v>5523</v>
      </c>
      <c r="M1119" t="s">
        <v>4487</v>
      </c>
      <c r="N1119">
        <v>60602</v>
      </c>
      <c r="O1119" t="s">
        <v>4488</v>
      </c>
      <c r="Q1119" t="s">
        <v>4489</v>
      </c>
      <c r="R1119" t="s">
        <v>5524</v>
      </c>
      <c r="S1119" t="s">
        <v>4726</v>
      </c>
      <c r="T1119" s="6">
        <v>5450000000</v>
      </c>
      <c r="U1119" s="45">
        <f>VLOOKUP(B1119,realPrices!C:G,5,0)</f>
        <v>6370991111</v>
      </c>
      <c r="W1119" t="str">
        <f t="shared" si="17"/>
        <v>207i TU5P A1401</v>
      </c>
      <c r="X1119">
        <f>VLOOKUP(W1119,Sheet10!D:F,2,0)*10000000</f>
        <v>7100000000</v>
      </c>
      <c r="Y1119" t="s">
        <v>114</v>
      </c>
    </row>
    <row r="1120" spans="1:25" x14ac:dyDescent="0.25">
      <c r="A1120" t="s">
        <v>4483</v>
      </c>
      <c r="B1120" t="s">
        <v>4977</v>
      </c>
      <c r="C1120">
        <v>606</v>
      </c>
      <c r="D1120" t="s">
        <v>63</v>
      </c>
      <c r="E1120" t="s">
        <v>64</v>
      </c>
      <c r="F1120" t="s">
        <v>420</v>
      </c>
      <c r="H1120">
        <v>30</v>
      </c>
      <c r="I1120">
        <v>1401</v>
      </c>
      <c r="J1120" t="s">
        <v>4978</v>
      </c>
      <c r="K1120" t="s">
        <v>4979</v>
      </c>
      <c r="M1120" t="s">
        <v>4487</v>
      </c>
      <c r="N1120">
        <v>60602</v>
      </c>
      <c r="O1120" t="s">
        <v>4488</v>
      </c>
      <c r="Q1120" t="s">
        <v>4489</v>
      </c>
      <c r="R1120" t="s">
        <v>4980</v>
      </c>
      <c r="S1120" t="s">
        <v>2987</v>
      </c>
      <c r="T1120" s="6">
        <v>5450000000</v>
      </c>
      <c r="U1120" s="45">
        <f>VLOOKUP(B1120,realPrices!C:G,5,0)</f>
        <v>4800000000</v>
      </c>
      <c r="W1120" t="str">
        <f t="shared" si="17"/>
        <v>207i TU5P A1401</v>
      </c>
      <c r="X1120">
        <f>VLOOKUP(W1120,Sheet10!D:F,2,0)*10000000</f>
        <v>7100000000</v>
      </c>
      <c r="Y1120" t="s">
        <v>114</v>
      </c>
    </row>
    <row r="1121" spans="1:25" x14ac:dyDescent="0.25">
      <c r="A1121" t="s">
        <v>4497</v>
      </c>
      <c r="B1121" t="s">
        <v>4930</v>
      </c>
      <c r="C1121">
        <v>606</v>
      </c>
      <c r="D1121" t="s">
        <v>77</v>
      </c>
      <c r="E1121" t="s">
        <v>64</v>
      </c>
      <c r="F1121" t="s">
        <v>420</v>
      </c>
      <c r="H1121">
        <v>25</v>
      </c>
      <c r="I1121">
        <v>1401</v>
      </c>
      <c r="J1121" t="s">
        <v>4931</v>
      </c>
      <c r="K1121" t="s">
        <v>4932</v>
      </c>
      <c r="M1121" t="s">
        <v>4487</v>
      </c>
      <c r="N1121">
        <v>60602</v>
      </c>
      <c r="O1121" t="s">
        <v>4488</v>
      </c>
      <c r="Q1121" t="s">
        <v>4489</v>
      </c>
      <c r="R1121" t="s">
        <v>4933</v>
      </c>
      <c r="S1121" t="s">
        <v>3144</v>
      </c>
      <c r="T1121" s="6">
        <v>5450000000</v>
      </c>
      <c r="U1121" s="45">
        <f>VLOOKUP(B1121,realPrices!C:G,5,0)</f>
        <v>5155555555</v>
      </c>
      <c r="W1121" t="str">
        <f t="shared" si="17"/>
        <v>207i TU5P A1401</v>
      </c>
      <c r="X1121">
        <f>VLOOKUP(W1121,Sheet10!D:F,2,0)*10000000</f>
        <v>7100000000</v>
      </c>
      <c r="Y1121" t="s">
        <v>114</v>
      </c>
    </row>
    <row r="1122" spans="1:25" x14ac:dyDescent="0.25">
      <c r="A1122" t="s">
        <v>4497</v>
      </c>
      <c r="B1122" t="s">
        <v>4846</v>
      </c>
      <c r="C1122">
        <v>606</v>
      </c>
      <c r="D1122" t="s">
        <v>77</v>
      </c>
      <c r="E1122" t="s">
        <v>64</v>
      </c>
      <c r="F1122" t="s">
        <v>420</v>
      </c>
      <c r="H1122">
        <v>26</v>
      </c>
      <c r="I1122">
        <v>1401</v>
      </c>
      <c r="J1122" t="s">
        <v>4847</v>
      </c>
      <c r="K1122" t="s">
        <v>4848</v>
      </c>
      <c r="M1122" t="s">
        <v>4487</v>
      </c>
      <c r="N1122">
        <v>60602</v>
      </c>
      <c r="O1122" t="s">
        <v>4488</v>
      </c>
      <c r="Q1122" t="s">
        <v>4489</v>
      </c>
      <c r="R1122" t="s">
        <v>4849</v>
      </c>
      <c r="S1122" t="s">
        <v>2835</v>
      </c>
      <c r="T1122" s="6">
        <v>5450000000</v>
      </c>
      <c r="U1122" s="45">
        <f>VLOOKUP(B1122,realPrices!C:G,5,0)</f>
        <v>5210000000</v>
      </c>
      <c r="W1122" t="str">
        <f t="shared" si="17"/>
        <v>207i TU5P A1401</v>
      </c>
      <c r="X1122">
        <f>VLOOKUP(W1122,Sheet10!D:F,2,0)*10000000</f>
        <v>7100000000</v>
      </c>
      <c r="Y1122" t="s">
        <v>114</v>
      </c>
    </row>
    <row r="1123" spans="1:25" x14ac:dyDescent="0.25">
      <c r="A1123" t="s">
        <v>4483</v>
      </c>
      <c r="B1123" t="s">
        <v>4896</v>
      </c>
      <c r="C1123">
        <v>606</v>
      </c>
      <c r="D1123" t="s">
        <v>63</v>
      </c>
      <c r="E1123" t="s">
        <v>64</v>
      </c>
      <c r="F1123" t="s">
        <v>420</v>
      </c>
      <c r="H1123">
        <v>25</v>
      </c>
      <c r="I1123">
        <v>1401</v>
      </c>
      <c r="J1123" t="s">
        <v>4897</v>
      </c>
      <c r="K1123" t="s">
        <v>4826</v>
      </c>
      <c r="M1123" t="s">
        <v>4487</v>
      </c>
      <c r="N1123">
        <v>60602</v>
      </c>
      <c r="O1123" t="s">
        <v>4488</v>
      </c>
      <c r="Q1123" t="s">
        <v>4489</v>
      </c>
      <c r="R1123" t="s">
        <v>4898</v>
      </c>
      <c r="S1123" t="s">
        <v>4404</v>
      </c>
      <c r="T1123" s="6">
        <v>5450000000</v>
      </c>
      <c r="U1123" s="45">
        <f>VLOOKUP(B1123,realPrices!C:G,5,0)</f>
        <v>4856950000</v>
      </c>
      <c r="W1123" t="str">
        <f t="shared" si="17"/>
        <v>207i TU5P A1401</v>
      </c>
      <c r="X1123">
        <f>VLOOKUP(W1123,Sheet10!D:F,2,0)*10000000</f>
        <v>7100000000</v>
      </c>
      <c r="Y1123" t="s">
        <v>114</v>
      </c>
    </row>
    <row r="1124" spans="1:25" x14ac:dyDescent="0.25">
      <c r="A1124" t="s">
        <v>4483</v>
      </c>
      <c r="B1124" t="s">
        <v>5525</v>
      </c>
      <c r="C1124">
        <v>606</v>
      </c>
      <c r="D1124" t="s">
        <v>63</v>
      </c>
      <c r="E1124" t="s">
        <v>64</v>
      </c>
      <c r="F1124" t="s">
        <v>420</v>
      </c>
      <c r="H1124">
        <v>48</v>
      </c>
      <c r="I1124">
        <v>1401</v>
      </c>
      <c r="J1124" t="s">
        <v>5526</v>
      </c>
      <c r="K1124" t="s">
        <v>5523</v>
      </c>
      <c r="M1124" t="s">
        <v>4487</v>
      </c>
      <c r="N1124">
        <v>60602</v>
      </c>
      <c r="O1124" t="s">
        <v>4488</v>
      </c>
      <c r="Q1124" t="s">
        <v>4489</v>
      </c>
      <c r="R1124" t="s">
        <v>5527</v>
      </c>
      <c r="S1124" t="s">
        <v>3389</v>
      </c>
      <c r="T1124" s="6">
        <v>5450000000</v>
      </c>
      <c r="U1124" s="45">
        <f>VLOOKUP(B1124,realPrices!C:G,5,0)</f>
        <v>6245500000</v>
      </c>
      <c r="W1124" t="str">
        <f t="shared" si="17"/>
        <v>207i TU5P A1401</v>
      </c>
      <c r="X1124">
        <f>VLOOKUP(W1124,Sheet10!D:F,2,0)*10000000</f>
        <v>7100000000</v>
      </c>
      <c r="Y1124" t="s">
        <v>114</v>
      </c>
    </row>
    <row r="1125" spans="1:25" x14ac:dyDescent="0.25">
      <c r="A1125" t="s">
        <v>4497</v>
      </c>
      <c r="B1125" t="s">
        <v>5528</v>
      </c>
      <c r="C1125">
        <v>606</v>
      </c>
      <c r="D1125" t="s">
        <v>77</v>
      </c>
      <c r="E1125" t="s">
        <v>64</v>
      </c>
      <c r="F1125" t="s">
        <v>420</v>
      </c>
      <c r="H1125">
        <v>51</v>
      </c>
      <c r="I1125">
        <v>1401</v>
      </c>
      <c r="J1125" t="s">
        <v>5529</v>
      </c>
      <c r="K1125" t="s">
        <v>5530</v>
      </c>
      <c r="M1125" t="s">
        <v>4487</v>
      </c>
      <c r="N1125">
        <v>60602</v>
      </c>
      <c r="O1125" t="s">
        <v>4488</v>
      </c>
      <c r="Q1125" t="s">
        <v>4489</v>
      </c>
      <c r="R1125" t="s">
        <v>5531</v>
      </c>
      <c r="S1125" t="s">
        <v>3332</v>
      </c>
      <c r="T1125" s="6">
        <v>5450000000</v>
      </c>
      <c r="U1125" s="45">
        <f>VLOOKUP(B1125,realPrices!C:G,5,0)</f>
        <v>6260009990</v>
      </c>
      <c r="W1125" t="str">
        <f t="shared" si="17"/>
        <v>207i TU5P A1401</v>
      </c>
      <c r="X1125">
        <f>VLOOKUP(W1125,Sheet10!D:F,2,0)*10000000</f>
        <v>7100000000</v>
      </c>
      <c r="Y1125" t="s">
        <v>114</v>
      </c>
    </row>
    <row r="1126" spans="1:25" x14ac:dyDescent="0.25">
      <c r="A1126" t="s">
        <v>4497</v>
      </c>
      <c r="B1126" t="s">
        <v>5532</v>
      </c>
      <c r="C1126">
        <v>606</v>
      </c>
      <c r="D1126" t="s">
        <v>77</v>
      </c>
      <c r="E1126" t="s">
        <v>64</v>
      </c>
      <c r="F1126" t="s">
        <v>420</v>
      </c>
      <c r="H1126">
        <v>28</v>
      </c>
      <c r="I1126">
        <v>1401</v>
      </c>
      <c r="J1126" t="s">
        <v>5533</v>
      </c>
      <c r="K1126" t="s">
        <v>5534</v>
      </c>
      <c r="M1126" t="s">
        <v>4487</v>
      </c>
      <c r="N1126">
        <v>60602</v>
      </c>
      <c r="O1126" t="s">
        <v>4488</v>
      </c>
      <c r="Q1126" t="s">
        <v>4489</v>
      </c>
      <c r="R1126" t="s">
        <v>5535</v>
      </c>
      <c r="S1126" t="s">
        <v>5095</v>
      </c>
      <c r="T1126" s="6">
        <v>5450000000</v>
      </c>
      <c r="U1126" s="45">
        <f>VLOOKUP(B1126,realPrices!C:G,5,0)</f>
        <v>5572000000</v>
      </c>
      <c r="W1126" t="str">
        <f t="shared" si="17"/>
        <v>207i TU5P A1401</v>
      </c>
      <c r="X1126">
        <f>VLOOKUP(W1126,Sheet10!D:F,2,0)*10000000</f>
        <v>7100000000</v>
      </c>
      <c r="Y1126" t="s">
        <v>114</v>
      </c>
    </row>
    <row r="1127" spans="1:25" x14ac:dyDescent="0.25">
      <c r="A1127" t="s">
        <v>4497</v>
      </c>
      <c r="B1127" t="s">
        <v>5536</v>
      </c>
      <c r="C1127">
        <v>606</v>
      </c>
      <c r="D1127" t="s">
        <v>77</v>
      </c>
      <c r="E1127" t="s">
        <v>64</v>
      </c>
      <c r="F1127" t="s">
        <v>420</v>
      </c>
      <c r="H1127">
        <v>47</v>
      </c>
      <c r="I1127">
        <v>1401</v>
      </c>
      <c r="J1127" t="s">
        <v>5537</v>
      </c>
      <c r="K1127" t="s">
        <v>5538</v>
      </c>
      <c r="M1127" t="s">
        <v>4487</v>
      </c>
      <c r="N1127">
        <v>60602</v>
      </c>
      <c r="O1127" t="s">
        <v>4488</v>
      </c>
      <c r="Q1127" t="s">
        <v>4489</v>
      </c>
      <c r="R1127" t="s">
        <v>5539</v>
      </c>
      <c r="S1127" t="s">
        <v>4868</v>
      </c>
      <c r="T1127" s="6">
        <v>5450000000</v>
      </c>
      <c r="U1127" s="45">
        <f>VLOOKUP(B1127,realPrices!C:G,5,0)</f>
        <v>6142222222</v>
      </c>
      <c r="W1127" t="str">
        <f t="shared" si="17"/>
        <v>207i TU5P A1401</v>
      </c>
      <c r="X1127">
        <f>VLOOKUP(W1127,Sheet10!D:F,2,0)*10000000</f>
        <v>7100000000</v>
      </c>
      <c r="Y1127" t="s">
        <v>114</v>
      </c>
    </row>
    <row r="1128" spans="1:25" x14ac:dyDescent="0.25">
      <c r="A1128" t="s">
        <v>4497</v>
      </c>
      <c r="B1128" t="s">
        <v>5540</v>
      </c>
      <c r="C1128">
        <v>606</v>
      </c>
      <c r="D1128" t="s">
        <v>77</v>
      </c>
      <c r="E1128" t="s">
        <v>64</v>
      </c>
      <c r="F1128" t="s">
        <v>420</v>
      </c>
      <c r="H1128">
        <v>67</v>
      </c>
      <c r="I1128">
        <v>1401</v>
      </c>
      <c r="J1128" t="s">
        <v>5541</v>
      </c>
      <c r="K1128" t="s">
        <v>5542</v>
      </c>
      <c r="M1128" t="s">
        <v>4487</v>
      </c>
      <c r="N1128">
        <v>60602</v>
      </c>
      <c r="O1128" t="s">
        <v>4488</v>
      </c>
      <c r="Q1128" t="s">
        <v>4489</v>
      </c>
      <c r="R1128" t="s">
        <v>5543</v>
      </c>
      <c r="S1128" t="s">
        <v>4496</v>
      </c>
      <c r="T1128" s="6">
        <v>5450000000</v>
      </c>
      <c r="U1128" s="45">
        <f>VLOOKUP(B1128,realPrices!C:G,5,0)</f>
        <v>6450000000</v>
      </c>
      <c r="W1128" t="str">
        <f t="shared" si="17"/>
        <v>207i TU5P A1401</v>
      </c>
      <c r="X1128">
        <f>VLOOKUP(W1128,Sheet10!D:F,2,0)*10000000</f>
        <v>7100000000</v>
      </c>
      <c r="Y1128" t="s">
        <v>114</v>
      </c>
    </row>
    <row r="1129" spans="1:25" x14ac:dyDescent="0.25">
      <c r="A1129" t="s">
        <v>4483</v>
      </c>
      <c r="B1129" t="s">
        <v>5544</v>
      </c>
      <c r="C1129">
        <v>606</v>
      </c>
      <c r="D1129" t="s">
        <v>63</v>
      </c>
      <c r="E1129" t="s">
        <v>64</v>
      </c>
      <c r="F1129" t="s">
        <v>420</v>
      </c>
      <c r="H1129">
        <v>60</v>
      </c>
      <c r="I1129">
        <v>1401</v>
      </c>
      <c r="J1129" t="s">
        <v>5545</v>
      </c>
      <c r="K1129" t="s">
        <v>5546</v>
      </c>
      <c r="M1129" t="s">
        <v>4487</v>
      </c>
      <c r="N1129">
        <v>60602</v>
      </c>
      <c r="O1129" t="s">
        <v>4488</v>
      </c>
      <c r="Q1129" t="s">
        <v>4489</v>
      </c>
      <c r="R1129" t="s">
        <v>5547</v>
      </c>
      <c r="S1129" t="s">
        <v>3802</v>
      </c>
      <c r="T1129" s="6">
        <v>5450000000</v>
      </c>
      <c r="U1129" s="45">
        <f>VLOOKUP(B1129,realPrices!C:G,5,0)</f>
        <v>6100000000</v>
      </c>
      <c r="W1129" t="str">
        <f t="shared" si="17"/>
        <v>207i TU5P A1401</v>
      </c>
      <c r="X1129">
        <f>VLOOKUP(W1129,Sheet10!D:F,2,0)*10000000</f>
        <v>7100000000</v>
      </c>
      <c r="Y1129" t="s">
        <v>114</v>
      </c>
    </row>
    <row r="1130" spans="1:25" x14ac:dyDescent="0.25">
      <c r="A1130" t="s">
        <v>4497</v>
      </c>
      <c r="B1130" t="s">
        <v>5548</v>
      </c>
      <c r="C1130">
        <v>606</v>
      </c>
      <c r="D1130" t="s">
        <v>77</v>
      </c>
      <c r="E1130" t="s">
        <v>64</v>
      </c>
      <c r="F1130" t="s">
        <v>420</v>
      </c>
      <c r="H1130">
        <v>54</v>
      </c>
      <c r="I1130">
        <v>1401</v>
      </c>
      <c r="J1130" t="s">
        <v>5549</v>
      </c>
      <c r="K1130" t="s">
        <v>5550</v>
      </c>
      <c r="M1130" t="s">
        <v>4487</v>
      </c>
      <c r="N1130">
        <v>60602</v>
      </c>
      <c r="O1130" t="s">
        <v>4488</v>
      </c>
      <c r="Q1130" t="s">
        <v>4489</v>
      </c>
      <c r="R1130" t="s">
        <v>5551</v>
      </c>
      <c r="S1130" t="s">
        <v>3717</v>
      </c>
      <c r="T1130" s="6">
        <v>5450000000</v>
      </c>
      <c r="U1130" s="45">
        <f>VLOOKUP(B1130,realPrices!C:G,5,0)</f>
        <v>6219999999</v>
      </c>
      <c r="W1130" t="str">
        <f t="shared" si="17"/>
        <v>207i TU5P A1401</v>
      </c>
      <c r="X1130">
        <f>VLOOKUP(W1130,Sheet10!D:F,2,0)*10000000</f>
        <v>7100000000</v>
      </c>
      <c r="Y1130" t="s">
        <v>114</v>
      </c>
    </row>
    <row r="1131" spans="1:25" x14ac:dyDescent="0.25">
      <c r="A1131" t="s">
        <v>3521</v>
      </c>
      <c r="B1131" t="s">
        <v>5552</v>
      </c>
      <c r="C1131">
        <v>707</v>
      </c>
      <c r="D1131" t="s">
        <v>77</v>
      </c>
      <c r="E1131" t="s">
        <v>64</v>
      </c>
      <c r="F1131" t="s">
        <v>318</v>
      </c>
      <c r="H1131">
        <v>19</v>
      </c>
      <c r="I1131">
        <v>1401</v>
      </c>
      <c r="J1131" t="s">
        <v>5553</v>
      </c>
      <c r="K1131" t="s">
        <v>5554</v>
      </c>
      <c r="M1131" t="s">
        <v>3450</v>
      </c>
      <c r="N1131">
        <v>70702</v>
      </c>
      <c r="O1131" t="s">
        <v>70</v>
      </c>
      <c r="Q1131" t="s">
        <v>3451</v>
      </c>
      <c r="R1131" t="s">
        <v>5555</v>
      </c>
      <c r="S1131" t="s">
        <v>4507</v>
      </c>
      <c r="T1131" s="6">
        <v>5500000000</v>
      </c>
      <c r="U1131" s="45">
        <f>VLOOKUP(B1131,realPrices!C:G,5,0)</f>
        <v>6919999999</v>
      </c>
      <c r="W1131" t="str">
        <f t="shared" si="17"/>
        <v>DENA+EF7TC A1401</v>
      </c>
      <c r="X1131">
        <f>VLOOKUP(W1131,Sheet10!D:F,2,0)*10000000</f>
        <v>7250000000</v>
      </c>
      <c r="Y1131" t="s">
        <v>114</v>
      </c>
    </row>
    <row r="1132" spans="1:25" x14ac:dyDescent="0.25">
      <c r="A1132" t="s">
        <v>4483</v>
      </c>
      <c r="B1132" t="s">
        <v>5556</v>
      </c>
      <c r="C1132">
        <v>606</v>
      </c>
      <c r="D1132" t="s">
        <v>63</v>
      </c>
      <c r="E1132" t="s">
        <v>64</v>
      </c>
      <c r="F1132" t="s">
        <v>3186</v>
      </c>
      <c r="H1132">
        <v>124</v>
      </c>
      <c r="I1132">
        <v>1401</v>
      </c>
      <c r="J1132" t="s">
        <v>5557</v>
      </c>
      <c r="K1132" t="s">
        <v>5558</v>
      </c>
      <c r="M1132" t="s">
        <v>4487</v>
      </c>
      <c r="N1132">
        <v>60602</v>
      </c>
      <c r="O1132" t="s">
        <v>4488</v>
      </c>
      <c r="Q1132" t="s">
        <v>4489</v>
      </c>
      <c r="R1132" t="s">
        <v>5559</v>
      </c>
      <c r="S1132" t="s">
        <v>3445</v>
      </c>
      <c r="T1132" s="6">
        <v>5500000000</v>
      </c>
      <c r="U1132" s="45">
        <f>VLOOKUP(B1132,realPrices!C:G,5,0)</f>
        <v>6320000000</v>
      </c>
      <c r="W1132" t="str">
        <f t="shared" si="17"/>
        <v>207i TU5P A1401</v>
      </c>
      <c r="X1132">
        <f>VLOOKUP(W1132,Sheet10!D:F,2,0)*10000000</f>
        <v>7100000000</v>
      </c>
      <c r="Y1132" t="s">
        <v>114</v>
      </c>
    </row>
    <row r="1133" spans="1:25" x14ac:dyDescent="0.25">
      <c r="A1133" t="s">
        <v>4318</v>
      </c>
      <c r="B1133" t="s">
        <v>5560</v>
      </c>
      <c r="C1133">
        <v>707</v>
      </c>
      <c r="D1133" t="s">
        <v>240</v>
      </c>
      <c r="E1133" t="s">
        <v>64</v>
      </c>
      <c r="F1133" t="s">
        <v>491</v>
      </c>
      <c r="H1133">
        <v>35</v>
      </c>
      <c r="I1133">
        <v>1401</v>
      </c>
      <c r="J1133" t="s">
        <v>5561</v>
      </c>
      <c r="K1133" t="s">
        <v>5562</v>
      </c>
      <c r="M1133" t="s">
        <v>3450</v>
      </c>
      <c r="N1133">
        <v>70702</v>
      </c>
      <c r="O1133" t="s">
        <v>70</v>
      </c>
      <c r="Q1133" t="s">
        <v>3451</v>
      </c>
      <c r="R1133" t="s">
        <v>5563</v>
      </c>
      <c r="S1133" t="s">
        <v>4669</v>
      </c>
      <c r="T1133" s="6">
        <v>5650000000</v>
      </c>
      <c r="U1133" s="45">
        <f>VLOOKUP(B1133,realPrices!C:G,5,0)</f>
        <v>6212345678</v>
      </c>
      <c r="W1133" t="str">
        <f t="shared" si="17"/>
        <v>DENA+EF7TC A1401</v>
      </c>
      <c r="X1133">
        <f>VLOOKUP(W1133,Sheet10!D:F,2,0)*10000000</f>
        <v>7250000000</v>
      </c>
      <c r="Y1133" t="s">
        <v>114</v>
      </c>
    </row>
    <row r="1134" spans="1:25" x14ac:dyDescent="0.25">
      <c r="A1134" t="s">
        <v>3478</v>
      </c>
      <c r="B1134" t="s">
        <v>5564</v>
      </c>
      <c r="C1134">
        <v>707</v>
      </c>
      <c r="D1134" t="s">
        <v>259</v>
      </c>
      <c r="E1134" t="s">
        <v>64</v>
      </c>
      <c r="F1134" t="s">
        <v>318</v>
      </c>
      <c r="H1134">
        <v>31</v>
      </c>
      <c r="I1134">
        <v>1401</v>
      </c>
      <c r="J1134" t="s">
        <v>5565</v>
      </c>
      <c r="K1134" t="s">
        <v>5566</v>
      </c>
      <c r="M1134" t="s">
        <v>3450</v>
      </c>
      <c r="N1134">
        <v>70702</v>
      </c>
      <c r="O1134" t="s">
        <v>70</v>
      </c>
      <c r="Q1134" t="s">
        <v>3451</v>
      </c>
      <c r="R1134" t="s">
        <v>5567</v>
      </c>
      <c r="S1134" t="s">
        <v>4545</v>
      </c>
      <c r="T1134" s="6">
        <v>5650000000</v>
      </c>
      <c r="U1134" s="45">
        <f>VLOOKUP(B1134,realPrices!C:G,5,0)</f>
        <v>6511286650</v>
      </c>
      <c r="W1134" t="str">
        <f t="shared" si="17"/>
        <v>DENA+EF7TC A1401</v>
      </c>
      <c r="X1134">
        <f>VLOOKUP(W1134,Sheet10!D:F,2,0)*10000000</f>
        <v>7250000000</v>
      </c>
      <c r="Y1134" t="s">
        <v>114</v>
      </c>
    </row>
    <row r="1135" spans="1:25" x14ac:dyDescent="0.25">
      <c r="A1135" t="s">
        <v>4318</v>
      </c>
      <c r="B1135" t="s">
        <v>5568</v>
      </c>
      <c r="C1135">
        <v>707</v>
      </c>
      <c r="D1135" t="s">
        <v>240</v>
      </c>
      <c r="E1135" t="s">
        <v>64</v>
      </c>
      <c r="F1135" t="s">
        <v>318</v>
      </c>
      <c r="H1135">
        <v>64</v>
      </c>
      <c r="I1135">
        <v>1401</v>
      </c>
      <c r="J1135" t="s">
        <v>5569</v>
      </c>
      <c r="K1135" t="s">
        <v>5570</v>
      </c>
      <c r="M1135" t="s">
        <v>3450</v>
      </c>
      <c r="N1135">
        <v>70702</v>
      </c>
      <c r="O1135" t="s">
        <v>70</v>
      </c>
      <c r="Q1135" t="s">
        <v>3451</v>
      </c>
      <c r="R1135" t="s">
        <v>5571</v>
      </c>
      <c r="S1135" t="s">
        <v>4709</v>
      </c>
      <c r="T1135" s="6">
        <v>5650000000</v>
      </c>
      <c r="U1135" s="45">
        <f>VLOOKUP(B1135,realPrices!C:G,5,0)</f>
        <v>6230000000</v>
      </c>
      <c r="W1135" t="str">
        <f t="shared" si="17"/>
        <v>DENA+EF7TC A1401</v>
      </c>
      <c r="X1135">
        <f>VLOOKUP(W1135,Sheet10!D:F,2,0)*10000000</f>
        <v>7250000000</v>
      </c>
      <c r="Y1135" t="s">
        <v>114</v>
      </c>
    </row>
    <row r="1136" spans="1:25" x14ac:dyDescent="0.25">
      <c r="A1136" t="s">
        <v>5195</v>
      </c>
      <c r="B1136" t="s">
        <v>5196</v>
      </c>
      <c r="C1136">
        <v>323</v>
      </c>
      <c r="D1136" t="s">
        <v>5197</v>
      </c>
      <c r="E1136" t="s">
        <v>64</v>
      </c>
      <c r="F1136" t="s">
        <v>4256</v>
      </c>
      <c r="H1136">
        <v>111</v>
      </c>
      <c r="I1136">
        <v>1400</v>
      </c>
      <c r="J1136" t="s">
        <v>5198</v>
      </c>
      <c r="K1136" t="s">
        <v>5572</v>
      </c>
      <c r="M1136" t="s">
        <v>5192</v>
      </c>
      <c r="N1136">
        <v>32301</v>
      </c>
      <c r="O1136" t="s">
        <v>70</v>
      </c>
      <c r="Q1136" t="s">
        <v>5193</v>
      </c>
      <c r="R1136" t="s">
        <v>5200</v>
      </c>
      <c r="S1136" t="s">
        <v>3005</v>
      </c>
      <c r="T1136" s="6">
        <v>5650000000</v>
      </c>
      <c r="U1136" s="45">
        <f>VLOOKUP(B1136,realPrices!C:G,5,0)</f>
        <v>4999999999</v>
      </c>
      <c r="W1136" t="str">
        <f t="shared" si="17"/>
        <v>TARA TU5PA1400</v>
      </c>
      <c r="X1136">
        <f>VLOOKUP(W1136,Sheet10!D:F,2,0)*10000000</f>
        <v>7200000000</v>
      </c>
      <c r="Y1136" t="s">
        <v>114</v>
      </c>
    </row>
    <row r="1137" spans="1:25" x14ac:dyDescent="0.25">
      <c r="A1137" t="s">
        <v>3478</v>
      </c>
      <c r="B1137" t="s">
        <v>5573</v>
      </c>
      <c r="C1137">
        <v>707</v>
      </c>
      <c r="D1137" t="s">
        <v>259</v>
      </c>
      <c r="E1137" t="s">
        <v>64</v>
      </c>
      <c r="F1137" t="s">
        <v>420</v>
      </c>
      <c r="H1137">
        <v>28</v>
      </c>
      <c r="I1137">
        <v>1401</v>
      </c>
      <c r="J1137" t="s">
        <v>5574</v>
      </c>
      <c r="K1137" t="s">
        <v>5575</v>
      </c>
      <c r="M1137" t="s">
        <v>3450</v>
      </c>
      <c r="N1137">
        <v>70702</v>
      </c>
      <c r="O1137" t="s">
        <v>70</v>
      </c>
      <c r="Q1137" t="s">
        <v>3451</v>
      </c>
      <c r="R1137" t="s">
        <v>5576</v>
      </c>
      <c r="S1137" t="s">
        <v>4887</v>
      </c>
      <c r="T1137" s="6">
        <v>5750000000</v>
      </c>
      <c r="U1137" s="45">
        <f>VLOOKUP(B1137,realPrices!C:G,5,0)</f>
        <v>6665000000</v>
      </c>
      <c r="W1137" t="str">
        <f t="shared" si="17"/>
        <v>DENA+EF7TC A1401</v>
      </c>
      <c r="X1137">
        <f>VLOOKUP(W1137,Sheet10!D:F,2,0)*10000000</f>
        <v>7250000000</v>
      </c>
      <c r="Y1137" t="s">
        <v>114</v>
      </c>
    </row>
    <row r="1138" spans="1:25" x14ac:dyDescent="0.25">
      <c r="A1138" t="s">
        <v>5577</v>
      </c>
      <c r="B1138" t="s">
        <v>5578</v>
      </c>
      <c r="C1138">
        <v>323</v>
      </c>
      <c r="D1138" t="s">
        <v>5579</v>
      </c>
      <c r="E1138" t="s">
        <v>64</v>
      </c>
      <c r="F1138" t="s">
        <v>362</v>
      </c>
      <c r="H1138">
        <v>31</v>
      </c>
      <c r="I1138">
        <v>1400</v>
      </c>
      <c r="J1138" t="s">
        <v>5580</v>
      </c>
      <c r="K1138" t="s">
        <v>5581</v>
      </c>
      <c r="M1138" t="s">
        <v>5192</v>
      </c>
      <c r="N1138">
        <v>32301</v>
      </c>
      <c r="O1138" t="s">
        <v>70</v>
      </c>
      <c r="Q1138" t="s">
        <v>5193</v>
      </c>
      <c r="R1138" t="s">
        <v>5582</v>
      </c>
      <c r="S1138" t="s">
        <v>3711</v>
      </c>
      <c r="T1138" s="6">
        <v>5750000000</v>
      </c>
      <c r="U1138" s="45">
        <f>VLOOKUP(B1138,realPrices!C:G,5,0)</f>
        <v>6666666000</v>
      </c>
      <c r="W1138" t="str">
        <f t="shared" si="17"/>
        <v>TARA TU5PA1400</v>
      </c>
      <c r="X1138">
        <f>VLOOKUP(W1138,Sheet10!D:F,2,0)*10000000</f>
        <v>7200000000</v>
      </c>
      <c r="Y1138" t="s">
        <v>114</v>
      </c>
    </row>
    <row r="1139" spans="1:25" x14ac:dyDescent="0.25">
      <c r="A1139" t="s">
        <v>5231</v>
      </c>
      <c r="B1139" t="s">
        <v>5250</v>
      </c>
      <c r="C1139">
        <v>323</v>
      </c>
      <c r="D1139" t="s">
        <v>4345</v>
      </c>
      <c r="E1139" t="s">
        <v>64</v>
      </c>
      <c r="F1139" t="s">
        <v>4256</v>
      </c>
      <c r="H1139">
        <v>25</v>
      </c>
      <c r="I1139">
        <v>1400</v>
      </c>
      <c r="J1139" t="s">
        <v>5251</v>
      </c>
      <c r="K1139" t="s">
        <v>5583</v>
      </c>
      <c r="M1139" t="s">
        <v>5192</v>
      </c>
      <c r="N1139">
        <v>32301</v>
      </c>
      <c r="O1139" t="s">
        <v>70</v>
      </c>
      <c r="Q1139" t="s">
        <v>5193</v>
      </c>
      <c r="R1139" t="s">
        <v>5253</v>
      </c>
      <c r="S1139" t="s">
        <v>2935</v>
      </c>
      <c r="T1139" s="6">
        <v>5750000000</v>
      </c>
      <c r="U1139" s="45">
        <f>VLOOKUP(B1139,realPrices!C:G,5,0)</f>
        <v>5295556849</v>
      </c>
      <c r="W1139" t="str">
        <f t="shared" si="17"/>
        <v>TARA TU5PA1400</v>
      </c>
      <c r="X1139">
        <f>VLOOKUP(W1139,Sheet10!D:F,2,0)*10000000</f>
        <v>7200000000</v>
      </c>
      <c r="Y1139" t="s">
        <v>114</v>
      </c>
    </row>
    <row r="1140" spans="1:25" x14ac:dyDescent="0.25">
      <c r="A1140" t="s">
        <v>5201</v>
      </c>
      <c r="B1140" t="s">
        <v>5270</v>
      </c>
      <c r="C1140">
        <v>323</v>
      </c>
      <c r="D1140" t="s">
        <v>259</v>
      </c>
      <c r="E1140" t="s">
        <v>64</v>
      </c>
      <c r="F1140" t="s">
        <v>4256</v>
      </c>
      <c r="H1140">
        <v>71</v>
      </c>
      <c r="I1140">
        <v>1400</v>
      </c>
      <c r="J1140" t="s">
        <v>5271</v>
      </c>
      <c r="K1140" t="s">
        <v>5584</v>
      </c>
      <c r="M1140" t="s">
        <v>5192</v>
      </c>
      <c r="N1140">
        <v>32301</v>
      </c>
      <c r="O1140" t="s">
        <v>70</v>
      </c>
      <c r="Q1140" t="s">
        <v>5193</v>
      </c>
      <c r="R1140" t="s">
        <v>5273</v>
      </c>
      <c r="S1140" t="s">
        <v>2785</v>
      </c>
      <c r="T1140" s="6">
        <v>5800000000</v>
      </c>
      <c r="U1140" s="45">
        <f>VLOOKUP(B1140,realPrices!C:G,5,0)</f>
        <v>5524850000</v>
      </c>
      <c r="W1140" t="str">
        <f t="shared" si="17"/>
        <v>TARA TU5PA1400</v>
      </c>
      <c r="X1140">
        <f>VLOOKUP(W1140,Sheet10!D:F,2,0)*10000000</f>
        <v>7200000000</v>
      </c>
      <c r="Y1140" t="s">
        <v>114</v>
      </c>
    </row>
    <row r="1141" spans="1:25" x14ac:dyDescent="0.25">
      <c r="A1141" t="s">
        <v>5585</v>
      </c>
      <c r="B1141" t="s">
        <v>5586</v>
      </c>
      <c r="C1141">
        <v>522</v>
      </c>
      <c r="D1141" t="s">
        <v>77</v>
      </c>
      <c r="E1141" t="s">
        <v>64</v>
      </c>
      <c r="F1141" t="s">
        <v>318</v>
      </c>
      <c r="H1141">
        <v>48</v>
      </c>
      <c r="I1141">
        <v>1401</v>
      </c>
      <c r="J1141" t="s">
        <v>5587</v>
      </c>
      <c r="K1141" t="s">
        <v>5588</v>
      </c>
      <c r="M1141" t="s">
        <v>5589</v>
      </c>
      <c r="N1141">
        <v>52201</v>
      </c>
      <c r="O1141" t="s">
        <v>4488</v>
      </c>
      <c r="Q1141" t="s">
        <v>5590</v>
      </c>
      <c r="R1141" t="s">
        <v>5591</v>
      </c>
      <c r="S1141" t="s">
        <v>2138</v>
      </c>
      <c r="T1141" s="6">
        <v>6500000000</v>
      </c>
      <c r="U1141" s="45">
        <f>VLOOKUP(B1141,realPrices!C:G,5,0)</f>
        <v>7520000000</v>
      </c>
      <c r="W1141" t="str">
        <f t="shared" si="17"/>
        <v>S5-T-AT1401</v>
      </c>
      <c r="X1141">
        <f>VLOOKUP(W1141,Sheet10!D:F,2,0)*10000000</f>
        <v>11100000000</v>
      </c>
      <c r="Y1141" t="s">
        <v>74</v>
      </c>
    </row>
    <row r="1142" spans="1:25" x14ac:dyDescent="0.25">
      <c r="A1142" t="s">
        <v>5592</v>
      </c>
      <c r="B1142" t="s">
        <v>5593</v>
      </c>
      <c r="C1142">
        <v>566</v>
      </c>
      <c r="D1142" t="s">
        <v>4611</v>
      </c>
      <c r="E1142" t="s">
        <v>64</v>
      </c>
      <c r="F1142" t="s">
        <v>362</v>
      </c>
      <c r="G1142" t="s">
        <v>363</v>
      </c>
      <c r="H1142">
        <v>54</v>
      </c>
      <c r="I1142">
        <v>1398</v>
      </c>
      <c r="J1142" t="s">
        <v>5594</v>
      </c>
      <c r="K1142" t="s">
        <v>599</v>
      </c>
      <c r="L1142" t="s">
        <v>5595</v>
      </c>
      <c r="M1142" t="s">
        <v>5596</v>
      </c>
      <c r="N1142">
        <v>56679</v>
      </c>
      <c r="O1142" t="s">
        <v>70</v>
      </c>
      <c r="Q1142" t="s">
        <v>5597</v>
      </c>
      <c r="R1142" t="s">
        <v>5598</v>
      </c>
      <c r="S1142" t="s">
        <v>4110</v>
      </c>
      <c r="T1142" s="6">
        <v>6900000000</v>
      </c>
      <c r="U1142" s="45">
        <f>VLOOKUP(B1142,realPrices!C:G,5,0)</f>
        <v>8926000000</v>
      </c>
      <c r="W1142" t="str">
        <f t="shared" si="17"/>
        <v>TONDAR 90+ at1398</v>
      </c>
      <c r="X1142">
        <f>VLOOKUP(W1142,Sheet10!D:F,2,0)*10000000</f>
        <v>6750000000</v>
      </c>
      <c r="Y1142" t="s">
        <v>114</v>
      </c>
    </row>
    <row r="1143" spans="1:25" x14ac:dyDescent="0.25">
      <c r="A1143" t="s">
        <v>5592</v>
      </c>
      <c r="B1143" t="s">
        <v>5599</v>
      </c>
      <c r="C1143">
        <v>566</v>
      </c>
      <c r="D1143" t="s">
        <v>4611</v>
      </c>
      <c r="E1143" t="s">
        <v>64</v>
      </c>
      <c r="F1143" t="s">
        <v>362</v>
      </c>
      <c r="G1143" t="s">
        <v>363</v>
      </c>
      <c r="H1143">
        <v>47</v>
      </c>
      <c r="I1143">
        <v>1398</v>
      </c>
      <c r="J1143" t="s">
        <v>5600</v>
      </c>
      <c r="K1143" t="s">
        <v>5601</v>
      </c>
      <c r="L1143" t="s">
        <v>5602</v>
      </c>
      <c r="M1143" t="s">
        <v>5596</v>
      </c>
      <c r="N1143">
        <v>56679</v>
      </c>
      <c r="O1143" t="s">
        <v>70</v>
      </c>
      <c r="Q1143" t="s">
        <v>5597</v>
      </c>
      <c r="R1143" t="s">
        <v>5603</v>
      </c>
      <c r="S1143" t="s">
        <v>4265</v>
      </c>
      <c r="T1143" s="6">
        <v>6900000000</v>
      </c>
      <c r="U1143" s="45">
        <f>VLOOKUP(B1143,realPrices!C:G,5,0)</f>
        <v>8444444444</v>
      </c>
      <c r="W1143" t="str">
        <f t="shared" si="17"/>
        <v>TONDAR 90+ at1398</v>
      </c>
      <c r="X1143">
        <f>VLOOKUP(W1143,Sheet10!D:F,2,0)*10000000</f>
        <v>6750000000</v>
      </c>
      <c r="Y1143" t="s">
        <v>114</v>
      </c>
    </row>
    <row r="1144" spans="1:25" x14ac:dyDescent="0.25">
      <c r="A1144" t="s">
        <v>5604</v>
      </c>
      <c r="B1144" t="s">
        <v>5605</v>
      </c>
      <c r="C1144">
        <v>518</v>
      </c>
      <c r="D1144" t="s">
        <v>77</v>
      </c>
      <c r="E1144" t="s">
        <v>64</v>
      </c>
      <c r="F1144" t="s">
        <v>205</v>
      </c>
      <c r="G1144" t="s">
        <v>2443</v>
      </c>
      <c r="H1144">
        <v>15486</v>
      </c>
      <c r="I1144">
        <v>1400</v>
      </c>
      <c r="J1144" t="s">
        <v>5606</v>
      </c>
      <c r="K1144" t="s">
        <v>5607</v>
      </c>
      <c r="L1144" t="s">
        <v>5608</v>
      </c>
      <c r="M1144" t="s">
        <v>5609</v>
      </c>
      <c r="N1144">
        <v>51802</v>
      </c>
      <c r="O1144" t="s">
        <v>303</v>
      </c>
      <c r="Q1144" t="s">
        <v>5610</v>
      </c>
      <c r="R1144" t="s">
        <v>5611</v>
      </c>
      <c r="S1144" t="s">
        <v>5612</v>
      </c>
      <c r="T1144" s="6">
        <v>7300000000</v>
      </c>
      <c r="U1144" s="45">
        <f>VLOOKUP(B1144,realPrices!C:G,5,0)</f>
        <v>8802700000</v>
      </c>
      <c r="W1144" t="str">
        <f t="shared" si="17"/>
        <v>S7-T-AT1400</v>
      </c>
      <c r="X1144" t="e">
        <f>VLOOKUP(W1144,Sheet10!D:F,2,0)*10000000</f>
        <v>#N/A</v>
      </c>
      <c r="Y1144" t="s">
        <v>74</v>
      </c>
    </row>
    <row r="1145" spans="1:25" x14ac:dyDescent="0.25">
      <c r="A1145" t="s">
        <v>5613</v>
      </c>
      <c r="B1145" t="s">
        <v>5614</v>
      </c>
      <c r="C1145">
        <v>518</v>
      </c>
      <c r="D1145" t="s">
        <v>259</v>
      </c>
      <c r="E1145" t="s">
        <v>64</v>
      </c>
      <c r="F1145" t="s">
        <v>420</v>
      </c>
      <c r="G1145" t="s">
        <v>5615</v>
      </c>
      <c r="H1145">
        <v>27498</v>
      </c>
      <c r="I1145">
        <v>1400</v>
      </c>
      <c r="J1145" t="s">
        <v>5616</v>
      </c>
      <c r="K1145" t="s">
        <v>5617</v>
      </c>
      <c r="L1145" t="s">
        <v>5618</v>
      </c>
      <c r="M1145" t="s">
        <v>5609</v>
      </c>
      <c r="N1145">
        <v>51802</v>
      </c>
      <c r="O1145" t="s">
        <v>303</v>
      </c>
      <c r="Q1145" t="s">
        <v>5610</v>
      </c>
      <c r="R1145" t="s">
        <v>5619</v>
      </c>
      <c r="S1145" t="s">
        <v>5620</v>
      </c>
      <c r="T1145" s="6">
        <v>7500000000</v>
      </c>
      <c r="U1145" s="45">
        <f>VLOOKUP(B1145,realPrices!C:G,5,0)</f>
        <v>8911700000</v>
      </c>
      <c r="W1145" t="str">
        <f t="shared" si="17"/>
        <v>S7-T-AT1400</v>
      </c>
      <c r="X1145" t="e">
        <f>VLOOKUP(W1145,Sheet10!D:F,2,0)*10000000</f>
        <v>#N/A</v>
      </c>
      <c r="Y1145" t="s">
        <v>74</v>
      </c>
    </row>
    <row r="1146" spans="1:25" x14ac:dyDescent="0.25">
      <c r="A1146" t="s">
        <v>5585</v>
      </c>
      <c r="B1146" t="s">
        <v>5621</v>
      </c>
      <c r="C1146">
        <v>522</v>
      </c>
      <c r="D1146" t="s">
        <v>77</v>
      </c>
      <c r="E1146" t="s">
        <v>64</v>
      </c>
      <c r="F1146" t="s">
        <v>2436</v>
      </c>
      <c r="H1146">
        <v>46</v>
      </c>
      <c r="I1146">
        <v>1401</v>
      </c>
      <c r="J1146" t="s">
        <v>5622</v>
      </c>
      <c r="K1146" t="s">
        <v>5623</v>
      </c>
      <c r="M1146" t="s">
        <v>5589</v>
      </c>
      <c r="N1146">
        <v>52201</v>
      </c>
      <c r="O1146" t="s">
        <v>4488</v>
      </c>
      <c r="Q1146" t="s">
        <v>5590</v>
      </c>
      <c r="R1146" t="s">
        <v>5624</v>
      </c>
      <c r="S1146" t="s">
        <v>5447</v>
      </c>
      <c r="T1146" s="6">
        <v>7650000000</v>
      </c>
      <c r="U1146" s="45">
        <f>VLOOKUP(B1146,realPrices!C:G,5,0)</f>
        <v>8821000000</v>
      </c>
      <c r="W1146" t="str">
        <f t="shared" si="17"/>
        <v>S5-T-AT1401</v>
      </c>
      <c r="X1146">
        <f>VLOOKUP(W1146,Sheet10!D:F,2,0)*10000000</f>
        <v>11100000000</v>
      </c>
      <c r="Y1146" t="s">
        <v>74</v>
      </c>
    </row>
    <row r="1147" spans="1:25" x14ac:dyDescent="0.25">
      <c r="A1147" t="s">
        <v>5585</v>
      </c>
      <c r="B1147" t="s">
        <v>5625</v>
      </c>
      <c r="C1147">
        <v>522</v>
      </c>
      <c r="D1147" t="s">
        <v>77</v>
      </c>
      <c r="E1147" t="s">
        <v>64</v>
      </c>
      <c r="F1147" t="s">
        <v>2696</v>
      </c>
      <c r="H1147">
        <v>36</v>
      </c>
      <c r="I1147">
        <v>1401</v>
      </c>
      <c r="J1147" t="s">
        <v>5626</v>
      </c>
      <c r="K1147" t="s">
        <v>5627</v>
      </c>
      <c r="M1147" t="s">
        <v>5589</v>
      </c>
      <c r="N1147">
        <v>52201</v>
      </c>
      <c r="O1147" t="s">
        <v>4488</v>
      </c>
      <c r="Q1147" t="s">
        <v>5590</v>
      </c>
      <c r="R1147" t="s">
        <v>5628</v>
      </c>
      <c r="S1147" t="s">
        <v>5504</v>
      </c>
      <c r="T1147" s="6">
        <v>7680000000</v>
      </c>
      <c r="U1147" s="45">
        <f>VLOOKUP(B1147,realPrices!C:G,5,0)</f>
        <v>8787869670</v>
      </c>
      <c r="W1147" t="str">
        <f t="shared" si="17"/>
        <v>S5-T-AT1401</v>
      </c>
      <c r="X1147">
        <f>VLOOKUP(W1147,Sheet10!D:F,2,0)*10000000</f>
        <v>11100000000</v>
      </c>
      <c r="Y1147" t="s">
        <v>74</v>
      </c>
    </row>
    <row r="1148" spans="1:25" x14ac:dyDescent="0.25">
      <c r="A1148" t="s">
        <v>5629</v>
      </c>
      <c r="B1148" t="s">
        <v>5630</v>
      </c>
      <c r="C1148">
        <v>522</v>
      </c>
      <c r="D1148" t="s">
        <v>178</v>
      </c>
      <c r="E1148" t="s">
        <v>64</v>
      </c>
      <c r="F1148" t="s">
        <v>420</v>
      </c>
      <c r="H1148">
        <v>50</v>
      </c>
      <c r="I1148">
        <v>1401</v>
      </c>
      <c r="J1148" t="s">
        <v>5631</v>
      </c>
      <c r="K1148" t="s">
        <v>5632</v>
      </c>
      <c r="M1148" t="s">
        <v>5589</v>
      </c>
      <c r="N1148">
        <v>52201</v>
      </c>
      <c r="O1148" t="s">
        <v>4488</v>
      </c>
      <c r="Q1148" t="s">
        <v>5590</v>
      </c>
      <c r="R1148" t="s">
        <v>5633</v>
      </c>
      <c r="S1148" t="s">
        <v>5401</v>
      </c>
      <c r="T1148" s="6">
        <v>7700000000</v>
      </c>
      <c r="U1148" s="45">
        <f>VLOOKUP(B1148,realPrices!C:G,5,0)</f>
        <v>9050000000</v>
      </c>
      <c r="W1148" t="str">
        <f t="shared" si="17"/>
        <v>S5-T-AT1401</v>
      </c>
      <c r="X1148">
        <f>VLOOKUP(W1148,Sheet10!D:F,2,0)*10000000</f>
        <v>11100000000</v>
      </c>
      <c r="Y1148" t="s">
        <v>74</v>
      </c>
    </row>
    <row r="1149" spans="1:25" x14ac:dyDescent="0.25">
      <c r="A1149" t="s">
        <v>5585</v>
      </c>
      <c r="B1149" t="s">
        <v>5634</v>
      </c>
      <c r="C1149">
        <v>522</v>
      </c>
      <c r="D1149" t="s">
        <v>77</v>
      </c>
      <c r="E1149" t="s">
        <v>64</v>
      </c>
      <c r="F1149" t="s">
        <v>3186</v>
      </c>
      <c r="H1149">
        <v>171</v>
      </c>
      <c r="I1149">
        <v>1401</v>
      </c>
      <c r="J1149" t="s">
        <v>5635</v>
      </c>
      <c r="K1149" t="s">
        <v>5636</v>
      </c>
      <c r="M1149" t="s">
        <v>5589</v>
      </c>
      <c r="N1149">
        <v>52201</v>
      </c>
      <c r="O1149" t="s">
        <v>4488</v>
      </c>
      <c r="Q1149" t="s">
        <v>5590</v>
      </c>
      <c r="R1149" t="s">
        <v>5637</v>
      </c>
      <c r="S1149" t="s">
        <v>5442</v>
      </c>
      <c r="T1149" s="6">
        <v>7700000000</v>
      </c>
      <c r="U1149" s="45">
        <f>VLOOKUP(B1149,realPrices!C:G,5,0)</f>
        <v>8778766880</v>
      </c>
      <c r="W1149" t="str">
        <f t="shared" si="17"/>
        <v>S5-T-AT1401</v>
      </c>
      <c r="X1149">
        <f>VLOOKUP(W1149,Sheet10!D:F,2,0)*10000000</f>
        <v>11100000000</v>
      </c>
      <c r="Y1149" t="s">
        <v>74</v>
      </c>
    </row>
    <row r="1150" spans="1:25" x14ac:dyDescent="0.25">
      <c r="A1150" t="s">
        <v>5604</v>
      </c>
      <c r="B1150" t="s">
        <v>5638</v>
      </c>
      <c r="C1150">
        <v>518</v>
      </c>
      <c r="D1150" t="s">
        <v>77</v>
      </c>
      <c r="E1150" t="s">
        <v>64</v>
      </c>
      <c r="F1150" t="s">
        <v>420</v>
      </c>
      <c r="G1150" t="s">
        <v>623</v>
      </c>
      <c r="H1150">
        <v>23</v>
      </c>
      <c r="I1150">
        <v>1401</v>
      </c>
      <c r="J1150" t="s">
        <v>5639</v>
      </c>
      <c r="K1150" t="s">
        <v>5640</v>
      </c>
      <c r="L1150" t="s">
        <v>5641</v>
      </c>
      <c r="M1150" t="s">
        <v>5609</v>
      </c>
      <c r="N1150">
        <v>51802</v>
      </c>
      <c r="O1150" t="s">
        <v>303</v>
      </c>
      <c r="Q1150" t="s">
        <v>5610</v>
      </c>
      <c r="R1150" t="s">
        <v>5642</v>
      </c>
      <c r="S1150" t="s">
        <v>5643</v>
      </c>
      <c r="T1150" s="6">
        <v>8100000000</v>
      </c>
      <c r="U1150" s="45">
        <f>VLOOKUP(B1150,realPrices!C:G,5,0)</f>
        <v>9666660000</v>
      </c>
      <c r="W1150" t="str">
        <f t="shared" si="17"/>
        <v>S7-T-AT1401</v>
      </c>
      <c r="X1150">
        <f>VLOOKUP(W1150,Sheet10!D:F,2,0)*10000000</f>
        <v>13450000000</v>
      </c>
      <c r="Y1150" t="s">
        <v>74</v>
      </c>
    </row>
    <row r="1151" spans="1:25" x14ac:dyDescent="0.25">
      <c r="A1151" t="s">
        <v>5585</v>
      </c>
      <c r="B1151" t="s">
        <v>5644</v>
      </c>
      <c r="C1151">
        <v>522</v>
      </c>
      <c r="D1151" t="s">
        <v>77</v>
      </c>
      <c r="E1151" t="s">
        <v>64</v>
      </c>
      <c r="F1151" t="s">
        <v>420</v>
      </c>
      <c r="G1151" t="s">
        <v>107</v>
      </c>
      <c r="H1151">
        <v>999999</v>
      </c>
      <c r="I1151">
        <v>1401</v>
      </c>
      <c r="J1151" t="s">
        <v>5645</v>
      </c>
      <c r="K1151" t="s">
        <v>5646</v>
      </c>
      <c r="L1151" t="s">
        <v>5647</v>
      </c>
      <c r="M1151" t="s">
        <v>5589</v>
      </c>
      <c r="N1151">
        <v>52201</v>
      </c>
      <c r="O1151" t="s">
        <v>4488</v>
      </c>
      <c r="Q1151" t="s">
        <v>5590</v>
      </c>
      <c r="R1151" t="s">
        <v>5648</v>
      </c>
      <c r="S1151" t="s">
        <v>4050</v>
      </c>
      <c r="T1151" s="6">
        <v>8150000000</v>
      </c>
      <c r="U1151" s="45">
        <f>VLOOKUP(B1151,realPrices!C:G,5,0)</f>
        <v>10366099999</v>
      </c>
      <c r="W1151" t="str">
        <f t="shared" si="17"/>
        <v>S5-T-AT1401</v>
      </c>
      <c r="X1151">
        <f>VLOOKUP(W1151,Sheet10!D:F,2,0)*10000000</f>
        <v>11100000000</v>
      </c>
      <c r="Y1151" t="s">
        <v>114</v>
      </c>
    </row>
    <row r="1152" spans="1:25" x14ac:dyDescent="0.25">
      <c r="A1152" t="s">
        <v>5649</v>
      </c>
      <c r="B1152" t="s">
        <v>5650</v>
      </c>
      <c r="C1152">
        <v>518</v>
      </c>
      <c r="D1152" t="s">
        <v>240</v>
      </c>
      <c r="E1152" t="s">
        <v>64</v>
      </c>
      <c r="F1152" t="s">
        <v>3186</v>
      </c>
      <c r="H1152">
        <v>294</v>
      </c>
      <c r="I1152">
        <v>1401</v>
      </c>
      <c r="J1152" t="s">
        <v>5651</v>
      </c>
      <c r="K1152" t="s">
        <v>5652</v>
      </c>
      <c r="M1152" t="s">
        <v>5609</v>
      </c>
      <c r="N1152">
        <v>51802</v>
      </c>
      <c r="O1152" t="s">
        <v>303</v>
      </c>
      <c r="Q1152" t="s">
        <v>5610</v>
      </c>
      <c r="R1152" t="s">
        <v>5653</v>
      </c>
      <c r="S1152" t="s">
        <v>5654</v>
      </c>
      <c r="T1152" s="6">
        <v>8450000000</v>
      </c>
      <c r="U1152" s="45">
        <f>VLOOKUP(B1152,realPrices!C:G,5,0)</f>
        <v>10210000000</v>
      </c>
      <c r="W1152" t="str">
        <f t="shared" si="17"/>
        <v>S7-T-AT1401</v>
      </c>
      <c r="X1152">
        <f>VLOOKUP(W1152,Sheet10!D:F,2,0)*10000000</f>
        <v>13450000000</v>
      </c>
      <c r="Y1152" t="s">
        <v>74</v>
      </c>
    </row>
    <row r="1153" spans="1:25" x14ac:dyDescent="0.25">
      <c r="A1153" t="s">
        <v>5604</v>
      </c>
      <c r="B1153" t="s">
        <v>5655</v>
      </c>
      <c r="C1153">
        <v>518</v>
      </c>
      <c r="D1153" t="s">
        <v>77</v>
      </c>
      <c r="E1153" t="s">
        <v>64</v>
      </c>
      <c r="F1153" t="s">
        <v>205</v>
      </c>
      <c r="G1153" t="s">
        <v>5656</v>
      </c>
      <c r="H1153">
        <v>16202</v>
      </c>
      <c r="I1153">
        <v>1401</v>
      </c>
      <c r="J1153" t="s">
        <v>5657</v>
      </c>
      <c r="K1153" t="s">
        <v>5658</v>
      </c>
      <c r="L1153" t="s">
        <v>5659</v>
      </c>
      <c r="M1153" t="s">
        <v>5609</v>
      </c>
      <c r="N1153">
        <v>51802</v>
      </c>
      <c r="O1153" t="s">
        <v>303</v>
      </c>
      <c r="Q1153" t="s">
        <v>5610</v>
      </c>
      <c r="R1153" t="s">
        <v>5660</v>
      </c>
      <c r="S1153" t="s">
        <v>4055</v>
      </c>
      <c r="T1153" s="6">
        <v>8500000000</v>
      </c>
      <c r="U1153" s="45">
        <f>VLOOKUP(B1153,realPrices!C:G,5,0)</f>
        <v>10260000000</v>
      </c>
      <c r="W1153" t="str">
        <f t="shared" si="17"/>
        <v>S7-T-AT1401</v>
      </c>
      <c r="X1153">
        <f>VLOOKUP(W1153,Sheet10!D:F,2,0)*10000000</f>
        <v>13450000000</v>
      </c>
      <c r="Y1153" t="s">
        <v>114</v>
      </c>
    </row>
    <row r="1154" spans="1:25" x14ac:dyDescent="0.25">
      <c r="A1154" t="s">
        <v>5661</v>
      </c>
      <c r="B1154" t="s">
        <v>5662</v>
      </c>
      <c r="C1154">
        <v>522</v>
      </c>
      <c r="D1154" t="s">
        <v>63</v>
      </c>
      <c r="E1154" t="s">
        <v>64</v>
      </c>
      <c r="F1154" t="s">
        <v>3186</v>
      </c>
      <c r="H1154">
        <v>1199</v>
      </c>
      <c r="I1154">
        <v>1400</v>
      </c>
      <c r="J1154" t="s">
        <v>5663</v>
      </c>
      <c r="K1154" t="s">
        <v>5664</v>
      </c>
      <c r="M1154" t="s">
        <v>5589</v>
      </c>
      <c r="N1154">
        <v>52201</v>
      </c>
      <c r="O1154" t="s">
        <v>4488</v>
      </c>
      <c r="Q1154" t="s">
        <v>5590</v>
      </c>
      <c r="R1154" t="s">
        <v>5665</v>
      </c>
      <c r="S1154" t="s">
        <v>2427</v>
      </c>
      <c r="T1154" s="6">
        <v>8700000000</v>
      </c>
      <c r="U1154" s="45">
        <f>VLOOKUP(B1154,realPrices!C:G,5,0)</f>
        <v>9919999999</v>
      </c>
      <c r="W1154" t="str">
        <f t="shared" ref="W1154:W1165" si="18">M1154&amp;I1154</f>
        <v>S5-T-AT1400</v>
      </c>
      <c r="X1154" t="e">
        <f>VLOOKUP(W1154,Sheet10!D:F,2,0)*10000000</f>
        <v>#N/A</v>
      </c>
      <c r="Y1154" t="s">
        <v>114</v>
      </c>
    </row>
    <row r="1155" spans="1:25" x14ac:dyDescent="0.25">
      <c r="A1155" t="s">
        <v>5604</v>
      </c>
      <c r="B1155" t="s">
        <v>5666</v>
      </c>
      <c r="C1155">
        <v>518</v>
      </c>
      <c r="D1155" t="s">
        <v>77</v>
      </c>
      <c r="E1155" t="s">
        <v>64</v>
      </c>
      <c r="F1155" t="s">
        <v>420</v>
      </c>
      <c r="G1155" t="s">
        <v>3077</v>
      </c>
      <c r="H1155">
        <v>96</v>
      </c>
      <c r="I1155">
        <v>1401</v>
      </c>
      <c r="J1155" t="s">
        <v>5667</v>
      </c>
      <c r="K1155" t="s">
        <v>5668</v>
      </c>
      <c r="L1155" t="s">
        <v>5669</v>
      </c>
      <c r="M1155" t="s">
        <v>5609</v>
      </c>
      <c r="N1155">
        <v>51802</v>
      </c>
      <c r="O1155" t="s">
        <v>303</v>
      </c>
      <c r="Q1155" t="s">
        <v>5610</v>
      </c>
      <c r="R1155" t="s">
        <v>5670</v>
      </c>
      <c r="S1155" t="s">
        <v>4040</v>
      </c>
      <c r="T1155" s="6">
        <v>8800000000</v>
      </c>
      <c r="U1155" s="45">
        <f>VLOOKUP(B1155,realPrices!C:G,5,0)</f>
        <v>12520888889</v>
      </c>
      <c r="W1155" t="str">
        <f t="shared" si="18"/>
        <v>S7-T-AT1401</v>
      </c>
      <c r="X1155">
        <f>VLOOKUP(W1155,Sheet10!D:F,2,0)*10000000</f>
        <v>13450000000</v>
      </c>
      <c r="Y1155" t="s">
        <v>114</v>
      </c>
    </row>
    <row r="1156" spans="1:25" x14ac:dyDescent="0.25">
      <c r="A1156" t="s">
        <v>5604</v>
      </c>
      <c r="B1156" t="s">
        <v>5671</v>
      </c>
      <c r="C1156">
        <v>518</v>
      </c>
      <c r="D1156" t="s">
        <v>77</v>
      </c>
      <c r="E1156" t="s">
        <v>64</v>
      </c>
      <c r="F1156" t="s">
        <v>420</v>
      </c>
      <c r="G1156" t="s">
        <v>5672</v>
      </c>
      <c r="H1156">
        <v>1041</v>
      </c>
      <c r="I1156">
        <v>1401</v>
      </c>
      <c r="J1156" t="s">
        <v>5673</v>
      </c>
      <c r="K1156" t="s">
        <v>5674</v>
      </c>
      <c r="L1156" t="s">
        <v>5675</v>
      </c>
      <c r="M1156" t="s">
        <v>5609</v>
      </c>
      <c r="N1156">
        <v>51802</v>
      </c>
      <c r="O1156" t="s">
        <v>303</v>
      </c>
      <c r="Q1156" t="s">
        <v>5610</v>
      </c>
      <c r="R1156" t="s">
        <v>5676</v>
      </c>
      <c r="S1156" t="s">
        <v>4124</v>
      </c>
      <c r="T1156" s="6">
        <v>9000000000</v>
      </c>
      <c r="U1156" s="45">
        <f>VLOOKUP(B1156,realPrices!C:G,5,0)</f>
        <v>12720888889</v>
      </c>
      <c r="W1156" t="str">
        <f t="shared" si="18"/>
        <v>S7-T-AT1401</v>
      </c>
      <c r="X1156">
        <f>VLOOKUP(W1156,Sheet10!D:F,2,0)*10000000</f>
        <v>13450000000</v>
      </c>
      <c r="Y1156" t="s">
        <v>114</v>
      </c>
    </row>
    <row r="1157" spans="1:25" x14ac:dyDescent="0.25">
      <c r="A1157" t="s">
        <v>5585</v>
      </c>
      <c r="B1157" t="s">
        <v>5677</v>
      </c>
      <c r="C1157">
        <v>522</v>
      </c>
      <c r="D1157" t="s">
        <v>77</v>
      </c>
      <c r="E1157" t="s">
        <v>64</v>
      </c>
      <c r="F1157" t="s">
        <v>420</v>
      </c>
      <c r="H1157">
        <v>29</v>
      </c>
      <c r="I1157">
        <v>1401</v>
      </c>
      <c r="J1157" t="s">
        <v>5678</v>
      </c>
      <c r="K1157" t="s">
        <v>5679</v>
      </c>
      <c r="M1157" t="s">
        <v>5589</v>
      </c>
      <c r="N1157">
        <v>52201</v>
      </c>
      <c r="O1157" t="s">
        <v>4488</v>
      </c>
      <c r="Q1157" t="s">
        <v>5590</v>
      </c>
      <c r="R1157" t="s">
        <v>5680</v>
      </c>
      <c r="S1157" t="s">
        <v>4731</v>
      </c>
      <c r="T1157" s="6">
        <v>9100000000</v>
      </c>
      <c r="U1157" s="45">
        <f>VLOOKUP(B1157,realPrices!C:G,5,0)</f>
        <v>10780000000</v>
      </c>
      <c r="W1157" t="str">
        <f t="shared" si="18"/>
        <v>S5-T-AT1401</v>
      </c>
      <c r="X1157">
        <f>VLOOKUP(W1157,Sheet10!D:F,2,0)*10000000</f>
        <v>11100000000</v>
      </c>
      <c r="Y1157" t="s">
        <v>114</v>
      </c>
    </row>
    <row r="1158" spans="1:25" x14ac:dyDescent="0.25">
      <c r="A1158" t="s">
        <v>5629</v>
      </c>
      <c r="B1158" t="s">
        <v>5630</v>
      </c>
      <c r="C1158">
        <v>522</v>
      </c>
      <c r="D1158" t="s">
        <v>178</v>
      </c>
      <c r="E1158" t="s">
        <v>64</v>
      </c>
      <c r="F1158" t="s">
        <v>420</v>
      </c>
      <c r="H1158">
        <v>50</v>
      </c>
      <c r="I1158">
        <v>1401</v>
      </c>
      <c r="J1158" t="s">
        <v>5631</v>
      </c>
      <c r="K1158" t="s">
        <v>5632</v>
      </c>
      <c r="M1158" t="s">
        <v>5589</v>
      </c>
      <c r="N1158">
        <v>52201</v>
      </c>
      <c r="O1158" t="s">
        <v>4488</v>
      </c>
      <c r="Q1158" t="s">
        <v>5590</v>
      </c>
      <c r="R1158" t="s">
        <v>5633</v>
      </c>
      <c r="S1158" t="s">
        <v>2820</v>
      </c>
      <c r="T1158" s="6">
        <v>9250000000</v>
      </c>
      <c r="U1158" s="45">
        <f>VLOOKUP(B1158,realPrices!C:G,5,0)</f>
        <v>9050000000</v>
      </c>
      <c r="W1158" t="str">
        <f t="shared" si="18"/>
        <v>S5-T-AT1401</v>
      </c>
      <c r="X1158">
        <f>VLOOKUP(W1158,Sheet10!D:F,2,0)*10000000</f>
        <v>11100000000</v>
      </c>
      <c r="Y1158" t="s">
        <v>114</v>
      </c>
    </row>
    <row r="1159" spans="1:25" x14ac:dyDescent="0.25">
      <c r="A1159" t="s">
        <v>5681</v>
      </c>
      <c r="B1159" t="s">
        <v>5682</v>
      </c>
      <c r="C1159">
        <v>522</v>
      </c>
      <c r="D1159" t="s">
        <v>259</v>
      </c>
      <c r="E1159" t="s">
        <v>64</v>
      </c>
      <c r="F1159" t="s">
        <v>3186</v>
      </c>
      <c r="H1159">
        <v>296</v>
      </c>
      <c r="I1159">
        <v>1401</v>
      </c>
      <c r="J1159" t="s">
        <v>5683</v>
      </c>
      <c r="K1159" t="s">
        <v>5684</v>
      </c>
      <c r="M1159" t="s">
        <v>5589</v>
      </c>
      <c r="N1159">
        <v>52201</v>
      </c>
      <c r="O1159" t="s">
        <v>4488</v>
      </c>
      <c r="Q1159" t="s">
        <v>5590</v>
      </c>
      <c r="R1159" t="s">
        <v>5685</v>
      </c>
      <c r="S1159" t="s">
        <v>4646</v>
      </c>
      <c r="T1159" s="6">
        <v>9300000000</v>
      </c>
      <c r="U1159" s="45">
        <f>VLOOKUP(B1159,realPrices!C:G,5,0)</f>
        <v>11171154321</v>
      </c>
      <c r="W1159" t="str">
        <f t="shared" si="18"/>
        <v>S5-T-AT1401</v>
      </c>
      <c r="X1159">
        <f>VLOOKUP(W1159,Sheet10!D:F,2,0)*10000000</f>
        <v>11100000000</v>
      </c>
      <c r="Y1159" t="s">
        <v>114</v>
      </c>
    </row>
    <row r="1160" spans="1:25" x14ac:dyDescent="0.25">
      <c r="A1160" t="s">
        <v>5686</v>
      </c>
      <c r="B1160" t="s">
        <v>5687</v>
      </c>
      <c r="C1160">
        <v>300</v>
      </c>
      <c r="D1160" t="s">
        <v>63</v>
      </c>
      <c r="E1160" t="s">
        <v>64</v>
      </c>
      <c r="F1160" t="s">
        <v>205</v>
      </c>
      <c r="G1160" t="s">
        <v>3236</v>
      </c>
      <c r="H1160">
        <v>6109</v>
      </c>
      <c r="I1160">
        <v>1399</v>
      </c>
      <c r="J1160" t="s">
        <v>5688</v>
      </c>
      <c r="K1160" t="s">
        <v>5689</v>
      </c>
      <c r="L1160" t="s">
        <v>5690</v>
      </c>
      <c r="M1160" t="s">
        <v>5691</v>
      </c>
      <c r="N1160">
        <v>30001</v>
      </c>
      <c r="O1160" t="s">
        <v>303</v>
      </c>
      <c r="Q1160" t="s">
        <v>5692</v>
      </c>
      <c r="R1160" t="s">
        <v>5693</v>
      </c>
      <c r="S1160" t="s">
        <v>5694</v>
      </c>
      <c r="T1160" s="6">
        <v>9800000000</v>
      </c>
      <c r="U1160" s="45">
        <f>VLOOKUP(B1160,realPrices!C:G,5,0)</f>
        <v>13222222222</v>
      </c>
      <c r="W1160" t="str">
        <f t="shared" si="18"/>
        <v>2008 اتوماتيك1399</v>
      </c>
      <c r="X1160" t="e">
        <f>VLOOKUP(W1160,Sheet10!D:F,2,0)*10000000</f>
        <v>#N/A</v>
      </c>
      <c r="Y1160" t="s">
        <v>74</v>
      </c>
    </row>
    <row r="1161" spans="1:25" x14ac:dyDescent="0.25">
      <c r="A1161" t="s">
        <v>5604</v>
      </c>
      <c r="B1161" t="s">
        <v>5695</v>
      </c>
      <c r="C1161">
        <v>518</v>
      </c>
      <c r="D1161" t="s">
        <v>77</v>
      </c>
      <c r="E1161" t="s">
        <v>64</v>
      </c>
      <c r="F1161" t="s">
        <v>2696</v>
      </c>
      <c r="H1161">
        <v>33</v>
      </c>
      <c r="I1161">
        <v>1401</v>
      </c>
      <c r="J1161" t="s">
        <v>5696</v>
      </c>
      <c r="K1161" t="s">
        <v>5697</v>
      </c>
      <c r="M1161" t="s">
        <v>5609</v>
      </c>
      <c r="N1161">
        <v>51802</v>
      </c>
      <c r="O1161" t="s">
        <v>303</v>
      </c>
      <c r="Q1161" t="s">
        <v>5610</v>
      </c>
      <c r="R1161" t="s">
        <v>5698</v>
      </c>
      <c r="S1161" t="s">
        <v>2939</v>
      </c>
      <c r="T1161" s="6">
        <v>10400000000</v>
      </c>
      <c r="U1161" s="45">
        <f>VLOOKUP(B1161,realPrices!C:G,5,0)</f>
        <v>12000000000</v>
      </c>
      <c r="W1161" t="str">
        <f t="shared" si="18"/>
        <v>S7-T-AT1401</v>
      </c>
      <c r="X1161">
        <f>VLOOKUP(W1161,Sheet10!D:F,2,0)*10000000</f>
        <v>13450000000</v>
      </c>
      <c r="Y1161" t="s">
        <v>114</v>
      </c>
    </row>
    <row r="1162" spans="1:25" x14ac:dyDescent="0.25">
      <c r="A1162" t="s">
        <v>5613</v>
      </c>
      <c r="B1162" t="s">
        <v>5699</v>
      </c>
      <c r="C1162">
        <v>518</v>
      </c>
      <c r="D1162" t="s">
        <v>259</v>
      </c>
      <c r="E1162" t="s">
        <v>64</v>
      </c>
      <c r="F1162" t="s">
        <v>3186</v>
      </c>
      <c r="H1162">
        <v>319</v>
      </c>
      <c r="I1162">
        <v>1401</v>
      </c>
      <c r="J1162" t="s">
        <v>5700</v>
      </c>
      <c r="K1162" t="s">
        <v>5701</v>
      </c>
      <c r="M1162" t="s">
        <v>5609</v>
      </c>
      <c r="N1162">
        <v>51802</v>
      </c>
      <c r="O1162" t="s">
        <v>303</v>
      </c>
      <c r="Q1162" t="s">
        <v>5610</v>
      </c>
      <c r="R1162" t="s">
        <v>5702</v>
      </c>
      <c r="S1162" t="s">
        <v>2513</v>
      </c>
      <c r="T1162" s="6">
        <v>10450000000</v>
      </c>
      <c r="U1162" s="45">
        <f>VLOOKUP(B1162,realPrices!C:G,5,0)</f>
        <v>12300111000</v>
      </c>
      <c r="W1162" t="str">
        <f t="shared" si="18"/>
        <v>S7-T-AT1401</v>
      </c>
      <c r="X1162">
        <f>VLOOKUP(W1162,Sheet10!D:F,2,0)*10000000</f>
        <v>13450000000</v>
      </c>
      <c r="Y1162" t="s">
        <v>114</v>
      </c>
    </row>
    <row r="1163" spans="1:25" x14ac:dyDescent="0.25">
      <c r="A1163" t="s">
        <v>5604</v>
      </c>
      <c r="B1163" t="s">
        <v>5703</v>
      </c>
      <c r="C1163">
        <v>518</v>
      </c>
      <c r="D1163" t="s">
        <v>77</v>
      </c>
      <c r="E1163" t="s">
        <v>64</v>
      </c>
      <c r="F1163" t="s">
        <v>2696</v>
      </c>
      <c r="H1163">
        <v>195</v>
      </c>
      <c r="I1163">
        <v>1401</v>
      </c>
      <c r="J1163" t="s">
        <v>5704</v>
      </c>
      <c r="K1163" t="s">
        <v>5705</v>
      </c>
      <c r="M1163" t="s">
        <v>5609</v>
      </c>
      <c r="N1163">
        <v>51802</v>
      </c>
      <c r="O1163" t="s">
        <v>303</v>
      </c>
      <c r="Q1163" t="s">
        <v>5610</v>
      </c>
      <c r="R1163" t="s">
        <v>5706</v>
      </c>
      <c r="S1163" t="s">
        <v>2881</v>
      </c>
      <c r="T1163" s="6">
        <v>10500000000</v>
      </c>
      <c r="U1163" s="45">
        <f>VLOOKUP(B1163,realPrices!C:G,5,0)</f>
        <v>11111111111</v>
      </c>
      <c r="W1163" t="str">
        <f t="shared" si="18"/>
        <v>S7-T-AT1401</v>
      </c>
      <c r="X1163">
        <f>VLOOKUP(W1163,Sheet10!D:F,2,0)*10000000</f>
        <v>13450000000</v>
      </c>
      <c r="Y1163" t="s">
        <v>114</v>
      </c>
    </row>
    <row r="1164" spans="1:25" x14ac:dyDescent="0.25">
      <c r="A1164" t="s">
        <v>5649</v>
      </c>
      <c r="B1164" t="s">
        <v>5650</v>
      </c>
      <c r="C1164">
        <v>518</v>
      </c>
      <c r="D1164" t="s">
        <v>240</v>
      </c>
      <c r="E1164" t="s">
        <v>64</v>
      </c>
      <c r="F1164" t="s">
        <v>3186</v>
      </c>
      <c r="H1164">
        <v>294</v>
      </c>
      <c r="I1164">
        <v>1401</v>
      </c>
      <c r="J1164" t="s">
        <v>5651</v>
      </c>
      <c r="K1164" t="s">
        <v>5707</v>
      </c>
      <c r="M1164" t="s">
        <v>5609</v>
      </c>
      <c r="N1164">
        <v>51802</v>
      </c>
      <c r="O1164" t="s">
        <v>303</v>
      </c>
      <c r="Q1164" t="s">
        <v>5610</v>
      </c>
      <c r="R1164" t="s">
        <v>5653</v>
      </c>
      <c r="S1164" t="s">
        <v>2825</v>
      </c>
      <c r="T1164" s="6">
        <v>10600000000</v>
      </c>
      <c r="U1164" s="45">
        <f>VLOOKUP(B1164,realPrices!C:G,5,0)</f>
        <v>10210000000</v>
      </c>
      <c r="W1164" t="str">
        <f t="shared" si="18"/>
        <v>S7-T-AT1401</v>
      </c>
      <c r="X1164">
        <f>VLOOKUP(W1164,Sheet10!D:F,2,0)*10000000</f>
        <v>13450000000</v>
      </c>
      <c r="Y1164" t="s">
        <v>114</v>
      </c>
    </row>
    <row r="1165" spans="1:25" x14ac:dyDescent="0.25">
      <c r="A1165" t="s">
        <v>5604</v>
      </c>
      <c r="B1165" t="s">
        <v>5708</v>
      </c>
      <c r="C1165">
        <v>518</v>
      </c>
      <c r="D1165" t="s">
        <v>77</v>
      </c>
      <c r="E1165" t="s">
        <v>64</v>
      </c>
      <c r="F1165" t="s">
        <v>3186</v>
      </c>
      <c r="H1165">
        <v>258</v>
      </c>
      <c r="I1165">
        <v>1401</v>
      </c>
      <c r="J1165" t="s">
        <v>5709</v>
      </c>
      <c r="K1165" t="s">
        <v>5710</v>
      </c>
      <c r="M1165" t="s">
        <v>5609</v>
      </c>
      <c r="N1165">
        <v>51802</v>
      </c>
      <c r="O1165" t="s">
        <v>303</v>
      </c>
      <c r="Q1165" t="s">
        <v>5610</v>
      </c>
      <c r="R1165" t="s">
        <v>5711</v>
      </c>
      <c r="S1165" t="s">
        <v>2790</v>
      </c>
      <c r="T1165" s="6">
        <v>10600000000</v>
      </c>
      <c r="U1165" s="45">
        <f>VLOOKUP(B1165,realPrices!C:G,5,0)</f>
        <v>13100000000</v>
      </c>
      <c r="W1165" t="str">
        <f t="shared" si="18"/>
        <v>S7-T-AT1401</v>
      </c>
      <c r="X1165">
        <f>VLOOKUP(W1165,Sheet10!D:F,2,0)*10000000</f>
        <v>13450000000</v>
      </c>
      <c r="Y1165" t="s">
        <v>114</v>
      </c>
    </row>
    <row r="1166" spans="1:25" x14ac:dyDescent="0.25">
      <c r="A1166" t="s">
        <v>307</v>
      </c>
      <c r="B1166" t="s">
        <v>308</v>
      </c>
      <c r="C1166">
        <v>282</v>
      </c>
      <c r="D1166" t="s">
        <v>240</v>
      </c>
      <c r="E1166" t="s">
        <v>64</v>
      </c>
      <c r="F1166" t="s">
        <v>98</v>
      </c>
      <c r="G1166" t="s">
        <v>107</v>
      </c>
      <c r="H1166">
        <v>60760</v>
      </c>
      <c r="I1166">
        <v>1392</v>
      </c>
      <c r="J1166" t="s">
        <v>309</v>
      </c>
      <c r="K1166" t="s">
        <v>310</v>
      </c>
      <c r="L1166" t="s">
        <v>311</v>
      </c>
      <c r="M1166" t="s">
        <v>312</v>
      </c>
      <c r="N1166">
        <v>28213</v>
      </c>
      <c r="O1166" t="s">
        <v>70</v>
      </c>
      <c r="Q1166" t="s">
        <v>313</v>
      </c>
      <c r="R1166" t="s">
        <v>314</v>
      </c>
      <c r="S1166" t="s">
        <v>359</v>
      </c>
      <c r="T1166" s="6">
        <v>1800000000</v>
      </c>
      <c r="W1166" t="str">
        <f t="shared" ref="W1166:W1229" si="19">M1166&amp;I1166</f>
        <v>PARS XU71392</v>
      </c>
      <c r="X1166" t="e">
        <f>VLOOKUP(W1166,Sheet10!D:F,2,0)*10000000</f>
        <v>#N/A</v>
      </c>
      <c r="Y1166" t="s">
        <v>5712</v>
      </c>
    </row>
    <row r="1167" spans="1:25" x14ac:dyDescent="0.25">
      <c r="A1167" t="s">
        <v>285</v>
      </c>
      <c r="B1167" t="s">
        <v>286</v>
      </c>
      <c r="C1167">
        <v>272</v>
      </c>
      <c r="D1167" t="s">
        <v>240</v>
      </c>
      <c r="E1167" t="s">
        <v>78</v>
      </c>
      <c r="F1167" t="s">
        <v>98</v>
      </c>
      <c r="G1167" t="s">
        <v>287</v>
      </c>
      <c r="H1167">
        <v>153981</v>
      </c>
      <c r="I1167">
        <v>1393</v>
      </c>
      <c r="J1167" t="s">
        <v>288</v>
      </c>
      <c r="K1167" t="s">
        <v>289</v>
      </c>
      <c r="L1167" t="s">
        <v>290</v>
      </c>
      <c r="M1167" t="s">
        <v>181</v>
      </c>
      <c r="N1167">
        <v>27222</v>
      </c>
      <c r="O1167" t="s">
        <v>70</v>
      </c>
      <c r="Q1167" t="s">
        <v>291</v>
      </c>
      <c r="R1167" t="s">
        <v>292</v>
      </c>
      <c r="S1167" t="s">
        <v>284</v>
      </c>
      <c r="T1167" s="6">
        <v>1800000000</v>
      </c>
      <c r="W1167" t="str">
        <f t="shared" si="19"/>
        <v>405GLX XU7 CNG1393</v>
      </c>
      <c r="X1167">
        <f>VLOOKUP(W1167,Sheet10!D:F,2,0)*10000000</f>
        <v>2450000000</v>
      </c>
      <c r="Y1167" t="s">
        <v>5712</v>
      </c>
    </row>
    <row r="1168" spans="1:25" x14ac:dyDescent="0.25">
      <c r="A1168" t="s">
        <v>5604</v>
      </c>
      <c r="B1168" t="s">
        <v>5713</v>
      </c>
      <c r="C1168">
        <v>518</v>
      </c>
      <c r="D1168" t="s">
        <v>77</v>
      </c>
      <c r="E1168" t="s">
        <v>64</v>
      </c>
      <c r="F1168" t="s">
        <v>420</v>
      </c>
      <c r="G1168" t="s">
        <v>5714</v>
      </c>
      <c r="H1168">
        <v>1323</v>
      </c>
      <c r="I1168">
        <v>1401</v>
      </c>
      <c r="J1168" t="s">
        <v>5715</v>
      </c>
      <c r="K1168" t="s">
        <v>5716</v>
      </c>
      <c r="L1168" t="s">
        <v>1405</v>
      </c>
      <c r="M1168" t="s">
        <v>5609</v>
      </c>
      <c r="N1168">
        <v>51802</v>
      </c>
      <c r="O1168" t="s">
        <v>303</v>
      </c>
      <c r="Q1168" t="s">
        <v>5610</v>
      </c>
      <c r="R1168" t="s">
        <v>5717</v>
      </c>
      <c r="S1168" t="s">
        <v>4002</v>
      </c>
      <c r="T1168" s="6">
        <v>10800000000</v>
      </c>
      <c r="W1168" t="str">
        <f t="shared" si="19"/>
        <v>S7-T-AT1401</v>
      </c>
      <c r="X1168">
        <f>VLOOKUP(W1168,Sheet10!D:F,2,0)*10000000</f>
        <v>13450000000</v>
      </c>
      <c r="Y1168" t="s">
        <v>5712</v>
      </c>
    </row>
    <row r="1169" spans="1:25" x14ac:dyDescent="0.25">
      <c r="A1169" t="s">
        <v>5604</v>
      </c>
      <c r="B1169" t="s">
        <v>5671</v>
      </c>
      <c r="C1169">
        <v>518</v>
      </c>
      <c r="D1169" t="s">
        <v>77</v>
      </c>
      <c r="E1169" t="s">
        <v>64</v>
      </c>
      <c r="F1169" t="s">
        <v>420</v>
      </c>
      <c r="G1169" t="s">
        <v>5672</v>
      </c>
      <c r="H1169">
        <v>1041</v>
      </c>
      <c r="I1169">
        <v>1401</v>
      </c>
      <c r="J1169" t="s">
        <v>5673</v>
      </c>
      <c r="K1169" t="s">
        <v>5674</v>
      </c>
      <c r="L1169" t="s">
        <v>5675</v>
      </c>
      <c r="M1169" t="s">
        <v>5609</v>
      </c>
      <c r="N1169">
        <v>51802</v>
      </c>
      <c r="O1169" t="s">
        <v>303</v>
      </c>
      <c r="Q1169" t="s">
        <v>5610</v>
      </c>
      <c r="R1169" t="s">
        <v>5676</v>
      </c>
      <c r="S1169" t="s">
        <v>4204</v>
      </c>
      <c r="T1169" s="6">
        <v>10800000000</v>
      </c>
      <c r="W1169" t="str">
        <f t="shared" si="19"/>
        <v>S7-T-AT1401</v>
      </c>
      <c r="X1169">
        <f>VLOOKUP(W1169,Sheet10!D:F,2,0)*10000000</f>
        <v>13450000000</v>
      </c>
      <c r="Y1169" t="s">
        <v>5712</v>
      </c>
    </row>
    <row r="1170" spans="1:25" x14ac:dyDescent="0.25">
      <c r="A1170" t="s">
        <v>376</v>
      </c>
      <c r="B1170" t="s">
        <v>1758</v>
      </c>
      <c r="C1170">
        <v>164</v>
      </c>
      <c r="D1170" t="s">
        <v>63</v>
      </c>
      <c r="E1170" t="s">
        <v>78</v>
      </c>
      <c r="F1170" t="s">
        <v>362</v>
      </c>
      <c r="G1170" t="s">
        <v>363</v>
      </c>
      <c r="H1170">
        <v>29</v>
      </c>
      <c r="I1170">
        <v>1399</v>
      </c>
      <c r="J1170" t="s">
        <v>1759</v>
      </c>
      <c r="K1170" t="s">
        <v>5718</v>
      </c>
      <c r="L1170" t="s">
        <v>1760</v>
      </c>
      <c r="M1170" t="s">
        <v>82</v>
      </c>
      <c r="N1170">
        <v>16404</v>
      </c>
      <c r="O1170" t="s">
        <v>83</v>
      </c>
      <c r="Q1170" t="s">
        <v>381</v>
      </c>
      <c r="R1170" t="s">
        <v>1761</v>
      </c>
      <c r="S1170" t="s">
        <v>152</v>
      </c>
      <c r="T1170" s="6">
        <v>2100000000</v>
      </c>
      <c r="W1170" t="str">
        <f t="shared" si="19"/>
        <v>PU1 OHVG CNG1399</v>
      </c>
      <c r="X1170">
        <f>VLOOKUP(W1170,Sheet10!D:F,2,0)*10000000</f>
        <v>2830000000</v>
      </c>
      <c r="Y1170" t="s">
        <v>5712</v>
      </c>
    </row>
    <row r="1171" spans="1:25" x14ac:dyDescent="0.25">
      <c r="A1171" t="s">
        <v>376</v>
      </c>
      <c r="B1171" t="s">
        <v>1528</v>
      </c>
      <c r="C1171">
        <v>164</v>
      </c>
      <c r="D1171" t="s">
        <v>63</v>
      </c>
      <c r="E1171" t="s">
        <v>78</v>
      </c>
      <c r="F1171" t="s">
        <v>362</v>
      </c>
      <c r="G1171" t="s">
        <v>363</v>
      </c>
      <c r="H1171">
        <v>22</v>
      </c>
      <c r="I1171">
        <v>1399</v>
      </c>
      <c r="J1171" t="s">
        <v>1529</v>
      </c>
      <c r="K1171" t="s">
        <v>599</v>
      </c>
      <c r="L1171" t="s">
        <v>1530</v>
      </c>
      <c r="M1171" t="s">
        <v>82</v>
      </c>
      <c r="N1171">
        <v>16404</v>
      </c>
      <c r="O1171" t="s">
        <v>83</v>
      </c>
      <c r="Q1171" t="s">
        <v>381</v>
      </c>
      <c r="R1171" t="s">
        <v>1531</v>
      </c>
      <c r="S1171" t="s">
        <v>168</v>
      </c>
      <c r="T1171" s="6">
        <v>2250000000</v>
      </c>
      <c r="W1171" t="str">
        <f t="shared" si="19"/>
        <v>PU1 OHVG CNG1399</v>
      </c>
      <c r="X1171">
        <f>VLOOKUP(W1171,Sheet10!D:F,2,0)*10000000</f>
        <v>2830000000</v>
      </c>
      <c r="Y1171" t="s">
        <v>5712</v>
      </c>
    </row>
    <row r="1172" spans="1:25" x14ac:dyDescent="0.25">
      <c r="A1172" t="s">
        <v>376</v>
      </c>
      <c r="B1172" t="s">
        <v>2153</v>
      </c>
      <c r="C1172">
        <v>164</v>
      </c>
      <c r="D1172" t="s">
        <v>63</v>
      </c>
      <c r="E1172" t="s">
        <v>78</v>
      </c>
      <c r="F1172" t="s">
        <v>362</v>
      </c>
      <c r="G1172" t="s">
        <v>363</v>
      </c>
      <c r="H1172">
        <v>27</v>
      </c>
      <c r="I1172">
        <v>1399</v>
      </c>
      <c r="J1172" t="s">
        <v>2154</v>
      </c>
      <c r="K1172" t="s">
        <v>5719</v>
      </c>
      <c r="L1172" t="s">
        <v>2155</v>
      </c>
      <c r="M1172" t="s">
        <v>82</v>
      </c>
      <c r="N1172">
        <v>16404</v>
      </c>
      <c r="O1172" t="s">
        <v>83</v>
      </c>
      <c r="Q1172" t="s">
        <v>381</v>
      </c>
      <c r="R1172" t="s">
        <v>2156</v>
      </c>
      <c r="S1172" t="s">
        <v>315</v>
      </c>
      <c r="T1172" s="6">
        <v>2250000000</v>
      </c>
      <c r="W1172" t="str">
        <f t="shared" si="19"/>
        <v>PU1 OHVG CNG1399</v>
      </c>
      <c r="X1172">
        <f>VLOOKUP(W1172,Sheet10!D:F,2,0)*10000000</f>
        <v>2830000000</v>
      </c>
      <c r="Y1172" t="s">
        <v>5712</v>
      </c>
    </row>
    <row r="1173" spans="1:25" x14ac:dyDescent="0.25">
      <c r="A1173" t="s">
        <v>376</v>
      </c>
      <c r="B1173" t="s">
        <v>1524</v>
      </c>
      <c r="C1173">
        <v>164</v>
      </c>
      <c r="D1173" t="s">
        <v>63</v>
      </c>
      <c r="E1173" t="s">
        <v>78</v>
      </c>
      <c r="F1173" t="s">
        <v>362</v>
      </c>
      <c r="G1173" t="s">
        <v>363</v>
      </c>
      <c r="H1173">
        <v>32</v>
      </c>
      <c r="I1173">
        <v>1399</v>
      </c>
      <c r="J1173" t="s">
        <v>1525</v>
      </c>
      <c r="K1173" t="s">
        <v>599</v>
      </c>
      <c r="L1173" t="s">
        <v>1526</v>
      </c>
      <c r="M1173" t="s">
        <v>82</v>
      </c>
      <c r="N1173">
        <v>16404</v>
      </c>
      <c r="O1173" t="s">
        <v>83</v>
      </c>
      <c r="Q1173" t="s">
        <v>381</v>
      </c>
      <c r="R1173" t="s">
        <v>1527</v>
      </c>
      <c r="S1173" t="s">
        <v>122</v>
      </c>
      <c r="T1173" s="6">
        <v>2250000000</v>
      </c>
      <c r="W1173" t="str">
        <f t="shared" si="19"/>
        <v>PU1 OHVG CNG1399</v>
      </c>
      <c r="X1173">
        <f>VLOOKUP(W1173,Sheet10!D:F,2,0)*10000000</f>
        <v>2830000000</v>
      </c>
      <c r="Y1173" t="s">
        <v>5712</v>
      </c>
    </row>
    <row r="1174" spans="1:25" x14ac:dyDescent="0.25">
      <c r="A1174" t="s">
        <v>376</v>
      </c>
      <c r="B1174" t="s">
        <v>2363</v>
      </c>
      <c r="C1174">
        <v>164</v>
      </c>
      <c r="D1174" t="s">
        <v>63</v>
      </c>
      <c r="E1174" t="s">
        <v>78</v>
      </c>
      <c r="F1174" t="s">
        <v>362</v>
      </c>
      <c r="G1174" t="s">
        <v>363</v>
      </c>
      <c r="H1174">
        <v>28</v>
      </c>
      <c r="I1174">
        <v>1399</v>
      </c>
      <c r="J1174" t="s">
        <v>2364</v>
      </c>
      <c r="K1174" t="s">
        <v>522</v>
      </c>
      <c r="L1174" t="s">
        <v>2365</v>
      </c>
      <c r="M1174" t="s">
        <v>82</v>
      </c>
      <c r="N1174">
        <v>16404</v>
      </c>
      <c r="O1174" t="s">
        <v>83</v>
      </c>
      <c r="Q1174" t="s">
        <v>381</v>
      </c>
      <c r="R1174" t="s">
        <v>2366</v>
      </c>
      <c r="S1174" t="s">
        <v>113</v>
      </c>
      <c r="T1174" s="6">
        <v>2250000000</v>
      </c>
      <c r="W1174" t="str">
        <f t="shared" si="19"/>
        <v>PU1 OHVG CNG1399</v>
      </c>
      <c r="X1174">
        <f>VLOOKUP(W1174,Sheet10!D:F,2,0)*10000000</f>
        <v>2830000000</v>
      </c>
      <c r="Y1174" t="s">
        <v>5712</v>
      </c>
    </row>
    <row r="1175" spans="1:25" x14ac:dyDescent="0.25">
      <c r="A1175" t="s">
        <v>2476</v>
      </c>
      <c r="B1175" t="s">
        <v>5720</v>
      </c>
      <c r="C1175">
        <v>575</v>
      </c>
      <c r="D1175" t="s">
        <v>63</v>
      </c>
      <c r="E1175" t="s">
        <v>64</v>
      </c>
      <c r="F1175" t="s">
        <v>193</v>
      </c>
      <c r="G1175" t="s">
        <v>5721</v>
      </c>
      <c r="H1175">
        <v>999999</v>
      </c>
      <c r="I1175">
        <v>1401</v>
      </c>
      <c r="J1175" t="s">
        <v>5722</v>
      </c>
      <c r="K1175" t="s">
        <v>5723</v>
      </c>
      <c r="L1175" t="s">
        <v>5724</v>
      </c>
      <c r="M1175" t="s">
        <v>367</v>
      </c>
      <c r="N1175">
        <v>57519</v>
      </c>
      <c r="O1175" t="s">
        <v>70</v>
      </c>
      <c r="Q1175" t="s">
        <v>2420</v>
      </c>
      <c r="R1175" t="s">
        <v>5725</v>
      </c>
      <c r="S1175" t="s">
        <v>4277</v>
      </c>
      <c r="T1175" s="6">
        <v>2700000000</v>
      </c>
      <c r="W1175" t="str">
        <f t="shared" si="19"/>
        <v>SOREN EF71401</v>
      </c>
      <c r="X1175">
        <f>VLOOKUP(W1175,Sheet10!D:F,2,0)*10000000</f>
        <v>4650000000</v>
      </c>
      <c r="Y1175" t="s">
        <v>5712</v>
      </c>
    </row>
    <row r="1176" spans="1:25" x14ac:dyDescent="0.25">
      <c r="A1176" t="s">
        <v>3075</v>
      </c>
      <c r="B1176" t="s">
        <v>3076</v>
      </c>
      <c r="C1176">
        <v>260</v>
      </c>
      <c r="D1176" t="s">
        <v>63</v>
      </c>
      <c r="E1176" t="s">
        <v>64</v>
      </c>
      <c r="F1176" t="s">
        <v>98</v>
      </c>
      <c r="G1176" t="s">
        <v>3077</v>
      </c>
      <c r="H1176">
        <v>999999</v>
      </c>
      <c r="I1176">
        <v>1397</v>
      </c>
      <c r="J1176" t="s">
        <v>3078</v>
      </c>
      <c r="K1176" t="s">
        <v>3079</v>
      </c>
      <c r="L1176" t="s">
        <v>3080</v>
      </c>
      <c r="M1176" t="s">
        <v>329</v>
      </c>
      <c r="N1176">
        <v>26030</v>
      </c>
      <c r="O1176" t="s">
        <v>303</v>
      </c>
      <c r="Q1176" t="s">
        <v>3081</v>
      </c>
      <c r="R1176" t="s">
        <v>3082</v>
      </c>
      <c r="S1176" t="s">
        <v>4050</v>
      </c>
      <c r="T1176" s="6">
        <v>2800000000</v>
      </c>
      <c r="W1176" t="str">
        <f t="shared" si="19"/>
        <v>206TU31397</v>
      </c>
      <c r="X1176">
        <f>VLOOKUP(W1176,Sheet10!D:F,2,0)*10000000</f>
        <v>3400000000</v>
      </c>
      <c r="Y1176" t="s">
        <v>5712</v>
      </c>
    </row>
    <row r="1177" spans="1:25" x14ac:dyDescent="0.25">
      <c r="A1177" t="s">
        <v>5726</v>
      </c>
      <c r="B1177" t="s">
        <v>5727</v>
      </c>
      <c r="C1177">
        <v>285</v>
      </c>
      <c r="D1177" t="s">
        <v>63</v>
      </c>
      <c r="E1177" t="s">
        <v>64</v>
      </c>
      <c r="F1177" t="s">
        <v>193</v>
      </c>
      <c r="G1177" t="s">
        <v>5728</v>
      </c>
      <c r="H1177">
        <v>999999</v>
      </c>
      <c r="I1177">
        <v>1397</v>
      </c>
      <c r="J1177" t="s">
        <v>5729</v>
      </c>
      <c r="K1177" t="s">
        <v>5730</v>
      </c>
      <c r="L1177" t="s">
        <v>5731</v>
      </c>
      <c r="M1177" t="s">
        <v>198</v>
      </c>
      <c r="N1177">
        <v>28515</v>
      </c>
      <c r="O1177" t="s">
        <v>70</v>
      </c>
      <c r="Q1177" t="s">
        <v>5732</v>
      </c>
      <c r="R1177" t="s">
        <v>5733</v>
      </c>
      <c r="S1177" t="s">
        <v>4007</v>
      </c>
      <c r="T1177" s="6">
        <v>2800000000</v>
      </c>
      <c r="W1177" t="str">
        <f t="shared" si="19"/>
        <v>PARS TU51397</v>
      </c>
      <c r="X1177" t="e">
        <f>VLOOKUP(W1177,Sheet10!D:F,2,0)*10000000</f>
        <v>#N/A</v>
      </c>
      <c r="Y1177" t="s">
        <v>5712</v>
      </c>
    </row>
    <row r="1178" spans="1:25" x14ac:dyDescent="0.25">
      <c r="A1178" t="s">
        <v>2804</v>
      </c>
      <c r="B1178" t="s">
        <v>2805</v>
      </c>
      <c r="C1178">
        <v>701</v>
      </c>
      <c r="D1178" t="s">
        <v>240</v>
      </c>
      <c r="E1178" t="s">
        <v>64</v>
      </c>
      <c r="F1178" t="s">
        <v>98</v>
      </c>
      <c r="G1178" t="s">
        <v>5734</v>
      </c>
      <c r="H1178">
        <v>175907</v>
      </c>
      <c r="I1178">
        <v>1394</v>
      </c>
      <c r="J1178" t="s">
        <v>2806</v>
      </c>
      <c r="K1178" t="s">
        <v>5735</v>
      </c>
      <c r="L1178" t="s">
        <v>2808</v>
      </c>
      <c r="M1178" t="s">
        <v>408</v>
      </c>
      <c r="N1178">
        <v>70101</v>
      </c>
      <c r="O1178" t="s">
        <v>70</v>
      </c>
      <c r="Q1178" t="s">
        <v>627</v>
      </c>
      <c r="R1178" t="s">
        <v>2809</v>
      </c>
      <c r="S1178" t="s">
        <v>4161</v>
      </c>
      <c r="T1178" s="6">
        <v>3000000000</v>
      </c>
      <c r="W1178" t="str">
        <f t="shared" si="19"/>
        <v>DENA EF71394</v>
      </c>
      <c r="X1178" t="e">
        <f>VLOOKUP(W1178,Sheet10!D:F,2,0)*10000000</f>
        <v>#N/A</v>
      </c>
      <c r="Y1178" t="s">
        <v>5712</v>
      </c>
    </row>
    <row r="1179" spans="1:25" x14ac:dyDescent="0.25">
      <c r="A1179" t="s">
        <v>3093</v>
      </c>
      <c r="B1179" t="s">
        <v>3167</v>
      </c>
      <c r="C1179">
        <v>575</v>
      </c>
      <c r="D1179" t="s">
        <v>63</v>
      </c>
      <c r="E1179" t="s">
        <v>64</v>
      </c>
      <c r="F1179" t="s">
        <v>362</v>
      </c>
      <c r="G1179" t="s">
        <v>363</v>
      </c>
      <c r="H1179">
        <v>2033</v>
      </c>
      <c r="I1179">
        <v>1399</v>
      </c>
      <c r="J1179" t="s">
        <v>3168</v>
      </c>
      <c r="K1179" t="s">
        <v>3169</v>
      </c>
      <c r="L1179" t="s">
        <v>3170</v>
      </c>
      <c r="M1179" t="s">
        <v>367</v>
      </c>
      <c r="N1179">
        <v>57521</v>
      </c>
      <c r="O1179" t="s">
        <v>70</v>
      </c>
      <c r="Q1179" t="s">
        <v>3098</v>
      </c>
      <c r="R1179" t="s">
        <v>3171</v>
      </c>
      <c r="S1179" t="s">
        <v>4286</v>
      </c>
      <c r="T1179" s="6">
        <v>3000000000</v>
      </c>
      <c r="W1179" t="str">
        <f t="shared" si="19"/>
        <v>SOREN EF71399</v>
      </c>
      <c r="X1179">
        <f>VLOOKUP(W1179,Sheet10!D:F,2,0)*10000000</f>
        <v>4000000000</v>
      </c>
      <c r="Y1179" t="s">
        <v>5712</v>
      </c>
    </row>
    <row r="1180" spans="1:25" x14ac:dyDescent="0.25">
      <c r="A1180" t="s">
        <v>316</v>
      </c>
      <c r="B1180" t="s">
        <v>5736</v>
      </c>
      <c r="C1180">
        <v>610</v>
      </c>
      <c r="D1180" t="s">
        <v>63</v>
      </c>
      <c r="E1180" t="s">
        <v>64</v>
      </c>
      <c r="F1180" t="s">
        <v>205</v>
      </c>
      <c r="G1180" t="s">
        <v>5728</v>
      </c>
      <c r="H1180">
        <v>19206</v>
      </c>
      <c r="I1180">
        <v>1400</v>
      </c>
      <c r="J1180" t="s">
        <v>5737</v>
      </c>
      <c r="K1180" t="s">
        <v>5738</v>
      </c>
      <c r="L1180" t="s">
        <v>5739</v>
      </c>
      <c r="M1180" t="s">
        <v>321</v>
      </c>
      <c r="N1180">
        <v>61015</v>
      </c>
      <c r="O1180" t="s">
        <v>70</v>
      </c>
      <c r="Q1180" t="s">
        <v>322</v>
      </c>
      <c r="R1180" t="s">
        <v>5740</v>
      </c>
      <c r="S1180" t="s">
        <v>176</v>
      </c>
      <c r="T1180" s="6">
        <v>3150000000</v>
      </c>
      <c r="W1180" t="str">
        <f t="shared" si="19"/>
        <v>TU51400</v>
      </c>
      <c r="X1180" t="e">
        <f>VLOOKUP(W1180,Sheet10!D:F,2,0)*10000000</f>
        <v>#N/A</v>
      </c>
      <c r="Y1180" t="s">
        <v>5712</v>
      </c>
    </row>
    <row r="1181" spans="1:25" x14ac:dyDescent="0.25">
      <c r="A1181" t="s">
        <v>3309</v>
      </c>
      <c r="B1181" t="s">
        <v>5741</v>
      </c>
      <c r="C1181">
        <v>351</v>
      </c>
      <c r="D1181" t="s">
        <v>259</v>
      </c>
      <c r="E1181" t="s">
        <v>64</v>
      </c>
      <c r="F1181" t="s">
        <v>193</v>
      </c>
      <c r="G1181" t="s">
        <v>5742</v>
      </c>
      <c r="H1181">
        <v>3689</v>
      </c>
      <c r="I1181">
        <v>1401</v>
      </c>
      <c r="J1181" t="s">
        <v>5743</v>
      </c>
      <c r="K1181" t="s">
        <v>5744</v>
      </c>
      <c r="L1181" t="s">
        <v>5745</v>
      </c>
      <c r="M1181" t="s">
        <v>400</v>
      </c>
      <c r="N1181">
        <v>35103</v>
      </c>
      <c r="O1181" t="s">
        <v>70</v>
      </c>
      <c r="Q1181" t="s">
        <v>2572</v>
      </c>
      <c r="R1181" t="s">
        <v>5746</v>
      </c>
      <c r="S1181" t="s">
        <v>247</v>
      </c>
      <c r="T1181" s="6">
        <v>3300000000</v>
      </c>
      <c r="W1181" t="str">
        <f t="shared" si="19"/>
        <v>PARS XU7 P1401</v>
      </c>
      <c r="X1181">
        <f>VLOOKUP(W1181,Sheet10!D:F,2,0)*10000000</f>
        <v>4500000000</v>
      </c>
      <c r="Y1181" t="s">
        <v>5712</v>
      </c>
    </row>
    <row r="1182" spans="1:25" x14ac:dyDescent="0.25">
      <c r="A1182" t="s">
        <v>2189</v>
      </c>
      <c r="B1182" t="s">
        <v>5747</v>
      </c>
      <c r="C1182">
        <v>282</v>
      </c>
      <c r="D1182" t="s">
        <v>240</v>
      </c>
      <c r="E1182" t="s">
        <v>64</v>
      </c>
      <c r="F1182" t="s">
        <v>205</v>
      </c>
      <c r="G1182" t="s">
        <v>5728</v>
      </c>
      <c r="H1182">
        <v>22561</v>
      </c>
      <c r="I1182">
        <v>1400</v>
      </c>
      <c r="J1182" t="s">
        <v>5748</v>
      </c>
      <c r="K1182" t="s">
        <v>5749</v>
      </c>
      <c r="L1182" t="s">
        <v>5750</v>
      </c>
      <c r="M1182" t="s">
        <v>312</v>
      </c>
      <c r="N1182">
        <v>28242</v>
      </c>
      <c r="O1182" t="s">
        <v>70</v>
      </c>
      <c r="Q1182" t="s">
        <v>2195</v>
      </c>
      <c r="R1182" t="s">
        <v>5751</v>
      </c>
      <c r="S1182" t="s">
        <v>4199</v>
      </c>
      <c r="T1182" s="6">
        <v>3300000000</v>
      </c>
      <c r="W1182" t="str">
        <f t="shared" si="19"/>
        <v>PARS XU71400</v>
      </c>
      <c r="X1182" t="e">
        <f>VLOOKUP(W1182,Sheet10!D:F,2,0)*10000000</f>
        <v>#N/A</v>
      </c>
      <c r="Y1182" t="s">
        <v>5712</v>
      </c>
    </row>
    <row r="1183" spans="1:25" x14ac:dyDescent="0.25">
      <c r="A1183" t="s">
        <v>325</v>
      </c>
      <c r="B1183" t="s">
        <v>3173</v>
      </c>
      <c r="C1183">
        <v>260</v>
      </c>
      <c r="D1183" t="s">
        <v>63</v>
      </c>
      <c r="E1183" t="s">
        <v>64</v>
      </c>
      <c r="F1183" t="s">
        <v>420</v>
      </c>
      <c r="G1183" t="s">
        <v>3174</v>
      </c>
      <c r="H1183">
        <v>38595</v>
      </c>
      <c r="I1183">
        <v>1399</v>
      </c>
      <c r="J1183" t="s">
        <v>3175</v>
      </c>
      <c r="K1183" t="s">
        <v>3176</v>
      </c>
      <c r="L1183" t="s">
        <v>2554</v>
      </c>
      <c r="M1183" t="s">
        <v>329</v>
      </c>
      <c r="N1183">
        <v>26031</v>
      </c>
      <c r="O1183" t="s">
        <v>303</v>
      </c>
      <c r="Q1183" t="s">
        <v>330</v>
      </c>
      <c r="R1183" t="s">
        <v>3177</v>
      </c>
      <c r="S1183" t="s">
        <v>4119</v>
      </c>
      <c r="T1183" s="6">
        <v>3350000000</v>
      </c>
      <c r="W1183" t="str">
        <f t="shared" si="19"/>
        <v>206TU31399</v>
      </c>
      <c r="X1183">
        <f>VLOOKUP(W1183,Sheet10!D:F,2,0)*10000000</f>
        <v>4250000000</v>
      </c>
      <c r="Y1183" t="s">
        <v>5712</v>
      </c>
    </row>
    <row r="1184" spans="1:25" x14ac:dyDescent="0.25">
      <c r="A1184" t="s">
        <v>325</v>
      </c>
      <c r="B1184" t="s">
        <v>5752</v>
      </c>
      <c r="C1184">
        <v>260</v>
      </c>
      <c r="D1184" t="s">
        <v>63</v>
      </c>
      <c r="E1184" t="s">
        <v>64</v>
      </c>
      <c r="F1184" t="s">
        <v>420</v>
      </c>
      <c r="G1184" t="s">
        <v>5753</v>
      </c>
      <c r="H1184">
        <v>640</v>
      </c>
      <c r="I1184">
        <v>1399</v>
      </c>
      <c r="J1184" t="s">
        <v>5754</v>
      </c>
      <c r="K1184" t="s">
        <v>5755</v>
      </c>
      <c r="L1184" t="s">
        <v>1220</v>
      </c>
      <c r="M1184" t="s">
        <v>329</v>
      </c>
      <c r="N1184">
        <v>26031</v>
      </c>
      <c r="O1184" t="s">
        <v>303</v>
      </c>
      <c r="Q1184" t="s">
        <v>330</v>
      </c>
      <c r="R1184" t="s">
        <v>5756</v>
      </c>
      <c r="S1184" t="s">
        <v>4073</v>
      </c>
      <c r="T1184" s="6">
        <v>3400000000</v>
      </c>
      <c r="W1184" t="str">
        <f t="shared" si="19"/>
        <v>206TU31399</v>
      </c>
      <c r="X1184">
        <f>VLOOKUP(W1184,Sheet10!D:F,2,0)*10000000</f>
        <v>4250000000</v>
      </c>
      <c r="Y1184" t="s">
        <v>5712</v>
      </c>
    </row>
    <row r="1185" spans="1:25" x14ac:dyDescent="0.25">
      <c r="A1185" t="s">
        <v>2796</v>
      </c>
      <c r="B1185" t="s">
        <v>3023</v>
      </c>
      <c r="C1185">
        <v>575</v>
      </c>
      <c r="D1185" t="s">
        <v>63</v>
      </c>
      <c r="E1185" t="s">
        <v>64</v>
      </c>
      <c r="F1185" t="s">
        <v>362</v>
      </c>
      <c r="G1185" t="s">
        <v>363</v>
      </c>
      <c r="H1185">
        <v>57</v>
      </c>
      <c r="I1185">
        <v>1398</v>
      </c>
      <c r="J1185" t="s">
        <v>3024</v>
      </c>
      <c r="K1185" t="s">
        <v>3025</v>
      </c>
      <c r="L1185" t="s">
        <v>3026</v>
      </c>
      <c r="M1185" t="s">
        <v>367</v>
      </c>
      <c r="N1185">
        <v>57516</v>
      </c>
      <c r="O1185" t="s">
        <v>70</v>
      </c>
      <c r="Q1185" t="s">
        <v>2801</v>
      </c>
      <c r="R1185" t="s">
        <v>3027</v>
      </c>
      <c r="S1185" t="s">
        <v>4303</v>
      </c>
      <c r="T1185" s="6">
        <v>3450000000</v>
      </c>
      <c r="W1185" t="str">
        <f t="shared" si="19"/>
        <v>SOREN EF71398</v>
      </c>
      <c r="X1185">
        <f>VLOOKUP(W1185,Sheet10!D:F,2,0)*10000000</f>
        <v>3800000000</v>
      </c>
      <c r="Y1185" t="s">
        <v>5712</v>
      </c>
    </row>
    <row r="1186" spans="1:25" x14ac:dyDescent="0.25">
      <c r="A1186" t="s">
        <v>2796</v>
      </c>
      <c r="B1186" t="s">
        <v>5757</v>
      </c>
      <c r="C1186">
        <v>575</v>
      </c>
      <c r="D1186" t="s">
        <v>63</v>
      </c>
      <c r="E1186" t="s">
        <v>64</v>
      </c>
      <c r="F1186" t="s">
        <v>362</v>
      </c>
      <c r="G1186" t="s">
        <v>363</v>
      </c>
      <c r="H1186">
        <v>150</v>
      </c>
      <c r="I1186">
        <v>1398</v>
      </c>
      <c r="J1186" t="s">
        <v>5758</v>
      </c>
      <c r="K1186" t="s">
        <v>5759</v>
      </c>
      <c r="L1186" t="s">
        <v>5760</v>
      </c>
      <c r="M1186" t="s">
        <v>367</v>
      </c>
      <c r="N1186">
        <v>57516</v>
      </c>
      <c r="O1186" t="s">
        <v>70</v>
      </c>
      <c r="Q1186" t="s">
        <v>2801</v>
      </c>
      <c r="R1186" t="s">
        <v>5761</v>
      </c>
      <c r="S1186" t="s">
        <v>4114</v>
      </c>
      <c r="T1186" s="6">
        <v>3450000000</v>
      </c>
      <c r="W1186" t="str">
        <f t="shared" si="19"/>
        <v>SOREN EF71398</v>
      </c>
      <c r="X1186">
        <f>VLOOKUP(W1186,Sheet10!D:F,2,0)*10000000</f>
        <v>3800000000</v>
      </c>
      <c r="Y1186" t="s">
        <v>5712</v>
      </c>
    </row>
    <row r="1187" spans="1:25" x14ac:dyDescent="0.25">
      <c r="A1187" t="s">
        <v>5762</v>
      </c>
      <c r="B1187" t="s">
        <v>5763</v>
      </c>
      <c r="C1187">
        <v>282</v>
      </c>
      <c r="D1187" t="s">
        <v>259</v>
      </c>
      <c r="E1187" t="s">
        <v>64</v>
      </c>
      <c r="F1187" t="s">
        <v>205</v>
      </c>
      <c r="G1187" t="s">
        <v>5734</v>
      </c>
      <c r="H1187">
        <v>5685</v>
      </c>
      <c r="I1187">
        <v>1401</v>
      </c>
      <c r="J1187" t="s">
        <v>5764</v>
      </c>
      <c r="K1187" t="s">
        <v>5765</v>
      </c>
      <c r="L1187" t="s">
        <v>5766</v>
      </c>
      <c r="M1187" t="s">
        <v>312</v>
      </c>
      <c r="N1187">
        <v>28242</v>
      </c>
      <c r="O1187" t="s">
        <v>70</v>
      </c>
      <c r="Q1187" t="s">
        <v>2195</v>
      </c>
      <c r="R1187" t="s">
        <v>5767</v>
      </c>
      <c r="S1187" t="s">
        <v>2810</v>
      </c>
      <c r="T1187" s="6">
        <v>3600000000</v>
      </c>
      <c r="W1187" t="str">
        <f t="shared" si="19"/>
        <v>PARS XU71401</v>
      </c>
      <c r="X1187" t="e">
        <f>VLOOKUP(W1187,Sheet10!D:F,2,0)*10000000</f>
        <v>#N/A</v>
      </c>
      <c r="Y1187" t="s">
        <v>5712</v>
      </c>
    </row>
    <row r="1188" spans="1:25" x14ac:dyDescent="0.25">
      <c r="A1188" t="s">
        <v>2416</v>
      </c>
      <c r="B1188" t="s">
        <v>5768</v>
      </c>
      <c r="C1188">
        <v>575</v>
      </c>
      <c r="D1188" t="s">
        <v>259</v>
      </c>
      <c r="E1188" t="s">
        <v>64</v>
      </c>
      <c r="F1188" t="s">
        <v>420</v>
      </c>
      <c r="G1188" t="s">
        <v>5769</v>
      </c>
      <c r="H1188">
        <v>33408</v>
      </c>
      <c r="I1188">
        <v>1400</v>
      </c>
      <c r="J1188" t="s">
        <v>5770</v>
      </c>
      <c r="K1188" t="s">
        <v>5771</v>
      </c>
      <c r="L1188" t="s">
        <v>5772</v>
      </c>
      <c r="M1188" t="s">
        <v>367</v>
      </c>
      <c r="N1188">
        <v>57519</v>
      </c>
      <c r="O1188" t="s">
        <v>70</v>
      </c>
      <c r="Q1188" t="s">
        <v>2420</v>
      </c>
      <c r="R1188" t="s">
        <v>5773</v>
      </c>
      <c r="S1188" t="s">
        <v>4063</v>
      </c>
      <c r="T1188" s="6">
        <v>3700000000</v>
      </c>
      <c r="W1188" t="str">
        <f t="shared" si="19"/>
        <v>SOREN EF71400</v>
      </c>
      <c r="X1188">
        <f>VLOOKUP(W1188,Sheet10!D:F,2,0)*10000000</f>
        <v>4350000000</v>
      </c>
      <c r="Y1188" t="s">
        <v>5712</v>
      </c>
    </row>
    <row r="1189" spans="1:25" x14ac:dyDescent="0.25">
      <c r="A1189" t="s">
        <v>2476</v>
      </c>
      <c r="B1189" t="s">
        <v>5774</v>
      </c>
      <c r="C1189">
        <v>575</v>
      </c>
      <c r="D1189" t="s">
        <v>63</v>
      </c>
      <c r="E1189" t="s">
        <v>64</v>
      </c>
      <c r="F1189" t="s">
        <v>362</v>
      </c>
      <c r="G1189" t="s">
        <v>5775</v>
      </c>
      <c r="H1189">
        <v>1253</v>
      </c>
      <c r="I1189">
        <v>1400</v>
      </c>
      <c r="J1189" t="s">
        <v>5776</v>
      </c>
      <c r="K1189" t="s">
        <v>5777</v>
      </c>
      <c r="L1189" t="s">
        <v>5778</v>
      </c>
      <c r="M1189" t="s">
        <v>367</v>
      </c>
      <c r="N1189">
        <v>57519</v>
      </c>
      <c r="O1189" t="s">
        <v>70</v>
      </c>
      <c r="Q1189" t="s">
        <v>2420</v>
      </c>
      <c r="R1189" t="s">
        <v>5779</v>
      </c>
      <c r="S1189" t="s">
        <v>4244</v>
      </c>
      <c r="T1189" s="6">
        <v>3750000000</v>
      </c>
      <c r="W1189" t="str">
        <f t="shared" si="19"/>
        <v>SOREN EF71400</v>
      </c>
      <c r="X1189">
        <f>VLOOKUP(W1189,Sheet10!D:F,2,0)*10000000</f>
        <v>4350000000</v>
      </c>
      <c r="Y1189" t="s">
        <v>5712</v>
      </c>
    </row>
    <row r="1190" spans="1:25" x14ac:dyDescent="0.25">
      <c r="A1190" t="s">
        <v>2568</v>
      </c>
      <c r="B1190" t="s">
        <v>5780</v>
      </c>
      <c r="C1190">
        <v>351</v>
      </c>
      <c r="D1190" t="s">
        <v>63</v>
      </c>
      <c r="E1190" t="s">
        <v>64</v>
      </c>
      <c r="F1190" t="s">
        <v>420</v>
      </c>
      <c r="G1190" t="s">
        <v>3311</v>
      </c>
      <c r="H1190">
        <v>6</v>
      </c>
      <c r="I1190">
        <v>1401</v>
      </c>
      <c r="J1190" t="s">
        <v>5781</v>
      </c>
      <c r="K1190" t="s">
        <v>5782</v>
      </c>
      <c r="L1190" t="s">
        <v>5783</v>
      </c>
      <c r="M1190" t="s">
        <v>400</v>
      </c>
      <c r="N1190">
        <v>35103</v>
      </c>
      <c r="O1190" t="s">
        <v>70</v>
      </c>
      <c r="Q1190" t="s">
        <v>2572</v>
      </c>
      <c r="R1190" t="s">
        <v>5784</v>
      </c>
      <c r="S1190" t="s">
        <v>3559</v>
      </c>
      <c r="T1190" s="6">
        <v>3800000000</v>
      </c>
      <c r="W1190" t="str">
        <f t="shared" si="19"/>
        <v>PARS XU7 P1401</v>
      </c>
      <c r="X1190">
        <f>VLOOKUP(W1190,Sheet10!D:F,2,0)*10000000</f>
        <v>4500000000</v>
      </c>
      <c r="Y1190" t="s">
        <v>5712</v>
      </c>
    </row>
    <row r="1191" spans="1:25" x14ac:dyDescent="0.25">
      <c r="A1191" t="s">
        <v>5785</v>
      </c>
      <c r="B1191" t="s">
        <v>5786</v>
      </c>
      <c r="C1191">
        <v>600</v>
      </c>
      <c r="D1191" t="s">
        <v>178</v>
      </c>
      <c r="E1191" t="s">
        <v>64</v>
      </c>
      <c r="F1191" t="s">
        <v>205</v>
      </c>
      <c r="G1191" t="s">
        <v>5787</v>
      </c>
      <c r="H1191">
        <v>999999</v>
      </c>
      <c r="I1191">
        <v>1400</v>
      </c>
      <c r="J1191" t="s">
        <v>5788</v>
      </c>
      <c r="K1191" t="s">
        <v>5789</v>
      </c>
      <c r="L1191" t="s">
        <v>5790</v>
      </c>
      <c r="M1191" t="s">
        <v>3246</v>
      </c>
      <c r="N1191">
        <v>60010</v>
      </c>
      <c r="O1191" t="s">
        <v>303</v>
      </c>
      <c r="Q1191" t="s">
        <v>3247</v>
      </c>
      <c r="R1191" t="s">
        <v>5791</v>
      </c>
      <c r="S1191" t="s">
        <v>3083</v>
      </c>
      <c r="T1191" s="6">
        <v>4000000000</v>
      </c>
      <c r="W1191" t="str">
        <f t="shared" si="19"/>
        <v>207i-MT1400</v>
      </c>
      <c r="X1191">
        <f>VLOOKUP(W1191,Sheet10!D:F,2,0)*10000000</f>
        <v>5600000000</v>
      </c>
      <c r="Y1191" t="s">
        <v>5712</v>
      </c>
    </row>
    <row r="1192" spans="1:25" x14ac:dyDescent="0.25">
      <c r="A1192" t="s">
        <v>3771</v>
      </c>
      <c r="B1192" t="s">
        <v>3976</v>
      </c>
      <c r="C1192">
        <v>283</v>
      </c>
      <c r="D1192" t="s">
        <v>240</v>
      </c>
      <c r="E1192" t="s">
        <v>78</v>
      </c>
      <c r="F1192" t="s">
        <v>3977</v>
      </c>
      <c r="G1192" t="s">
        <v>3978</v>
      </c>
      <c r="H1192">
        <v>39</v>
      </c>
      <c r="I1192">
        <v>1400</v>
      </c>
      <c r="J1192" t="s">
        <v>3979</v>
      </c>
      <c r="K1192" t="s">
        <v>3980</v>
      </c>
      <c r="L1192" t="s">
        <v>3981</v>
      </c>
      <c r="M1192" t="s">
        <v>3239</v>
      </c>
      <c r="N1192">
        <v>28321</v>
      </c>
      <c r="O1192" t="s">
        <v>70</v>
      </c>
      <c r="Q1192" t="s">
        <v>3777</v>
      </c>
      <c r="R1192" t="s">
        <v>3982</v>
      </c>
      <c r="S1192" t="s">
        <v>293</v>
      </c>
      <c r="T1192" s="6">
        <v>4050000000</v>
      </c>
      <c r="W1192" t="str">
        <f t="shared" si="19"/>
        <v>PARS XU7 CNG1400</v>
      </c>
      <c r="X1192">
        <f>VLOOKUP(W1192,Sheet10!D:F,2,0)*10000000</f>
        <v>5100000000</v>
      </c>
      <c r="Y1192" t="s">
        <v>5712</v>
      </c>
    </row>
    <row r="1193" spans="1:25" x14ac:dyDescent="0.25">
      <c r="A1193" t="s">
        <v>4366</v>
      </c>
      <c r="B1193" t="s">
        <v>5792</v>
      </c>
      <c r="C1193">
        <v>575</v>
      </c>
      <c r="D1193" t="s">
        <v>63</v>
      </c>
      <c r="E1193" t="s">
        <v>64</v>
      </c>
      <c r="F1193" t="s">
        <v>420</v>
      </c>
      <c r="G1193" t="s">
        <v>5793</v>
      </c>
      <c r="H1193">
        <v>21</v>
      </c>
      <c r="I1193">
        <v>1401</v>
      </c>
      <c r="J1193" t="s">
        <v>5794</v>
      </c>
      <c r="K1193" t="s">
        <v>5795</v>
      </c>
      <c r="L1193" t="s">
        <v>5796</v>
      </c>
      <c r="M1193" t="s">
        <v>367</v>
      </c>
      <c r="N1193">
        <v>57523</v>
      </c>
      <c r="O1193" t="s">
        <v>70</v>
      </c>
      <c r="Q1193" t="s">
        <v>2648</v>
      </c>
      <c r="R1193" t="s">
        <v>5797</v>
      </c>
      <c r="S1193" t="s">
        <v>4219</v>
      </c>
      <c r="T1193" s="6">
        <v>4100000000</v>
      </c>
      <c r="W1193" t="str">
        <f t="shared" si="19"/>
        <v>SOREN EF71401</v>
      </c>
      <c r="X1193">
        <f>VLOOKUP(W1193,Sheet10!D:F,2,0)*10000000</f>
        <v>4650000000</v>
      </c>
      <c r="Y1193" t="s">
        <v>5712</v>
      </c>
    </row>
    <row r="1194" spans="1:25" x14ac:dyDescent="0.25">
      <c r="A1194" t="s">
        <v>404</v>
      </c>
      <c r="B1194" t="s">
        <v>5798</v>
      </c>
      <c r="C1194">
        <v>701</v>
      </c>
      <c r="D1194" t="s">
        <v>63</v>
      </c>
      <c r="E1194" t="s">
        <v>64</v>
      </c>
      <c r="F1194" t="s">
        <v>420</v>
      </c>
      <c r="G1194" t="s">
        <v>5799</v>
      </c>
      <c r="H1194">
        <v>22803</v>
      </c>
      <c r="I1194">
        <v>1400</v>
      </c>
      <c r="J1194" t="s">
        <v>5800</v>
      </c>
      <c r="K1194" t="s">
        <v>5801</v>
      </c>
      <c r="L1194" t="s">
        <v>5802</v>
      </c>
      <c r="M1194" t="s">
        <v>408</v>
      </c>
      <c r="N1194">
        <v>70117</v>
      </c>
      <c r="O1194" t="s">
        <v>70</v>
      </c>
      <c r="Q1194" t="s">
        <v>409</v>
      </c>
      <c r="R1194" t="s">
        <v>5803</v>
      </c>
      <c r="S1194" t="s">
        <v>4181</v>
      </c>
      <c r="T1194" s="6">
        <v>4100000000</v>
      </c>
      <c r="W1194" t="str">
        <f t="shared" si="19"/>
        <v>DENA EF71400</v>
      </c>
      <c r="X1194" t="e">
        <f>VLOOKUP(W1194,Sheet10!D:F,2,0)*10000000</f>
        <v>#N/A</v>
      </c>
      <c r="Y1194" t="s">
        <v>5712</v>
      </c>
    </row>
    <row r="1195" spans="1:25" x14ac:dyDescent="0.25">
      <c r="A1195" t="s">
        <v>3870</v>
      </c>
      <c r="B1195" t="s">
        <v>4383</v>
      </c>
      <c r="C1195">
        <v>283</v>
      </c>
      <c r="D1195" t="s">
        <v>63</v>
      </c>
      <c r="E1195" t="s">
        <v>78</v>
      </c>
      <c r="F1195" t="s">
        <v>3977</v>
      </c>
      <c r="G1195" t="s">
        <v>3978</v>
      </c>
      <c r="H1195">
        <v>4262</v>
      </c>
      <c r="I1195">
        <v>1400</v>
      </c>
      <c r="J1195" t="s">
        <v>4384</v>
      </c>
      <c r="K1195" t="s">
        <v>4385</v>
      </c>
      <c r="L1195" t="s">
        <v>4386</v>
      </c>
      <c r="M1195" t="s">
        <v>3239</v>
      </c>
      <c r="N1195">
        <v>28321</v>
      </c>
      <c r="O1195" t="s">
        <v>70</v>
      </c>
      <c r="Q1195" t="s">
        <v>3777</v>
      </c>
      <c r="R1195" t="s">
        <v>4387</v>
      </c>
      <c r="S1195" t="s">
        <v>717</v>
      </c>
      <c r="T1195" s="6">
        <v>4100000000</v>
      </c>
      <c r="W1195" t="str">
        <f t="shared" si="19"/>
        <v>PARS XU7 CNG1400</v>
      </c>
      <c r="X1195">
        <f>VLOOKUP(W1195,Sheet10!D:F,2,0)*10000000</f>
        <v>5100000000</v>
      </c>
      <c r="Y1195" t="s">
        <v>5712</v>
      </c>
    </row>
    <row r="1196" spans="1:25" x14ac:dyDescent="0.25">
      <c r="A1196" t="s">
        <v>5804</v>
      </c>
      <c r="B1196" t="s">
        <v>5805</v>
      </c>
      <c r="C1196">
        <v>701</v>
      </c>
      <c r="D1196" t="s">
        <v>77</v>
      </c>
      <c r="E1196" t="s">
        <v>64</v>
      </c>
      <c r="F1196" t="s">
        <v>420</v>
      </c>
      <c r="G1196" t="s">
        <v>5806</v>
      </c>
      <c r="H1196">
        <v>30221</v>
      </c>
      <c r="I1196">
        <v>1400</v>
      </c>
      <c r="J1196" t="s">
        <v>5807</v>
      </c>
      <c r="K1196" t="s">
        <v>5808</v>
      </c>
      <c r="L1196" t="s">
        <v>5809</v>
      </c>
      <c r="M1196" t="s">
        <v>408</v>
      </c>
      <c r="N1196">
        <v>70117</v>
      </c>
      <c r="O1196" t="s">
        <v>70</v>
      </c>
      <c r="Q1196" t="s">
        <v>409</v>
      </c>
      <c r="R1196" t="s">
        <v>5810</v>
      </c>
      <c r="S1196" t="s">
        <v>3907</v>
      </c>
      <c r="T1196" s="6">
        <v>4200000000</v>
      </c>
      <c r="W1196" t="str">
        <f t="shared" si="19"/>
        <v>DENA EF71400</v>
      </c>
      <c r="X1196" t="e">
        <f>VLOOKUP(W1196,Sheet10!D:F,2,0)*10000000</f>
        <v>#N/A</v>
      </c>
      <c r="Y1196" t="s">
        <v>5712</v>
      </c>
    </row>
    <row r="1197" spans="1:25" x14ac:dyDescent="0.25">
      <c r="A1197" t="s">
        <v>191</v>
      </c>
      <c r="B1197" t="s">
        <v>3969</v>
      </c>
      <c r="C1197">
        <v>285</v>
      </c>
      <c r="D1197" t="s">
        <v>63</v>
      </c>
      <c r="E1197" t="s">
        <v>64</v>
      </c>
      <c r="F1197" t="s">
        <v>205</v>
      </c>
      <c r="G1197" t="s">
        <v>3970</v>
      </c>
      <c r="H1197">
        <v>26562</v>
      </c>
      <c r="I1197">
        <v>1400</v>
      </c>
      <c r="J1197" t="s">
        <v>3971</v>
      </c>
      <c r="K1197" t="s">
        <v>3972</v>
      </c>
      <c r="L1197" t="s">
        <v>3973</v>
      </c>
      <c r="M1197" t="s">
        <v>198</v>
      </c>
      <c r="N1197">
        <v>28520</v>
      </c>
      <c r="O1197" t="s">
        <v>70</v>
      </c>
      <c r="Q1197" t="s">
        <v>199</v>
      </c>
      <c r="R1197" t="s">
        <v>3974</v>
      </c>
      <c r="S1197" t="s">
        <v>332</v>
      </c>
      <c r="T1197" s="6">
        <v>4200000000</v>
      </c>
      <c r="W1197" t="str">
        <f t="shared" si="19"/>
        <v>PARS TU51400</v>
      </c>
      <c r="X1197">
        <f>VLOOKUP(W1197,Sheet10!D:F,2,0)*10000000</f>
        <v>5100000000</v>
      </c>
      <c r="Y1197" t="s">
        <v>5712</v>
      </c>
    </row>
    <row r="1198" spans="1:25" x14ac:dyDescent="0.25">
      <c r="A1198" t="s">
        <v>191</v>
      </c>
      <c r="B1198" t="s">
        <v>5811</v>
      </c>
      <c r="C1198">
        <v>285</v>
      </c>
      <c r="D1198" t="s">
        <v>63</v>
      </c>
      <c r="E1198" t="s">
        <v>64</v>
      </c>
      <c r="F1198" t="s">
        <v>193</v>
      </c>
      <c r="G1198" t="s">
        <v>5812</v>
      </c>
      <c r="H1198">
        <v>126</v>
      </c>
      <c r="I1198">
        <v>1401</v>
      </c>
      <c r="J1198" t="s">
        <v>5813</v>
      </c>
      <c r="K1198" t="s">
        <v>5814</v>
      </c>
      <c r="L1198" t="s">
        <v>5815</v>
      </c>
      <c r="M1198" t="s">
        <v>198</v>
      </c>
      <c r="N1198">
        <v>28520</v>
      </c>
      <c r="O1198" t="s">
        <v>70</v>
      </c>
      <c r="Q1198" t="s">
        <v>199</v>
      </c>
      <c r="R1198" t="s">
        <v>5816</v>
      </c>
      <c r="S1198" t="s">
        <v>4294</v>
      </c>
      <c r="T1198" s="6">
        <v>4250000000</v>
      </c>
      <c r="W1198" t="str">
        <f t="shared" si="19"/>
        <v>PARS TU51401</v>
      </c>
      <c r="X1198">
        <f>VLOOKUP(W1198,Sheet10!D:F,2,0)*10000000</f>
        <v>5250000000</v>
      </c>
      <c r="Y1198" t="s">
        <v>5712</v>
      </c>
    </row>
    <row r="1199" spans="1:25" x14ac:dyDescent="0.25">
      <c r="A1199" t="s">
        <v>5817</v>
      </c>
      <c r="B1199" t="s">
        <v>5818</v>
      </c>
      <c r="C1199">
        <v>701</v>
      </c>
      <c r="D1199" t="s">
        <v>240</v>
      </c>
      <c r="E1199" t="s">
        <v>64</v>
      </c>
      <c r="F1199" t="s">
        <v>420</v>
      </c>
      <c r="G1199" t="s">
        <v>2443</v>
      </c>
      <c r="H1199">
        <v>25077</v>
      </c>
      <c r="I1199">
        <v>1400</v>
      </c>
      <c r="J1199" t="s">
        <v>5819</v>
      </c>
      <c r="K1199" t="s">
        <v>5820</v>
      </c>
      <c r="L1199" t="s">
        <v>5821</v>
      </c>
      <c r="M1199" t="s">
        <v>408</v>
      </c>
      <c r="N1199">
        <v>70117</v>
      </c>
      <c r="O1199" t="s">
        <v>70</v>
      </c>
      <c r="Q1199" t="s">
        <v>409</v>
      </c>
      <c r="R1199" t="s">
        <v>5822</v>
      </c>
      <c r="S1199" t="s">
        <v>3902</v>
      </c>
      <c r="T1199" s="6">
        <v>4250000000</v>
      </c>
      <c r="W1199" t="str">
        <f t="shared" si="19"/>
        <v>DENA EF71400</v>
      </c>
      <c r="X1199" t="e">
        <f>VLOOKUP(W1199,Sheet10!D:F,2,0)*10000000</f>
        <v>#N/A</v>
      </c>
      <c r="Y1199" t="s">
        <v>5712</v>
      </c>
    </row>
    <row r="1200" spans="1:25" x14ac:dyDescent="0.25">
      <c r="A1200" t="s">
        <v>191</v>
      </c>
      <c r="B1200" t="s">
        <v>5823</v>
      </c>
      <c r="C1200">
        <v>285</v>
      </c>
      <c r="D1200" t="s">
        <v>63</v>
      </c>
      <c r="E1200" t="s">
        <v>64</v>
      </c>
      <c r="F1200" t="s">
        <v>193</v>
      </c>
      <c r="G1200" t="s">
        <v>5824</v>
      </c>
      <c r="H1200">
        <v>999999</v>
      </c>
      <c r="I1200">
        <v>1401</v>
      </c>
      <c r="J1200" t="s">
        <v>5825</v>
      </c>
      <c r="K1200" t="s">
        <v>5826</v>
      </c>
      <c r="L1200" t="s">
        <v>5827</v>
      </c>
      <c r="M1200" t="s">
        <v>198</v>
      </c>
      <c r="N1200">
        <v>28520</v>
      </c>
      <c r="O1200" t="s">
        <v>70</v>
      </c>
      <c r="Q1200" t="s">
        <v>199</v>
      </c>
      <c r="R1200" t="s">
        <v>5828</v>
      </c>
      <c r="S1200" t="s">
        <v>351</v>
      </c>
      <c r="T1200" s="6">
        <v>4300000000</v>
      </c>
      <c r="W1200" t="str">
        <f t="shared" si="19"/>
        <v>PARS TU51401</v>
      </c>
      <c r="X1200">
        <f>VLOOKUP(W1200,Sheet10!D:F,2,0)*10000000</f>
        <v>5250000000</v>
      </c>
      <c r="Y1200" t="s">
        <v>5712</v>
      </c>
    </row>
    <row r="1201" spans="1:25" x14ac:dyDescent="0.25">
      <c r="A1201" t="s">
        <v>3250</v>
      </c>
      <c r="B1201" t="s">
        <v>5829</v>
      </c>
      <c r="C1201">
        <v>285</v>
      </c>
      <c r="D1201" t="s">
        <v>77</v>
      </c>
      <c r="E1201" t="s">
        <v>64</v>
      </c>
      <c r="F1201" t="s">
        <v>420</v>
      </c>
      <c r="G1201" t="s">
        <v>3296</v>
      </c>
      <c r="H1201">
        <v>11776</v>
      </c>
      <c r="I1201">
        <v>1401</v>
      </c>
      <c r="J1201" t="s">
        <v>5830</v>
      </c>
      <c r="K1201" t="s">
        <v>5831</v>
      </c>
      <c r="L1201" t="s">
        <v>5832</v>
      </c>
      <c r="M1201" t="s">
        <v>198</v>
      </c>
      <c r="N1201">
        <v>28520</v>
      </c>
      <c r="O1201" t="s">
        <v>70</v>
      </c>
      <c r="Q1201" t="s">
        <v>199</v>
      </c>
      <c r="R1201" t="s">
        <v>5833</v>
      </c>
      <c r="S1201" t="s">
        <v>375</v>
      </c>
      <c r="T1201" s="6">
        <v>4400000000</v>
      </c>
      <c r="W1201" t="str">
        <f t="shared" si="19"/>
        <v>PARS TU51401</v>
      </c>
      <c r="X1201">
        <f>VLOOKUP(W1201,Sheet10!D:F,2,0)*10000000</f>
        <v>5250000000</v>
      </c>
      <c r="Y1201" t="s">
        <v>5712</v>
      </c>
    </row>
    <row r="1202" spans="1:25" x14ac:dyDescent="0.25">
      <c r="A1202" t="s">
        <v>5834</v>
      </c>
      <c r="B1202" t="s">
        <v>5835</v>
      </c>
      <c r="C1202">
        <v>600</v>
      </c>
      <c r="D1202" t="s">
        <v>4345</v>
      </c>
      <c r="E1202" t="s">
        <v>64</v>
      </c>
      <c r="F1202" t="s">
        <v>193</v>
      </c>
      <c r="G1202" t="s">
        <v>5836</v>
      </c>
      <c r="H1202">
        <v>999999</v>
      </c>
      <c r="I1202">
        <v>1401</v>
      </c>
      <c r="J1202" t="s">
        <v>5837</v>
      </c>
      <c r="K1202" t="s">
        <v>5838</v>
      </c>
      <c r="L1202" t="s">
        <v>5839</v>
      </c>
      <c r="M1202" t="s">
        <v>3246</v>
      </c>
      <c r="N1202">
        <v>60010</v>
      </c>
      <c r="O1202" t="s">
        <v>303</v>
      </c>
      <c r="Q1202" t="s">
        <v>3247</v>
      </c>
      <c r="R1202" t="s">
        <v>5840</v>
      </c>
      <c r="S1202" t="s">
        <v>227</v>
      </c>
      <c r="T1202" s="6">
        <v>4600000000</v>
      </c>
      <c r="W1202" t="str">
        <f t="shared" si="19"/>
        <v>207i-MT1401</v>
      </c>
      <c r="X1202">
        <f>VLOOKUP(W1202,Sheet10!D:F,2,0)*10000000</f>
        <v>5800000000</v>
      </c>
      <c r="Y1202" t="s">
        <v>5712</v>
      </c>
    </row>
    <row r="1203" spans="1:25" x14ac:dyDescent="0.25">
      <c r="A1203" t="s">
        <v>5841</v>
      </c>
      <c r="B1203" t="s">
        <v>5842</v>
      </c>
      <c r="C1203">
        <v>322</v>
      </c>
      <c r="D1203" t="s">
        <v>259</v>
      </c>
      <c r="E1203" t="s">
        <v>64</v>
      </c>
      <c r="F1203" t="s">
        <v>205</v>
      </c>
      <c r="G1203" t="s">
        <v>5843</v>
      </c>
      <c r="H1203">
        <v>6972</v>
      </c>
      <c r="I1203">
        <v>1401</v>
      </c>
      <c r="J1203" t="s">
        <v>5844</v>
      </c>
      <c r="K1203" t="s">
        <v>5845</v>
      </c>
      <c r="L1203" t="s">
        <v>5846</v>
      </c>
      <c r="M1203" t="s">
        <v>92</v>
      </c>
      <c r="N1203">
        <v>32201</v>
      </c>
      <c r="O1203" t="s">
        <v>70</v>
      </c>
      <c r="Q1203" t="s">
        <v>93</v>
      </c>
      <c r="R1203" t="s">
        <v>5847</v>
      </c>
      <c r="S1203" t="s">
        <v>4124</v>
      </c>
      <c r="T1203" s="6">
        <v>4650000000</v>
      </c>
      <c r="W1203" t="str">
        <f t="shared" si="19"/>
        <v>TARA TU5P1401</v>
      </c>
      <c r="X1203" t="e">
        <f>VLOOKUP(W1203,Sheet10!D:F,2,0)*10000000</f>
        <v>#N/A</v>
      </c>
      <c r="Y1203" t="s">
        <v>5712</v>
      </c>
    </row>
    <row r="1204" spans="1:25" x14ac:dyDescent="0.25">
      <c r="A1204" t="s">
        <v>3497</v>
      </c>
      <c r="B1204" t="s">
        <v>5848</v>
      </c>
      <c r="C1204">
        <v>600</v>
      </c>
      <c r="D1204" t="s">
        <v>77</v>
      </c>
      <c r="E1204" t="s">
        <v>64</v>
      </c>
      <c r="F1204" t="s">
        <v>193</v>
      </c>
      <c r="G1204" t="s">
        <v>5849</v>
      </c>
      <c r="H1204">
        <v>999999</v>
      </c>
      <c r="I1204">
        <v>1401</v>
      </c>
      <c r="J1204" t="s">
        <v>5850</v>
      </c>
      <c r="K1204" t="s">
        <v>5851</v>
      </c>
      <c r="L1204" t="s">
        <v>5852</v>
      </c>
      <c r="M1204" t="s">
        <v>3246</v>
      </c>
      <c r="N1204">
        <v>60010</v>
      </c>
      <c r="O1204" t="s">
        <v>303</v>
      </c>
      <c r="Q1204" t="s">
        <v>3247</v>
      </c>
      <c r="R1204" t="s">
        <v>5853</v>
      </c>
      <c r="S1204" t="s">
        <v>4194</v>
      </c>
      <c r="T1204" s="6">
        <v>4700000000</v>
      </c>
      <c r="W1204" t="str">
        <f t="shared" si="19"/>
        <v>207i-MT1401</v>
      </c>
      <c r="X1204">
        <f>VLOOKUP(W1204,Sheet10!D:F,2,0)*10000000</f>
        <v>5800000000</v>
      </c>
      <c r="Y1204" t="s">
        <v>5712</v>
      </c>
    </row>
    <row r="1205" spans="1:25" x14ac:dyDescent="0.25">
      <c r="A1205" t="s">
        <v>5074</v>
      </c>
      <c r="B1205" t="s">
        <v>5075</v>
      </c>
      <c r="C1205">
        <v>723</v>
      </c>
      <c r="D1205" t="s">
        <v>63</v>
      </c>
      <c r="E1205" t="s">
        <v>64</v>
      </c>
      <c r="F1205" t="s">
        <v>362</v>
      </c>
      <c r="G1205" t="s">
        <v>363</v>
      </c>
      <c r="H1205">
        <v>63</v>
      </c>
      <c r="I1205">
        <v>1398</v>
      </c>
      <c r="J1205" t="s">
        <v>5076</v>
      </c>
      <c r="K1205" t="s">
        <v>5077</v>
      </c>
      <c r="L1205" t="s">
        <v>5078</v>
      </c>
      <c r="M1205" t="s">
        <v>302</v>
      </c>
      <c r="N1205">
        <v>72304</v>
      </c>
      <c r="O1205" t="s">
        <v>303</v>
      </c>
      <c r="Q1205" t="s">
        <v>5079</v>
      </c>
      <c r="R1205" t="s">
        <v>5080</v>
      </c>
      <c r="S1205" t="s">
        <v>2475</v>
      </c>
      <c r="T1205" s="6">
        <v>4850000000</v>
      </c>
      <c r="W1205" t="str">
        <f t="shared" si="19"/>
        <v>H30 TU5 A1398</v>
      </c>
      <c r="X1205">
        <f>VLOOKUP(W1205,Sheet10!D:F,2,0)*10000000</f>
        <v>0</v>
      </c>
      <c r="Y1205" t="s">
        <v>5712</v>
      </c>
    </row>
    <row r="1206" spans="1:25" x14ac:dyDescent="0.25">
      <c r="A1206" t="s">
        <v>5854</v>
      </c>
      <c r="B1206" t="s">
        <v>5855</v>
      </c>
      <c r="C1206">
        <v>322</v>
      </c>
      <c r="D1206" t="s">
        <v>240</v>
      </c>
      <c r="E1206" t="s">
        <v>64</v>
      </c>
      <c r="F1206" t="s">
        <v>420</v>
      </c>
      <c r="G1206" t="s">
        <v>5775</v>
      </c>
      <c r="H1206">
        <v>31507</v>
      </c>
      <c r="I1206">
        <v>1400</v>
      </c>
      <c r="J1206" t="s">
        <v>5856</v>
      </c>
      <c r="K1206" t="s">
        <v>5857</v>
      </c>
      <c r="L1206" t="s">
        <v>5858</v>
      </c>
      <c r="M1206" t="s">
        <v>92</v>
      </c>
      <c r="N1206">
        <v>32201</v>
      </c>
      <c r="O1206" t="s">
        <v>70</v>
      </c>
      <c r="Q1206" t="s">
        <v>93</v>
      </c>
      <c r="R1206" t="s">
        <v>5859</v>
      </c>
      <c r="S1206" t="s">
        <v>4055</v>
      </c>
      <c r="T1206" s="6">
        <v>4850000000</v>
      </c>
      <c r="W1206" t="str">
        <f t="shared" si="19"/>
        <v>TARA TU5P1400</v>
      </c>
      <c r="X1206" t="e">
        <f>VLOOKUP(W1206,Sheet10!D:F,2,0)*10000000</f>
        <v>#N/A</v>
      </c>
      <c r="Y1206" t="s">
        <v>5712</v>
      </c>
    </row>
    <row r="1207" spans="1:25" x14ac:dyDescent="0.25">
      <c r="A1207" t="s">
        <v>3446</v>
      </c>
      <c r="B1207" t="s">
        <v>5147</v>
      </c>
      <c r="C1207">
        <v>707</v>
      </c>
      <c r="D1207" t="s">
        <v>63</v>
      </c>
      <c r="E1207" t="s">
        <v>64</v>
      </c>
      <c r="F1207" t="s">
        <v>205</v>
      </c>
      <c r="G1207" t="s">
        <v>5728</v>
      </c>
      <c r="H1207">
        <v>3632</v>
      </c>
      <c r="I1207">
        <v>1399</v>
      </c>
      <c r="J1207" t="s">
        <v>5148</v>
      </c>
      <c r="K1207" t="s">
        <v>5149</v>
      </c>
      <c r="L1207" t="s">
        <v>5150</v>
      </c>
      <c r="M1207" t="s">
        <v>3450</v>
      </c>
      <c r="N1207">
        <v>70702</v>
      </c>
      <c r="O1207" t="s">
        <v>70</v>
      </c>
      <c r="Q1207" t="s">
        <v>3451</v>
      </c>
      <c r="R1207" t="s">
        <v>5151</v>
      </c>
      <c r="S1207" t="s">
        <v>4017</v>
      </c>
      <c r="T1207" s="6">
        <v>5250000000</v>
      </c>
      <c r="W1207" t="str">
        <f t="shared" si="19"/>
        <v>DENA+EF7TC A1399</v>
      </c>
      <c r="X1207">
        <f>VLOOKUP(W1207,Sheet10!D:F,2,0)*10000000</f>
        <v>6900000000</v>
      </c>
      <c r="Y1207" t="s">
        <v>5712</v>
      </c>
    </row>
    <row r="1208" spans="1:25" x14ac:dyDescent="0.25">
      <c r="A1208" t="s">
        <v>3478</v>
      </c>
      <c r="B1208" t="s">
        <v>5132</v>
      </c>
      <c r="C1208">
        <v>707</v>
      </c>
      <c r="D1208" t="s">
        <v>259</v>
      </c>
      <c r="E1208" t="s">
        <v>64</v>
      </c>
      <c r="F1208" t="s">
        <v>205</v>
      </c>
      <c r="G1208" t="s">
        <v>3523</v>
      </c>
      <c r="H1208">
        <v>17749</v>
      </c>
      <c r="I1208">
        <v>1399</v>
      </c>
      <c r="J1208" t="s">
        <v>5133</v>
      </c>
      <c r="K1208" t="s">
        <v>5134</v>
      </c>
      <c r="L1208" t="s">
        <v>5135</v>
      </c>
      <c r="M1208" t="s">
        <v>3450</v>
      </c>
      <c r="N1208">
        <v>70702</v>
      </c>
      <c r="O1208" t="s">
        <v>70</v>
      </c>
      <c r="Q1208" t="s">
        <v>3451</v>
      </c>
      <c r="R1208" t="s">
        <v>5136</v>
      </c>
      <c r="S1208" t="s">
        <v>4234</v>
      </c>
      <c r="T1208" s="6">
        <v>5270000000</v>
      </c>
      <c r="W1208" t="str">
        <f t="shared" si="19"/>
        <v>DENA+EF7TC A1399</v>
      </c>
      <c r="X1208">
        <f>VLOOKUP(W1208,Sheet10!D:F,2,0)*10000000</f>
        <v>6900000000</v>
      </c>
      <c r="Y1208" t="s">
        <v>5712</v>
      </c>
    </row>
    <row r="1209" spans="1:25" x14ac:dyDescent="0.25">
      <c r="A1209" t="s">
        <v>4497</v>
      </c>
      <c r="B1209" t="s">
        <v>5860</v>
      </c>
      <c r="C1209">
        <v>606</v>
      </c>
      <c r="D1209" t="s">
        <v>77</v>
      </c>
      <c r="E1209" t="s">
        <v>64</v>
      </c>
      <c r="F1209" t="s">
        <v>420</v>
      </c>
      <c r="G1209" t="s">
        <v>5861</v>
      </c>
      <c r="H1209">
        <v>144</v>
      </c>
      <c r="I1209">
        <v>1401</v>
      </c>
      <c r="J1209" t="s">
        <v>5862</v>
      </c>
      <c r="K1209" t="s">
        <v>5863</v>
      </c>
      <c r="L1209" t="s">
        <v>5864</v>
      </c>
      <c r="M1209" t="s">
        <v>4487</v>
      </c>
      <c r="N1209">
        <v>60602</v>
      </c>
      <c r="O1209" t="s">
        <v>4488</v>
      </c>
      <c r="Q1209" t="s">
        <v>4489</v>
      </c>
      <c r="R1209" t="s">
        <v>5865</v>
      </c>
      <c r="S1209" t="s">
        <v>4012</v>
      </c>
      <c r="T1209" s="6">
        <v>5300000000</v>
      </c>
      <c r="W1209" t="str">
        <f t="shared" si="19"/>
        <v>207i TU5P A1401</v>
      </c>
      <c r="X1209">
        <f>VLOOKUP(W1209,Sheet10!D:F,2,0)*10000000</f>
        <v>7100000000</v>
      </c>
      <c r="Y1209" t="s">
        <v>5712</v>
      </c>
    </row>
    <row r="1210" spans="1:25" x14ac:dyDescent="0.25">
      <c r="A1210" t="s">
        <v>3521</v>
      </c>
      <c r="B1210" t="s">
        <v>5866</v>
      </c>
      <c r="C1210">
        <v>707</v>
      </c>
      <c r="D1210" t="s">
        <v>77</v>
      </c>
      <c r="E1210" t="s">
        <v>64</v>
      </c>
      <c r="F1210" t="s">
        <v>205</v>
      </c>
      <c r="G1210" t="s">
        <v>3523</v>
      </c>
      <c r="H1210">
        <v>32320</v>
      </c>
      <c r="I1210">
        <v>1399</v>
      </c>
      <c r="J1210" t="s">
        <v>5867</v>
      </c>
      <c r="K1210" t="s">
        <v>5868</v>
      </c>
      <c r="L1210" t="s">
        <v>5869</v>
      </c>
      <c r="M1210" t="s">
        <v>3450</v>
      </c>
      <c r="N1210">
        <v>70702</v>
      </c>
      <c r="O1210" t="s">
        <v>70</v>
      </c>
      <c r="Q1210" t="s">
        <v>3451</v>
      </c>
      <c r="R1210" t="s">
        <v>5870</v>
      </c>
      <c r="S1210" t="s">
        <v>4209</v>
      </c>
      <c r="T1210" s="6">
        <v>5300000000</v>
      </c>
      <c r="W1210" t="str">
        <f t="shared" si="19"/>
        <v>DENA+EF7TC A1399</v>
      </c>
      <c r="X1210">
        <f>VLOOKUP(W1210,Sheet10!D:F,2,0)*10000000</f>
        <v>6900000000</v>
      </c>
      <c r="Y1210" t="s">
        <v>5712</v>
      </c>
    </row>
    <row r="1211" spans="1:25" x14ac:dyDescent="0.25">
      <c r="A1211" t="s">
        <v>3521</v>
      </c>
      <c r="B1211" t="s">
        <v>5871</v>
      </c>
      <c r="C1211">
        <v>707</v>
      </c>
      <c r="D1211" t="s">
        <v>77</v>
      </c>
      <c r="E1211" t="s">
        <v>64</v>
      </c>
      <c r="F1211" t="s">
        <v>205</v>
      </c>
      <c r="G1211" t="s">
        <v>3523</v>
      </c>
      <c r="H1211">
        <v>43158</v>
      </c>
      <c r="I1211">
        <v>1399</v>
      </c>
      <c r="J1211" t="s">
        <v>5872</v>
      </c>
      <c r="K1211" t="s">
        <v>5873</v>
      </c>
      <c r="L1211" t="s">
        <v>5874</v>
      </c>
      <c r="M1211" t="s">
        <v>3450</v>
      </c>
      <c r="N1211">
        <v>70702</v>
      </c>
      <c r="O1211" t="s">
        <v>70</v>
      </c>
      <c r="Q1211" t="s">
        <v>3451</v>
      </c>
      <c r="R1211" t="s">
        <v>5875</v>
      </c>
      <c r="S1211" t="s">
        <v>4151</v>
      </c>
      <c r="T1211" s="6">
        <v>5300000000</v>
      </c>
      <c r="W1211" t="str">
        <f t="shared" si="19"/>
        <v>DENA+EF7TC A1399</v>
      </c>
      <c r="X1211">
        <f>VLOOKUP(W1211,Sheet10!D:F,2,0)*10000000</f>
        <v>6900000000</v>
      </c>
      <c r="Y1211" t="s">
        <v>5712</v>
      </c>
    </row>
    <row r="1212" spans="1:25" x14ac:dyDescent="0.25">
      <c r="A1212" t="s">
        <v>3521</v>
      </c>
      <c r="B1212" t="s">
        <v>5876</v>
      </c>
      <c r="C1212">
        <v>707</v>
      </c>
      <c r="D1212" t="s">
        <v>77</v>
      </c>
      <c r="E1212" t="s">
        <v>64</v>
      </c>
      <c r="F1212" t="s">
        <v>205</v>
      </c>
      <c r="G1212" t="s">
        <v>3523</v>
      </c>
      <c r="H1212">
        <v>44234</v>
      </c>
      <c r="I1212">
        <v>1399</v>
      </c>
      <c r="J1212" t="s">
        <v>5877</v>
      </c>
      <c r="K1212" t="s">
        <v>5878</v>
      </c>
      <c r="L1212" t="s">
        <v>5879</v>
      </c>
      <c r="M1212" t="s">
        <v>3450</v>
      </c>
      <c r="N1212">
        <v>70702</v>
      </c>
      <c r="O1212" t="s">
        <v>70</v>
      </c>
      <c r="Q1212" t="s">
        <v>3451</v>
      </c>
      <c r="R1212" t="s">
        <v>5880</v>
      </c>
      <c r="S1212" t="s">
        <v>4133</v>
      </c>
      <c r="T1212" s="6">
        <v>5350000000</v>
      </c>
      <c r="W1212" t="str">
        <f t="shared" si="19"/>
        <v>DENA+EF7TC A1399</v>
      </c>
      <c r="X1212">
        <f>VLOOKUP(W1212,Sheet10!D:F,2,0)*10000000</f>
        <v>6900000000</v>
      </c>
      <c r="Y1212" t="s">
        <v>5712</v>
      </c>
    </row>
    <row r="1213" spans="1:25" x14ac:dyDescent="0.25">
      <c r="A1213" t="s">
        <v>5126</v>
      </c>
      <c r="B1213" t="s">
        <v>5881</v>
      </c>
      <c r="C1213">
        <v>707</v>
      </c>
      <c r="D1213" t="s">
        <v>2461</v>
      </c>
      <c r="E1213" t="s">
        <v>64</v>
      </c>
      <c r="F1213" t="s">
        <v>205</v>
      </c>
      <c r="G1213" t="s">
        <v>5728</v>
      </c>
      <c r="H1213">
        <v>18258</v>
      </c>
      <c r="I1213">
        <v>1399</v>
      </c>
      <c r="J1213" t="s">
        <v>5882</v>
      </c>
      <c r="K1213" t="s">
        <v>5883</v>
      </c>
      <c r="L1213" t="s">
        <v>696</v>
      </c>
      <c r="M1213" t="s">
        <v>3450</v>
      </c>
      <c r="N1213">
        <v>70702</v>
      </c>
      <c r="O1213" t="s">
        <v>70</v>
      </c>
      <c r="Q1213" t="s">
        <v>3451</v>
      </c>
      <c r="R1213" t="s">
        <v>5884</v>
      </c>
      <c r="S1213" t="s">
        <v>4239</v>
      </c>
      <c r="T1213" s="6">
        <v>5350000000</v>
      </c>
      <c r="W1213" t="str">
        <f t="shared" si="19"/>
        <v>DENA+EF7TC A1399</v>
      </c>
      <c r="X1213">
        <f>VLOOKUP(W1213,Sheet10!D:F,2,0)*10000000</f>
        <v>6900000000</v>
      </c>
      <c r="Y1213" t="s">
        <v>5712</v>
      </c>
    </row>
    <row r="1214" spans="1:25" x14ac:dyDescent="0.25">
      <c r="A1214" t="s">
        <v>5885</v>
      </c>
      <c r="B1214" t="s">
        <v>5886</v>
      </c>
      <c r="C1214">
        <v>601</v>
      </c>
      <c r="D1214" t="s">
        <v>77</v>
      </c>
      <c r="E1214" t="s">
        <v>64</v>
      </c>
      <c r="F1214" t="s">
        <v>362</v>
      </c>
      <c r="G1214" t="s">
        <v>5887</v>
      </c>
      <c r="H1214">
        <v>62</v>
      </c>
      <c r="I1214">
        <v>1400</v>
      </c>
      <c r="J1214" t="s">
        <v>5888</v>
      </c>
      <c r="K1214" t="s">
        <v>5889</v>
      </c>
      <c r="L1214" t="s">
        <v>5890</v>
      </c>
      <c r="M1214" t="s">
        <v>5891</v>
      </c>
      <c r="N1214">
        <v>60103</v>
      </c>
      <c r="O1214" t="s">
        <v>303</v>
      </c>
      <c r="Q1214" t="s">
        <v>5892</v>
      </c>
      <c r="R1214" t="s">
        <v>5893</v>
      </c>
      <c r="S1214" t="s">
        <v>341</v>
      </c>
      <c r="T1214" s="6">
        <v>5400000000</v>
      </c>
      <c r="W1214" t="str">
        <f t="shared" si="19"/>
        <v>207i-AT1400</v>
      </c>
      <c r="X1214" t="e">
        <f>VLOOKUP(W1214,Sheet10!D:F,2,0)*10000000</f>
        <v>#N/A</v>
      </c>
      <c r="Y1214" t="s">
        <v>5712</v>
      </c>
    </row>
    <row r="1215" spans="1:25" x14ac:dyDescent="0.25">
      <c r="A1215" t="s">
        <v>5894</v>
      </c>
      <c r="B1215" t="s">
        <v>5895</v>
      </c>
      <c r="C1215">
        <v>601</v>
      </c>
      <c r="D1215" t="s">
        <v>63</v>
      </c>
      <c r="E1215" t="s">
        <v>64</v>
      </c>
      <c r="F1215" t="s">
        <v>362</v>
      </c>
      <c r="G1215" t="s">
        <v>5896</v>
      </c>
      <c r="H1215">
        <v>74</v>
      </c>
      <c r="I1215">
        <v>1400</v>
      </c>
      <c r="J1215" t="s">
        <v>5897</v>
      </c>
      <c r="K1215" t="s">
        <v>5898</v>
      </c>
      <c r="L1215" t="s">
        <v>5899</v>
      </c>
      <c r="M1215" t="s">
        <v>5891</v>
      </c>
      <c r="N1215">
        <v>60103</v>
      </c>
      <c r="O1215" t="s">
        <v>303</v>
      </c>
      <c r="Q1215" t="s">
        <v>5892</v>
      </c>
      <c r="R1215" t="s">
        <v>5900</v>
      </c>
      <c r="S1215" t="s">
        <v>4146</v>
      </c>
      <c r="T1215" s="6">
        <v>5400000000</v>
      </c>
      <c r="W1215" t="str">
        <f t="shared" si="19"/>
        <v>207i-AT1400</v>
      </c>
      <c r="X1215" t="e">
        <f>VLOOKUP(W1215,Sheet10!D:F,2,0)*10000000</f>
        <v>#N/A</v>
      </c>
      <c r="Y1215" t="s">
        <v>5712</v>
      </c>
    </row>
    <row r="1216" spans="1:25" x14ac:dyDescent="0.25">
      <c r="A1216" t="s">
        <v>5901</v>
      </c>
      <c r="B1216" t="s">
        <v>5902</v>
      </c>
      <c r="C1216">
        <v>601</v>
      </c>
      <c r="D1216" t="s">
        <v>77</v>
      </c>
      <c r="E1216" t="s">
        <v>64</v>
      </c>
      <c r="F1216" t="s">
        <v>362</v>
      </c>
      <c r="G1216" t="s">
        <v>5728</v>
      </c>
      <c r="H1216">
        <v>72</v>
      </c>
      <c r="I1216">
        <v>1400</v>
      </c>
      <c r="J1216" t="s">
        <v>5903</v>
      </c>
      <c r="K1216" t="s">
        <v>5904</v>
      </c>
      <c r="L1216" t="s">
        <v>5905</v>
      </c>
      <c r="M1216" t="s">
        <v>5891</v>
      </c>
      <c r="N1216">
        <v>60104</v>
      </c>
      <c r="O1216" t="s">
        <v>303</v>
      </c>
      <c r="Q1216" t="s">
        <v>5906</v>
      </c>
      <c r="R1216" t="s">
        <v>5907</v>
      </c>
      <c r="S1216" t="s">
        <v>1433</v>
      </c>
      <c r="T1216" s="6">
        <v>5400000000</v>
      </c>
      <c r="W1216" t="str">
        <f t="shared" si="19"/>
        <v>207i-AT1400</v>
      </c>
      <c r="X1216" t="e">
        <f>VLOOKUP(W1216,Sheet10!D:F,2,0)*10000000</f>
        <v>#N/A</v>
      </c>
      <c r="Y1216" t="s">
        <v>5712</v>
      </c>
    </row>
    <row r="1217" spans="1:25" x14ac:dyDescent="0.25">
      <c r="A1217" t="s">
        <v>3446</v>
      </c>
      <c r="B1217" t="s">
        <v>5908</v>
      </c>
      <c r="C1217">
        <v>707</v>
      </c>
      <c r="D1217" t="s">
        <v>63</v>
      </c>
      <c r="E1217" t="s">
        <v>64</v>
      </c>
      <c r="F1217" t="s">
        <v>205</v>
      </c>
      <c r="G1217" t="s">
        <v>5728</v>
      </c>
      <c r="H1217">
        <v>23084</v>
      </c>
      <c r="I1217">
        <v>1400</v>
      </c>
      <c r="J1217" t="s">
        <v>5909</v>
      </c>
      <c r="K1217" t="s">
        <v>5910</v>
      </c>
      <c r="L1217" t="s">
        <v>5911</v>
      </c>
      <c r="M1217" t="s">
        <v>3450</v>
      </c>
      <c r="N1217">
        <v>70702</v>
      </c>
      <c r="O1217" t="s">
        <v>70</v>
      </c>
      <c r="Q1217" t="s">
        <v>3451</v>
      </c>
      <c r="R1217" t="s">
        <v>5912</v>
      </c>
      <c r="S1217" t="s">
        <v>3892</v>
      </c>
      <c r="T1217" s="6">
        <v>5700000000</v>
      </c>
      <c r="W1217" t="str">
        <f t="shared" si="19"/>
        <v>DENA+EF7TC A1400</v>
      </c>
      <c r="X1217">
        <f>VLOOKUP(W1217,Sheet10!D:F,2,0)*10000000</f>
        <v>7100000000</v>
      </c>
      <c r="Y1217" t="s">
        <v>5712</v>
      </c>
    </row>
    <row r="1218" spans="1:25" x14ac:dyDescent="0.25">
      <c r="A1218" t="s">
        <v>4609</v>
      </c>
      <c r="B1218" t="s">
        <v>5028</v>
      </c>
      <c r="C1218">
        <v>560</v>
      </c>
      <c r="D1218" t="s">
        <v>4611</v>
      </c>
      <c r="E1218" t="s">
        <v>64</v>
      </c>
      <c r="F1218" t="s">
        <v>362</v>
      </c>
      <c r="G1218" t="s">
        <v>363</v>
      </c>
      <c r="H1218">
        <v>55</v>
      </c>
      <c r="I1218">
        <v>1398</v>
      </c>
      <c r="J1218" t="s">
        <v>5029</v>
      </c>
      <c r="K1218" t="s">
        <v>599</v>
      </c>
      <c r="L1218" t="s">
        <v>5030</v>
      </c>
      <c r="M1218" t="s">
        <v>234</v>
      </c>
      <c r="N1218">
        <v>56080</v>
      </c>
      <c r="O1218" t="s">
        <v>70</v>
      </c>
      <c r="Q1218" t="s">
        <v>4615</v>
      </c>
      <c r="R1218" t="s">
        <v>5031</v>
      </c>
      <c r="S1218" t="s">
        <v>237</v>
      </c>
      <c r="T1218" s="6">
        <v>5800000000</v>
      </c>
      <c r="W1218" t="str">
        <f t="shared" si="19"/>
        <v>TONDAR 90 K4M1398</v>
      </c>
      <c r="X1218">
        <f>VLOOKUP(W1218,Sheet10!D:F,2,0)*10000000</f>
        <v>6750000000</v>
      </c>
      <c r="Y1218" t="s">
        <v>5712</v>
      </c>
    </row>
    <row r="1219" spans="1:25" x14ac:dyDescent="0.25">
      <c r="A1219" t="s">
        <v>4609</v>
      </c>
      <c r="B1219" t="s">
        <v>4987</v>
      </c>
      <c r="C1219">
        <v>560</v>
      </c>
      <c r="D1219" t="s">
        <v>4611</v>
      </c>
      <c r="E1219" t="s">
        <v>64</v>
      </c>
      <c r="F1219" t="s">
        <v>362</v>
      </c>
      <c r="G1219" t="s">
        <v>363</v>
      </c>
      <c r="H1219">
        <v>58</v>
      </c>
      <c r="I1219">
        <v>1398</v>
      </c>
      <c r="J1219" t="s">
        <v>4988</v>
      </c>
      <c r="K1219" t="s">
        <v>599</v>
      </c>
      <c r="L1219" t="s">
        <v>4989</v>
      </c>
      <c r="M1219" t="s">
        <v>234</v>
      </c>
      <c r="N1219">
        <v>56080</v>
      </c>
      <c r="O1219" t="s">
        <v>70</v>
      </c>
      <c r="Q1219" t="s">
        <v>4615</v>
      </c>
      <c r="R1219" t="s">
        <v>4990</v>
      </c>
      <c r="S1219" t="s">
        <v>4249</v>
      </c>
      <c r="T1219" s="6">
        <v>5800000000</v>
      </c>
      <c r="W1219" t="str">
        <f t="shared" si="19"/>
        <v>TONDAR 90 K4M1398</v>
      </c>
      <c r="X1219">
        <f>VLOOKUP(W1219,Sheet10!D:F,2,0)*10000000</f>
        <v>6750000000</v>
      </c>
      <c r="Y1219" t="s">
        <v>5712</v>
      </c>
    </row>
    <row r="1220" spans="1:25" x14ac:dyDescent="0.25">
      <c r="A1220" t="s">
        <v>3521</v>
      </c>
      <c r="B1220" t="s">
        <v>5913</v>
      </c>
      <c r="C1220">
        <v>707</v>
      </c>
      <c r="D1220" t="s">
        <v>77</v>
      </c>
      <c r="E1220" t="s">
        <v>64</v>
      </c>
      <c r="F1220" t="s">
        <v>205</v>
      </c>
      <c r="G1220" t="s">
        <v>3077</v>
      </c>
      <c r="H1220">
        <v>12107</v>
      </c>
      <c r="I1220">
        <v>1401</v>
      </c>
      <c r="J1220" t="s">
        <v>5914</v>
      </c>
      <c r="K1220" t="s">
        <v>5915</v>
      </c>
      <c r="L1220" t="s">
        <v>5916</v>
      </c>
      <c r="M1220" t="s">
        <v>3450</v>
      </c>
      <c r="N1220">
        <v>70702</v>
      </c>
      <c r="O1220" t="s">
        <v>70</v>
      </c>
      <c r="Q1220" t="s">
        <v>3451</v>
      </c>
      <c r="R1220" t="s">
        <v>5917</v>
      </c>
      <c r="S1220" t="s">
        <v>4336</v>
      </c>
      <c r="T1220" s="6">
        <v>5900000000</v>
      </c>
      <c r="W1220" t="str">
        <f t="shared" si="19"/>
        <v>DENA+EF7TC A1401</v>
      </c>
      <c r="X1220">
        <f>VLOOKUP(W1220,Sheet10!D:F,2,0)*10000000</f>
        <v>7250000000</v>
      </c>
      <c r="Y1220" t="s">
        <v>5712</v>
      </c>
    </row>
    <row r="1221" spans="1:25" x14ac:dyDescent="0.25">
      <c r="A1221" t="s">
        <v>3446</v>
      </c>
      <c r="B1221" t="s">
        <v>5341</v>
      </c>
      <c r="C1221">
        <v>707</v>
      </c>
      <c r="D1221" t="s">
        <v>63</v>
      </c>
      <c r="E1221" t="s">
        <v>64</v>
      </c>
      <c r="F1221" t="s">
        <v>420</v>
      </c>
      <c r="G1221" t="s">
        <v>5342</v>
      </c>
      <c r="H1221">
        <v>80</v>
      </c>
      <c r="I1221">
        <v>1401</v>
      </c>
      <c r="J1221" t="s">
        <v>5343</v>
      </c>
      <c r="K1221" t="s">
        <v>5344</v>
      </c>
      <c r="L1221" t="s">
        <v>5345</v>
      </c>
      <c r="M1221" t="s">
        <v>3450</v>
      </c>
      <c r="N1221">
        <v>70702</v>
      </c>
      <c r="O1221" t="s">
        <v>70</v>
      </c>
      <c r="Q1221" t="s">
        <v>3451</v>
      </c>
      <c r="R1221" t="s">
        <v>5346</v>
      </c>
      <c r="S1221" t="s">
        <v>4082</v>
      </c>
      <c r="T1221" s="6">
        <v>6100000000</v>
      </c>
      <c r="W1221" t="str">
        <f t="shared" si="19"/>
        <v>DENA+EF7TC A1401</v>
      </c>
      <c r="X1221">
        <f>VLOOKUP(W1221,Sheet10!D:F,2,0)*10000000</f>
        <v>7250000000</v>
      </c>
      <c r="Y1221" t="s">
        <v>5712</v>
      </c>
    </row>
    <row r="1222" spans="1:25" x14ac:dyDescent="0.25">
      <c r="A1222" t="s">
        <v>5206</v>
      </c>
      <c r="B1222" t="s">
        <v>5918</v>
      </c>
      <c r="C1222">
        <v>323</v>
      </c>
      <c r="D1222" t="s">
        <v>240</v>
      </c>
      <c r="E1222" t="s">
        <v>64</v>
      </c>
      <c r="F1222" t="s">
        <v>420</v>
      </c>
      <c r="G1222" t="s">
        <v>5919</v>
      </c>
      <c r="H1222">
        <v>1440</v>
      </c>
      <c r="I1222">
        <v>1401</v>
      </c>
      <c r="J1222" t="s">
        <v>5920</v>
      </c>
      <c r="K1222" t="s">
        <v>5921</v>
      </c>
      <c r="L1222" t="s">
        <v>5922</v>
      </c>
      <c r="M1222" t="s">
        <v>5192</v>
      </c>
      <c r="N1222">
        <v>32301</v>
      </c>
      <c r="O1222" t="s">
        <v>70</v>
      </c>
      <c r="Q1222" t="s">
        <v>5193</v>
      </c>
      <c r="R1222" t="s">
        <v>5923</v>
      </c>
      <c r="S1222" t="s">
        <v>4040</v>
      </c>
      <c r="T1222" s="6">
        <v>6250000000</v>
      </c>
      <c r="W1222" t="str">
        <f t="shared" si="19"/>
        <v>TARA TU5PA1401</v>
      </c>
      <c r="X1222" t="e">
        <f>VLOOKUP(W1222,Sheet10!D:F,2,0)*10000000</f>
        <v>#N/A</v>
      </c>
      <c r="Y1222" t="s">
        <v>5712</v>
      </c>
    </row>
    <row r="1223" spans="1:25" x14ac:dyDescent="0.25">
      <c r="A1223" t="s">
        <v>5592</v>
      </c>
      <c r="B1223" t="s">
        <v>5593</v>
      </c>
      <c r="C1223">
        <v>566</v>
      </c>
      <c r="D1223" t="s">
        <v>4611</v>
      </c>
      <c r="E1223" t="s">
        <v>64</v>
      </c>
      <c r="F1223" t="s">
        <v>362</v>
      </c>
      <c r="G1223" t="s">
        <v>363</v>
      </c>
      <c r="H1223">
        <v>54</v>
      </c>
      <c r="I1223">
        <v>1398</v>
      </c>
      <c r="J1223" t="s">
        <v>5594</v>
      </c>
      <c r="K1223" t="s">
        <v>599</v>
      </c>
      <c r="L1223" t="s">
        <v>5595</v>
      </c>
      <c r="M1223" t="s">
        <v>5596</v>
      </c>
      <c r="N1223">
        <v>56679</v>
      </c>
      <c r="O1223" t="s">
        <v>70</v>
      </c>
      <c r="Q1223" t="s">
        <v>5597</v>
      </c>
      <c r="R1223" t="s">
        <v>5598</v>
      </c>
      <c r="S1223" t="s">
        <v>4110</v>
      </c>
      <c r="T1223" s="6">
        <v>7100000000</v>
      </c>
      <c r="W1223" t="str">
        <f t="shared" si="19"/>
        <v>TONDAR 90+ at1398</v>
      </c>
      <c r="X1223">
        <f>VLOOKUP(W1223,Sheet10!D:F,2,0)*10000000</f>
        <v>6750000000</v>
      </c>
      <c r="Y1223" t="s">
        <v>5712</v>
      </c>
    </row>
    <row r="1224" spans="1:25" x14ac:dyDescent="0.25">
      <c r="A1224" t="s">
        <v>5924</v>
      </c>
      <c r="B1224" t="s">
        <v>5925</v>
      </c>
      <c r="C1224">
        <v>518</v>
      </c>
      <c r="D1224" t="s">
        <v>63</v>
      </c>
      <c r="E1224" t="s">
        <v>64</v>
      </c>
      <c r="F1224" t="s">
        <v>205</v>
      </c>
      <c r="G1224" t="s">
        <v>5728</v>
      </c>
      <c r="H1224">
        <v>46904</v>
      </c>
      <c r="I1224">
        <v>1397</v>
      </c>
      <c r="J1224" t="s">
        <v>5926</v>
      </c>
      <c r="K1224" t="s">
        <v>5927</v>
      </c>
      <c r="L1224" t="s">
        <v>5928</v>
      </c>
      <c r="M1224" t="s">
        <v>5609</v>
      </c>
      <c r="N1224">
        <v>51801</v>
      </c>
      <c r="O1224" t="s">
        <v>303</v>
      </c>
      <c r="Q1224" t="s">
        <v>5929</v>
      </c>
      <c r="R1224" t="s">
        <v>5930</v>
      </c>
      <c r="S1224" t="s">
        <v>4176</v>
      </c>
      <c r="T1224" s="6">
        <v>8400000000</v>
      </c>
      <c r="W1224" t="str">
        <f t="shared" si="19"/>
        <v>S7-T-AT1397</v>
      </c>
      <c r="X1224" t="e">
        <f>VLOOKUP(W1224,Sheet10!D:F,2,0)*10000000</f>
        <v>#N/A</v>
      </c>
      <c r="Y1224" t="s">
        <v>5712</v>
      </c>
    </row>
    <row r="1225" spans="1:25" x14ac:dyDescent="0.25">
      <c r="A1225" t="s">
        <v>5661</v>
      </c>
      <c r="B1225" t="s">
        <v>5931</v>
      </c>
      <c r="C1225">
        <v>522</v>
      </c>
      <c r="D1225" t="s">
        <v>63</v>
      </c>
      <c r="E1225" t="s">
        <v>64</v>
      </c>
      <c r="F1225" t="s">
        <v>420</v>
      </c>
      <c r="G1225" t="s">
        <v>5932</v>
      </c>
      <c r="H1225">
        <v>226</v>
      </c>
      <c r="I1225">
        <v>1401</v>
      </c>
      <c r="J1225" t="s">
        <v>5933</v>
      </c>
      <c r="K1225" t="s">
        <v>5934</v>
      </c>
      <c r="L1225" t="s">
        <v>5935</v>
      </c>
      <c r="M1225" t="s">
        <v>5589</v>
      </c>
      <c r="N1225">
        <v>52201</v>
      </c>
      <c r="O1225" t="s">
        <v>4488</v>
      </c>
      <c r="Q1225" t="s">
        <v>5590</v>
      </c>
      <c r="R1225" t="s">
        <v>5936</v>
      </c>
      <c r="S1225" t="s">
        <v>4265</v>
      </c>
      <c r="T1225" s="6">
        <v>9350000000</v>
      </c>
      <c r="W1225" t="str">
        <f t="shared" si="19"/>
        <v>S5-T-AT1401</v>
      </c>
      <c r="X1225">
        <f>VLOOKUP(W1225,Sheet10!D:F,2,0)*10000000</f>
        <v>11100000000</v>
      </c>
      <c r="Y1225" t="s">
        <v>5712</v>
      </c>
    </row>
    <row r="1226" spans="1:25" x14ac:dyDescent="0.25">
      <c r="A1226" t="s">
        <v>5661</v>
      </c>
      <c r="B1226" t="s">
        <v>5937</v>
      </c>
      <c r="C1226">
        <v>522</v>
      </c>
      <c r="D1226" t="s">
        <v>63</v>
      </c>
      <c r="E1226" t="s">
        <v>64</v>
      </c>
      <c r="F1226" t="s">
        <v>205</v>
      </c>
      <c r="G1226" t="s">
        <v>3465</v>
      </c>
      <c r="H1226">
        <v>214</v>
      </c>
      <c r="I1226">
        <v>1401</v>
      </c>
      <c r="J1226" t="s">
        <v>5938</v>
      </c>
      <c r="K1226" t="s">
        <v>5939</v>
      </c>
      <c r="L1226" t="s">
        <v>5940</v>
      </c>
      <c r="M1226" t="s">
        <v>5589</v>
      </c>
      <c r="N1226">
        <v>52201</v>
      </c>
      <c r="O1226" t="s">
        <v>4488</v>
      </c>
      <c r="Q1226" t="s">
        <v>5590</v>
      </c>
      <c r="R1226" t="s">
        <v>5941</v>
      </c>
      <c r="S1226" t="s">
        <v>4282</v>
      </c>
      <c r="T1226" s="6">
        <v>9500000000</v>
      </c>
      <c r="W1226" t="str">
        <f t="shared" si="19"/>
        <v>S5-T-AT1401</v>
      </c>
      <c r="X1226">
        <f>VLOOKUP(W1226,Sheet10!D:F,2,0)*10000000</f>
        <v>11100000000</v>
      </c>
      <c r="Y1226" t="s">
        <v>5712</v>
      </c>
    </row>
    <row r="1227" spans="1:25" x14ac:dyDescent="0.25">
      <c r="A1227" t="s">
        <v>5585</v>
      </c>
      <c r="B1227" t="s">
        <v>5942</v>
      </c>
      <c r="C1227">
        <v>522</v>
      </c>
      <c r="D1227" t="s">
        <v>77</v>
      </c>
      <c r="E1227" t="s">
        <v>64</v>
      </c>
      <c r="F1227" t="s">
        <v>205</v>
      </c>
      <c r="G1227" t="s">
        <v>5943</v>
      </c>
      <c r="H1227">
        <v>8086</v>
      </c>
      <c r="I1227">
        <v>1401</v>
      </c>
      <c r="J1227" t="s">
        <v>5944</v>
      </c>
      <c r="K1227" t="s">
        <v>5945</v>
      </c>
      <c r="L1227" t="s">
        <v>5946</v>
      </c>
      <c r="M1227" t="s">
        <v>5589</v>
      </c>
      <c r="N1227">
        <v>52201</v>
      </c>
      <c r="O1227" t="s">
        <v>4488</v>
      </c>
      <c r="Q1227" t="s">
        <v>5590</v>
      </c>
      <c r="R1227" t="s">
        <v>5947</v>
      </c>
      <c r="S1227" t="s">
        <v>4035</v>
      </c>
      <c r="T1227" s="6">
        <v>9550000000</v>
      </c>
      <c r="W1227" t="str">
        <f t="shared" si="19"/>
        <v>S5-T-AT1401</v>
      </c>
      <c r="X1227">
        <f>VLOOKUP(W1227,Sheet10!D:F,2,0)*10000000</f>
        <v>11100000000</v>
      </c>
      <c r="Y1227" t="s">
        <v>5712</v>
      </c>
    </row>
    <row r="1228" spans="1:25" x14ac:dyDescent="0.25">
      <c r="A1228" t="s">
        <v>5585</v>
      </c>
      <c r="B1228" t="s">
        <v>5948</v>
      </c>
      <c r="C1228">
        <v>522</v>
      </c>
      <c r="D1228" t="s">
        <v>77</v>
      </c>
      <c r="E1228" t="s">
        <v>64</v>
      </c>
      <c r="F1228" t="s">
        <v>420</v>
      </c>
      <c r="G1228" t="s">
        <v>5949</v>
      </c>
      <c r="H1228">
        <v>776</v>
      </c>
      <c r="I1228">
        <v>1401</v>
      </c>
      <c r="J1228" t="s">
        <v>5950</v>
      </c>
      <c r="K1228" t="s">
        <v>5951</v>
      </c>
      <c r="L1228" t="s">
        <v>5952</v>
      </c>
      <c r="M1228" t="s">
        <v>5589</v>
      </c>
      <c r="N1228">
        <v>52201</v>
      </c>
      <c r="O1228" t="s">
        <v>4488</v>
      </c>
      <c r="Q1228" t="s">
        <v>5590</v>
      </c>
      <c r="R1228" t="s">
        <v>5953</v>
      </c>
      <c r="S1228" t="s">
        <v>4045</v>
      </c>
      <c r="T1228" s="6">
        <v>9600000000</v>
      </c>
      <c r="W1228" t="str">
        <f t="shared" si="19"/>
        <v>S5-T-AT1401</v>
      </c>
      <c r="X1228">
        <f>VLOOKUP(W1228,Sheet10!D:F,2,0)*10000000</f>
        <v>11100000000</v>
      </c>
      <c r="Y1228" t="s">
        <v>5712</v>
      </c>
    </row>
    <row r="1229" spans="1:25" x14ac:dyDescent="0.25">
      <c r="A1229" t="s">
        <v>5954</v>
      </c>
      <c r="B1229" t="s">
        <v>5955</v>
      </c>
      <c r="C1229">
        <v>606</v>
      </c>
      <c r="D1229" t="s">
        <v>63</v>
      </c>
      <c r="E1229" t="s">
        <v>64</v>
      </c>
      <c r="F1229" t="s">
        <v>420</v>
      </c>
      <c r="H1229">
        <v>24</v>
      </c>
      <c r="I1229">
        <v>1401</v>
      </c>
      <c r="J1229" t="s">
        <v>5956</v>
      </c>
      <c r="K1229" t="s">
        <v>5957</v>
      </c>
      <c r="M1229" t="s">
        <v>4487</v>
      </c>
      <c r="N1229">
        <v>60603</v>
      </c>
      <c r="O1229" t="s">
        <v>4488</v>
      </c>
      <c r="Q1229" t="s">
        <v>5958</v>
      </c>
      <c r="R1229" t="s">
        <v>5959</v>
      </c>
      <c r="S1229" t="s">
        <v>3440</v>
      </c>
      <c r="T1229" s="6">
        <v>5900000000</v>
      </c>
      <c r="W1229" t="str">
        <f t="shared" si="19"/>
        <v>207i TU5P A1401</v>
      </c>
      <c r="X1229">
        <f>VLOOKUP(W1229,Sheet10!D:F,2,0)*10000000</f>
        <v>7100000000</v>
      </c>
      <c r="Y1229" t="s">
        <v>5712</v>
      </c>
    </row>
    <row r="1230" spans="1:25" x14ac:dyDescent="0.25">
      <c r="A1230" t="s">
        <v>5960</v>
      </c>
      <c r="B1230" t="s">
        <v>5961</v>
      </c>
      <c r="C1230">
        <v>522</v>
      </c>
      <c r="D1230" t="s">
        <v>5962</v>
      </c>
      <c r="E1230" t="s">
        <v>64</v>
      </c>
      <c r="F1230" t="s">
        <v>362</v>
      </c>
      <c r="H1230">
        <v>24</v>
      </c>
      <c r="I1230">
        <v>1400</v>
      </c>
      <c r="J1230" t="s">
        <v>5963</v>
      </c>
      <c r="K1230" t="s">
        <v>5964</v>
      </c>
      <c r="M1230" t="s">
        <v>5589</v>
      </c>
      <c r="N1230">
        <v>52201</v>
      </c>
      <c r="O1230" t="s">
        <v>4488</v>
      </c>
      <c r="Q1230" t="s">
        <v>5590</v>
      </c>
      <c r="R1230" t="s">
        <v>5965</v>
      </c>
      <c r="S1230" t="s">
        <v>2850</v>
      </c>
      <c r="T1230" s="6">
        <v>9350000000</v>
      </c>
      <c r="W1230" t="str">
        <f t="shared" ref="W1230:W1293" si="20">M1230&amp;I1230</f>
        <v>S5-T-AT1400</v>
      </c>
      <c r="X1230" t="e">
        <f>VLOOKUP(W1230,Sheet10!D:F,2,0)*10000000</f>
        <v>#N/A</v>
      </c>
      <c r="Y1230" t="s">
        <v>5712</v>
      </c>
    </row>
    <row r="1231" spans="1:25" x14ac:dyDescent="0.25">
      <c r="A1231" t="s">
        <v>191</v>
      </c>
      <c r="B1231" t="s">
        <v>5966</v>
      </c>
      <c r="C1231">
        <v>285</v>
      </c>
      <c r="D1231" t="s">
        <v>63</v>
      </c>
      <c r="E1231" t="s">
        <v>64</v>
      </c>
      <c r="F1231" t="s">
        <v>420</v>
      </c>
      <c r="H1231">
        <v>24</v>
      </c>
      <c r="I1231">
        <v>1401</v>
      </c>
      <c r="J1231" t="s">
        <v>5967</v>
      </c>
      <c r="K1231" t="s">
        <v>5968</v>
      </c>
      <c r="M1231" t="s">
        <v>198</v>
      </c>
      <c r="N1231">
        <v>28520</v>
      </c>
      <c r="O1231" t="s">
        <v>70</v>
      </c>
      <c r="Q1231" t="s">
        <v>199</v>
      </c>
      <c r="R1231" t="s">
        <v>5969</v>
      </c>
      <c r="S1231" t="s">
        <v>2918</v>
      </c>
      <c r="T1231" s="6">
        <v>4600000000</v>
      </c>
      <c r="W1231" t="str">
        <f t="shared" si="20"/>
        <v>PARS TU51401</v>
      </c>
      <c r="X1231">
        <f>VLOOKUP(W1231,Sheet10!D:F,2,0)*10000000</f>
        <v>5250000000</v>
      </c>
      <c r="Y1231" t="s">
        <v>5712</v>
      </c>
    </row>
    <row r="1232" spans="1:25" x14ac:dyDescent="0.25">
      <c r="A1232" t="s">
        <v>5970</v>
      </c>
      <c r="B1232" t="s">
        <v>5971</v>
      </c>
      <c r="C1232">
        <v>704</v>
      </c>
      <c r="D1232" t="s">
        <v>77</v>
      </c>
      <c r="E1232" t="s">
        <v>64</v>
      </c>
      <c r="F1232" t="s">
        <v>420</v>
      </c>
      <c r="H1232">
        <v>23</v>
      </c>
      <c r="I1232">
        <v>1401</v>
      </c>
      <c r="J1232" t="s">
        <v>5972</v>
      </c>
      <c r="K1232" t="s">
        <v>5973</v>
      </c>
      <c r="M1232" t="s">
        <v>4401</v>
      </c>
      <c r="N1232">
        <v>70406</v>
      </c>
      <c r="O1232" t="s">
        <v>70</v>
      </c>
      <c r="Q1232" t="s">
        <v>5974</v>
      </c>
      <c r="R1232" t="s">
        <v>5975</v>
      </c>
      <c r="S1232" t="s">
        <v>1232</v>
      </c>
      <c r="T1232" s="6">
        <v>5900000000</v>
      </c>
      <c r="W1232" t="str">
        <f t="shared" si="20"/>
        <v>DENA EF7 TC-MT1401</v>
      </c>
      <c r="X1232">
        <f>VLOOKUP(W1232,Sheet10!D:F,2,0)*10000000</f>
        <v>6750000000</v>
      </c>
      <c r="Y1232" t="s">
        <v>5712</v>
      </c>
    </row>
    <row r="1233" spans="1:25" x14ac:dyDescent="0.25">
      <c r="A1233" t="s">
        <v>5976</v>
      </c>
      <c r="B1233" t="s">
        <v>5977</v>
      </c>
      <c r="C1233">
        <v>704</v>
      </c>
      <c r="D1233" t="s">
        <v>259</v>
      </c>
      <c r="E1233" t="s">
        <v>64</v>
      </c>
      <c r="F1233" t="s">
        <v>3186</v>
      </c>
      <c r="H1233">
        <v>23</v>
      </c>
      <c r="I1233">
        <v>1401</v>
      </c>
      <c r="J1233" t="s">
        <v>5978</v>
      </c>
      <c r="K1233" t="s">
        <v>5979</v>
      </c>
      <c r="M1233" t="s">
        <v>4401</v>
      </c>
      <c r="N1233">
        <v>70406</v>
      </c>
      <c r="O1233" t="s">
        <v>70</v>
      </c>
      <c r="Q1233" t="s">
        <v>5974</v>
      </c>
      <c r="R1233" t="s">
        <v>5980</v>
      </c>
      <c r="S1233" t="s">
        <v>1133</v>
      </c>
      <c r="T1233" s="6">
        <v>5950000000</v>
      </c>
      <c r="W1233" t="str">
        <f t="shared" si="20"/>
        <v>DENA EF7 TC-MT1401</v>
      </c>
      <c r="X1233">
        <f>VLOOKUP(W1233,Sheet10!D:F,2,0)*10000000</f>
        <v>6750000000</v>
      </c>
      <c r="Y1233" t="s">
        <v>5712</v>
      </c>
    </row>
    <row r="1234" spans="1:25" x14ac:dyDescent="0.25">
      <c r="A1234" t="s">
        <v>2476</v>
      </c>
      <c r="B1234" t="s">
        <v>5981</v>
      </c>
      <c r="C1234">
        <v>575</v>
      </c>
      <c r="D1234" t="s">
        <v>63</v>
      </c>
      <c r="E1234" t="s">
        <v>64</v>
      </c>
      <c r="F1234" t="s">
        <v>2696</v>
      </c>
      <c r="H1234">
        <v>23</v>
      </c>
      <c r="I1234">
        <v>1401</v>
      </c>
      <c r="J1234" t="s">
        <v>5982</v>
      </c>
      <c r="K1234" t="s">
        <v>5983</v>
      </c>
      <c r="M1234" t="s">
        <v>367</v>
      </c>
      <c r="N1234">
        <v>57519</v>
      </c>
      <c r="O1234" t="s">
        <v>70</v>
      </c>
      <c r="Q1234" t="s">
        <v>2420</v>
      </c>
      <c r="R1234" t="s">
        <v>5984</v>
      </c>
      <c r="S1234" t="s">
        <v>1025</v>
      </c>
      <c r="T1234" s="6">
        <v>3850000000</v>
      </c>
      <c r="W1234" t="str">
        <f t="shared" si="20"/>
        <v>SOREN EF71401</v>
      </c>
      <c r="X1234">
        <f>VLOOKUP(W1234,Sheet10!D:F,2,0)*10000000</f>
        <v>4650000000</v>
      </c>
      <c r="Y1234" t="s">
        <v>5712</v>
      </c>
    </row>
    <row r="1235" spans="1:25" x14ac:dyDescent="0.25">
      <c r="A1235" t="s">
        <v>5201</v>
      </c>
      <c r="B1235" t="s">
        <v>5985</v>
      </c>
      <c r="C1235">
        <v>323</v>
      </c>
      <c r="D1235" t="s">
        <v>259</v>
      </c>
      <c r="E1235" t="s">
        <v>64</v>
      </c>
      <c r="F1235" t="s">
        <v>4256</v>
      </c>
      <c r="H1235">
        <v>23</v>
      </c>
      <c r="I1235">
        <v>1400</v>
      </c>
      <c r="J1235" t="s">
        <v>5986</v>
      </c>
      <c r="K1235" t="s">
        <v>5987</v>
      </c>
      <c r="M1235" t="s">
        <v>5192</v>
      </c>
      <c r="N1235">
        <v>32301</v>
      </c>
      <c r="O1235" t="s">
        <v>70</v>
      </c>
      <c r="Q1235" t="s">
        <v>5193</v>
      </c>
      <c r="R1235" t="s">
        <v>5988</v>
      </c>
      <c r="S1235" t="s">
        <v>4608</v>
      </c>
      <c r="T1235" s="6">
        <v>6200000000</v>
      </c>
      <c r="W1235" t="str">
        <f t="shared" si="20"/>
        <v>TARA TU5PA1400</v>
      </c>
      <c r="X1235">
        <f>VLOOKUP(W1235,Sheet10!D:F,2,0)*10000000</f>
        <v>7200000000</v>
      </c>
      <c r="Y1235" t="s">
        <v>5712</v>
      </c>
    </row>
    <row r="1236" spans="1:25" x14ac:dyDescent="0.25">
      <c r="A1236" t="s">
        <v>3497</v>
      </c>
      <c r="B1236" t="s">
        <v>5989</v>
      </c>
      <c r="C1236">
        <v>600</v>
      </c>
      <c r="D1236" t="s">
        <v>77</v>
      </c>
      <c r="E1236" t="s">
        <v>64</v>
      </c>
      <c r="F1236" t="s">
        <v>362</v>
      </c>
      <c r="H1236">
        <v>23</v>
      </c>
      <c r="I1236">
        <v>1400</v>
      </c>
      <c r="J1236" t="s">
        <v>5990</v>
      </c>
      <c r="K1236" t="s">
        <v>5991</v>
      </c>
      <c r="M1236" t="s">
        <v>3246</v>
      </c>
      <c r="N1236">
        <v>60010</v>
      </c>
      <c r="O1236" t="s">
        <v>303</v>
      </c>
      <c r="Q1236" t="s">
        <v>3247</v>
      </c>
      <c r="R1236" t="s">
        <v>5992</v>
      </c>
      <c r="S1236" t="s">
        <v>3039</v>
      </c>
      <c r="T1236" s="6">
        <v>5100000000</v>
      </c>
      <c r="W1236" t="str">
        <f t="shared" si="20"/>
        <v>207i-MT1400</v>
      </c>
      <c r="X1236">
        <f>VLOOKUP(W1236,Sheet10!D:F,2,0)*10000000</f>
        <v>5600000000</v>
      </c>
      <c r="Y1236" t="s">
        <v>5712</v>
      </c>
    </row>
    <row r="1237" spans="1:25" x14ac:dyDescent="0.25">
      <c r="A1237" t="s">
        <v>3521</v>
      </c>
      <c r="B1237" t="s">
        <v>5993</v>
      </c>
      <c r="C1237">
        <v>707</v>
      </c>
      <c r="D1237" t="s">
        <v>77</v>
      </c>
      <c r="E1237" t="s">
        <v>64</v>
      </c>
      <c r="F1237" t="s">
        <v>362</v>
      </c>
      <c r="H1237">
        <v>23</v>
      </c>
      <c r="I1237">
        <v>1400</v>
      </c>
      <c r="J1237" t="s">
        <v>5994</v>
      </c>
      <c r="K1237" t="s">
        <v>5995</v>
      </c>
      <c r="M1237" t="s">
        <v>3450</v>
      </c>
      <c r="N1237">
        <v>70702</v>
      </c>
      <c r="O1237" t="s">
        <v>70</v>
      </c>
      <c r="Q1237" t="s">
        <v>3451</v>
      </c>
      <c r="R1237" t="s">
        <v>5996</v>
      </c>
      <c r="S1237" t="s">
        <v>3107</v>
      </c>
      <c r="T1237" s="6">
        <v>6000000000</v>
      </c>
      <c r="W1237" t="str">
        <f t="shared" si="20"/>
        <v>DENA+EF7TC A1400</v>
      </c>
      <c r="X1237">
        <f>VLOOKUP(W1237,Sheet10!D:F,2,0)*10000000</f>
        <v>7100000000</v>
      </c>
      <c r="Y1237" t="s">
        <v>5712</v>
      </c>
    </row>
    <row r="1238" spans="1:25" x14ac:dyDescent="0.25">
      <c r="A1238" t="s">
        <v>5997</v>
      </c>
      <c r="B1238" t="s">
        <v>5998</v>
      </c>
      <c r="C1238">
        <v>704</v>
      </c>
      <c r="D1238" t="s">
        <v>63</v>
      </c>
      <c r="E1238" t="s">
        <v>64</v>
      </c>
      <c r="F1238" t="s">
        <v>420</v>
      </c>
      <c r="H1238">
        <v>22</v>
      </c>
      <c r="I1238">
        <v>1401</v>
      </c>
      <c r="J1238" t="s">
        <v>5999</v>
      </c>
      <c r="K1238" t="s">
        <v>6000</v>
      </c>
      <c r="M1238" t="s">
        <v>4401</v>
      </c>
      <c r="N1238">
        <v>70406</v>
      </c>
      <c r="O1238" t="s">
        <v>70</v>
      </c>
      <c r="Q1238" t="s">
        <v>5974</v>
      </c>
      <c r="R1238" t="s">
        <v>6001</v>
      </c>
      <c r="S1238" t="s">
        <v>1031</v>
      </c>
      <c r="T1238" s="6">
        <v>5900000000</v>
      </c>
      <c r="W1238" t="str">
        <f t="shared" si="20"/>
        <v>DENA EF7 TC-MT1401</v>
      </c>
      <c r="X1238">
        <f>VLOOKUP(W1238,Sheet10!D:F,2,0)*10000000</f>
        <v>6750000000</v>
      </c>
      <c r="Y1238" t="s">
        <v>5712</v>
      </c>
    </row>
    <row r="1239" spans="1:25" x14ac:dyDescent="0.25">
      <c r="A1239" t="s">
        <v>4497</v>
      </c>
      <c r="B1239" t="s">
        <v>6002</v>
      </c>
      <c r="C1239">
        <v>606</v>
      </c>
      <c r="D1239" t="s">
        <v>77</v>
      </c>
      <c r="E1239" t="s">
        <v>64</v>
      </c>
      <c r="F1239" t="s">
        <v>362</v>
      </c>
      <c r="H1239">
        <v>22</v>
      </c>
      <c r="I1239">
        <v>1400</v>
      </c>
      <c r="J1239" t="s">
        <v>6003</v>
      </c>
      <c r="K1239" t="s">
        <v>6004</v>
      </c>
      <c r="M1239" t="s">
        <v>4487</v>
      </c>
      <c r="N1239">
        <v>60602</v>
      </c>
      <c r="O1239" t="s">
        <v>4488</v>
      </c>
      <c r="Q1239" t="s">
        <v>4489</v>
      </c>
      <c r="R1239" t="s">
        <v>6005</v>
      </c>
      <c r="S1239" t="s">
        <v>3852</v>
      </c>
      <c r="T1239" s="6">
        <v>5450000000</v>
      </c>
      <c r="W1239" t="str">
        <f t="shared" si="20"/>
        <v>207i TU5P A1400</v>
      </c>
      <c r="X1239">
        <f>VLOOKUP(W1239,Sheet10!D:F,2,0)*10000000</f>
        <v>7000000000</v>
      </c>
      <c r="Y1239" t="s">
        <v>5712</v>
      </c>
    </row>
    <row r="1240" spans="1:25" x14ac:dyDescent="0.25">
      <c r="A1240" t="s">
        <v>191</v>
      </c>
      <c r="B1240" t="s">
        <v>6006</v>
      </c>
      <c r="C1240">
        <v>285</v>
      </c>
      <c r="D1240" t="s">
        <v>63</v>
      </c>
      <c r="E1240" t="s">
        <v>64</v>
      </c>
      <c r="F1240" t="s">
        <v>318</v>
      </c>
      <c r="H1240">
        <v>22</v>
      </c>
      <c r="I1240">
        <v>1401</v>
      </c>
      <c r="J1240" t="s">
        <v>6007</v>
      </c>
      <c r="K1240" t="s">
        <v>6008</v>
      </c>
      <c r="M1240" t="s">
        <v>198</v>
      </c>
      <c r="N1240">
        <v>28520</v>
      </c>
      <c r="O1240" t="s">
        <v>70</v>
      </c>
      <c r="Q1240" t="s">
        <v>199</v>
      </c>
      <c r="R1240" t="s">
        <v>6009</v>
      </c>
      <c r="S1240" t="s">
        <v>2751</v>
      </c>
      <c r="T1240" s="6">
        <v>4500000000</v>
      </c>
      <c r="W1240" t="str">
        <f t="shared" si="20"/>
        <v>PARS TU51401</v>
      </c>
      <c r="X1240">
        <f>VLOOKUP(W1240,Sheet10!D:F,2,0)*10000000</f>
        <v>5250000000</v>
      </c>
      <c r="Y1240" t="s">
        <v>5712</v>
      </c>
    </row>
    <row r="1241" spans="1:25" x14ac:dyDescent="0.25">
      <c r="A1241" t="s">
        <v>5970</v>
      </c>
      <c r="B1241" t="s">
        <v>6010</v>
      </c>
      <c r="C1241">
        <v>704</v>
      </c>
      <c r="D1241" t="s">
        <v>77</v>
      </c>
      <c r="E1241" t="s">
        <v>64</v>
      </c>
      <c r="F1241" t="s">
        <v>420</v>
      </c>
      <c r="H1241">
        <v>22</v>
      </c>
      <c r="I1241">
        <v>1401</v>
      </c>
      <c r="J1241" t="s">
        <v>6011</v>
      </c>
      <c r="K1241" t="s">
        <v>6012</v>
      </c>
      <c r="M1241" t="s">
        <v>4401</v>
      </c>
      <c r="N1241">
        <v>70406</v>
      </c>
      <c r="O1241" t="s">
        <v>70</v>
      </c>
      <c r="Q1241" t="s">
        <v>5974</v>
      </c>
      <c r="R1241" t="s">
        <v>6013</v>
      </c>
      <c r="S1241" t="s">
        <v>295</v>
      </c>
      <c r="T1241" s="6">
        <v>5600000000</v>
      </c>
      <c r="W1241" t="str">
        <f t="shared" si="20"/>
        <v>DENA EF7 TC-MT1401</v>
      </c>
      <c r="X1241">
        <f>VLOOKUP(W1241,Sheet10!D:F,2,0)*10000000</f>
        <v>6750000000</v>
      </c>
      <c r="Y1241" t="s">
        <v>5712</v>
      </c>
    </row>
    <row r="1242" spans="1:25" x14ac:dyDescent="0.25">
      <c r="A1242" t="s">
        <v>5997</v>
      </c>
      <c r="B1242" t="s">
        <v>6014</v>
      </c>
      <c r="C1242">
        <v>704</v>
      </c>
      <c r="D1242" t="s">
        <v>63</v>
      </c>
      <c r="E1242" t="s">
        <v>64</v>
      </c>
      <c r="F1242" t="s">
        <v>420</v>
      </c>
      <c r="H1242">
        <v>21</v>
      </c>
      <c r="I1242">
        <v>1401</v>
      </c>
      <c r="J1242" t="s">
        <v>6015</v>
      </c>
      <c r="K1242" t="s">
        <v>6016</v>
      </c>
      <c r="M1242" t="s">
        <v>4401</v>
      </c>
      <c r="N1242">
        <v>70406</v>
      </c>
      <c r="O1242" t="s">
        <v>70</v>
      </c>
      <c r="Q1242" t="s">
        <v>5974</v>
      </c>
      <c r="R1242" t="s">
        <v>6017</v>
      </c>
      <c r="S1242" t="s">
        <v>1417</v>
      </c>
      <c r="T1242" s="6">
        <v>5900000000</v>
      </c>
      <c r="W1242" t="str">
        <f t="shared" si="20"/>
        <v>DENA EF7 TC-MT1401</v>
      </c>
      <c r="X1242">
        <f>VLOOKUP(W1242,Sheet10!D:F,2,0)*10000000</f>
        <v>6750000000</v>
      </c>
      <c r="Y1242" t="s">
        <v>5712</v>
      </c>
    </row>
    <row r="1243" spans="1:25" x14ac:dyDescent="0.25">
      <c r="A1243" t="s">
        <v>5997</v>
      </c>
      <c r="B1243" t="s">
        <v>6018</v>
      </c>
      <c r="C1243">
        <v>704</v>
      </c>
      <c r="D1243" t="s">
        <v>63</v>
      </c>
      <c r="E1243" t="s">
        <v>64</v>
      </c>
      <c r="F1243" t="s">
        <v>420</v>
      </c>
      <c r="H1243">
        <v>21</v>
      </c>
      <c r="I1243">
        <v>1401</v>
      </c>
      <c r="J1243" t="s">
        <v>6019</v>
      </c>
      <c r="K1243" t="s">
        <v>6020</v>
      </c>
      <c r="M1243" t="s">
        <v>4401</v>
      </c>
      <c r="N1243">
        <v>70406</v>
      </c>
      <c r="O1243" t="s">
        <v>70</v>
      </c>
      <c r="Q1243" t="s">
        <v>5974</v>
      </c>
      <c r="R1243" t="s">
        <v>6021</v>
      </c>
      <c r="S1243" t="s">
        <v>1066</v>
      </c>
      <c r="T1243" s="6">
        <v>5900000000</v>
      </c>
      <c r="W1243" t="str">
        <f t="shared" si="20"/>
        <v>DENA EF7 TC-MT1401</v>
      </c>
      <c r="X1243">
        <f>VLOOKUP(W1243,Sheet10!D:F,2,0)*10000000</f>
        <v>6750000000</v>
      </c>
      <c r="Y1243" t="s">
        <v>5712</v>
      </c>
    </row>
    <row r="1244" spans="1:25" x14ac:dyDescent="0.25">
      <c r="A1244" t="s">
        <v>5970</v>
      </c>
      <c r="B1244" t="s">
        <v>6022</v>
      </c>
      <c r="C1244">
        <v>704</v>
      </c>
      <c r="D1244" t="s">
        <v>77</v>
      </c>
      <c r="E1244" t="s">
        <v>64</v>
      </c>
      <c r="F1244" t="s">
        <v>420</v>
      </c>
      <c r="H1244">
        <v>21</v>
      </c>
      <c r="I1244">
        <v>1401</v>
      </c>
      <c r="J1244" t="s">
        <v>6023</v>
      </c>
      <c r="K1244" t="s">
        <v>6024</v>
      </c>
      <c r="M1244" t="s">
        <v>4401</v>
      </c>
      <c r="N1244">
        <v>70406</v>
      </c>
      <c r="O1244" t="s">
        <v>70</v>
      </c>
      <c r="Q1244" t="s">
        <v>5974</v>
      </c>
      <c r="R1244" t="s">
        <v>6025</v>
      </c>
      <c r="S1244" t="s">
        <v>501</v>
      </c>
      <c r="T1244" s="6">
        <v>5900000000</v>
      </c>
      <c r="W1244" t="str">
        <f t="shared" si="20"/>
        <v>DENA EF7 TC-MT1401</v>
      </c>
      <c r="X1244">
        <f>VLOOKUP(W1244,Sheet10!D:F,2,0)*10000000</f>
        <v>6750000000</v>
      </c>
      <c r="Y1244" t="s">
        <v>5712</v>
      </c>
    </row>
    <row r="1245" spans="1:25" x14ac:dyDescent="0.25">
      <c r="A1245" t="s">
        <v>3689</v>
      </c>
      <c r="B1245" t="s">
        <v>6026</v>
      </c>
      <c r="C1245">
        <v>575</v>
      </c>
      <c r="D1245" t="s">
        <v>2461</v>
      </c>
      <c r="E1245" t="s">
        <v>64</v>
      </c>
      <c r="F1245" t="s">
        <v>420</v>
      </c>
      <c r="H1245">
        <v>21</v>
      </c>
      <c r="I1245">
        <v>1401</v>
      </c>
      <c r="J1245" t="s">
        <v>6027</v>
      </c>
      <c r="K1245" t="s">
        <v>4066</v>
      </c>
      <c r="M1245" t="s">
        <v>367</v>
      </c>
      <c r="N1245">
        <v>57523</v>
      </c>
      <c r="O1245" t="s">
        <v>70</v>
      </c>
      <c r="Q1245" t="s">
        <v>2648</v>
      </c>
      <c r="R1245" t="s">
        <v>6028</v>
      </c>
      <c r="S1245" t="s">
        <v>1974</v>
      </c>
      <c r="T1245" s="6">
        <v>4150000000</v>
      </c>
      <c r="W1245" t="str">
        <f t="shared" si="20"/>
        <v>SOREN EF71401</v>
      </c>
      <c r="X1245">
        <f>VLOOKUP(W1245,Sheet10!D:F,2,0)*10000000</f>
        <v>4650000000</v>
      </c>
      <c r="Y1245" t="s">
        <v>5712</v>
      </c>
    </row>
    <row r="1246" spans="1:25" x14ac:dyDescent="0.25">
      <c r="A1246" t="s">
        <v>191</v>
      </c>
      <c r="B1246" t="s">
        <v>3585</v>
      </c>
      <c r="C1246">
        <v>285</v>
      </c>
      <c r="D1246" t="s">
        <v>63</v>
      </c>
      <c r="E1246" t="s">
        <v>64</v>
      </c>
      <c r="F1246" t="s">
        <v>420</v>
      </c>
      <c r="H1246">
        <v>21</v>
      </c>
      <c r="I1246">
        <v>1401</v>
      </c>
      <c r="J1246" t="s">
        <v>3586</v>
      </c>
      <c r="K1246" t="s">
        <v>3587</v>
      </c>
      <c r="M1246" t="s">
        <v>198</v>
      </c>
      <c r="N1246">
        <v>28520</v>
      </c>
      <c r="O1246" t="s">
        <v>70</v>
      </c>
      <c r="Q1246" t="s">
        <v>199</v>
      </c>
      <c r="R1246" t="s">
        <v>3588</v>
      </c>
      <c r="S1246" t="s">
        <v>2486</v>
      </c>
      <c r="T1246" s="6">
        <v>4600000000</v>
      </c>
      <c r="W1246" t="str">
        <f t="shared" si="20"/>
        <v>PARS TU51401</v>
      </c>
      <c r="X1246">
        <f>VLOOKUP(W1246,Sheet10!D:F,2,0)*10000000</f>
        <v>5250000000</v>
      </c>
      <c r="Y1246" t="s">
        <v>5712</v>
      </c>
    </row>
    <row r="1247" spans="1:25" x14ac:dyDescent="0.25">
      <c r="A1247" t="s">
        <v>6029</v>
      </c>
      <c r="B1247" t="s">
        <v>6030</v>
      </c>
      <c r="C1247">
        <v>704</v>
      </c>
      <c r="D1247" t="s">
        <v>240</v>
      </c>
      <c r="E1247" t="s">
        <v>64</v>
      </c>
      <c r="F1247" t="s">
        <v>420</v>
      </c>
      <c r="H1247">
        <v>20</v>
      </c>
      <c r="I1247">
        <v>1401</v>
      </c>
      <c r="J1247" t="s">
        <v>6031</v>
      </c>
      <c r="K1247" t="s">
        <v>6032</v>
      </c>
      <c r="M1247" t="s">
        <v>4401</v>
      </c>
      <c r="N1247">
        <v>70406</v>
      </c>
      <c r="O1247" t="s">
        <v>70</v>
      </c>
      <c r="Q1247" t="s">
        <v>5974</v>
      </c>
      <c r="R1247" t="s">
        <v>6033</v>
      </c>
      <c r="S1247" t="s">
        <v>943</v>
      </c>
      <c r="T1247" s="6">
        <v>5900000000</v>
      </c>
      <c r="W1247" t="str">
        <f t="shared" si="20"/>
        <v>DENA EF7 TC-MT1401</v>
      </c>
      <c r="X1247">
        <f>VLOOKUP(W1247,Sheet10!D:F,2,0)*10000000</f>
        <v>6750000000</v>
      </c>
      <c r="Y1247" t="s">
        <v>5712</v>
      </c>
    </row>
    <row r="1248" spans="1:25" x14ac:dyDescent="0.25">
      <c r="A1248" t="s">
        <v>5314</v>
      </c>
      <c r="B1248" t="s">
        <v>6034</v>
      </c>
      <c r="C1248">
        <v>322</v>
      </c>
      <c r="D1248" t="s">
        <v>178</v>
      </c>
      <c r="E1248" t="s">
        <v>64</v>
      </c>
      <c r="F1248" t="s">
        <v>420</v>
      </c>
      <c r="H1248">
        <v>20</v>
      </c>
      <c r="I1248">
        <v>1401</v>
      </c>
      <c r="J1248" t="s">
        <v>6035</v>
      </c>
      <c r="K1248" t="s">
        <v>6036</v>
      </c>
      <c r="M1248" t="s">
        <v>92</v>
      </c>
      <c r="N1248">
        <v>32201</v>
      </c>
      <c r="O1248" t="s">
        <v>70</v>
      </c>
      <c r="Q1248" t="s">
        <v>93</v>
      </c>
      <c r="R1248" t="s">
        <v>6037</v>
      </c>
      <c r="S1248" t="s">
        <v>3694</v>
      </c>
      <c r="T1248" s="6">
        <v>5100000000</v>
      </c>
      <c r="W1248" t="str">
        <f t="shared" si="20"/>
        <v>TARA TU5P1401</v>
      </c>
      <c r="X1248" t="e">
        <f>VLOOKUP(W1248,Sheet10!D:F,2,0)*10000000</f>
        <v>#N/A</v>
      </c>
      <c r="Y1248" t="s">
        <v>5712</v>
      </c>
    </row>
    <row r="1249" spans="1:25" x14ac:dyDescent="0.25">
      <c r="A1249" t="s">
        <v>5970</v>
      </c>
      <c r="B1249" t="s">
        <v>6038</v>
      </c>
      <c r="C1249">
        <v>704</v>
      </c>
      <c r="D1249" t="s">
        <v>77</v>
      </c>
      <c r="E1249" t="s">
        <v>64</v>
      </c>
      <c r="F1249" t="s">
        <v>420</v>
      </c>
      <c r="H1249">
        <v>19</v>
      </c>
      <c r="I1249">
        <v>1401</v>
      </c>
      <c r="J1249" t="s">
        <v>6039</v>
      </c>
      <c r="K1249" t="s">
        <v>6040</v>
      </c>
      <c r="M1249" t="s">
        <v>4401</v>
      </c>
      <c r="N1249">
        <v>70406</v>
      </c>
      <c r="O1249" t="s">
        <v>70</v>
      </c>
      <c r="Q1249" t="s">
        <v>5974</v>
      </c>
      <c r="R1249" t="s">
        <v>6041</v>
      </c>
      <c r="S1249" t="s">
        <v>613</v>
      </c>
      <c r="T1249" s="6">
        <v>5950000000</v>
      </c>
      <c r="W1249" t="str">
        <f t="shared" si="20"/>
        <v>DENA EF7 TC-MT1401</v>
      </c>
      <c r="X1249">
        <f>VLOOKUP(W1249,Sheet10!D:F,2,0)*10000000</f>
        <v>6750000000</v>
      </c>
      <c r="Y1249" t="s">
        <v>5712</v>
      </c>
    </row>
    <row r="1250" spans="1:25" x14ac:dyDescent="0.25">
      <c r="A1250" t="s">
        <v>3521</v>
      </c>
      <c r="B1250" t="s">
        <v>5552</v>
      </c>
      <c r="C1250">
        <v>707</v>
      </c>
      <c r="D1250" t="s">
        <v>77</v>
      </c>
      <c r="E1250" t="s">
        <v>64</v>
      </c>
      <c r="F1250" t="s">
        <v>318</v>
      </c>
      <c r="H1250">
        <v>19</v>
      </c>
      <c r="I1250">
        <v>1401</v>
      </c>
      <c r="J1250" t="s">
        <v>5553</v>
      </c>
      <c r="K1250" t="s">
        <v>5554</v>
      </c>
      <c r="M1250" t="s">
        <v>3450</v>
      </c>
      <c r="N1250">
        <v>70702</v>
      </c>
      <c r="O1250" t="s">
        <v>70</v>
      </c>
      <c r="Q1250" t="s">
        <v>3451</v>
      </c>
      <c r="R1250" t="s">
        <v>5555</v>
      </c>
      <c r="S1250" t="s">
        <v>868</v>
      </c>
      <c r="T1250" s="6">
        <v>6250000000</v>
      </c>
      <c r="W1250" t="str">
        <f t="shared" si="20"/>
        <v>DENA+EF7TC A1401</v>
      </c>
      <c r="X1250">
        <f>VLOOKUP(W1250,Sheet10!D:F,2,0)*10000000</f>
        <v>7250000000</v>
      </c>
      <c r="Y1250" t="s">
        <v>5712</v>
      </c>
    </row>
    <row r="1251" spans="1:25" x14ac:dyDescent="0.25">
      <c r="A1251" t="s">
        <v>5216</v>
      </c>
      <c r="B1251" t="s">
        <v>6042</v>
      </c>
      <c r="C1251">
        <v>323</v>
      </c>
      <c r="D1251" t="s">
        <v>63</v>
      </c>
      <c r="E1251" t="s">
        <v>64</v>
      </c>
      <c r="F1251" t="s">
        <v>318</v>
      </c>
      <c r="H1251">
        <v>19</v>
      </c>
      <c r="I1251">
        <v>1401</v>
      </c>
      <c r="J1251" t="s">
        <v>6043</v>
      </c>
      <c r="K1251" t="s">
        <v>6044</v>
      </c>
      <c r="M1251" t="s">
        <v>5192</v>
      </c>
      <c r="N1251">
        <v>32301</v>
      </c>
      <c r="O1251" t="s">
        <v>70</v>
      </c>
      <c r="Q1251" t="s">
        <v>5193</v>
      </c>
      <c r="R1251" t="s">
        <v>6045</v>
      </c>
      <c r="S1251" t="s">
        <v>3100</v>
      </c>
      <c r="T1251" s="6">
        <v>6050000000</v>
      </c>
      <c r="W1251" t="str">
        <f t="shared" si="20"/>
        <v>TARA TU5PA1401</v>
      </c>
      <c r="X1251" t="e">
        <f>VLOOKUP(W1251,Sheet10!D:F,2,0)*10000000</f>
        <v>#N/A</v>
      </c>
      <c r="Y1251" t="s">
        <v>5712</v>
      </c>
    </row>
    <row r="1252" spans="1:25" x14ac:dyDescent="0.25">
      <c r="A1252" t="s">
        <v>5970</v>
      </c>
      <c r="B1252" t="s">
        <v>6046</v>
      </c>
      <c r="C1252">
        <v>704</v>
      </c>
      <c r="D1252" t="s">
        <v>77</v>
      </c>
      <c r="E1252" t="s">
        <v>64</v>
      </c>
      <c r="F1252" t="s">
        <v>420</v>
      </c>
      <c r="H1252">
        <v>18</v>
      </c>
      <c r="I1252">
        <v>1401</v>
      </c>
      <c r="J1252" t="s">
        <v>6047</v>
      </c>
      <c r="K1252" t="s">
        <v>6048</v>
      </c>
      <c r="M1252" t="s">
        <v>4401</v>
      </c>
      <c r="N1252">
        <v>70406</v>
      </c>
      <c r="O1252" t="s">
        <v>70</v>
      </c>
      <c r="Q1252" t="s">
        <v>5974</v>
      </c>
      <c r="R1252" t="s">
        <v>6049</v>
      </c>
      <c r="S1252" t="s">
        <v>519</v>
      </c>
      <c r="T1252" s="6">
        <v>5900000000</v>
      </c>
      <c r="W1252" t="str">
        <f t="shared" si="20"/>
        <v>DENA EF7 TC-MT1401</v>
      </c>
      <c r="X1252">
        <f>VLOOKUP(W1252,Sheet10!D:F,2,0)*10000000</f>
        <v>6750000000</v>
      </c>
      <c r="Y1252" t="s">
        <v>5712</v>
      </c>
    </row>
    <row r="1253" spans="1:25" x14ac:dyDescent="0.25">
      <c r="A1253" t="s">
        <v>5854</v>
      </c>
      <c r="B1253" t="s">
        <v>6050</v>
      </c>
      <c r="C1253">
        <v>322</v>
      </c>
      <c r="D1253" t="s">
        <v>240</v>
      </c>
      <c r="E1253" t="s">
        <v>64</v>
      </c>
      <c r="F1253" t="s">
        <v>420</v>
      </c>
      <c r="H1253">
        <v>18</v>
      </c>
      <c r="I1253">
        <v>1401</v>
      </c>
      <c r="J1253" t="s">
        <v>6051</v>
      </c>
      <c r="K1253" t="s">
        <v>6052</v>
      </c>
      <c r="M1253" t="s">
        <v>92</v>
      </c>
      <c r="N1253">
        <v>32201</v>
      </c>
      <c r="O1253" t="s">
        <v>70</v>
      </c>
      <c r="Q1253" t="s">
        <v>93</v>
      </c>
      <c r="R1253" t="s">
        <v>6053</v>
      </c>
      <c r="S1253" t="s">
        <v>3847</v>
      </c>
      <c r="T1253" s="6">
        <v>5150000000</v>
      </c>
      <c r="W1253" t="str">
        <f t="shared" si="20"/>
        <v>TARA TU5P1401</v>
      </c>
      <c r="X1253" t="e">
        <f>VLOOKUP(W1253,Sheet10!D:F,2,0)*10000000</f>
        <v>#N/A</v>
      </c>
      <c r="Y1253" t="s">
        <v>5712</v>
      </c>
    </row>
    <row r="1254" spans="1:25" x14ac:dyDescent="0.25">
      <c r="A1254" t="s">
        <v>6029</v>
      </c>
      <c r="B1254" t="s">
        <v>6054</v>
      </c>
      <c r="C1254">
        <v>704</v>
      </c>
      <c r="D1254" t="s">
        <v>240</v>
      </c>
      <c r="E1254" t="s">
        <v>64</v>
      </c>
      <c r="F1254" t="s">
        <v>420</v>
      </c>
      <c r="H1254">
        <v>17</v>
      </c>
      <c r="I1254">
        <v>1401</v>
      </c>
      <c r="J1254" t="s">
        <v>6055</v>
      </c>
      <c r="K1254" t="s">
        <v>6056</v>
      </c>
      <c r="M1254" t="s">
        <v>4401</v>
      </c>
      <c r="N1254">
        <v>70406</v>
      </c>
      <c r="O1254" t="s">
        <v>70</v>
      </c>
      <c r="Q1254" t="s">
        <v>5974</v>
      </c>
      <c r="R1254" t="s">
        <v>6057</v>
      </c>
      <c r="S1254" t="s">
        <v>1206</v>
      </c>
      <c r="T1254" s="6">
        <v>5900000000</v>
      </c>
      <c r="W1254" t="str">
        <f t="shared" si="20"/>
        <v>DENA EF7 TC-MT1401</v>
      </c>
      <c r="X1254">
        <f>VLOOKUP(W1254,Sheet10!D:F,2,0)*10000000</f>
        <v>6750000000</v>
      </c>
      <c r="Y1254" t="s">
        <v>5712</v>
      </c>
    </row>
    <row r="1255" spans="1:25" x14ac:dyDescent="0.25">
      <c r="A1255" t="s">
        <v>5997</v>
      </c>
      <c r="B1255" t="s">
        <v>6058</v>
      </c>
      <c r="C1255">
        <v>704</v>
      </c>
      <c r="D1255" t="s">
        <v>63</v>
      </c>
      <c r="E1255" t="s">
        <v>64</v>
      </c>
      <c r="F1255" t="s">
        <v>420</v>
      </c>
      <c r="H1255">
        <v>17</v>
      </c>
      <c r="I1255">
        <v>1401</v>
      </c>
      <c r="J1255" t="s">
        <v>6059</v>
      </c>
      <c r="K1255" t="s">
        <v>6060</v>
      </c>
      <c r="M1255" t="s">
        <v>4401</v>
      </c>
      <c r="N1255">
        <v>70406</v>
      </c>
      <c r="O1255" t="s">
        <v>70</v>
      </c>
      <c r="Q1255" t="s">
        <v>5974</v>
      </c>
      <c r="R1255" t="s">
        <v>6061</v>
      </c>
      <c r="S1255" t="s">
        <v>806</v>
      </c>
      <c r="T1255" s="6">
        <v>5950000000</v>
      </c>
      <c r="W1255" t="str">
        <f t="shared" si="20"/>
        <v>DENA EF7 TC-MT1401</v>
      </c>
      <c r="X1255">
        <f>VLOOKUP(W1255,Sheet10!D:F,2,0)*10000000</f>
        <v>6750000000</v>
      </c>
      <c r="Y1255" t="s">
        <v>5712</v>
      </c>
    </row>
    <row r="1256" spans="1:25" x14ac:dyDescent="0.25">
      <c r="A1256" t="s">
        <v>5970</v>
      </c>
      <c r="B1256" t="s">
        <v>6062</v>
      </c>
      <c r="C1256">
        <v>704</v>
      </c>
      <c r="D1256" t="s">
        <v>77</v>
      </c>
      <c r="E1256" t="s">
        <v>64</v>
      </c>
      <c r="F1256" t="s">
        <v>420</v>
      </c>
      <c r="H1256">
        <v>17</v>
      </c>
      <c r="I1256">
        <v>1401</v>
      </c>
      <c r="J1256" t="s">
        <v>6063</v>
      </c>
      <c r="K1256" t="s">
        <v>6064</v>
      </c>
      <c r="M1256" t="s">
        <v>4401</v>
      </c>
      <c r="N1256">
        <v>70406</v>
      </c>
      <c r="O1256" t="s">
        <v>70</v>
      </c>
      <c r="Q1256" t="s">
        <v>5974</v>
      </c>
      <c r="R1256" t="s">
        <v>6065</v>
      </c>
      <c r="S1256" t="s">
        <v>1020</v>
      </c>
      <c r="T1256" s="6">
        <v>5900000000</v>
      </c>
      <c r="W1256" t="str">
        <f t="shared" si="20"/>
        <v>DENA EF7 TC-MT1401</v>
      </c>
      <c r="X1256">
        <f>VLOOKUP(W1256,Sheet10!D:F,2,0)*10000000</f>
        <v>6750000000</v>
      </c>
      <c r="Y1256" t="s">
        <v>5712</v>
      </c>
    </row>
    <row r="1257" spans="1:25" x14ac:dyDescent="0.25">
      <c r="A1257" t="s">
        <v>4497</v>
      </c>
      <c r="B1257" t="s">
        <v>6066</v>
      </c>
      <c r="C1257">
        <v>606</v>
      </c>
      <c r="D1257" t="s">
        <v>77</v>
      </c>
      <c r="E1257" t="s">
        <v>64</v>
      </c>
      <c r="F1257" t="s">
        <v>3186</v>
      </c>
      <c r="H1257">
        <v>17</v>
      </c>
      <c r="I1257">
        <v>1401</v>
      </c>
      <c r="J1257" t="s">
        <v>6067</v>
      </c>
      <c r="K1257" t="s">
        <v>6068</v>
      </c>
      <c r="M1257" t="s">
        <v>4487</v>
      </c>
      <c r="N1257">
        <v>60602</v>
      </c>
      <c r="O1257" t="s">
        <v>4488</v>
      </c>
      <c r="Q1257" t="s">
        <v>4489</v>
      </c>
      <c r="R1257" t="s">
        <v>6069</v>
      </c>
      <c r="S1257" t="s">
        <v>4682</v>
      </c>
      <c r="T1257" s="6">
        <v>5700000000</v>
      </c>
      <c r="W1257" t="str">
        <f t="shared" si="20"/>
        <v>207i TU5P A1401</v>
      </c>
      <c r="X1257">
        <f>VLOOKUP(W1257,Sheet10!D:F,2,0)*10000000</f>
        <v>7100000000</v>
      </c>
      <c r="Y1257" t="s">
        <v>5712</v>
      </c>
    </row>
    <row r="1258" spans="1:25" x14ac:dyDescent="0.25">
      <c r="A1258" t="s">
        <v>191</v>
      </c>
      <c r="B1258" t="s">
        <v>6070</v>
      </c>
      <c r="C1258">
        <v>285</v>
      </c>
      <c r="D1258" t="s">
        <v>63</v>
      </c>
      <c r="E1258" t="s">
        <v>64</v>
      </c>
      <c r="F1258" t="s">
        <v>318</v>
      </c>
      <c r="H1258">
        <v>17</v>
      </c>
      <c r="I1258">
        <v>1401</v>
      </c>
      <c r="J1258" t="s">
        <v>6071</v>
      </c>
      <c r="K1258" t="s">
        <v>6072</v>
      </c>
      <c r="M1258" t="s">
        <v>198</v>
      </c>
      <c r="N1258">
        <v>28520</v>
      </c>
      <c r="O1258" t="s">
        <v>70</v>
      </c>
      <c r="Q1258" t="s">
        <v>199</v>
      </c>
      <c r="R1258" t="s">
        <v>6073</v>
      </c>
      <c r="S1258" t="s">
        <v>455</v>
      </c>
      <c r="T1258" s="6">
        <v>4400000000</v>
      </c>
      <c r="W1258" t="str">
        <f t="shared" si="20"/>
        <v>PARS TU51401</v>
      </c>
      <c r="X1258">
        <f>VLOOKUP(W1258,Sheet10!D:F,2,0)*10000000</f>
        <v>5250000000</v>
      </c>
      <c r="Y1258" t="s">
        <v>5712</v>
      </c>
    </row>
    <row r="1259" spans="1:25" x14ac:dyDescent="0.25">
      <c r="A1259" t="s">
        <v>5970</v>
      </c>
      <c r="B1259" t="s">
        <v>6074</v>
      </c>
      <c r="C1259">
        <v>704</v>
      </c>
      <c r="D1259" t="s">
        <v>77</v>
      </c>
      <c r="E1259" t="s">
        <v>64</v>
      </c>
      <c r="F1259" t="s">
        <v>420</v>
      </c>
      <c r="H1259">
        <v>16</v>
      </c>
      <c r="I1259">
        <v>1401</v>
      </c>
      <c r="J1259" t="s">
        <v>6075</v>
      </c>
      <c r="K1259" t="s">
        <v>5973</v>
      </c>
      <c r="M1259" t="s">
        <v>4401</v>
      </c>
      <c r="N1259">
        <v>70406</v>
      </c>
      <c r="O1259" t="s">
        <v>70</v>
      </c>
      <c r="Q1259" t="s">
        <v>5974</v>
      </c>
      <c r="R1259" t="s">
        <v>6076</v>
      </c>
      <c r="S1259" t="s">
        <v>923</v>
      </c>
      <c r="T1259" s="6">
        <v>5850000000</v>
      </c>
      <c r="W1259" t="str">
        <f t="shared" si="20"/>
        <v>DENA EF7 TC-MT1401</v>
      </c>
      <c r="X1259">
        <f>VLOOKUP(W1259,Sheet10!D:F,2,0)*10000000</f>
        <v>6750000000</v>
      </c>
      <c r="Y1259" t="s">
        <v>5712</v>
      </c>
    </row>
    <row r="1260" spans="1:25" x14ac:dyDescent="0.25">
      <c r="A1260" t="s">
        <v>5970</v>
      </c>
      <c r="B1260" t="s">
        <v>6077</v>
      </c>
      <c r="C1260">
        <v>704</v>
      </c>
      <c r="D1260" t="s">
        <v>77</v>
      </c>
      <c r="E1260" t="s">
        <v>64</v>
      </c>
      <c r="F1260" t="s">
        <v>420</v>
      </c>
      <c r="H1260">
        <v>16</v>
      </c>
      <c r="I1260">
        <v>1401</v>
      </c>
      <c r="J1260" t="s">
        <v>6078</v>
      </c>
      <c r="K1260" t="s">
        <v>6079</v>
      </c>
      <c r="M1260" t="s">
        <v>4401</v>
      </c>
      <c r="N1260">
        <v>70406</v>
      </c>
      <c r="O1260" t="s">
        <v>70</v>
      </c>
      <c r="Q1260" t="s">
        <v>5974</v>
      </c>
      <c r="R1260" t="s">
        <v>6080</v>
      </c>
      <c r="S1260" t="s">
        <v>513</v>
      </c>
      <c r="T1260" s="6">
        <v>5900000000</v>
      </c>
      <c r="W1260" t="str">
        <f t="shared" si="20"/>
        <v>DENA EF7 TC-MT1401</v>
      </c>
      <c r="X1260">
        <f>VLOOKUP(W1260,Sheet10!D:F,2,0)*10000000</f>
        <v>6750000000</v>
      </c>
      <c r="Y1260" t="s">
        <v>5712</v>
      </c>
    </row>
    <row r="1261" spans="1:25" x14ac:dyDescent="0.25">
      <c r="A1261" t="s">
        <v>6029</v>
      </c>
      <c r="B1261" t="s">
        <v>6081</v>
      </c>
      <c r="C1261">
        <v>704</v>
      </c>
      <c r="D1261" t="s">
        <v>240</v>
      </c>
      <c r="E1261" t="s">
        <v>64</v>
      </c>
      <c r="F1261" t="s">
        <v>420</v>
      </c>
      <c r="H1261">
        <v>14</v>
      </c>
      <c r="I1261">
        <v>1401</v>
      </c>
      <c r="J1261" t="s">
        <v>6082</v>
      </c>
      <c r="K1261" t="s">
        <v>6083</v>
      </c>
      <c r="M1261" t="s">
        <v>4401</v>
      </c>
      <c r="N1261">
        <v>70406</v>
      </c>
      <c r="O1261" t="s">
        <v>70</v>
      </c>
      <c r="Q1261" t="s">
        <v>5974</v>
      </c>
      <c r="R1261" t="s">
        <v>6084</v>
      </c>
      <c r="S1261" t="s">
        <v>608</v>
      </c>
      <c r="T1261" s="6">
        <v>5950000000</v>
      </c>
      <c r="W1261" t="str">
        <f t="shared" si="20"/>
        <v>DENA EF7 TC-MT1401</v>
      </c>
      <c r="X1261">
        <f>VLOOKUP(W1261,Sheet10!D:F,2,0)*10000000</f>
        <v>6750000000</v>
      </c>
      <c r="Y1261" t="s">
        <v>5712</v>
      </c>
    </row>
    <row r="1262" spans="1:25" x14ac:dyDescent="0.25">
      <c r="A1262" t="s">
        <v>5274</v>
      </c>
      <c r="B1262" t="s">
        <v>6085</v>
      </c>
      <c r="C1262">
        <v>323</v>
      </c>
      <c r="D1262" t="s">
        <v>178</v>
      </c>
      <c r="E1262" t="s">
        <v>64</v>
      </c>
      <c r="F1262" t="s">
        <v>318</v>
      </c>
      <c r="H1262">
        <v>11</v>
      </c>
      <c r="I1262">
        <v>1401</v>
      </c>
      <c r="J1262" t="s">
        <v>6086</v>
      </c>
      <c r="K1262" t="s">
        <v>6087</v>
      </c>
      <c r="M1262" t="s">
        <v>5192</v>
      </c>
      <c r="N1262">
        <v>32301</v>
      </c>
      <c r="O1262" t="s">
        <v>70</v>
      </c>
      <c r="Q1262" t="s">
        <v>5193</v>
      </c>
      <c r="R1262" t="s">
        <v>6088</v>
      </c>
      <c r="S1262" t="s">
        <v>3028</v>
      </c>
      <c r="T1262" s="6">
        <v>6000000000</v>
      </c>
      <c r="W1262" t="str">
        <f t="shared" si="20"/>
        <v>TARA TU5PA1401</v>
      </c>
      <c r="X1262" t="e">
        <f>VLOOKUP(W1262,Sheet10!D:F,2,0)*10000000</f>
        <v>#N/A</v>
      </c>
      <c r="Y1262" t="s">
        <v>5712</v>
      </c>
    </row>
    <row r="1263" spans="1:25" x14ac:dyDescent="0.25">
      <c r="A1263" t="s">
        <v>5976</v>
      </c>
      <c r="B1263" t="s">
        <v>6089</v>
      </c>
      <c r="C1263">
        <v>704</v>
      </c>
      <c r="D1263" t="s">
        <v>259</v>
      </c>
      <c r="E1263" t="s">
        <v>64</v>
      </c>
      <c r="F1263" t="s">
        <v>318</v>
      </c>
      <c r="H1263">
        <v>9</v>
      </c>
      <c r="I1263">
        <v>1401</v>
      </c>
      <c r="J1263" t="s">
        <v>6090</v>
      </c>
      <c r="K1263" t="s">
        <v>6091</v>
      </c>
      <c r="M1263" t="s">
        <v>4401</v>
      </c>
      <c r="N1263">
        <v>70406</v>
      </c>
      <c r="O1263" t="s">
        <v>70</v>
      </c>
      <c r="Q1263" t="s">
        <v>5974</v>
      </c>
      <c r="R1263" t="s">
        <v>6092</v>
      </c>
      <c r="S1263" t="s">
        <v>3125</v>
      </c>
      <c r="T1263" s="6">
        <v>5200000000</v>
      </c>
      <c r="W1263" t="str">
        <f t="shared" si="20"/>
        <v>DENA EF7 TC-MT1401</v>
      </c>
      <c r="X1263">
        <f>VLOOKUP(W1263,Sheet10!D:F,2,0)*10000000</f>
        <v>6750000000</v>
      </c>
      <c r="Y1263" t="s">
        <v>5712</v>
      </c>
    </row>
    <row r="1264" spans="1:25" x14ac:dyDescent="0.25">
      <c r="A1264" t="s">
        <v>191</v>
      </c>
      <c r="B1264" t="s">
        <v>6093</v>
      </c>
      <c r="C1264">
        <v>285</v>
      </c>
      <c r="D1264" t="s">
        <v>63</v>
      </c>
      <c r="E1264" t="s">
        <v>64</v>
      </c>
      <c r="F1264" t="s">
        <v>318</v>
      </c>
      <c r="H1264">
        <v>7</v>
      </c>
      <c r="I1264">
        <v>1401</v>
      </c>
      <c r="J1264" t="s">
        <v>6094</v>
      </c>
      <c r="K1264" t="s">
        <v>6095</v>
      </c>
      <c r="M1264" t="s">
        <v>198</v>
      </c>
      <c r="N1264">
        <v>28520</v>
      </c>
      <c r="O1264" t="s">
        <v>70</v>
      </c>
      <c r="Q1264" t="s">
        <v>199</v>
      </c>
      <c r="R1264" t="s">
        <v>6096</v>
      </c>
      <c r="S1264" t="s">
        <v>461</v>
      </c>
      <c r="T1264" s="6">
        <v>4470000000</v>
      </c>
      <c r="W1264" t="str">
        <f t="shared" si="20"/>
        <v>PARS TU51401</v>
      </c>
      <c r="X1264">
        <f>VLOOKUP(W1264,Sheet10!D:F,2,0)*10000000</f>
        <v>5250000000</v>
      </c>
      <c r="Y1264" t="s">
        <v>5712</v>
      </c>
    </row>
    <row r="1265" spans="1:25" x14ac:dyDescent="0.25">
      <c r="A1265" t="s">
        <v>5206</v>
      </c>
      <c r="B1265" t="s">
        <v>6097</v>
      </c>
      <c r="C1265">
        <v>323</v>
      </c>
      <c r="D1265" t="s">
        <v>240</v>
      </c>
      <c r="E1265" t="s">
        <v>64</v>
      </c>
      <c r="F1265" t="s">
        <v>318</v>
      </c>
      <c r="H1265">
        <v>4</v>
      </c>
      <c r="I1265">
        <v>1400</v>
      </c>
      <c r="J1265" t="s">
        <v>6098</v>
      </c>
      <c r="K1265" t="s">
        <v>6099</v>
      </c>
      <c r="M1265" t="s">
        <v>5192</v>
      </c>
      <c r="N1265">
        <v>32301</v>
      </c>
      <c r="O1265" t="s">
        <v>70</v>
      </c>
      <c r="Q1265" t="s">
        <v>5193</v>
      </c>
      <c r="R1265" t="s">
        <v>6100</v>
      </c>
      <c r="S1265" t="s">
        <v>3342</v>
      </c>
      <c r="T1265" s="6">
        <v>5580000000</v>
      </c>
      <c r="W1265" t="str">
        <f t="shared" si="20"/>
        <v>TARA TU5PA1400</v>
      </c>
      <c r="X1265">
        <f>VLOOKUP(W1265,Sheet10!D:F,2,0)*10000000</f>
        <v>7200000000</v>
      </c>
      <c r="Y1265" t="s">
        <v>5712</v>
      </c>
    </row>
    <row r="1266" spans="1:25" x14ac:dyDescent="0.25">
      <c r="A1266" t="s">
        <v>5954</v>
      </c>
      <c r="B1266" t="s">
        <v>6101</v>
      </c>
      <c r="C1266">
        <v>606</v>
      </c>
      <c r="D1266" t="s">
        <v>63</v>
      </c>
      <c r="E1266" t="s">
        <v>64</v>
      </c>
      <c r="F1266" t="s">
        <v>420</v>
      </c>
      <c r="H1266">
        <v>24</v>
      </c>
      <c r="I1266">
        <v>1401</v>
      </c>
      <c r="J1266" t="s">
        <v>6102</v>
      </c>
      <c r="K1266" t="s">
        <v>6103</v>
      </c>
      <c r="M1266" t="s">
        <v>4487</v>
      </c>
      <c r="N1266">
        <v>60603</v>
      </c>
      <c r="O1266" t="s">
        <v>4488</v>
      </c>
      <c r="Q1266" t="s">
        <v>5958</v>
      </c>
      <c r="R1266" t="s">
        <v>6104</v>
      </c>
      <c r="S1266" t="s">
        <v>4956</v>
      </c>
      <c r="T1266" s="6">
        <v>5950000000</v>
      </c>
      <c r="W1266" t="str">
        <f t="shared" si="20"/>
        <v>207i TU5P A1401</v>
      </c>
      <c r="X1266">
        <f>VLOOKUP(W1266,Sheet10!D:F,2,0)*10000000</f>
        <v>7100000000</v>
      </c>
      <c r="Y1266" t="s">
        <v>5712</v>
      </c>
    </row>
    <row r="1267" spans="1:25" x14ac:dyDescent="0.25">
      <c r="A1267" t="s">
        <v>5834</v>
      </c>
      <c r="B1267" t="s">
        <v>6105</v>
      </c>
      <c r="C1267">
        <v>600</v>
      </c>
      <c r="D1267" t="s">
        <v>4345</v>
      </c>
      <c r="E1267" t="s">
        <v>64</v>
      </c>
      <c r="F1267" t="s">
        <v>420</v>
      </c>
      <c r="H1267">
        <v>24</v>
      </c>
      <c r="I1267">
        <v>1401</v>
      </c>
      <c r="J1267" t="s">
        <v>6106</v>
      </c>
      <c r="K1267" t="s">
        <v>6107</v>
      </c>
      <c r="M1267" t="s">
        <v>3246</v>
      </c>
      <c r="N1267">
        <v>60010</v>
      </c>
      <c r="O1267" t="s">
        <v>303</v>
      </c>
      <c r="Q1267" t="s">
        <v>3247</v>
      </c>
      <c r="R1267" t="s">
        <v>6108</v>
      </c>
      <c r="S1267" t="s">
        <v>3927</v>
      </c>
      <c r="T1267" s="6">
        <v>5250000000</v>
      </c>
      <c r="W1267" t="str">
        <f t="shared" si="20"/>
        <v>207i-MT1401</v>
      </c>
      <c r="X1267">
        <f>VLOOKUP(W1267,Sheet10!D:F,2,0)*10000000</f>
        <v>5800000000</v>
      </c>
      <c r="Y1267" t="s">
        <v>5712</v>
      </c>
    </row>
    <row r="1268" spans="1:25" x14ac:dyDescent="0.25">
      <c r="A1268" t="s">
        <v>6029</v>
      </c>
      <c r="B1268" t="s">
        <v>6109</v>
      </c>
      <c r="C1268">
        <v>704</v>
      </c>
      <c r="D1268" t="s">
        <v>240</v>
      </c>
      <c r="E1268" t="s">
        <v>64</v>
      </c>
      <c r="F1268" t="s">
        <v>2436</v>
      </c>
      <c r="H1268">
        <v>23</v>
      </c>
      <c r="I1268">
        <v>1401</v>
      </c>
      <c r="J1268" t="s">
        <v>6110</v>
      </c>
      <c r="K1268" t="s">
        <v>6111</v>
      </c>
      <c r="M1268" t="s">
        <v>4401</v>
      </c>
      <c r="N1268">
        <v>70406</v>
      </c>
      <c r="O1268" t="s">
        <v>70</v>
      </c>
      <c r="Q1268" t="s">
        <v>5974</v>
      </c>
      <c r="R1268" t="s">
        <v>6112</v>
      </c>
      <c r="S1268" t="s">
        <v>1412</v>
      </c>
      <c r="T1268" s="6">
        <v>5900000000</v>
      </c>
      <c r="W1268" t="str">
        <f t="shared" si="20"/>
        <v>DENA EF7 TC-MT1401</v>
      </c>
      <c r="X1268">
        <f>VLOOKUP(W1268,Sheet10!D:F,2,0)*10000000</f>
        <v>6750000000</v>
      </c>
      <c r="Y1268" t="s">
        <v>5712</v>
      </c>
    </row>
    <row r="1269" spans="1:25" x14ac:dyDescent="0.25">
      <c r="A1269" t="s">
        <v>5997</v>
      </c>
      <c r="B1269" t="s">
        <v>6113</v>
      </c>
      <c r="C1269">
        <v>704</v>
      </c>
      <c r="D1269" t="s">
        <v>63</v>
      </c>
      <c r="E1269" t="s">
        <v>64</v>
      </c>
      <c r="F1269" t="s">
        <v>420</v>
      </c>
      <c r="H1269">
        <v>23</v>
      </c>
      <c r="I1269">
        <v>1401</v>
      </c>
      <c r="J1269" t="s">
        <v>6114</v>
      </c>
      <c r="K1269" t="s">
        <v>6115</v>
      </c>
      <c r="M1269" t="s">
        <v>4401</v>
      </c>
      <c r="N1269">
        <v>70406</v>
      </c>
      <c r="O1269" t="s">
        <v>70</v>
      </c>
      <c r="Q1269" t="s">
        <v>5974</v>
      </c>
      <c r="R1269" t="s">
        <v>6116</v>
      </c>
      <c r="S1269" t="s">
        <v>1302</v>
      </c>
      <c r="T1269" s="6">
        <v>5900000000</v>
      </c>
      <c r="W1269" t="str">
        <f t="shared" si="20"/>
        <v>DENA EF7 TC-MT1401</v>
      </c>
      <c r="X1269">
        <f>VLOOKUP(W1269,Sheet10!D:F,2,0)*10000000</f>
        <v>6750000000</v>
      </c>
      <c r="Y1269" t="s">
        <v>5712</v>
      </c>
    </row>
    <row r="1270" spans="1:25" x14ac:dyDescent="0.25">
      <c r="A1270" t="s">
        <v>316</v>
      </c>
      <c r="B1270" t="s">
        <v>6117</v>
      </c>
      <c r="C1270">
        <v>610</v>
      </c>
      <c r="D1270" t="s">
        <v>63</v>
      </c>
      <c r="E1270" t="s">
        <v>64</v>
      </c>
      <c r="F1270" t="s">
        <v>491</v>
      </c>
      <c r="H1270">
        <v>23</v>
      </c>
      <c r="I1270">
        <v>1401</v>
      </c>
      <c r="J1270" t="s">
        <v>6118</v>
      </c>
      <c r="K1270" t="s">
        <v>6119</v>
      </c>
      <c r="M1270" t="s">
        <v>321</v>
      </c>
      <c r="N1270">
        <v>61015</v>
      </c>
      <c r="O1270" t="s">
        <v>70</v>
      </c>
      <c r="Q1270" t="s">
        <v>322</v>
      </c>
      <c r="R1270" t="s">
        <v>6120</v>
      </c>
      <c r="S1270" t="s">
        <v>438</v>
      </c>
      <c r="T1270" s="6">
        <v>3650000000</v>
      </c>
      <c r="W1270" t="str">
        <f t="shared" si="20"/>
        <v>TU51401</v>
      </c>
      <c r="X1270">
        <f>VLOOKUP(W1270,Sheet10!D:F,2,0)*10000000</f>
        <v>4450000000</v>
      </c>
      <c r="Y1270" t="s">
        <v>5712</v>
      </c>
    </row>
    <row r="1271" spans="1:25" x14ac:dyDescent="0.25">
      <c r="A1271" t="s">
        <v>3928</v>
      </c>
      <c r="B1271" t="s">
        <v>6121</v>
      </c>
      <c r="C1271">
        <v>575</v>
      </c>
      <c r="D1271" t="s">
        <v>63</v>
      </c>
      <c r="E1271" t="s">
        <v>64</v>
      </c>
      <c r="F1271" t="s">
        <v>318</v>
      </c>
      <c r="H1271">
        <v>23</v>
      </c>
      <c r="I1271">
        <v>1401</v>
      </c>
      <c r="J1271" t="s">
        <v>6122</v>
      </c>
      <c r="K1271" t="s">
        <v>6123</v>
      </c>
      <c r="M1271" t="s">
        <v>367</v>
      </c>
      <c r="N1271">
        <v>57522</v>
      </c>
      <c r="O1271" t="s">
        <v>70</v>
      </c>
      <c r="Q1271" t="s">
        <v>3932</v>
      </c>
      <c r="R1271" t="s">
        <v>6124</v>
      </c>
      <c r="S1271" t="s">
        <v>1902</v>
      </c>
      <c r="T1271" s="6">
        <v>4270000000</v>
      </c>
      <c r="W1271" t="str">
        <f t="shared" si="20"/>
        <v>SOREN EF71401</v>
      </c>
      <c r="X1271">
        <f>VLOOKUP(W1271,Sheet10!D:F,2,0)*10000000</f>
        <v>4650000000</v>
      </c>
      <c r="Y1271" t="s">
        <v>5712</v>
      </c>
    </row>
    <row r="1272" spans="1:25" x14ac:dyDescent="0.25">
      <c r="A1272" t="s">
        <v>5954</v>
      </c>
      <c r="B1272" t="s">
        <v>6125</v>
      </c>
      <c r="C1272">
        <v>606</v>
      </c>
      <c r="D1272" t="s">
        <v>63</v>
      </c>
      <c r="E1272" t="s">
        <v>64</v>
      </c>
      <c r="F1272" t="s">
        <v>420</v>
      </c>
      <c r="H1272">
        <v>23</v>
      </c>
      <c r="I1272">
        <v>1401</v>
      </c>
      <c r="J1272" t="s">
        <v>6126</v>
      </c>
      <c r="K1272" t="s">
        <v>6127</v>
      </c>
      <c r="M1272" t="s">
        <v>4487</v>
      </c>
      <c r="N1272">
        <v>60603</v>
      </c>
      <c r="O1272" t="s">
        <v>4488</v>
      </c>
      <c r="Q1272" t="s">
        <v>5958</v>
      </c>
      <c r="R1272" t="s">
        <v>6128</v>
      </c>
      <c r="S1272" t="s">
        <v>4404</v>
      </c>
      <c r="T1272" s="6">
        <v>5950000000</v>
      </c>
      <c r="W1272" t="str">
        <f t="shared" si="20"/>
        <v>207i TU5P A1401</v>
      </c>
      <c r="X1272">
        <f>VLOOKUP(W1272,Sheet10!D:F,2,0)*10000000</f>
        <v>7100000000</v>
      </c>
      <c r="Y1272" t="s">
        <v>5712</v>
      </c>
    </row>
    <row r="1273" spans="1:25" x14ac:dyDescent="0.25">
      <c r="A1273" t="s">
        <v>6129</v>
      </c>
      <c r="B1273" t="s">
        <v>6130</v>
      </c>
      <c r="C1273">
        <v>600</v>
      </c>
      <c r="D1273" t="s">
        <v>63</v>
      </c>
      <c r="E1273" t="s">
        <v>64</v>
      </c>
      <c r="F1273" t="s">
        <v>2436</v>
      </c>
      <c r="H1273">
        <v>23</v>
      </c>
      <c r="I1273">
        <v>1401</v>
      </c>
      <c r="J1273" t="s">
        <v>6131</v>
      </c>
      <c r="K1273" t="s">
        <v>6132</v>
      </c>
      <c r="M1273" t="s">
        <v>3246</v>
      </c>
      <c r="N1273">
        <v>60011</v>
      </c>
      <c r="O1273" t="s">
        <v>303</v>
      </c>
      <c r="Q1273" t="s">
        <v>6133</v>
      </c>
      <c r="R1273" t="s">
        <v>6134</v>
      </c>
      <c r="S1273" t="s">
        <v>3249</v>
      </c>
      <c r="T1273" s="6">
        <v>4950000000</v>
      </c>
      <c r="W1273" t="str">
        <f t="shared" si="20"/>
        <v>207i-MT1401</v>
      </c>
      <c r="X1273">
        <f>VLOOKUP(W1273,Sheet10!D:F,2,0)*10000000</f>
        <v>5800000000</v>
      </c>
      <c r="Y1273" t="s">
        <v>5712</v>
      </c>
    </row>
    <row r="1274" spans="1:25" x14ac:dyDescent="0.25">
      <c r="A1274" t="s">
        <v>5970</v>
      </c>
      <c r="B1274" t="s">
        <v>6135</v>
      </c>
      <c r="C1274">
        <v>704</v>
      </c>
      <c r="D1274" t="s">
        <v>77</v>
      </c>
      <c r="E1274" t="s">
        <v>64</v>
      </c>
      <c r="F1274" t="s">
        <v>420</v>
      </c>
      <c r="H1274">
        <v>22</v>
      </c>
      <c r="I1274">
        <v>1401</v>
      </c>
      <c r="J1274" t="s">
        <v>6136</v>
      </c>
      <c r="K1274" t="s">
        <v>6137</v>
      </c>
      <c r="M1274" t="s">
        <v>4401</v>
      </c>
      <c r="N1274">
        <v>70406</v>
      </c>
      <c r="O1274" t="s">
        <v>70</v>
      </c>
      <c r="Q1274" t="s">
        <v>5974</v>
      </c>
      <c r="R1274" t="s">
        <v>6138</v>
      </c>
      <c r="S1274" t="s">
        <v>1128</v>
      </c>
      <c r="T1274" s="6">
        <v>5850000000</v>
      </c>
      <c r="W1274" t="str">
        <f t="shared" si="20"/>
        <v>DENA EF7 TC-MT1401</v>
      </c>
      <c r="X1274">
        <f>VLOOKUP(W1274,Sheet10!D:F,2,0)*10000000</f>
        <v>6750000000</v>
      </c>
      <c r="Y1274" t="s">
        <v>5712</v>
      </c>
    </row>
    <row r="1275" spans="1:25" x14ac:dyDescent="0.25">
      <c r="A1275" t="s">
        <v>5997</v>
      </c>
      <c r="B1275" t="s">
        <v>6139</v>
      </c>
      <c r="C1275">
        <v>704</v>
      </c>
      <c r="D1275" t="s">
        <v>63</v>
      </c>
      <c r="E1275" t="s">
        <v>64</v>
      </c>
      <c r="F1275" t="s">
        <v>420</v>
      </c>
      <c r="H1275">
        <v>22</v>
      </c>
      <c r="I1275">
        <v>1401</v>
      </c>
      <c r="J1275" t="s">
        <v>6140</v>
      </c>
      <c r="K1275" t="s">
        <v>6141</v>
      </c>
      <c r="M1275" t="s">
        <v>4401</v>
      </c>
      <c r="N1275">
        <v>70406</v>
      </c>
      <c r="O1275" t="s">
        <v>70</v>
      </c>
      <c r="Q1275" t="s">
        <v>5974</v>
      </c>
      <c r="R1275" t="s">
        <v>6142</v>
      </c>
      <c r="S1275" t="s">
        <v>1101</v>
      </c>
      <c r="T1275" s="6">
        <v>5900000000</v>
      </c>
      <c r="W1275" t="str">
        <f t="shared" si="20"/>
        <v>DENA EF7 TC-MT1401</v>
      </c>
      <c r="X1275">
        <f>VLOOKUP(W1275,Sheet10!D:F,2,0)*10000000</f>
        <v>6750000000</v>
      </c>
      <c r="Y1275" t="s">
        <v>5712</v>
      </c>
    </row>
    <row r="1276" spans="1:25" x14ac:dyDescent="0.25">
      <c r="A1276" t="s">
        <v>4497</v>
      </c>
      <c r="B1276" t="s">
        <v>6143</v>
      </c>
      <c r="C1276">
        <v>606</v>
      </c>
      <c r="D1276" t="s">
        <v>77</v>
      </c>
      <c r="E1276" t="s">
        <v>64</v>
      </c>
      <c r="F1276" t="s">
        <v>362</v>
      </c>
      <c r="H1276">
        <v>22</v>
      </c>
      <c r="I1276">
        <v>1400</v>
      </c>
      <c r="J1276" t="s">
        <v>6144</v>
      </c>
      <c r="K1276" t="s">
        <v>6145</v>
      </c>
      <c r="M1276" t="s">
        <v>4487</v>
      </c>
      <c r="N1276">
        <v>60602</v>
      </c>
      <c r="O1276" t="s">
        <v>4488</v>
      </c>
      <c r="Q1276" t="s">
        <v>4489</v>
      </c>
      <c r="R1276" t="s">
        <v>6146</v>
      </c>
      <c r="S1276" t="s">
        <v>3939</v>
      </c>
      <c r="T1276" s="6">
        <v>5450000000</v>
      </c>
      <c r="W1276" t="str">
        <f t="shared" si="20"/>
        <v>207i TU5P A1400</v>
      </c>
      <c r="X1276">
        <f>VLOOKUP(W1276,Sheet10!D:F,2,0)*10000000</f>
        <v>7000000000</v>
      </c>
      <c r="Y1276" t="s">
        <v>5712</v>
      </c>
    </row>
    <row r="1277" spans="1:25" x14ac:dyDescent="0.25">
      <c r="A1277" t="s">
        <v>3677</v>
      </c>
      <c r="B1277" t="s">
        <v>6147</v>
      </c>
      <c r="C1277">
        <v>703</v>
      </c>
      <c r="D1277" t="s">
        <v>77</v>
      </c>
      <c r="E1277" t="s">
        <v>64</v>
      </c>
      <c r="F1277" t="s">
        <v>2696</v>
      </c>
      <c r="H1277">
        <v>21</v>
      </c>
      <c r="I1277">
        <v>1401</v>
      </c>
      <c r="J1277" t="s">
        <v>6148</v>
      </c>
      <c r="K1277" t="s">
        <v>6149</v>
      </c>
      <c r="M1277" t="s">
        <v>2946</v>
      </c>
      <c r="N1277">
        <v>70317</v>
      </c>
      <c r="O1277" t="s">
        <v>70</v>
      </c>
      <c r="Q1277" t="s">
        <v>3681</v>
      </c>
      <c r="R1277" t="s">
        <v>6150</v>
      </c>
      <c r="S1277" t="s">
        <v>2157</v>
      </c>
      <c r="T1277" s="6">
        <v>5450000000</v>
      </c>
      <c r="W1277" t="str">
        <f t="shared" si="20"/>
        <v>DENA+EF7-MT1401</v>
      </c>
      <c r="X1277" t="e">
        <f>VLOOKUP(W1277,Sheet10!D:F,2,0)*10000000</f>
        <v>#N/A</v>
      </c>
      <c r="Y1277" t="s">
        <v>5712</v>
      </c>
    </row>
    <row r="1278" spans="1:25" x14ac:dyDescent="0.25">
      <c r="A1278" t="s">
        <v>6029</v>
      </c>
      <c r="B1278" t="s">
        <v>6151</v>
      </c>
      <c r="C1278">
        <v>704</v>
      </c>
      <c r="D1278" t="s">
        <v>240</v>
      </c>
      <c r="E1278" t="s">
        <v>64</v>
      </c>
      <c r="F1278" t="s">
        <v>420</v>
      </c>
      <c r="H1278">
        <v>21</v>
      </c>
      <c r="I1278">
        <v>1401</v>
      </c>
      <c r="J1278" t="s">
        <v>6152</v>
      </c>
      <c r="K1278" t="s">
        <v>6153</v>
      </c>
      <c r="M1278" t="s">
        <v>4401</v>
      </c>
      <c r="N1278">
        <v>70406</v>
      </c>
      <c r="O1278" t="s">
        <v>70</v>
      </c>
      <c r="Q1278" t="s">
        <v>5974</v>
      </c>
      <c r="R1278" t="s">
        <v>6154</v>
      </c>
      <c r="S1278" t="s">
        <v>1366</v>
      </c>
      <c r="T1278" s="6">
        <v>5850000000</v>
      </c>
      <c r="W1278" t="str">
        <f t="shared" si="20"/>
        <v>DENA EF7 TC-MT1401</v>
      </c>
      <c r="X1278">
        <f>VLOOKUP(W1278,Sheet10!D:F,2,0)*10000000</f>
        <v>6750000000</v>
      </c>
      <c r="Y1278" t="s">
        <v>5712</v>
      </c>
    </row>
    <row r="1279" spans="1:25" x14ac:dyDescent="0.25">
      <c r="A1279" t="s">
        <v>5997</v>
      </c>
      <c r="B1279" t="s">
        <v>6155</v>
      </c>
      <c r="C1279">
        <v>704</v>
      </c>
      <c r="D1279" t="s">
        <v>63</v>
      </c>
      <c r="E1279" t="s">
        <v>64</v>
      </c>
      <c r="F1279" t="s">
        <v>420</v>
      </c>
      <c r="H1279">
        <v>21</v>
      </c>
      <c r="I1279">
        <v>1401</v>
      </c>
      <c r="J1279" t="s">
        <v>6156</v>
      </c>
      <c r="K1279" t="s">
        <v>6157</v>
      </c>
      <c r="M1279" t="s">
        <v>4401</v>
      </c>
      <c r="N1279">
        <v>70406</v>
      </c>
      <c r="O1279" t="s">
        <v>70</v>
      </c>
      <c r="Q1279" t="s">
        <v>5974</v>
      </c>
      <c r="R1279" t="s">
        <v>6158</v>
      </c>
      <c r="S1279" t="s">
        <v>1211</v>
      </c>
      <c r="T1279" s="6">
        <v>5900000000</v>
      </c>
      <c r="W1279" t="str">
        <f t="shared" si="20"/>
        <v>DENA EF7 TC-MT1401</v>
      </c>
      <c r="X1279">
        <f>VLOOKUP(W1279,Sheet10!D:F,2,0)*10000000</f>
        <v>6750000000</v>
      </c>
      <c r="Y1279" t="s">
        <v>5712</v>
      </c>
    </row>
    <row r="1280" spans="1:25" x14ac:dyDescent="0.25">
      <c r="A1280" t="s">
        <v>5976</v>
      </c>
      <c r="B1280" t="s">
        <v>6159</v>
      </c>
      <c r="C1280">
        <v>704</v>
      </c>
      <c r="D1280" t="s">
        <v>259</v>
      </c>
      <c r="E1280" t="s">
        <v>64</v>
      </c>
      <c r="F1280" t="s">
        <v>3186</v>
      </c>
      <c r="H1280">
        <v>21</v>
      </c>
      <c r="I1280">
        <v>1401</v>
      </c>
      <c r="J1280" t="s">
        <v>6160</v>
      </c>
      <c r="K1280" t="s">
        <v>6161</v>
      </c>
      <c r="M1280" t="s">
        <v>4401</v>
      </c>
      <c r="N1280">
        <v>70406</v>
      </c>
      <c r="O1280" t="s">
        <v>70</v>
      </c>
      <c r="Q1280" t="s">
        <v>5974</v>
      </c>
      <c r="R1280" t="s">
        <v>6162</v>
      </c>
      <c r="S1280" t="s">
        <v>1252</v>
      </c>
      <c r="T1280" s="6">
        <v>5950000000</v>
      </c>
      <c r="W1280" t="str">
        <f t="shared" si="20"/>
        <v>DENA EF7 TC-MT1401</v>
      </c>
      <c r="X1280">
        <f>VLOOKUP(W1280,Sheet10!D:F,2,0)*10000000</f>
        <v>6750000000</v>
      </c>
      <c r="Y1280" t="s">
        <v>5712</v>
      </c>
    </row>
    <row r="1281" spans="1:25" x14ac:dyDescent="0.25">
      <c r="A1281" t="s">
        <v>191</v>
      </c>
      <c r="B1281" t="s">
        <v>6163</v>
      </c>
      <c r="C1281">
        <v>285</v>
      </c>
      <c r="D1281" t="s">
        <v>63</v>
      </c>
      <c r="E1281" t="s">
        <v>64</v>
      </c>
      <c r="F1281" t="s">
        <v>420</v>
      </c>
      <c r="H1281">
        <v>21</v>
      </c>
      <c r="I1281">
        <v>1401</v>
      </c>
      <c r="J1281" t="s">
        <v>6164</v>
      </c>
      <c r="K1281" t="s">
        <v>6165</v>
      </c>
      <c r="M1281" t="s">
        <v>198</v>
      </c>
      <c r="N1281">
        <v>28520</v>
      </c>
      <c r="O1281" t="s">
        <v>70</v>
      </c>
      <c r="Q1281" t="s">
        <v>199</v>
      </c>
      <c r="R1281" t="s">
        <v>6166</v>
      </c>
      <c r="S1281" t="s">
        <v>2891</v>
      </c>
      <c r="T1281" s="6">
        <v>4600000000</v>
      </c>
      <c r="W1281" t="str">
        <f t="shared" si="20"/>
        <v>PARS TU51401</v>
      </c>
      <c r="X1281">
        <f>VLOOKUP(W1281,Sheet10!D:F,2,0)*10000000</f>
        <v>5250000000</v>
      </c>
      <c r="Y1281" t="s">
        <v>5712</v>
      </c>
    </row>
    <row r="1282" spans="1:25" x14ac:dyDescent="0.25">
      <c r="A1282" t="s">
        <v>5997</v>
      </c>
      <c r="B1282" t="s">
        <v>6167</v>
      </c>
      <c r="C1282">
        <v>704</v>
      </c>
      <c r="D1282" t="s">
        <v>63</v>
      </c>
      <c r="E1282" t="s">
        <v>64</v>
      </c>
      <c r="F1282" t="s">
        <v>3186</v>
      </c>
      <c r="H1282">
        <v>20</v>
      </c>
      <c r="I1282">
        <v>1401</v>
      </c>
      <c r="J1282" t="s">
        <v>6168</v>
      </c>
      <c r="K1282" t="s">
        <v>5979</v>
      </c>
      <c r="M1282" t="s">
        <v>4401</v>
      </c>
      <c r="N1282">
        <v>70406</v>
      </c>
      <c r="O1282" t="s">
        <v>70</v>
      </c>
      <c r="Q1282" t="s">
        <v>5974</v>
      </c>
      <c r="R1282" t="s">
        <v>6169</v>
      </c>
      <c r="S1282" t="s">
        <v>1076</v>
      </c>
      <c r="T1282" s="6">
        <v>5950000000</v>
      </c>
      <c r="W1282" t="str">
        <f t="shared" si="20"/>
        <v>DENA EF7 TC-MT1401</v>
      </c>
      <c r="X1282">
        <f>VLOOKUP(W1282,Sheet10!D:F,2,0)*10000000</f>
        <v>6750000000</v>
      </c>
      <c r="Y1282" t="s">
        <v>5712</v>
      </c>
    </row>
    <row r="1283" spans="1:25" x14ac:dyDescent="0.25">
      <c r="A1283" t="s">
        <v>5954</v>
      </c>
      <c r="B1283" t="s">
        <v>6170</v>
      </c>
      <c r="C1283">
        <v>606</v>
      </c>
      <c r="D1283" t="s">
        <v>63</v>
      </c>
      <c r="E1283" t="s">
        <v>64</v>
      </c>
      <c r="F1283" t="s">
        <v>420</v>
      </c>
      <c r="H1283">
        <v>20</v>
      </c>
      <c r="I1283">
        <v>1401</v>
      </c>
      <c r="J1283" t="s">
        <v>6171</v>
      </c>
      <c r="K1283" t="s">
        <v>6172</v>
      </c>
      <c r="M1283" t="s">
        <v>4487</v>
      </c>
      <c r="N1283">
        <v>60603</v>
      </c>
      <c r="O1283" t="s">
        <v>4488</v>
      </c>
      <c r="Q1283" t="s">
        <v>5958</v>
      </c>
      <c r="R1283" t="s">
        <v>6173</v>
      </c>
      <c r="S1283" t="s">
        <v>2523</v>
      </c>
      <c r="T1283" s="6">
        <v>5950000000</v>
      </c>
      <c r="W1283" t="str">
        <f t="shared" si="20"/>
        <v>207i TU5P A1401</v>
      </c>
      <c r="X1283">
        <f>VLOOKUP(W1283,Sheet10!D:F,2,0)*10000000</f>
        <v>7100000000</v>
      </c>
      <c r="Y1283" t="s">
        <v>5712</v>
      </c>
    </row>
    <row r="1284" spans="1:25" x14ac:dyDescent="0.25">
      <c r="A1284" t="s">
        <v>5976</v>
      </c>
      <c r="B1284" t="s">
        <v>6174</v>
      </c>
      <c r="C1284">
        <v>704</v>
      </c>
      <c r="D1284" t="s">
        <v>259</v>
      </c>
      <c r="E1284" t="s">
        <v>64</v>
      </c>
      <c r="F1284" t="s">
        <v>3186</v>
      </c>
      <c r="H1284">
        <v>19</v>
      </c>
      <c r="I1284">
        <v>1401</v>
      </c>
      <c r="J1284" t="s">
        <v>6175</v>
      </c>
      <c r="K1284" t="s">
        <v>5979</v>
      </c>
      <c r="M1284" t="s">
        <v>4401</v>
      </c>
      <c r="N1284">
        <v>70406</v>
      </c>
      <c r="O1284" t="s">
        <v>70</v>
      </c>
      <c r="Q1284" t="s">
        <v>5974</v>
      </c>
      <c r="R1284" t="s">
        <v>6176</v>
      </c>
      <c r="S1284" t="s">
        <v>984</v>
      </c>
      <c r="T1284" s="6">
        <v>5950000000</v>
      </c>
      <c r="W1284" t="str">
        <f t="shared" si="20"/>
        <v>DENA EF7 TC-MT1401</v>
      </c>
      <c r="X1284">
        <f>VLOOKUP(W1284,Sheet10!D:F,2,0)*10000000</f>
        <v>6750000000</v>
      </c>
      <c r="Y1284" t="s">
        <v>5712</v>
      </c>
    </row>
    <row r="1285" spans="1:25" x14ac:dyDescent="0.25">
      <c r="A1285" t="s">
        <v>3126</v>
      </c>
      <c r="B1285" t="s">
        <v>6177</v>
      </c>
      <c r="C1285">
        <v>615</v>
      </c>
      <c r="D1285" t="s">
        <v>240</v>
      </c>
      <c r="E1285" t="s">
        <v>64</v>
      </c>
      <c r="F1285" t="s">
        <v>491</v>
      </c>
      <c r="H1285">
        <v>19</v>
      </c>
      <c r="I1285">
        <v>1401</v>
      </c>
      <c r="J1285" t="s">
        <v>6178</v>
      </c>
      <c r="K1285" t="s">
        <v>6179</v>
      </c>
      <c r="M1285" t="s">
        <v>3130</v>
      </c>
      <c r="N1285">
        <v>61503</v>
      </c>
      <c r="O1285" t="s">
        <v>70</v>
      </c>
      <c r="Q1285" t="s">
        <v>3131</v>
      </c>
      <c r="R1285" t="s">
        <v>6180</v>
      </c>
      <c r="S1285" t="s">
        <v>893</v>
      </c>
      <c r="T1285" s="6">
        <v>4100000000</v>
      </c>
      <c r="W1285" t="str">
        <f t="shared" si="20"/>
        <v>+TU51401</v>
      </c>
      <c r="X1285">
        <f>VLOOKUP(W1285,Sheet10!D:F,2,0)*10000000</f>
        <v>0</v>
      </c>
      <c r="Y1285" t="s">
        <v>5712</v>
      </c>
    </row>
    <row r="1286" spans="1:25" x14ac:dyDescent="0.25">
      <c r="A1286" t="s">
        <v>5970</v>
      </c>
      <c r="B1286" t="s">
        <v>6181</v>
      </c>
      <c r="C1286">
        <v>704</v>
      </c>
      <c r="D1286" t="s">
        <v>77</v>
      </c>
      <c r="E1286" t="s">
        <v>64</v>
      </c>
      <c r="F1286" t="s">
        <v>420</v>
      </c>
      <c r="H1286">
        <v>18</v>
      </c>
      <c r="I1286">
        <v>1401</v>
      </c>
      <c r="J1286" t="s">
        <v>6182</v>
      </c>
      <c r="K1286" t="s">
        <v>6183</v>
      </c>
      <c r="M1286" t="s">
        <v>4401</v>
      </c>
      <c r="N1286">
        <v>70406</v>
      </c>
      <c r="O1286" t="s">
        <v>70</v>
      </c>
      <c r="Q1286" t="s">
        <v>5974</v>
      </c>
      <c r="R1286" t="s">
        <v>6184</v>
      </c>
      <c r="S1286" t="s">
        <v>1195</v>
      </c>
      <c r="T1286" s="6">
        <v>5950000000</v>
      </c>
      <c r="W1286" t="str">
        <f t="shared" si="20"/>
        <v>DENA EF7 TC-MT1401</v>
      </c>
      <c r="X1286">
        <f>VLOOKUP(W1286,Sheet10!D:F,2,0)*10000000</f>
        <v>6750000000</v>
      </c>
      <c r="Y1286" t="s">
        <v>5712</v>
      </c>
    </row>
    <row r="1287" spans="1:25" x14ac:dyDescent="0.25">
      <c r="A1287" t="s">
        <v>5231</v>
      </c>
      <c r="B1287" t="s">
        <v>6185</v>
      </c>
      <c r="C1287">
        <v>323</v>
      </c>
      <c r="D1287" t="s">
        <v>4345</v>
      </c>
      <c r="E1287" t="s">
        <v>64</v>
      </c>
      <c r="F1287" t="s">
        <v>318</v>
      </c>
      <c r="H1287">
        <v>18</v>
      </c>
      <c r="I1287">
        <v>1401</v>
      </c>
      <c r="J1287" t="s">
        <v>6186</v>
      </c>
      <c r="K1287" t="s">
        <v>6187</v>
      </c>
      <c r="M1287" t="s">
        <v>5192</v>
      </c>
      <c r="N1287">
        <v>32301</v>
      </c>
      <c r="O1287" t="s">
        <v>70</v>
      </c>
      <c r="Q1287" t="s">
        <v>5193</v>
      </c>
      <c r="R1287" t="s">
        <v>6188</v>
      </c>
      <c r="S1287" t="s">
        <v>3949</v>
      </c>
      <c r="T1287" s="6">
        <v>6300000000</v>
      </c>
      <c r="W1287" t="str">
        <f t="shared" si="20"/>
        <v>TARA TU5PA1401</v>
      </c>
      <c r="X1287" t="e">
        <f>VLOOKUP(W1287,Sheet10!D:F,2,0)*10000000</f>
        <v>#N/A</v>
      </c>
      <c r="Y1287" t="s">
        <v>5712</v>
      </c>
    </row>
    <row r="1288" spans="1:25" x14ac:dyDescent="0.25">
      <c r="A1288" t="s">
        <v>5954</v>
      </c>
      <c r="B1288" t="s">
        <v>6189</v>
      </c>
      <c r="C1288">
        <v>606</v>
      </c>
      <c r="D1288" t="s">
        <v>63</v>
      </c>
      <c r="E1288" t="s">
        <v>64</v>
      </c>
      <c r="F1288" t="s">
        <v>420</v>
      </c>
      <c r="H1288">
        <v>18</v>
      </c>
      <c r="I1288">
        <v>1401</v>
      </c>
      <c r="J1288" t="s">
        <v>6190</v>
      </c>
      <c r="K1288" t="s">
        <v>6191</v>
      </c>
      <c r="M1288" t="s">
        <v>4487</v>
      </c>
      <c r="N1288">
        <v>60603</v>
      </c>
      <c r="O1288" t="s">
        <v>4488</v>
      </c>
      <c r="Q1288" t="s">
        <v>5958</v>
      </c>
      <c r="R1288" t="s">
        <v>6192</v>
      </c>
      <c r="S1288" t="s">
        <v>4799</v>
      </c>
      <c r="T1288" s="6">
        <v>5950000000</v>
      </c>
      <c r="W1288" t="str">
        <f t="shared" si="20"/>
        <v>207i TU5P A1401</v>
      </c>
      <c r="X1288">
        <f>VLOOKUP(W1288,Sheet10!D:F,2,0)*10000000</f>
        <v>7100000000</v>
      </c>
      <c r="Y1288" t="s">
        <v>5712</v>
      </c>
    </row>
    <row r="1289" spans="1:25" x14ac:dyDescent="0.25">
      <c r="A1289" t="s">
        <v>6029</v>
      </c>
      <c r="B1289" t="s">
        <v>6193</v>
      </c>
      <c r="C1289">
        <v>704</v>
      </c>
      <c r="D1289" t="s">
        <v>240</v>
      </c>
      <c r="E1289" t="s">
        <v>64</v>
      </c>
      <c r="F1289" t="s">
        <v>420</v>
      </c>
      <c r="H1289">
        <v>17</v>
      </c>
      <c r="I1289">
        <v>1401</v>
      </c>
      <c r="J1289" t="s">
        <v>6194</v>
      </c>
      <c r="K1289" t="s">
        <v>6195</v>
      </c>
      <c r="M1289" t="s">
        <v>4401</v>
      </c>
      <c r="N1289">
        <v>70406</v>
      </c>
      <c r="O1289" t="s">
        <v>70</v>
      </c>
      <c r="Q1289" t="s">
        <v>5974</v>
      </c>
      <c r="R1289" t="s">
        <v>6196</v>
      </c>
      <c r="S1289" t="s">
        <v>787</v>
      </c>
      <c r="T1289" s="6">
        <v>5900000000</v>
      </c>
      <c r="W1289" t="str">
        <f t="shared" si="20"/>
        <v>DENA EF7 TC-MT1401</v>
      </c>
      <c r="X1289">
        <f>VLOOKUP(W1289,Sheet10!D:F,2,0)*10000000</f>
        <v>6750000000</v>
      </c>
      <c r="Y1289" t="s">
        <v>5712</v>
      </c>
    </row>
    <row r="1290" spans="1:25" x14ac:dyDescent="0.25">
      <c r="A1290" t="s">
        <v>5970</v>
      </c>
      <c r="B1290" t="s">
        <v>6197</v>
      </c>
      <c r="C1290">
        <v>704</v>
      </c>
      <c r="D1290" t="s">
        <v>77</v>
      </c>
      <c r="E1290" t="s">
        <v>64</v>
      </c>
      <c r="F1290" t="s">
        <v>420</v>
      </c>
      <c r="H1290">
        <v>17</v>
      </c>
      <c r="I1290">
        <v>1401</v>
      </c>
      <c r="J1290" t="s">
        <v>6198</v>
      </c>
      <c r="K1290" t="s">
        <v>6199</v>
      </c>
      <c r="M1290" t="s">
        <v>4401</v>
      </c>
      <c r="N1290">
        <v>70406</v>
      </c>
      <c r="O1290" t="s">
        <v>70</v>
      </c>
      <c r="Q1290" t="s">
        <v>5974</v>
      </c>
      <c r="R1290" t="s">
        <v>6200</v>
      </c>
      <c r="S1290" t="s">
        <v>1334</v>
      </c>
      <c r="T1290" s="6">
        <v>5900000000</v>
      </c>
      <c r="W1290" t="str">
        <f t="shared" si="20"/>
        <v>DENA EF7 TC-MT1401</v>
      </c>
      <c r="X1290">
        <f>VLOOKUP(W1290,Sheet10!D:F,2,0)*10000000</f>
        <v>6750000000</v>
      </c>
      <c r="Y1290" t="s">
        <v>5712</v>
      </c>
    </row>
    <row r="1291" spans="1:25" x14ac:dyDescent="0.25">
      <c r="A1291" t="s">
        <v>5970</v>
      </c>
      <c r="B1291" t="s">
        <v>6201</v>
      </c>
      <c r="C1291">
        <v>704</v>
      </c>
      <c r="D1291" t="s">
        <v>77</v>
      </c>
      <c r="E1291" t="s">
        <v>64</v>
      </c>
      <c r="F1291" t="s">
        <v>420</v>
      </c>
      <c r="H1291">
        <v>17</v>
      </c>
      <c r="I1291">
        <v>1401</v>
      </c>
      <c r="J1291" t="s">
        <v>6202</v>
      </c>
      <c r="K1291" t="s">
        <v>6203</v>
      </c>
      <c r="M1291" t="s">
        <v>4401</v>
      </c>
      <c r="N1291">
        <v>70406</v>
      </c>
      <c r="O1291" t="s">
        <v>70</v>
      </c>
      <c r="Q1291" t="s">
        <v>5974</v>
      </c>
      <c r="R1291" t="s">
        <v>6204</v>
      </c>
      <c r="S1291" t="s">
        <v>1396</v>
      </c>
      <c r="T1291" s="6">
        <v>5900000000</v>
      </c>
      <c r="W1291" t="str">
        <f t="shared" si="20"/>
        <v>DENA EF7 TC-MT1401</v>
      </c>
      <c r="X1291">
        <f>VLOOKUP(W1291,Sheet10!D:F,2,0)*10000000</f>
        <v>6750000000</v>
      </c>
      <c r="Y1291" t="s">
        <v>5712</v>
      </c>
    </row>
    <row r="1292" spans="1:25" x14ac:dyDescent="0.25">
      <c r="A1292" t="s">
        <v>325</v>
      </c>
      <c r="B1292" t="s">
        <v>6205</v>
      </c>
      <c r="C1292">
        <v>260</v>
      </c>
      <c r="D1292" t="s">
        <v>63</v>
      </c>
      <c r="E1292" t="s">
        <v>64</v>
      </c>
      <c r="F1292" t="s">
        <v>491</v>
      </c>
      <c r="H1292">
        <v>17</v>
      </c>
      <c r="I1292">
        <v>1401</v>
      </c>
      <c r="J1292" t="s">
        <v>6206</v>
      </c>
      <c r="K1292" t="s">
        <v>6207</v>
      </c>
      <c r="M1292" t="s">
        <v>329</v>
      </c>
      <c r="N1292">
        <v>26031</v>
      </c>
      <c r="O1292" t="s">
        <v>303</v>
      </c>
      <c r="Q1292" t="s">
        <v>330</v>
      </c>
      <c r="R1292" t="s">
        <v>6208</v>
      </c>
      <c r="S1292" t="s">
        <v>639</v>
      </c>
      <c r="T1292" s="6">
        <v>3700000000</v>
      </c>
      <c r="W1292" t="str">
        <f t="shared" si="20"/>
        <v>206TU31401</v>
      </c>
      <c r="X1292" t="e">
        <f>VLOOKUP(W1292,Sheet10!D:F,2,0)*10000000</f>
        <v>#N/A</v>
      </c>
      <c r="Y1292" t="s">
        <v>5712</v>
      </c>
    </row>
    <row r="1293" spans="1:25" x14ac:dyDescent="0.25">
      <c r="A1293" t="s">
        <v>191</v>
      </c>
      <c r="B1293" t="s">
        <v>6209</v>
      </c>
      <c r="C1293">
        <v>285</v>
      </c>
      <c r="D1293" t="s">
        <v>63</v>
      </c>
      <c r="E1293" t="s">
        <v>64</v>
      </c>
      <c r="F1293" t="s">
        <v>420</v>
      </c>
      <c r="H1293">
        <v>17</v>
      </c>
      <c r="I1293">
        <v>1401</v>
      </c>
      <c r="J1293" t="s">
        <v>6210</v>
      </c>
      <c r="K1293" t="s">
        <v>6211</v>
      </c>
      <c r="M1293" t="s">
        <v>198</v>
      </c>
      <c r="N1293">
        <v>28520</v>
      </c>
      <c r="O1293" t="s">
        <v>70</v>
      </c>
      <c r="Q1293" t="s">
        <v>199</v>
      </c>
      <c r="R1293" t="s">
        <v>6212</v>
      </c>
      <c r="S1293" t="s">
        <v>2908</v>
      </c>
      <c r="T1293" s="6">
        <v>4500000000</v>
      </c>
      <c r="W1293" t="str">
        <f t="shared" si="20"/>
        <v>PARS TU51401</v>
      </c>
      <c r="X1293">
        <f>VLOOKUP(W1293,Sheet10!D:F,2,0)*10000000</f>
        <v>5250000000</v>
      </c>
      <c r="Y1293" t="s">
        <v>5712</v>
      </c>
    </row>
    <row r="1294" spans="1:25" x14ac:dyDescent="0.25">
      <c r="A1294" t="s">
        <v>5997</v>
      </c>
      <c r="B1294" t="s">
        <v>6213</v>
      </c>
      <c r="C1294">
        <v>704</v>
      </c>
      <c r="D1294" t="s">
        <v>63</v>
      </c>
      <c r="E1294" t="s">
        <v>64</v>
      </c>
      <c r="F1294" t="s">
        <v>420</v>
      </c>
      <c r="H1294">
        <v>16</v>
      </c>
      <c r="I1294">
        <v>1401</v>
      </c>
      <c r="J1294" t="s">
        <v>6214</v>
      </c>
      <c r="K1294" t="s">
        <v>6215</v>
      </c>
      <c r="M1294" t="s">
        <v>4401</v>
      </c>
      <c r="N1294">
        <v>70406</v>
      </c>
      <c r="O1294" t="s">
        <v>70</v>
      </c>
      <c r="Q1294" t="s">
        <v>5974</v>
      </c>
      <c r="R1294" t="s">
        <v>6216</v>
      </c>
      <c r="S1294" t="s">
        <v>963</v>
      </c>
      <c r="T1294" s="6">
        <v>5850000000</v>
      </c>
      <c r="W1294" t="str">
        <f t="shared" ref="W1294:W1357" si="21">M1294&amp;I1294</f>
        <v>DENA EF7 TC-MT1401</v>
      </c>
      <c r="X1294">
        <f>VLOOKUP(W1294,Sheet10!D:F,2,0)*10000000</f>
        <v>6750000000</v>
      </c>
      <c r="Y1294" t="s">
        <v>5712</v>
      </c>
    </row>
    <row r="1295" spans="1:25" x14ac:dyDescent="0.25">
      <c r="A1295" t="s">
        <v>191</v>
      </c>
      <c r="B1295" t="s">
        <v>6217</v>
      </c>
      <c r="C1295">
        <v>285</v>
      </c>
      <c r="D1295" t="s">
        <v>63</v>
      </c>
      <c r="E1295" t="s">
        <v>64</v>
      </c>
      <c r="F1295" t="s">
        <v>318</v>
      </c>
      <c r="H1295">
        <v>16</v>
      </c>
      <c r="I1295">
        <v>1401</v>
      </c>
      <c r="J1295" t="s">
        <v>6218</v>
      </c>
      <c r="K1295" t="s">
        <v>6219</v>
      </c>
      <c r="M1295" t="s">
        <v>198</v>
      </c>
      <c r="N1295">
        <v>28520</v>
      </c>
      <c r="O1295" t="s">
        <v>70</v>
      </c>
      <c r="Q1295" t="s">
        <v>199</v>
      </c>
      <c r="R1295" t="s">
        <v>6220</v>
      </c>
      <c r="S1295" t="s">
        <v>2700</v>
      </c>
      <c r="T1295" s="6">
        <v>4500000000</v>
      </c>
      <c r="W1295" t="str">
        <f t="shared" si="21"/>
        <v>PARS TU51401</v>
      </c>
      <c r="X1295">
        <f>VLOOKUP(W1295,Sheet10!D:F,2,0)*10000000</f>
        <v>5250000000</v>
      </c>
      <c r="Y1295" t="s">
        <v>5712</v>
      </c>
    </row>
    <row r="1296" spans="1:25" x14ac:dyDescent="0.25">
      <c r="A1296" t="s">
        <v>191</v>
      </c>
      <c r="B1296" t="s">
        <v>4967</v>
      </c>
      <c r="C1296">
        <v>285</v>
      </c>
      <c r="D1296" t="s">
        <v>63</v>
      </c>
      <c r="E1296" t="s">
        <v>64</v>
      </c>
      <c r="F1296" t="s">
        <v>318</v>
      </c>
      <c r="H1296">
        <v>12</v>
      </c>
      <c r="I1296">
        <v>1401</v>
      </c>
      <c r="J1296" t="s">
        <v>4968</v>
      </c>
      <c r="K1296" t="s">
        <v>4969</v>
      </c>
      <c r="M1296" t="s">
        <v>198</v>
      </c>
      <c r="N1296">
        <v>28520</v>
      </c>
      <c r="O1296" t="s">
        <v>70</v>
      </c>
      <c r="Q1296" t="s">
        <v>199</v>
      </c>
      <c r="R1296" t="s">
        <v>4970</v>
      </c>
      <c r="S1296" t="s">
        <v>2690</v>
      </c>
      <c r="T1296" s="6">
        <v>4450000000</v>
      </c>
      <c r="W1296" t="str">
        <f t="shared" si="21"/>
        <v>PARS TU51401</v>
      </c>
      <c r="X1296">
        <f>VLOOKUP(W1296,Sheet10!D:F,2,0)*10000000</f>
        <v>5250000000</v>
      </c>
      <c r="Y1296" t="s">
        <v>5712</v>
      </c>
    </row>
    <row r="1297" spans="1:25" x14ac:dyDescent="0.25">
      <c r="A1297" t="s">
        <v>191</v>
      </c>
      <c r="B1297" t="s">
        <v>6221</v>
      </c>
      <c r="C1297">
        <v>285</v>
      </c>
      <c r="D1297" t="s">
        <v>63</v>
      </c>
      <c r="E1297" t="s">
        <v>64</v>
      </c>
      <c r="F1297" t="s">
        <v>318</v>
      </c>
      <c r="H1297">
        <v>9</v>
      </c>
      <c r="I1297">
        <v>1400</v>
      </c>
      <c r="J1297" t="s">
        <v>6222</v>
      </c>
      <c r="K1297" t="s">
        <v>6223</v>
      </c>
      <c r="M1297" t="s">
        <v>198</v>
      </c>
      <c r="N1297">
        <v>28520</v>
      </c>
      <c r="O1297" t="s">
        <v>70</v>
      </c>
      <c r="Q1297" t="s">
        <v>199</v>
      </c>
      <c r="R1297" t="s">
        <v>6224</v>
      </c>
      <c r="S1297" t="s">
        <v>2903</v>
      </c>
      <c r="T1297" s="6">
        <v>4250000000</v>
      </c>
      <c r="W1297" t="str">
        <f t="shared" si="21"/>
        <v>PARS TU51400</v>
      </c>
      <c r="X1297">
        <f>VLOOKUP(W1297,Sheet10!D:F,2,0)*10000000</f>
        <v>5100000000</v>
      </c>
      <c r="Y1297" t="s">
        <v>5712</v>
      </c>
    </row>
    <row r="1298" spans="1:25" x14ac:dyDescent="0.25">
      <c r="A1298" t="s">
        <v>325</v>
      </c>
      <c r="B1298" t="s">
        <v>326</v>
      </c>
      <c r="C1298">
        <v>260</v>
      </c>
      <c r="D1298" t="s">
        <v>63</v>
      </c>
      <c r="E1298" t="s">
        <v>64</v>
      </c>
      <c r="F1298" t="s">
        <v>318</v>
      </c>
      <c r="H1298">
        <v>8</v>
      </c>
      <c r="I1298">
        <v>1401</v>
      </c>
      <c r="J1298" t="s">
        <v>327</v>
      </c>
      <c r="K1298" t="s">
        <v>328</v>
      </c>
      <c r="M1298" t="s">
        <v>329</v>
      </c>
      <c r="N1298">
        <v>26031</v>
      </c>
      <c r="O1298" t="s">
        <v>303</v>
      </c>
      <c r="Q1298" t="s">
        <v>330</v>
      </c>
      <c r="R1298" t="s">
        <v>331</v>
      </c>
      <c r="S1298" t="s">
        <v>3178</v>
      </c>
      <c r="T1298" s="6">
        <v>2800000000</v>
      </c>
      <c r="W1298" t="str">
        <f t="shared" si="21"/>
        <v>206TU31401</v>
      </c>
      <c r="X1298" t="e">
        <f>VLOOKUP(W1298,Sheet10!D:F,2,0)*10000000</f>
        <v>#N/A</v>
      </c>
      <c r="Y1298" t="s">
        <v>5712</v>
      </c>
    </row>
    <row r="1299" spans="1:25" x14ac:dyDescent="0.25">
      <c r="A1299" t="s">
        <v>191</v>
      </c>
      <c r="B1299" t="s">
        <v>6225</v>
      </c>
      <c r="C1299">
        <v>285</v>
      </c>
      <c r="D1299" t="s">
        <v>63</v>
      </c>
      <c r="E1299" t="s">
        <v>64</v>
      </c>
      <c r="F1299" t="s">
        <v>318</v>
      </c>
      <c r="H1299">
        <v>6</v>
      </c>
      <c r="I1299">
        <v>1401</v>
      </c>
      <c r="J1299" t="s">
        <v>6226</v>
      </c>
      <c r="K1299" t="s">
        <v>6227</v>
      </c>
      <c r="M1299" t="s">
        <v>198</v>
      </c>
      <c r="N1299">
        <v>28520</v>
      </c>
      <c r="O1299" t="s">
        <v>70</v>
      </c>
      <c r="Q1299" t="s">
        <v>199</v>
      </c>
      <c r="R1299" t="s">
        <v>6228</v>
      </c>
      <c r="S1299" t="s">
        <v>466</v>
      </c>
      <c r="T1299" s="6">
        <v>4500000000</v>
      </c>
      <c r="W1299" t="str">
        <f t="shared" si="21"/>
        <v>PARS TU51401</v>
      </c>
      <c r="X1299">
        <f>VLOOKUP(W1299,Sheet10!D:F,2,0)*10000000</f>
        <v>5250000000</v>
      </c>
      <c r="Y1299" t="s">
        <v>5712</v>
      </c>
    </row>
    <row r="1300" spans="1:25" x14ac:dyDescent="0.25">
      <c r="A1300" t="s">
        <v>191</v>
      </c>
      <c r="B1300" t="s">
        <v>6229</v>
      </c>
      <c r="C1300">
        <v>285</v>
      </c>
      <c r="D1300" t="s">
        <v>63</v>
      </c>
      <c r="E1300" t="s">
        <v>64</v>
      </c>
      <c r="F1300" t="s">
        <v>318</v>
      </c>
      <c r="H1300">
        <v>5</v>
      </c>
      <c r="I1300">
        <v>1401</v>
      </c>
      <c r="J1300" t="s">
        <v>6230</v>
      </c>
      <c r="K1300" t="s">
        <v>6231</v>
      </c>
      <c r="M1300" t="s">
        <v>198</v>
      </c>
      <c r="N1300">
        <v>28520</v>
      </c>
      <c r="O1300" t="s">
        <v>70</v>
      </c>
      <c r="Q1300" t="s">
        <v>199</v>
      </c>
      <c r="R1300" t="s">
        <v>6232</v>
      </c>
      <c r="S1300" t="s">
        <v>3200</v>
      </c>
      <c r="T1300" s="6">
        <v>4200000000</v>
      </c>
      <c r="W1300" t="str">
        <f t="shared" si="21"/>
        <v>PARS TU51401</v>
      </c>
      <c r="X1300">
        <f>VLOOKUP(W1300,Sheet10!D:F,2,0)*10000000</f>
        <v>5250000000</v>
      </c>
      <c r="Y1300" t="s">
        <v>5712</v>
      </c>
    </row>
    <row r="1301" spans="1:25" x14ac:dyDescent="0.25">
      <c r="A1301" t="s">
        <v>4497</v>
      </c>
      <c r="B1301" t="s">
        <v>6233</v>
      </c>
      <c r="C1301">
        <v>606</v>
      </c>
      <c r="D1301" t="s">
        <v>77</v>
      </c>
      <c r="E1301" t="s">
        <v>64</v>
      </c>
      <c r="F1301" t="s">
        <v>362</v>
      </c>
      <c r="H1301">
        <v>54</v>
      </c>
      <c r="I1301">
        <v>1400</v>
      </c>
      <c r="J1301" t="s">
        <v>6234</v>
      </c>
      <c r="K1301" t="s">
        <v>6235</v>
      </c>
      <c r="M1301" t="s">
        <v>4487</v>
      </c>
      <c r="N1301">
        <v>60602</v>
      </c>
      <c r="O1301" t="s">
        <v>4488</v>
      </c>
      <c r="Q1301" t="s">
        <v>4489</v>
      </c>
      <c r="R1301" t="s">
        <v>6236</v>
      </c>
      <c r="S1301" t="s">
        <v>2825</v>
      </c>
      <c r="T1301" s="6">
        <v>5450000000</v>
      </c>
      <c r="W1301" t="str">
        <f t="shared" si="21"/>
        <v>207i TU5P A1400</v>
      </c>
      <c r="X1301">
        <f>VLOOKUP(W1301,Sheet10!D:F,2,0)*10000000</f>
        <v>7000000000</v>
      </c>
      <c r="Y1301" t="s">
        <v>5712</v>
      </c>
    </row>
    <row r="1302" spans="1:25" x14ac:dyDescent="0.25">
      <c r="A1302" t="s">
        <v>6237</v>
      </c>
      <c r="B1302" t="s">
        <v>6238</v>
      </c>
      <c r="C1302">
        <v>606</v>
      </c>
      <c r="D1302" t="s">
        <v>63</v>
      </c>
      <c r="E1302" t="s">
        <v>64</v>
      </c>
      <c r="F1302" t="s">
        <v>4256</v>
      </c>
      <c r="H1302">
        <v>53</v>
      </c>
      <c r="I1302">
        <v>1400</v>
      </c>
      <c r="J1302" t="s">
        <v>6239</v>
      </c>
      <c r="K1302" t="s">
        <v>6240</v>
      </c>
      <c r="M1302" t="s">
        <v>4487</v>
      </c>
      <c r="N1302">
        <v>60601</v>
      </c>
      <c r="O1302" t="s">
        <v>4488</v>
      </c>
      <c r="Q1302" t="s">
        <v>6241</v>
      </c>
      <c r="R1302" t="s">
        <v>6242</v>
      </c>
      <c r="S1302" t="s">
        <v>4451</v>
      </c>
      <c r="T1302" s="6">
        <v>6200000000</v>
      </c>
      <c r="W1302" t="str">
        <f t="shared" si="21"/>
        <v>207i TU5P A1400</v>
      </c>
      <c r="X1302">
        <f>VLOOKUP(W1302,Sheet10!D:F,2,0)*10000000</f>
        <v>7000000000</v>
      </c>
      <c r="Y1302" t="s">
        <v>5712</v>
      </c>
    </row>
    <row r="1303" spans="1:25" x14ac:dyDescent="0.25">
      <c r="A1303" t="s">
        <v>3242</v>
      </c>
      <c r="B1303" t="s">
        <v>6243</v>
      </c>
      <c r="C1303">
        <v>600</v>
      </c>
      <c r="D1303" t="s">
        <v>63</v>
      </c>
      <c r="E1303" t="s">
        <v>64</v>
      </c>
      <c r="F1303" t="s">
        <v>491</v>
      </c>
      <c r="H1303">
        <v>53</v>
      </c>
      <c r="I1303">
        <v>1401</v>
      </c>
      <c r="J1303" t="s">
        <v>6244</v>
      </c>
      <c r="K1303" t="s">
        <v>6245</v>
      </c>
      <c r="M1303" t="s">
        <v>3246</v>
      </c>
      <c r="N1303">
        <v>60010</v>
      </c>
      <c r="O1303" t="s">
        <v>303</v>
      </c>
      <c r="Q1303" t="s">
        <v>3247</v>
      </c>
      <c r="R1303" t="s">
        <v>6246</v>
      </c>
      <c r="S1303" t="s">
        <v>2680</v>
      </c>
      <c r="T1303" s="6">
        <v>5250000000</v>
      </c>
      <c r="W1303" t="str">
        <f t="shared" si="21"/>
        <v>207i-MT1401</v>
      </c>
      <c r="X1303">
        <f>VLOOKUP(W1303,Sheet10!D:F,2,0)*10000000</f>
        <v>5800000000</v>
      </c>
      <c r="Y1303" t="s">
        <v>5712</v>
      </c>
    </row>
    <row r="1304" spans="1:25" x14ac:dyDescent="0.25">
      <c r="A1304" t="s">
        <v>4483</v>
      </c>
      <c r="B1304" t="s">
        <v>6247</v>
      </c>
      <c r="C1304">
        <v>606</v>
      </c>
      <c r="D1304" t="s">
        <v>63</v>
      </c>
      <c r="E1304" t="s">
        <v>64</v>
      </c>
      <c r="F1304" t="s">
        <v>362</v>
      </c>
      <c r="H1304">
        <v>53</v>
      </c>
      <c r="I1304">
        <v>1400</v>
      </c>
      <c r="J1304" t="s">
        <v>6248</v>
      </c>
      <c r="K1304" t="s">
        <v>6004</v>
      </c>
      <c r="M1304" t="s">
        <v>4487</v>
      </c>
      <c r="N1304">
        <v>60602</v>
      </c>
      <c r="O1304" t="s">
        <v>4488</v>
      </c>
      <c r="Q1304" t="s">
        <v>4489</v>
      </c>
      <c r="R1304" t="s">
        <v>6249</v>
      </c>
      <c r="S1304" t="s">
        <v>3638</v>
      </c>
      <c r="T1304" s="6">
        <v>5450000000</v>
      </c>
      <c r="W1304" t="str">
        <f t="shared" si="21"/>
        <v>207i TU5P A1400</v>
      </c>
      <c r="X1304">
        <f>VLOOKUP(W1304,Sheet10!D:F,2,0)*10000000</f>
        <v>7000000000</v>
      </c>
      <c r="Y1304" t="s">
        <v>5712</v>
      </c>
    </row>
    <row r="1305" spans="1:25" x14ac:dyDescent="0.25">
      <c r="A1305" t="s">
        <v>4483</v>
      </c>
      <c r="B1305" t="s">
        <v>6250</v>
      </c>
      <c r="C1305">
        <v>606</v>
      </c>
      <c r="D1305" t="s">
        <v>63</v>
      </c>
      <c r="E1305" t="s">
        <v>64</v>
      </c>
      <c r="F1305" t="s">
        <v>362</v>
      </c>
      <c r="H1305">
        <v>53</v>
      </c>
      <c r="I1305">
        <v>1400</v>
      </c>
      <c r="J1305" t="s">
        <v>6251</v>
      </c>
      <c r="K1305" t="s">
        <v>6252</v>
      </c>
      <c r="M1305" t="s">
        <v>4487</v>
      </c>
      <c r="N1305">
        <v>60602</v>
      </c>
      <c r="O1305" t="s">
        <v>4488</v>
      </c>
      <c r="Q1305" t="s">
        <v>4489</v>
      </c>
      <c r="R1305" t="s">
        <v>6253</v>
      </c>
      <c r="S1305" t="s">
        <v>3611</v>
      </c>
      <c r="T1305" s="6">
        <v>5300000000</v>
      </c>
      <c r="W1305" t="str">
        <f t="shared" si="21"/>
        <v>207i TU5P A1400</v>
      </c>
      <c r="X1305">
        <f>VLOOKUP(W1305,Sheet10!D:F,2,0)*10000000</f>
        <v>7000000000</v>
      </c>
      <c r="Y1305" t="s">
        <v>5712</v>
      </c>
    </row>
    <row r="1306" spans="1:25" x14ac:dyDescent="0.25">
      <c r="A1306" t="s">
        <v>5976</v>
      </c>
      <c r="B1306" t="s">
        <v>6254</v>
      </c>
      <c r="C1306">
        <v>704</v>
      </c>
      <c r="D1306" t="s">
        <v>259</v>
      </c>
      <c r="E1306" t="s">
        <v>64</v>
      </c>
      <c r="F1306" t="s">
        <v>3186</v>
      </c>
      <c r="H1306">
        <v>52</v>
      </c>
      <c r="I1306">
        <v>1401</v>
      </c>
      <c r="J1306" t="s">
        <v>6255</v>
      </c>
      <c r="K1306" t="s">
        <v>5979</v>
      </c>
      <c r="M1306" t="s">
        <v>4401</v>
      </c>
      <c r="N1306">
        <v>70406</v>
      </c>
      <c r="O1306" t="s">
        <v>70</v>
      </c>
      <c r="Q1306" t="s">
        <v>5974</v>
      </c>
      <c r="R1306" t="s">
        <v>6256</v>
      </c>
      <c r="S1306" t="s">
        <v>1376</v>
      </c>
      <c r="T1306" s="6">
        <v>5950000000</v>
      </c>
      <c r="W1306" t="str">
        <f t="shared" si="21"/>
        <v>DENA EF7 TC-MT1401</v>
      </c>
      <c r="X1306">
        <f>VLOOKUP(W1306,Sheet10!D:F,2,0)*10000000</f>
        <v>6750000000</v>
      </c>
      <c r="Y1306" t="s">
        <v>5712</v>
      </c>
    </row>
    <row r="1307" spans="1:25" x14ac:dyDescent="0.25">
      <c r="A1307" t="s">
        <v>3242</v>
      </c>
      <c r="B1307" t="s">
        <v>6257</v>
      </c>
      <c r="C1307">
        <v>600</v>
      </c>
      <c r="D1307" t="s">
        <v>63</v>
      </c>
      <c r="E1307" t="s">
        <v>64</v>
      </c>
      <c r="F1307" t="s">
        <v>362</v>
      </c>
      <c r="H1307">
        <v>52</v>
      </c>
      <c r="I1307">
        <v>1400</v>
      </c>
      <c r="J1307" t="s">
        <v>6258</v>
      </c>
      <c r="K1307" t="s">
        <v>6004</v>
      </c>
      <c r="M1307" t="s">
        <v>3246</v>
      </c>
      <c r="N1307">
        <v>60010</v>
      </c>
      <c r="O1307" t="s">
        <v>303</v>
      </c>
      <c r="Q1307" t="s">
        <v>3247</v>
      </c>
      <c r="R1307" t="s">
        <v>6259</v>
      </c>
      <c r="S1307" t="s">
        <v>3016</v>
      </c>
      <c r="T1307" s="6">
        <v>5100000000</v>
      </c>
      <c r="W1307" t="str">
        <f t="shared" si="21"/>
        <v>207i-MT1400</v>
      </c>
      <c r="X1307">
        <f>VLOOKUP(W1307,Sheet10!D:F,2,0)*10000000</f>
        <v>5600000000</v>
      </c>
      <c r="Y1307" t="s">
        <v>5712</v>
      </c>
    </row>
    <row r="1308" spans="1:25" x14ac:dyDescent="0.25">
      <c r="A1308" t="s">
        <v>5970</v>
      </c>
      <c r="B1308" t="s">
        <v>6260</v>
      </c>
      <c r="C1308">
        <v>704</v>
      </c>
      <c r="D1308" t="s">
        <v>77</v>
      </c>
      <c r="E1308" t="s">
        <v>64</v>
      </c>
      <c r="F1308" t="s">
        <v>420</v>
      </c>
      <c r="H1308">
        <v>51</v>
      </c>
      <c r="I1308">
        <v>1401</v>
      </c>
      <c r="J1308" t="s">
        <v>6261</v>
      </c>
      <c r="K1308" t="s">
        <v>6262</v>
      </c>
      <c r="M1308" t="s">
        <v>4401</v>
      </c>
      <c r="N1308">
        <v>70406</v>
      </c>
      <c r="O1308" t="s">
        <v>70</v>
      </c>
      <c r="Q1308" t="s">
        <v>5974</v>
      </c>
      <c r="R1308" t="s">
        <v>6263</v>
      </c>
      <c r="S1308" t="s">
        <v>1046</v>
      </c>
      <c r="T1308" s="6">
        <v>5950000000</v>
      </c>
      <c r="W1308" t="str">
        <f t="shared" si="21"/>
        <v>DENA EF7 TC-MT1401</v>
      </c>
      <c r="X1308">
        <f>VLOOKUP(W1308,Sheet10!D:F,2,0)*10000000</f>
        <v>6750000000</v>
      </c>
      <c r="Y1308" t="s">
        <v>5712</v>
      </c>
    </row>
    <row r="1309" spans="1:25" x14ac:dyDescent="0.25">
      <c r="A1309" t="s">
        <v>3497</v>
      </c>
      <c r="B1309" t="s">
        <v>6264</v>
      </c>
      <c r="C1309">
        <v>600</v>
      </c>
      <c r="D1309" t="s">
        <v>77</v>
      </c>
      <c r="E1309" t="s">
        <v>64</v>
      </c>
      <c r="F1309" t="s">
        <v>362</v>
      </c>
      <c r="H1309">
        <v>51</v>
      </c>
      <c r="I1309">
        <v>1400</v>
      </c>
      <c r="J1309" t="s">
        <v>6265</v>
      </c>
      <c r="K1309" t="s">
        <v>6004</v>
      </c>
      <c r="M1309" t="s">
        <v>3246</v>
      </c>
      <c r="N1309">
        <v>60010</v>
      </c>
      <c r="O1309" t="s">
        <v>303</v>
      </c>
      <c r="Q1309" t="s">
        <v>3247</v>
      </c>
      <c r="R1309" t="s">
        <v>6266</v>
      </c>
      <c r="S1309" t="s">
        <v>4868</v>
      </c>
      <c r="T1309" s="6">
        <v>5100000000</v>
      </c>
      <c r="W1309" t="str">
        <f t="shared" si="21"/>
        <v>207i-MT1400</v>
      </c>
      <c r="X1309">
        <f>VLOOKUP(W1309,Sheet10!D:F,2,0)*10000000</f>
        <v>5600000000</v>
      </c>
      <c r="Y1309" t="s">
        <v>5712</v>
      </c>
    </row>
    <row r="1310" spans="1:25" x14ac:dyDescent="0.25">
      <c r="A1310" t="s">
        <v>5976</v>
      </c>
      <c r="B1310" t="s">
        <v>6267</v>
      </c>
      <c r="C1310">
        <v>704</v>
      </c>
      <c r="D1310" t="s">
        <v>259</v>
      </c>
      <c r="E1310" t="s">
        <v>64</v>
      </c>
      <c r="F1310" t="s">
        <v>3186</v>
      </c>
      <c r="H1310">
        <v>50</v>
      </c>
      <c r="I1310">
        <v>1401</v>
      </c>
      <c r="J1310" t="s">
        <v>6268</v>
      </c>
      <c r="K1310" t="s">
        <v>5979</v>
      </c>
      <c r="M1310" t="s">
        <v>4401</v>
      </c>
      <c r="N1310">
        <v>70406</v>
      </c>
      <c r="O1310" t="s">
        <v>70</v>
      </c>
      <c r="Q1310" t="s">
        <v>5974</v>
      </c>
      <c r="R1310" t="s">
        <v>6269</v>
      </c>
      <c r="S1310" t="s">
        <v>507</v>
      </c>
      <c r="T1310" s="6">
        <v>5950000000</v>
      </c>
      <c r="W1310" t="str">
        <f t="shared" si="21"/>
        <v>DENA EF7 TC-MT1401</v>
      </c>
      <c r="X1310">
        <f>VLOOKUP(W1310,Sheet10!D:F,2,0)*10000000</f>
        <v>6750000000</v>
      </c>
      <c r="Y1310" t="s">
        <v>5712</v>
      </c>
    </row>
    <row r="1311" spans="1:25" x14ac:dyDescent="0.25">
      <c r="A1311" t="s">
        <v>6270</v>
      </c>
      <c r="B1311" t="s">
        <v>6271</v>
      </c>
      <c r="C1311">
        <v>322</v>
      </c>
      <c r="D1311" t="s">
        <v>6272</v>
      </c>
      <c r="E1311" t="s">
        <v>64</v>
      </c>
      <c r="F1311" t="s">
        <v>362</v>
      </c>
      <c r="H1311">
        <v>50</v>
      </c>
      <c r="I1311">
        <v>1400</v>
      </c>
      <c r="J1311" t="s">
        <v>6273</v>
      </c>
      <c r="K1311" t="s">
        <v>6274</v>
      </c>
      <c r="M1311" t="s">
        <v>92</v>
      </c>
      <c r="N1311">
        <v>32201</v>
      </c>
      <c r="O1311" t="s">
        <v>70</v>
      </c>
      <c r="Q1311" t="s">
        <v>93</v>
      </c>
      <c r="R1311" t="s">
        <v>6275</v>
      </c>
      <c r="S1311" t="s">
        <v>3950</v>
      </c>
      <c r="T1311" s="6">
        <v>4850000000</v>
      </c>
      <c r="W1311" t="str">
        <f t="shared" si="21"/>
        <v>TARA TU5P1400</v>
      </c>
      <c r="X1311" t="e">
        <f>VLOOKUP(W1311,Sheet10!D:F,2,0)*10000000</f>
        <v>#N/A</v>
      </c>
      <c r="Y1311" t="s">
        <v>5712</v>
      </c>
    </row>
    <row r="1312" spans="1:25" x14ac:dyDescent="0.25">
      <c r="A1312" t="s">
        <v>3242</v>
      </c>
      <c r="B1312" t="s">
        <v>6276</v>
      </c>
      <c r="C1312">
        <v>600</v>
      </c>
      <c r="D1312" t="s">
        <v>63</v>
      </c>
      <c r="E1312" t="s">
        <v>64</v>
      </c>
      <c r="F1312" t="s">
        <v>2696</v>
      </c>
      <c r="H1312">
        <v>50</v>
      </c>
      <c r="I1312">
        <v>1401</v>
      </c>
      <c r="J1312" t="s">
        <v>6277</v>
      </c>
      <c r="K1312" t="s">
        <v>6278</v>
      </c>
      <c r="M1312" t="s">
        <v>3246</v>
      </c>
      <c r="N1312">
        <v>60010</v>
      </c>
      <c r="O1312" t="s">
        <v>303</v>
      </c>
      <c r="Q1312" t="s">
        <v>3247</v>
      </c>
      <c r="R1312" t="s">
        <v>6279</v>
      </c>
      <c r="S1312" t="s">
        <v>3802</v>
      </c>
      <c r="T1312" s="6">
        <v>5300000000</v>
      </c>
      <c r="W1312" t="str">
        <f t="shared" si="21"/>
        <v>207i-MT1401</v>
      </c>
      <c r="X1312">
        <f>VLOOKUP(W1312,Sheet10!D:F,2,0)*10000000</f>
        <v>5800000000</v>
      </c>
      <c r="Y1312" t="s">
        <v>5712</v>
      </c>
    </row>
    <row r="1313" spans="1:25" x14ac:dyDescent="0.25">
      <c r="A1313" t="s">
        <v>4497</v>
      </c>
      <c r="B1313" t="s">
        <v>6280</v>
      </c>
      <c r="C1313">
        <v>606</v>
      </c>
      <c r="D1313" t="s">
        <v>77</v>
      </c>
      <c r="E1313" t="s">
        <v>64</v>
      </c>
      <c r="F1313" t="s">
        <v>362</v>
      </c>
      <c r="H1313">
        <v>50</v>
      </c>
      <c r="I1313">
        <v>1400</v>
      </c>
      <c r="J1313" t="s">
        <v>6281</v>
      </c>
      <c r="K1313" t="s">
        <v>6282</v>
      </c>
      <c r="M1313" t="s">
        <v>4487</v>
      </c>
      <c r="N1313">
        <v>60602</v>
      </c>
      <c r="O1313" t="s">
        <v>4488</v>
      </c>
      <c r="Q1313" t="s">
        <v>4489</v>
      </c>
      <c r="R1313" t="s">
        <v>6283</v>
      </c>
      <c r="S1313" t="s">
        <v>3832</v>
      </c>
      <c r="T1313" s="6">
        <v>5450000000</v>
      </c>
      <c r="W1313" t="str">
        <f t="shared" si="21"/>
        <v>207i TU5P A1400</v>
      </c>
      <c r="X1313">
        <f>VLOOKUP(W1313,Sheet10!D:F,2,0)*10000000</f>
        <v>7000000000</v>
      </c>
      <c r="Y1313" t="s">
        <v>5712</v>
      </c>
    </row>
    <row r="1314" spans="1:25" x14ac:dyDescent="0.25">
      <c r="A1314" t="s">
        <v>3521</v>
      </c>
      <c r="B1314" t="s">
        <v>6284</v>
      </c>
      <c r="C1314">
        <v>707</v>
      </c>
      <c r="D1314" t="s">
        <v>77</v>
      </c>
      <c r="E1314" t="s">
        <v>64</v>
      </c>
      <c r="F1314" t="s">
        <v>420</v>
      </c>
      <c r="H1314">
        <v>49</v>
      </c>
      <c r="I1314">
        <v>1401</v>
      </c>
      <c r="J1314" t="s">
        <v>6285</v>
      </c>
      <c r="K1314" t="s">
        <v>6286</v>
      </c>
      <c r="M1314" t="s">
        <v>3450</v>
      </c>
      <c r="N1314">
        <v>70702</v>
      </c>
      <c r="O1314" t="s">
        <v>70</v>
      </c>
      <c r="Q1314" t="s">
        <v>3451</v>
      </c>
      <c r="R1314" t="s">
        <v>6287</v>
      </c>
      <c r="S1314" t="s">
        <v>1185</v>
      </c>
      <c r="T1314" s="6">
        <v>6330000000</v>
      </c>
      <c r="W1314" t="str">
        <f t="shared" si="21"/>
        <v>DENA+EF7TC A1401</v>
      </c>
      <c r="X1314">
        <f>VLOOKUP(W1314,Sheet10!D:F,2,0)*10000000</f>
        <v>7250000000</v>
      </c>
      <c r="Y1314" t="s">
        <v>5712</v>
      </c>
    </row>
    <row r="1315" spans="1:25" x14ac:dyDescent="0.25">
      <c r="A1315" t="s">
        <v>6288</v>
      </c>
      <c r="B1315" t="s">
        <v>6289</v>
      </c>
      <c r="C1315">
        <v>600</v>
      </c>
      <c r="D1315" t="s">
        <v>240</v>
      </c>
      <c r="E1315" t="s">
        <v>64</v>
      </c>
      <c r="F1315" t="s">
        <v>362</v>
      </c>
      <c r="H1315">
        <v>49</v>
      </c>
      <c r="I1315">
        <v>1400</v>
      </c>
      <c r="J1315" t="s">
        <v>6290</v>
      </c>
      <c r="K1315" t="s">
        <v>6291</v>
      </c>
      <c r="M1315" t="s">
        <v>3246</v>
      </c>
      <c r="N1315">
        <v>60010</v>
      </c>
      <c r="O1315" t="s">
        <v>303</v>
      </c>
      <c r="Q1315" t="s">
        <v>3247</v>
      </c>
      <c r="R1315" t="s">
        <v>6292</v>
      </c>
      <c r="S1315" t="s">
        <v>4214</v>
      </c>
      <c r="T1315" s="6">
        <v>5100000000</v>
      </c>
      <c r="W1315" t="str">
        <f t="shared" si="21"/>
        <v>207i-MT1400</v>
      </c>
      <c r="X1315">
        <f>VLOOKUP(W1315,Sheet10!D:F,2,0)*10000000</f>
        <v>5600000000</v>
      </c>
      <c r="Y1315" t="s">
        <v>5712</v>
      </c>
    </row>
    <row r="1316" spans="1:25" x14ac:dyDescent="0.25">
      <c r="A1316" t="s">
        <v>4497</v>
      </c>
      <c r="B1316" t="s">
        <v>6293</v>
      </c>
      <c r="C1316">
        <v>606</v>
      </c>
      <c r="D1316" t="s">
        <v>77</v>
      </c>
      <c r="E1316" t="s">
        <v>64</v>
      </c>
      <c r="F1316" t="s">
        <v>362</v>
      </c>
      <c r="H1316">
        <v>49</v>
      </c>
      <c r="I1316">
        <v>1400</v>
      </c>
      <c r="J1316" t="s">
        <v>6294</v>
      </c>
      <c r="K1316" t="s">
        <v>6295</v>
      </c>
      <c r="M1316" t="s">
        <v>4487</v>
      </c>
      <c r="N1316">
        <v>60602</v>
      </c>
      <c r="O1316" t="s">
        <v>4488</v>
      </c>
      <c r="Q1316" t="s">
        <v>4489</v>
      </c>
      <c r="R1316" t="s">
        <v>6296</v>
      </c>
      <c r="S1316" t="s">
        <v>4731</v>
      </c>
      <c r="T1316" s="6">
        <v>5450000000</v>
      </c>
      <c r="W1316" t="str">
        <f t="shared" si="21"/>
        <v>207i TU5P A1400</v>
      </c>
      <c r="X1316">
        <f>VLOOKUP(W1316,Sheet10!D:F,2,0)*10000000</f>
        <v>7000000000</v>
      </c>
      <c r="Y1316" t="s">
        <v>5712</v>
      </c>
    </row>
    <row r="1317" spans="1:25" x14ac:dyDescent="0.25">
      <c r="A1317" t="s">
        <v>4483</v>
      </c>
      <c r="B1317" t="s">
        <v>6297</v>
      </c>
      <c r="C1317">
        <v>606</v>
      </c>
      <c r="D1317" t="s">
        <v>63</v>
      </c>
      <c r="E1317" t="s">
        <v>64</v>
      </c>
      <c r="F1317" t="s">
        <v>362</v>
      </c>
      <c r="H1317">
        <v>49</v>
      </c>
      <c r="I1317">
        <v>1400</v>
      </c>
      <c r="J1317" t="s">
        <v>6298</v>
      </c>
      <c r="K1317" t="s">
        <v>6004</v>
      </c>
      <c r="M1317" t="s">
        <v>4487</v>
      </c>
      <c r="N1317">
        <v>60602</v>
      </c>
      <c r="O1317" t="s">
        <v>4488</v>
      </c>
      <c r="Q1317" t="s">
        <v>4489</v>
      </c>
      <c r="R1317" t="s">
        <v>6299</v>
      </c>
      <c r="S1317" t="s">
        <v>3502</v>
      </c>
      <c r="T1317" s="6">
        <v>5450000000</v>
      </c>
      <c r="W1317" t="str">
        <f t="shared" si="21"/>
        <v>207i TU5P A1400</v>
      </c>
      <c r="X1317">
        <f>VLOOKUP(W1317,Sheet10!D:F,2,0)*10000000</f>
        <v>7000000000</v>
      </c>
      <c r="Y1317" t="s">
        <v>5712</v>
      </c>
    </row>
    <row r="1318" spans="1:25" x14ac:dyDescent="0.25">
      <c r="A1318" t="s">
        <v>5216</v>
      </c>
      <c r="B1318" t="s">
        <v>6300</v>
      </c>
      <c r="C1318">
        <v>323</v>
      </c>
      <c r="D1318" t="s">
        <v>63</v>
      </c>
      <c r="E1318" t="s">
        <v>64</v>
      </c>
      <c r="F1318" t="s">
        <v>362</v>
      </c>
      <c r="H1318">
        <v>48</v>
      </c>
      <c r="I1318">
        <v>1400</v>
      </c>
      <c r="J1318" t="s">
        <v>6301</v>
      </c>
      <c r="K1318" t="s">
        <v>6302</v>
      </c>
      <c r="M1318" t="s">
        <v>5192</v>
      </c>
      <c r="N1318">
        <v>32301</v>
      </c>
      <c r="O1318" t="s">
        <v>70</v>
      </c>
      <c r="Q1318" t="s">
        <v>5193</v>
      </c>
      <c r="R1318" t="s">
        <v>6303</v>
      </c>
      <c r="S1318" t="s">
        <v>3727</v>
      </c>
      <c r="T1318" s="6">
        <v>6200000000</v>
      </c>
      <c r="W1318" t="str">
        <f t="shared" si="21"/>
        <v>TARA TU5PA1400</v>
      </c>
      <c r="X1318">
        <f>VLOOKUP(W1318,Sheet10!D:F,2,0)*10000000</f>
        <v>7200000000</v>
      </c>
      <c r="Y1318" t="s">
        <v>5712</v>
      </c>
    </row>
    <row r="1319" spans="1:25" x14ac:dyDescent="0.25">
      <c r="A1319" t="s">
        <v>3497</v>
      </c>
      <c r="B1319" t="s">
        <v>6304</v>
      </c>
      <c r="C1319">
        <v>600</v>
      </c>
      <c r="D1319" t="s">
        <v>77</v>
      </c>
      <c r="E1319" t="s">
        <v>64</v>
      </c>
      <c r="F1319" t="s">
        <v>420</v>
      </c>
      <c r="H1319">
        <v>48</v>
      </c>
      <c r="I1319">
        <v>1401</v>
      </c>
      <c r="J1319" t="s">
        <v>6305</v>
      </c>
      <c r="K1319" t="s">
        <v>6306</v>
      </c>
      <c r="M1319" t="s">
        <v>3246</v>
      </c>
      <c r="N1319">
        <v>60010</v>
      </c>
      <c r="O1319" t="s">
        <v>303</v>
      </c>
      <c r="Q1319" t="s">
        <v>3247</v>
      </c>
      <c r="R1319" t="s">
        <v>6307</v>
      </c>
      <c r="S1319" t="s">
        <v>2785</v>
      </c>
      <c r="T1319" s="6">
        <v>5300000000</v>
      </c>
      <c r="W1319" t="str">
        <f t="shared" si="21"/>
        <v>207i-MT1401</v>
      </c>
      <c r="X1319">
        <f>VLOOKUP(W1319,Sheet10!D:F,2,0)*10000000</f>
        <v>5800000000</v>
      </c>
      <c r="Y1319" t="s">
        <v>5712</v>
      </c>
    </row>
    <row r="1320" spans="1:25" x14ac:dyDescent="0.25">
      <c r="A1320" t="s">
        <v>6308</v>
      </c>
      <c r="B1320" t="s">
        <v>6309</v>
      </c>
      <c r="C1320">
        <v>518</v>
      </c>
      <c r="D1320" t="s">
        <v>63</v>
      </c>
      <c r="E1320" t="s">
        <v>64</v>
      </c>
      <c r="F1320" t="s">
        <v>2436</v>
      </c>
      <c r="H1320">
        <v>48</v>
      </c>
      <c r="I1320">
        <v>1401</v>
      </c>
      <c r="J1320" t="s">
        <v>6310</v>
      </c>
      <c r="K1320" t="s">
        <v>6311</v>
      </c>
      <c r="M1320" t="s">
        <v>5609</v>
      </c>
      <c r="N1320">
        <v>51802</v>
      </c>
      <c r="O1320" t="s">
        <v>303</v>
      </c>
      <c r="Q1320" t="s">
        <v>5610</v>
      </c>
      <c r="R1320" t="s">
        <v>6312</v>
      </c>
      <c r="S1320" t="s">
        <v>4530</v>
      </c>
      <c r="T1320" s="6">
        <v>11300000000</v>
      </c>
      <c r="W1320" t="str">
        <f t="shared" si="21"/>
        <v>S7-T-AT1401</v>
      </c>
      <c r="X1320">
        <f>VLOOKUP(W1320,Sheet10!D:F,2,0)*10000000</f>
        <v>13450000000</v>
      </c>
      <c r="Y1320" t="s">
        <v>5712</v>
      </c>
    </row>
    <row r="1321" spans="1:25" x14ac:dyDescent="0.25">
      <c r="A1321" t="s">
        <v>5216</v>
      </c>
      <c r="B1321" t="s">
        <v>6313</v>
      </c>
      <c r="C1321">
        <v>323</v>
      </c>
      <c r="D1321" t="s">
        <v>63</v>
      </c>
      <c r="E1321" t="s">
        <v>64</v>
      </c>
      <c r="F1321" t="s">
        <v>362</v>
      </c>
      <c r="H1321">
        <v>47</v>
      </c>
      <c r="I1321">
        <v>1400</v>
      </c>
      <c r="J1321" t="s">
        <v>6314</v>
      </c>
      <c r="K1321" t="s">
        <v>6315</v>
      </c>
      <c r="M1321" t="s">
        <v>5192</v>
      </c>
      <c r="N1321">
        <v>32301</v>
      </c>
      <c r="O1321" t="s">
        <v>70</v>
      </c>
      <c r="Q1321" t="s">
        <v>5193</v>
      </c>
      <c r="R1321" t="s">
        <v>6316</v>
      </c>
      <c r="S1321" t="s">
        <v>2105</v>
      </c>
      <c r="T1321" s="6">
        <v>6200000000</v>
      </c>
      <c r="W1321" t="str">
        <f t="shared" si="21"/>
        <v>TARA TU5PA1400</v>
      </c>
      <c r="X1321">
        <f>VLOOKUP(W1321,Sheet10!D:F,2,0)*10000000</f>
        <v>7200000000</v>
      </c>
      <c r="Y1321" t="s">
        <v>5712</v>
      </c>
    </row>
    <row r="1322" spans="1:25" x14ac:dyDescent="0.25">
      <c r="A1322" t="s">
        <v>6317</v>
      </c>
      <c r="B1322" t="s">
        <v>6318</v>
      </c>
      <c r="C1322">
        <v>322</v>
      </c>
      <c r="D1322" t="s">
        <v>5197</v>
      </c>
      <c r="E1322" t="s">
        <v>64</v>
      </c>
      <c r="F1322" t="s">
        <v>362</v>
      </c>
      <c r="H1322">
        <v>47</v>
      </c>
      <c r="I1322">
        <v>1400</v>
      </c>
      <c r="J1322" t="s">
        <v>6319</v>
      </c>
      <c r="K1322" t="s">
        <v>6274</v>
      </c>
      <c r="M1322" t="s">
        <v>92</v>
      </c>
      <c r="N1322">
        <v>32201</v>
      </c>
      <c r="O1322" t="s">
        <v>70</v>
      </c>
      <c r="Q1322" t="s">
        <v>93</v>
      </c>
      <c r="R1322" t="s">
        <v>6320</v>
      </c>
      <c r="S1322" t="s">
        <v>4425</v>
      </c>
      <c r="T1322" s="6">
        <v>4850000000</v>
      </c>
      <c r="W1322" t="str">
        <f t="shared" si="21"/>
        <v>TARA TU5P1400</v>
      </c>
      <c r="X1322" t="e">
        <f>VLOOKUP(W1322,Sheet10!D:F,2,0)*10000000</f>
        <v>#N/A</v>
      </c>
      <c r="Y1322" t="s">
        <v>5712</v>
      </c>
    </row>
    <row r="1323" spans="1:25" x14ac:dyDescent="0.25">
      <c r="A1323" t="s">
        <v>3242</v>
      </c>
      <c r="B1323" t="s">
        <v>6321</v>
      </c>
      <c r="C1323">
        <v>600</v>
      </c>
      <c r="D1323" t="s">
        <v>63</v>
      </c>
      <c r="E1323" t="s">
        <v>64</v>
      </c>
      <c r="F1323" t="s">
        <v>362</v>
      </c>
      <c r="H1323">
        <v>47</v>
      </c>
      <c r="I1323">
        <v>1400</v>
      </c>
      <c r="J1323" t="s">
        <v>6322</v>
      </c>
      <c r="K1323" t="s">
        <v>6323</v>
      </c>
      <c r="M1323" t="s">
        <v>3246</v>
      </c>
      <c r="N1323">
        <v>60010</v>
      </c>
      <c r="O1323" t="s">
        <v>303</v>
      </c>
      <c r="Q1323" t="s">
        <v>3247</v>
      </c>
      <c r="R1323" t="s">
        <v>6324</v>
      </c>
      <c r="S1323" t="s">
        <v>4784</v>
      </c>
      <c r="T1323" s="6">
        <v>5100000000</v>
      </c>
      <c r="W1323" t="str">
        <f t="shared" si="21"/>
        <v>207i-MT1400</v>
      </c>
      <c r="X1323">
        <f>VLOOKUP(W1323,Sheet10!D:F,2,0)*10000000</f>
        <v>5600000000</v>
      </c>
      <c r="Y1323" t="s">
        <v>5712</v>
      </c>
    </row>
    <row r="1324" spans="1:25" x14ac:dyDescent="0.25">
      <c r="A1324" t="s">
        <v>4483</v>
      </c>
      <c r="B1324" t="s">
        <v>6325</v>
      </c>
      <c r="C1324">
        <v>606</v>
      </c>
      <c r="D1324" t="s">
        <v>63</v>
      </c>
      <c r="E1324" t="s">
        <v>64</v>
      </c>
      <c r="F1324" t="s">
        <v>362</v>
      </c>
      <c r="H1324">
        <v>47</v>
      </c>
      <c r="I1324">
        <v>1400</v>
      </c>
      <c r="J1324" t="s">
        <v>6326</v>
      </c>
      <c r="K1324" t="s">
        <v>6327</v>
      </c>
      <c r="M1324" t="s">
        <v>4487</v>
      </c>
      <c r="N1324">
        <v>60602</v>
      </c>
      <c r="O1324" t="s">
        <v>4488</v>
      </c>
      <c r="Q1324" t="s">
        <v>4489</v>
      </c>
      <c r="R1324" t="s">
        <v>6328</v>
      </c>
      <c r="S1324" t="s">
        <v>3822</v>
      </c>
      <c r="T1324" s="6">
        <v>5450000000</v>
      </c>
      <c r="W1324" t="str">
        <f t="shared" si="21"/>
        <v>207i TU5P A1400</v>
      </c>
      <c r="X1324">
        <f>VLOOKUP(W1324,Sheet10!D:F,2,0)*10000000</f>
        <v>7000000000</v>
      </c>
      <c r="Y1324" t="s">
        <v>5712</v>
      </c>
    </row>
    <row r="1325" spans="1:25" x14ac:dyDescent="0.25">
      <c r="A1325" t="s">
        <v>6029</v>
      </c>
      <c r="B1325" t="s">
        <v>6329</v>
      </c>
      <c r="C1325">
        <v>704</v>
      </c>
      <c r="D1325" t="s">
        <v>240</v>
      </c>
      <c r="E1325" t="s">
        <v>64</v>
      </c>
      <c r="F1325" t="s">
        <v>420</v>
      </c>
      <c r="H1325">
        <v>46</v>
      </c>
      <c r="I1325">
        <v>1401</v>
      </c>
      <c r="J1325" t="s">
        <v>6330</v>
      </c>
      <c r="K1325" t="s">
        <v>6331</v>
      </c>
      <c r="M1325" t="s">
        <v>4401</v>
      </c>
      <c r="N1325">
        <v>70406</v>
      </c>
      <c r="O1325" t="s">
        <v>70</v>
      </c>
      <c r="Q1325" t="s">
        <v>5974</v>
      </c>
      <c r="R1325" t="s">
        <v>6332</v>
      </c>
      <c r="S1325" t="s">
        <v>1407</v>
      </c>
      <c r="T1325" s="6">
        <v>5900000000</v>
      </c>
      <c r="W1325" t="str">
        <f t="shared" si="21"/>
        <v>DENA EF7 TC-MT1401</v>
      </c>
      <c r="X1325">
        <f>VLOOKUP(W1325,Sheet10!D:F,2,0)*10000000</f>
        <v>6750000000</v>
      </c>
      <c r="Y1325" t="s">
        <v>5712</v>
      </c>
    </row>
    <row r="1326" spans="1:25" x14ac:dyDescent="0.25">
      <c r="A1326" t="s">
        <v>5585</v>
      </c>
      <c r="B1326" t="s">
        <v>6333</v>
      </c>
      <c r="C1326">
        <v>522</v>
      </c>
      <c r="D1326" t="s">
        <v>77</v>
      </c>
      <c r="E1326" t="s">
        <v>64</v>
      </c>
      <c r="F1326" t="s">
        <v>362</v>
      </c>
      <c r="H1326">
        <v>46</v>
      </c>
      <c r="I1326">
        <v>1400</v>
      </c>
      <c r="J1326" t="s">
        <v>6334</v>
      </c>
      <c r="K1326" t="s">
        <v>6335</v>
      </c>
      <c r="M1326" t="s">
        <v>5589</v>
      </c>
      <c r="N1326">
        <v>52201</v>
      </c>
      <c r="O1326" t="s">
        <v>4488</v>
      </c>
      <c r="Q1326" t="s">
        <v>5590</v>
      </c>
      <c r="R1326" t="s">
        <v>6336</v>
      </c>
      <c r="S1326" t="s">
        <v>5068</v>
      </c>
      <c r="T1326" s="6">
        <v>9350000000</v>
      </c>
      <c r="W1326" t="str">
        <f t="shared" si="21"/>
        <v>S5-T-AT1400</v>
      </c>
      <c r="X1326" t="e">
        <f>VLOOKUP(W1326,Sheet10!D:F,2,0)*10000000</f>
        <v>#N/A</v>
      </c>
      <c r="Y1326" t="s">
        <v>5712</v>
      </c>
    </row>
    <row r="1327" spans="1:25" x14ac:dyDescent="0.25">
      <c r="A1327" t="s">
        <v>4497</v>
      </c>
      <c r="B1327" t="s">
        <v>6337</v>
      </c>
      <c r="C1327">
        <v>606</v>
      </c>
      <c r="D1327" t="s">
        <v>77</v>
      </c>
      <c r="E1327" t="s">
        <v>64</v>
      </c>
      <c r="F1327" t="s">
        <v>362</v>
      </c>
      <c r="H1327">
        <v>46</v>
      </c>
      <c r="I1327">
        <v>1400</v>
      </c>
      <c r="J1327" t="s">
        <v>6338</v>
      </c>
      <c r="K1327" t="s">
        <v>6004</v>
      </c>
      <c r="M1327" t="s">
        <v>4487</v>
      </c>
      <c r="N1327">
        <v>60602</v>
      </c>
      <c r="O1327" t="s">
        <v>4488</v>
      </c>
      <c r="Q1327" t="s">
        <v>4489</v>
      </c>
      <c r="R1327" t="s">
        <v>6339</v>
      </c>
      <c r="S1327" t="s">
        <v>4646</v>
      </c>
      <c r="T1327" s="6">
        <v>5450000000</v>
      </c>
      <c r="W1327" t="str">
        <f t="shared" si="21"/>
        <v>207i TU5P A1400</v>
      </c>
      <c r="X1327">
        <f>VLOOKUP(W1327,Sheet10!D:F,2,0)*10000000</f>
        <v>7000000000</v>
      </c>
      <c r="Y1327" t="s">
        <v>5712</v>
      </c>
    </row>
    <row r="1328" spans="1:25" x14ac:dyDescent="0.25">
      <c r="A1328" t="s">
        <v>5364</v>
      </c>
      <c r="B1328" t="s">
        <v>6340</v>
      </c>
      <c r="C1328">
        <v>704</v>
      </c>
      <c r="D1328" t="s">
        <v>259</v>
      </c>
      <c r="E1328" t="s">
        <v>64</v>
      </c>
      <c r="F1328" t="s">
        <v>491</v>
      </c>
      <c r="H1328">
        <v>45</v>
      </c>
      <c r="I1328">
        <v>1401</v>
      </c>
      <c r="J1328" t="s">
        <v>6341</v>
      </c>
      <c r="K1328" t="s">
        <v>6342</v>
      </c>
      <c r="M1328" t="s">
        <v>4401</v>
      </c>
      <c r="N1328">
        <v>70408</v>
      </c>
      <c r="O1328" t="s">
        <v>70</v>
      </c>
      <c r="Q1328" t="s">
        <v>4402</v>
      </c>
      <c r="R1328" t="s">
        <v>6343</v>
      </c>
      <c r="S1328" t="s">
        <v>2168</v>
      </c>
      <c r="T1328" s="6">
        <v>5750000000</v>
      </c>
      <c r="W1328" t="str">
        <f t="shared" si="21"/>
        <v>DENA EF7 TC-MT1401</v>
      </c>
      <c r="X1328">
        <f>VLOOKUP(W1328,Sheet10!D:F,2,0)*10000000</f>
        <v>6750000000</v>
      </c>
      <c r="Y1328" t="s">
        <v>5712</v>
      </c>
    </row>
    <row r="1329" spans="1:25" x14ac:dyDescent="0.25">
      <c r="A1329" t="s">
        <v>5216</v>
      </c>
      <c r="B1329" t="s">
        <v>6344</v>
      </c>
      <c r="C1329">
        <v>323</v>
      </c>
      <c r="D1329" t="s">
        <v>63</v>
      </c>
      <c r="E1329" t="s">
        <v>64</v>
      </c>
      <c r="F1329" t="s">
        <v>362</v>
      </c>
      <c r="H1329">
        <v>45</v>
      </c>
      <c r="I1329">
        <v>1400</v>
      </c>
      <c r="J1329" t="s">
        <v>6345</v>
      </c>
      <c r="K1329" t="s">
        <v>6346</v>
      </c>
      <c r="M1329" t="s">
        <v>5192</v>
      </c>
      <c r="N1329">
        <v>32301</v>
      </c>
      <c r="O1329" t="s">
        <v>70</v>
      </c>
      <c r="Q1329" t="s">
        <v>5193</v>
      </c>
      <c r="R1329" t="s">
        <v>6347</v>
      </c>
      <c r="S1329" t="s">
        <v>2124</v>
      </c>
      <c r="T1329" s="6">
        <v>6200000000</v>
      </c>
      <c r="W1329" t="str">
        <f t="shared" si="21"/>
        <v>TARA TU5PA1400</v>
      </c>
      <c r="X1329">
        <f>VLOOKUP(W1329,Sheet10!D:F,2,0)*10000000</f>
        <v>7200000000</v>
      </c>
      <c r="Y1329" t="s">
        <v>5712</v>
      </c>
    </row>
    <row r="1330" spans="1:25" x14ac:dyDescent="0.25">
      <c r="A1330" t="s">
        <v>3242</v>
      </c>
      <c r="B1330" t="s">
        <v>6348</v>
      </c>
      <c r="C1330">
        <v>600</v>
      </c>
      <c r="D1330" t="s">
        <v>63</v>
      </c>
      <c r="E1330" t="s">
        <v>64</v>
      </c>
      <c r="F1330" t="s">
        <v>491</v>
      </c>
      <c r="H1330">
        <v>45</v>
      </c>
      <c r="I1330">
        <v>1401</v>
      </c>
      <c r="J1330" t="s">
        <v>6349</v>
      </c>
      <c r="K1330" t="s">
        <v>6350</v>
      </c>
      <c r="M1330" t="s">
        <v>3246</v>
      </c>
      <c r="N1330">
        <v>60010</v>
      </c>
      <c r="O1330" t="s">
        <v>303</v>
      </c>
      <c r="Q1330" t="s">
        <v>3247</v>
      </c>
      <c r="R1330" t="s">
        <v>6351</v>
      </c>
      <c r="S1330" t="s">
        <v>3005</v>
      </c>
      <c r="T1330" s="6">
        <v>5250000000</v>
      </c>
      <c r="W1330" t="str">
        <f t="shared" si="21"/>
        <v>207i-MT1401</v>
      </c>
      <c r="X1330">
        <f>VLOOKUP(W1330,Sheet10!D:F,2,0)*10000000</f>
        <v>5800000000</v>
      </c>
      <c r="Y1330" t="s">
        <v>5712</v>
      </c>
    </row>
    <row r="1331" spans="1:25" x14ac:dyDescent="0.25">
      <c r="A1331" t="s">
        <v>5364</v>
      </c>
      <c r="B1331" t="s">
        <v>5365</v>
      </c>
      <c r="C1331">
        <v>704</v>
      </c>
      <c r="D1331" t="s">
        <v>259</v>
      </c>
      <c r="E1331" t="s">
        <v>64</v>
      </c>
      <c r="F1331" t="s">
        <v>491</v>
      </c>
      <c r="H1331">
        <v>44</v>
      </c>
      <c r="I1331">
        <v>1401</v>
      </c>
      <c r="J1331" t="s">
        <v>5366</v>
      </c>
      <c r="K1331" t="s">
        <v>5367</v>
      </c>
      <c r="M1331" t="s">
        <v>4401</v>
      </c>
      <c r="N1331">
        <v>70408</v>
      </c>
      <c r="O1331" t="s">
        <v>70</v>
      </c>
      <c r="Q1331" t="s">
        <v>4402</v>
      </c>
      <c r="R1331" t="s">
        <v>5368</v>
      </c>
      <c r="S1331" t="s">
        <v>2163</v>
      </c>
      <c r="T1331" s="6">
        <v>5800000000</v>
      </c>
      <c r="W1331" t="str">
        <f t="shared" si="21"/>
        <v>DENA EF7 TC-MT1401</v>
      </c>
      <c r="X1331">
        <f>VLOOKUP(W1331,Sheet10!D:F,2,0)*10000000</f>
        <v>6750000000</v>
      </c>
      <c r="Y1331" t="s">
        <v>5712</v>
      </c>
    </row>
    <row r="1332" spans="1:25" x14ac:dyDescent="0.25">
      <c r="A1332" t="s">
        <v>6308</v>
      </c>
      <c r="B1332" t="s">
        <v>6352</v>
      </c>
      <c r="C1332">
        <v>518</v>
      </c>
      <c r="D1332" t="s">
        <v>63</v>
      </c>
      <c r="E1332" t="s">
        <v>64</v>
      </c>
      <c r="F1332" t="s">
        <v>2696</v>
      </c>
      <c r="H1332">
        <v>44</v>
      </c>
      <c r="I1332">
        <v>1401</v>
      </c>
      <c r="J1332" t="s">
        <v>6353</v>
      </c>
      <c r="K1332" t="s">
        <v>6354</v>
      </c>
      <c r="M1332" t="s">
        <v>5609</v>
      </c>
      <c r="N1332">
        <v>51802</v>
      </c>
      <c r="O1332" t="s">
        <v>303</v>
      </c>
      <c r="Q1332" t="s">
        <v>5610</v>
      </c>
      <c r="R1332" t="s">
        <v>6355</v>
      </c>
      <c r="S1332" t="s">
        <v>4986</v>
      </c>
      <c r="T1332" s="6">
        <v>11000000000</v>
      </c>
      <c r="W1332" t="str">
        <f t="shared" si="21"/>
        <v>S7-T-AT1401</v>
      </c>
      <c r="X1332">
        <f>VLOOKUP(W1332,Sheet10!D:F,2,0)*10000000</f>
        <v>13450000000</v>
      </c>
      <c r="Y1332" t="s">
        <v>5712</v>
      </c>
    </row>
    <row r="1333" spans="1:25" x14ac:dyDescent="0.25">
      <c r="A1333" t="s">
        <v>191</v>
      </c>
      <c r="B1333" t="s">
        <v>6356</v>
      </c>
      <c r="C1333">
        <v>285</v>
      </c>
      <c r="D1333" t="s">
        <v>63</v>
      </c>
      <c r="E1333" t="s">
        <v>64</v>
      </c>
      <c r="F1333" t="s">
        <v>318</v>
      </c>
      <c r="H1333">
        <v>44</v>
      </c>
      <c r="I1333">
        <v>1400</v>
      </c>
      <c r="J1333" t="s">
        <v>6357</v>
      </c>
      <c r="K1333" t="s">
        <v>6358</v>
      </c>
      <c r="M1333" t="s">
        <v>198</v>
      </c>
      <c r="N1333">
        <v>28520</v>
      </c>
      <c r="O1333" t="s">
        <v>70</v>
      </c>
      <c r="Q1333" t="s">
        <v>199</v>
      </c>
      <c r="R1333" t="s">
        <v>6359</v>
      </c>
      <c r="S1333" t="s">
        <v>450</v>
      </c>
      <c r="T1333" s="6">
        <v>4000000000</v>
      </c>
      <c r="W1333" t="str">
        <f t="shared" si="21"/>
        <v>PARS TU51400</v>
      </c>
      <c r="X1333">
        <f>VLOOKUP(W1333,Sheet10!D:F,2,0)*10000000</f>
        <v>5100000000</v>
      </c>
      <c r="Y1333" t="s">
        <v>5712</v>
      </c>
    </row>
    <row r="1334" spans="1:25" x14ac:dyDescent="0.25">
      <c r="A1334" t="s">
        <v>6360</v>
      </c>
      <c r="B1334" t="s">
        <v>6361</v>
      </c>
      <c r="C1334">
        <v>575</v>
      </c>
      <c r="D1334" t="s">
        <v>4479</v>
      </c>
      <c r="E1334" t="s">
        <v>64</v>
      </c>
      <c r="F1334" t="s">
        <v>420</v>
      </c>
      <c r="H1334">
        <v>43</v>
      </c>
      <c r="I1334">
        <v>1401</v>
      </c>
      <c r="J1334" t="s">
        <v>6362</v>
      </c>
      <c r="K1334" t="s">
        <v>6363</v>
      </c>
      <c r="M1334" t="s">
        <v>367</v>
      </c>
      <c r="N1334">
        <v>57523</v>
      </c>
      <c r="O1334" t="s">
        <v>70</v>
      </c>
      <c r="Q1334" t="s">
        <v>2648</v>
      </c>
      <c r="R1334" t="s">
        <v>6364</v>
      </c>
      <c r="S1334" t="s">
        <v>2060</v>
      </c>
      <c r="T1334" s="6">
        <v>4150000000</v>
      </c>
      <c r="W1334" t="str">
        <f t="shared" si="21"/>
        <v>SOREN EF71401</v>
      </c>
      <c r="X1334">
        <f>VLOOKUP(W1334,Sheet10!D:F,2,0)*10000000</f>
        <v>4650000000</v>
      </c>
      <c r="Y1334" t="s">
        <v>5712</v>
      </c>
    </row>
    <row r="1335" spans="1:25" x14ac:dyDescent="0.25">
      <c r="A1335" t="s">
        <v>87</v>
      </c>
      <c r="B1335" t="s">
        <v>6365</v>
      </c>
      <c r="C1335">
        <v>322</v>
      </c>
      <c r="D1335" t="s">
        <v>63</v>
      </c>
      <c r="E1335" t="s">
        <v>64</v>
      </c>
      <c r="F1335" t="s">
        <v>362</v>
      </c>
      <c r="H1335">
        <v>43</v>
      </c>
      <c r="I1335">
        <v>1400</v>
      </c>
      <c r="J1335" t="s">
        <v>6366</v>
      </c>
      <c r="K1335" t="s">
        <v>6004</v>
      </c>
      <c r="M1335" t="s">
        <v>92</v>
      </c>
      <c r="N1335">
        <v>32201</v>
      </c>
      <c r="O1335" t="s">
        <v>70</v>
      </c>
      <c r="Q1335" t="s">
        <v>93</v>
      </c>
      <c r="R1335" t="s">
        <v>6367</v>
      </c>
      <c r="S1335" t="s">
        <v>3732</v>
      </c>
      <c r="T1335" s="6">
        <v>4850000000</v>
      </c>
      <c r="W1335" t="str">
        <f t="shared" si="21"/>
        <v>TARA TU5P1400</v>
      </c>
      <c r="X1335" t="e">
        <f>VLOOKUP(W1335,Sheet10!D:F,2,0)*10000000</f>
        <v>#N/A</v>
      </c>
      <c r="Y1335" t="s">
        <v>5712</v>
      </c>
    </row>
    <row r="1336" spans="1:25" x14ac:dyDescent="0.25">
      <c r="A1336" t="s">
        <v>3478</v>
      </c>
      <c r="B1336" t="s">
        <v>6368</v>
      </c>
      <c r="C1336">
        <v>707</v>
      </c>
      <c r="D1336" t="s">
        <v>259</v>
      </c>
      <c r="E1336" t="s">
        <v>64</v>
      </c>
      <c r="F1336" t="s">
        <v>420</v>
      </c>
      <c r="H1336">
        <v>42</v>
      </c>
      <c r="I1336">
        <v>1401</v>
      </c>
      <c r="J1336" t="s">
        <v>6369</v>
      </c>
      <c r="K1336" t="s">
        <v>6370</v>
      </c>
      <c r="M1336" t="s">
        <v>3450</v>
      </c>
      <c r="N1336">
        <v>70702</v>
      </c>
      <c r="O1336" t="s">
        <v>70</v>
      </c>
      <c r="Q1336" t="s">
        <v>3451</v>
      </c>
      <c r="R1336" t="s">
        <v>6371</v>
      </c>
      <c r="S1336" t="s">
        <v>1286</v>
      </c>
      <c r="T1336" s="6">
        <v>6350000000</v>
      </c>
      <c r="W1336" t="str">
        <f t="shared" si="21"/>
        <v>DENA+EF7TC A1401</v>
      </c>
      <c r="X1336">
        <f>VLOOKUP(W1336,Sheet10!D:F,2,0)*10000000</f>
        <v>7250000000</v>
      </c>
      <c r="Y1336" t="s">
        <v>5712</v>
      </c>
    </row>
    <row r="1337" spans="1:25" x14ac:dyDescent="0.25">
      <c r="A1337" t="s">
        <v>5216</v>
      </c>
      <c r="B1337" t="s">
        <v>6372</v>
      </c>
      <c r="C1337">
        <v>323</v>
      </c>
      <c r="D1337" t="s">
        <v>63</v>
      </c>
      <c r="E1337" t="s">
        <v>64</v>
      </c>
      <c r="F1337" t="s">
        <v>362</v>
      </c>
      <c r="H1337">
        <v>42</v>
      </c>
      <c r="I1337">
        <v>1400</v>
      </c>
      <c r="J1337" t="s">
        <v>6373</v>
      </c>
      <c r="K1337" t="s">
        <v>6274</v>
      </c>
      <c r="M1337" t="s">
        <v>5192</v>
      </c>
      <c r="N1337">
        <v>32301</v>
      </c>
      <c r="O1337" t="s">
        <v>70</v>
      </c>
      <c r="Q1337" t="s">
        <v>5193</v>
      </c>
      <c r="R1337" t="s">
        <v>6374</v>
      </c>
      <c r="S1337" t="s">
        <v>2114</v>
      </c>
      <c r="T1337" s="6">
        <v>6200000000</v>
      </c>
      <c r="W1337" t="str">
        <f t="shared" si="21"/>
        <v>TARA TU5PA1400</v>
      </c>
      <c r="X1337">
        <f>VLOOKUP(W1337,Sheet10!D:F,2,0)*10000000</f>
        <v>7200000000</v>
      </c>
      <c r="Y1337" t="s">
        <v>5712</v>
      </c>
    </row>
    <row r="1338" spans="1:25" x14ac:dyDescent="0.25">
      <c r="A1338" t="s">
        <v>6237</v>
      </c>
      <c r="B1338" t="s">
        <v>6375</v>
      </c>
      <c r="C1338">
        <v>606</v>
      </c>
      <c r="D1338" t="s">
        <v>63</v>
      </c>
      <c r="E1338" t="s">
        <v>64</v>
      </c>
      <c r="F1338" t="s">
        <v>4256</v>
      </c>
      <c r="H1338">
        <v>42</v>
      </c>
      <c r="I1338">
        <v>1400</v>
      </c>
      <c r="J1338" t="s">
        <v>6376</v>
      </c>
      <c r="K1338" t="s">
        <v>6377</v>
      </c>
      <c r="M1338" t="s">
        <v>4487</v>
      </c>
      <c r="N1338">
        <v>60601</v>
      </c>
      <c r="O1338" t="s">
        <v>4488</v>
      </c>
      <c r="Q1338" t="s">
        <v>6241</v>
      </c>
      <c r="R1338" t="s">
        <v>6378</v>
      </c>
      <c r="S1338" t="s">
        <v>4599</v>
      </c>
      <c r="T1338" s="6">
        <v>6200000000</v>
      </c>
      <c r="W1338" t="str">
        <f t="shared" si="21"/>
        <v>207i TU5P A1400</v>
      </c>
      <c r="X1338">
        <f>VLOOKUP(W1338,Sheet10!D:F,2,0)*10000000</f>
        <v>7000000000</v>
      </c>
      <c r="Y1338" t="s">
        <v>5712</v>
      </c>
    </row>
    <row r="1339" spans="1:25" x14ac:dyDescent="0.25">
      <c r="A1339" t="s">
        <v>5585</v>
      </c>
      <c r="B1339" t="s">
        <v>6379</v>
      </c>
      <c r="C1339">
        <v>522</v>
      </c>
      <c r="D1339" t="s">
        <v>77</v>
      </c>
      <c r="E1339" t="s">
        <v>64</v>
      </c>
      <c r="F1339" t="s">
        <v>362</v>
      </c>
      <c r="H1339">
        <v>42</v>
      </c>
      <c r="I1339">
        <v>1400</v>
      </c>
      <c r="J1339" t="s">
        <v>6380</v>
      </c>
      <c r="K1339" t="s">
        <v>6381</v>
      </c>
      <c r="M1339" t="s">
        <v>5589</v>
      </c>
      <c r="N1339">
        <v>52201</v>
      </c>
      <c r="O1339" t="s">
        <v>4488</v>
      </c>
      <c r="Q1339" t="s">
        <v>5590</v>
      </c>
      <c r="R1339" t="s">
        <v>6382</v>
      </c>
      <c r="S1339" t="s">
        <v>4456</v>
      </c>
      <c r="T1339" s="6">
        <v>9350000000</v>
      </c>
      <c r="W1339" t="str">
        <f t="shared" si="21"/>
        <v>S5-T-AT1400</v>
      </c>
      <c r="X1339" t="e">
        <f>VLOOKUP(W1339,Sheet10!D:F,2,0)*10000000</f>
        <v>#N/A</v>
      </c>
      <c r="Y1339" t="s">
        <v>5712</v>
      </c>
    </row>
    <row r="1340" spans="1:25" x14ac:dyDescent="0.25">
      <c r="A1340" t="s">
        <v>5216</v>
      </c>
      <c r="B1340" t="s">
        <v>6383</v>
      </c>
      <c r="C1340">
        <v>323</v>
      </c>
      <c r="D1340" t="s">
        <v>63</v>
      </c>
      <c r="E1340" t="s">
        <v>64</v>
      </c>
      <c r="F1340" t="s">
        <v>362</v>
      </c>
      <c r="H1340">
        <v>41</v>
      </c>
      <c r="I1340">
        <v>1400</v>
      </c>
      <c r="J1340" t="s">
        <v>6384</v>
      </c>
      <c r="K1340" t="s">
        <v>6274</v>
      </c>
      <c r="M1340" t="s">
        <v>5192</v>
      </c>
      <c r="N1340">
        <v>32301</v>
      </c>
      <c r="O1340" t="s">
        <v>70</v>
      </c>
      <c r="Q1340" t="s">
        <v>5193</v>
      </c>
      <c r="R1340" t="s">
        <v>6385</v>
      </c>
      <c r="S1340" t="s">
        <v>1423</v>
      </c>
      <c r="T1340" s="6">
        <v>6200000000</v>
      </c>
      <c r="W1340" t="str">
        <f t="shared" si="21"/>
        <v>TARA TU5PA1400</v>
      </c>
      <c r="X1340">
        <f>VLOOKUP(W1340,Sheet10!D:F,2,0)*10000000</f>
        <v>7200000000</v>
      </c>
      <c r="Y1340" t="s">
        <v>5712</v>
      </c>
    </row>
    <row r="1341" spans="1:25" x14ac:dyDescent="0.25">
      <c r="A1341" t="s">
        <v>6237</v>
      </c>
      <c r="B1341" t="s">
        <v>6386</v>
      </c>
      <c r="C1341">
        <v>606</v>
      </c>
      <c r="D1341" t="s">
        <v>63</v>
      </c>
      <c r="E1341" t="s">
        <v>64</v>
      </c>
      <c r="F1341" t="s">
        <v>4256</v>
      </c>
      <c r="H1341">
        <v>41</v>
      </c>
      <c r="I1341">
        <v>1400</v>
      </c>
      <c r="J1341" t="s">
        <v>6387</v>
      </c>
      <c r="K1341" t="s">
        <v>6388</v>
      </c>
      <c r="M1341" t="s">
        <v>4487</v>
      </c>
      <c r="N1341">
        <v>60601</v>
      </c>
      <c r="O1341" t="s">
        <v>4488</v>
      </c>
      <c r="Q1341" t="s">
        <v>6241</v>
      </c>
      <c r="R1341" t="s">
        <v>6389</v>
      </c>
      <c r="S1341" t="s">
        <v>4580</v>
      </c>
      <c r="T1341" s="6">
        <v>6200000000</v>
      </c>
      <c r="W1341" t="str">
        <f t="shared" si="21"/>
        <v>207i TU5P A1400</v>
      </c>
      <c r="X1341">
        <f>VLOOKUP(W1341,Sheet10!D:F,2,0)*10000000</f>
        <v>7000000000</v>
      </c>
      <c r="Y1341" t="s">
        <v>5712</v>
      </c>
    </row>
    <row r="1342" spans="1:25" x14ac:dyDescent="0.25">
      <c r="A1342" t="s">
        <v>5216</v>
      </c>
      <c r="B1342" t="s">
        <v>6390</v>
      </c>
      <c r="C1342">
        <v>323</v>
      </c>
      <c r="D1342" t="s">
        <v>63</v>
      </c>
      <c r="E1342" t="s">
        <v>64</v>
      </c>
      <c r="F1342" t="s">
        <v>362</v>
      </c>
      <c r="H1342">
        <v>40</v>
      </c>
      <c r="I1342">
        <v>1400</v>
      </c>
      <c r="J1342" t="s">
        <v>6391</v>
      </c>
      <c r="K1342" t="s">
        <v>6274</v>
      </c>
      <c r="M1342" t="s">
        <v>5192</v>
      </c>
      <c r="N1342">
        <v>32301</v>
      </c>
      <c r="O1342" t="s">
        <v>70</v>
      </c>
      <c r="Q1342" t="s">
        <v>5193</v>
      </c>
      <c r="R1342" t="s">
        <v>6392</v>
      </c>
      <c r="S1342" t="s">
        <v>2095</v>
      </c>
      <c r="T1342" s="6">
        <v>6200000000</v>
      </c>
      <c r="W1342" t="str">
        <f t="shared" si="21"/>
        <v>TARA TU5PA1400</v>
      </c>
      <c r="X1342">
        <f>VLOOKUP(W1342,Sheet10!D:F,2,0)*10000000</f>
        <v>7200000000</v>
      </c>
      <c r="Y1342" t="s">
        <v>5712</v>
      </c>
    </row>
    <row r="1343" spans="1:25" x14ac:dyDescent="0.25">
      <c r="A1343" t="s">
        <v>4343</v>
      </c>
      <c r="B1343" t="s">
        <v>6393</v>
      </c>
      <c r="C1343">
        <v>322</v>
      </c>
      <c r="D1343" t="s">
        <v>4345</v>
      </c>
      <c r="E1343" t="s">
        <v>64</v>
      </c>
      <c r="F1343" t="s">
        <v>362</v>
      </c>
      <c r="H1343">
        <v>40</v>
      </c>
      <c r="I1343">
        <v>1400</v>
      </c>
      <c r="J1343" t="s">
        <v>6394</v>
      </c>
      <c r="K1343" t="s">
        <v>6395</v>
      </c>
      <c r="M1343" t="s">
        <v>92</v>
      </c>
      <c r="N1343">
        <v>32201</v>
      </c>
      <c r="O1343" t="s">
        <v>70</v>
      </c>
      <c r="Q1343" t="s">
        <v>93</v>
      </c>
      <c r="R1343" t="s">
        <v>6396</v>
      </c>
      <c r="S1343" t="s">
        <v>4571</v>
      </c>
      <c r="T1343" s="6">
        <v>4850000000</v>
      </c>
      <c r="W1343" t="str">
        <f t="shared" si="21"/>
        <v>TARA TU5P1400</v>
      </c>
      <c r="X1343" t="e">
        <f>VLOOKUP(W1343,Sheet10!D:F,2,0)*10000000</f>
        <v>#N/A</v>
      </c>
      <c r="Y1343" t="s">
        <v>5712</v>
      </c>
    </row>
    <row r="1344" spans="1:25" x14ac:dyDescent="0.25">
      <c r="A1344" t="s">
        <v>2476</v>
      </c>
      <c r="B1344" t="s">
        <v>6397</v>
      </c>
      <c r="C1344">
        <v>575</v>
      </c>
      <c r="D1344" t="s">
        <v>63</v>
      </c>
      <c r="E1344" t="s">
        <v>64</v>
      </c>
      <c r="F1344" t="s">
        <v>362</v>
      </c>
      <c r="H1344">
        <v>39</v>
      </c>
      <c r="I1344">
        <v>1400</v>
      </c>
      <c r="J1344" t="s">
        <v>6398</v>
      </c>
      <c r="K1344" t="s">
        <v>6399</v>
      </c>
      <c r="M1344" t="s">
        <v>367</v>
      </c>
      <c r="N1344">
        <v>57519</v>
      </c>
      <c r="O1344" t="s">
        <v>70</v>
      </c>
      <c r="Q1344" t="s">
        <v>2420</v>
      </c>
      <c r="R1344" t="s">
        <v>6400</v>
      </c>
      <c r="S1344" t="s">
        <v>1917</v>
      </c>
      <c r="T1344" s="6">
        <v>3700000000</v>
      </c>
      <c r="W1344" t="str">
        <f t="shared" si="21"/>
        <v>SOREN EF71400</v>
      </c>
      <c r="X1344">
        <f>VLOOKUP(W1344,Sheet10!D:F,2,0)*10000000</f>
        <v>4350000000</v>
      </c>
      <c r="Y1344" t="s">
        <v>5712</v>
      </c>
    </row>
    <row r="1345" spans="1:25" x14ac:dyDescent="0.25">
      <c r="A1345" t="s">
        <v>5854</v>
      </c>
      <c r="B1345" t="s">
        <v>6401</v>
      </c>
      <c r="C1345">
        <v>322</v>
      </c>
      <c r="D1345" t="s">
        <v>240</v>
      </c>
      <c r="E1345" t="s">
        <v>64</v>
      </c>
      <c r="F1345" t="s">
        <v>318</v>
      </c>
      <c r="H1345">
        <v>39</v>
      </c>
      <c r="I1345">
        <v>1401</v>
      </c>
      <c r="J1345" t="s">
        <v>6402</v>
      </c>
      <c r="K1345" t="s">
        <v>6403</v>
      </c>
      <c r="M1345" t="s">
        <v>92</v>
      </c>
      <c r="N1345">
        <v>32201</v>
      </c>
      <c r="O1345" t="s">
        <v>70</v>
      </c>
      <c r="Q1345" t="s">
        <v>93</v>
      </c>
      <c r="R1345" t="s">
        <v>6404</v>
      </c>
      <c r="S1345" t="s">
        <v>4491</v>
      </c>
      <c r="T1345" s="6">
        <v>5100000000</v>
      </c>
      <c r="W1345" t="str">
        <f t="shared" si="21"/>
        <v>TARA TU5P1401</v>
      </c>
      <c r="X1345" t="e">
        <f>VLOOKUP(W1345,Sheet10!D:F,2,0)*10000000</f>
        <v>#N/A</v>
      </c>
      <c r="Y1345" t="s">
        <v>5712</v>
      </c>
    </row>
    <row r="1346" spans="1:25" x14ac:dyDescent="0.25">
      <c r="A1346" t="s">
        <v>4483</v>
      </c>
      <c r="B1346" t="s">
        <v>6405</v>
      </c>
      <c r="C1346">
        <v>606</v>
      </c>
      <c r="D1346" t="s">
        <v>63</v>
      </c>
      <c r="E1346" t="s">
        <v>64</v>
      </c>
      <c r="F1346" t="s">
        <v>362</v>
      </c>
      <c r="H1346">
        <v>39</v>
      </c>
      <c r="I1346">
        <v>1400</v>
      </c>
      <c r="J1346" t="s">
        <v>6406</v>
      </c>
      <c r="K1346" t="s">
        <v>6004</v>
      </c>
      <c r="M1346" t="s">
        <v>4487</v>
      </c>
      <c r="N1346">
        <v>60602</v>
      </c>
      <c r="O1346" t="s">
        <v>4488</v>
      </c>
      <c r="Q1346" t="s">
        <v>4489</v>
      </c>
      <c r="R1346" t="s">
        <v>6407</v>
      </c>
      <c r="S1346" t="s">
        <v>2820</v>
      </c>
      <c r="T1346" s="6">
        <v>5450000000</v>
      </c>
      <c r="W1346" t="str">
        <f t="shared" si="21"/>
        <v>207i TU5P A1400</v>
      </c>
      <c r="X1346">
        <f>VLOOKUP(W1346,Sheet10!D:F,2,0)*10000000</f>
        <v>7000000000</v>
      </c>
      <c r="Y1346" t="s">
        <v>5712</v>
      </c>
    </row>
    <row r="1347" spans="1:25" x14ac:dyDescent="0.25">
      <c r="A1347" t="s">
        <v>2487</v>
      </c>
      <c r="B1347" t="s">
        <v>6408</v>
      </c>
      <c r="C1347">
        <v>575</v>
      </c>
      <c r="D1347" t="s">
        <v>77</v>
      </c>
      <c r="E1347" t="s">
        <v>64</v>
      </c>
      <c r="F1347" t="s">
        <v>362</v>
      </c>
      <c r="H1347">
        <v>38</v>
      </c>
      <c r="I1347">
        <v>1400</v>
      </c>
      <c r="J1347" t="s">
        <v>6409</v>
      </c>
      <c r="K1347" t="s">
        <v>6410</v>
      </c>
      <c r="M1347" t="s">
        <v>367</v>
      </c>
      <c r="N1347">
        <v>57519</v>
      </c>
      <c r="O1347" t="s">
        <v>70</v>
      </c>
      <c r="Q1347" t="s">
        <v>2420</v>
      </c>
      <c r="R1347" t="s">
        <v>6411</v>
      </c>
      <c r="S1347" t="s">
        <v>816</v>
      </c>
      <c r="T1347" s="6">
        <v>3600000000</v>
      </c>
      <c r="W1347" t="str">
        <f t="shared" si="21"/>
        <v>SOREN EF71400</v>
      </c>
      <c r="X1347">
        <f>VLOOKUP(W1347,Sheet10!D:F,2,0)*10000000</f>
        <v>4350000000</v>
      </c>
      <c r="Y1347" t="s">
        <v>5712</v>
      </c>
    </row>
    <row r="1348" spans="1:25" x14ac:dyDescent="0.25">
      <c r="A1348" t="s">
        <v>87</v>
      </c>
      <c r="B1348" t="s">
        <v>6412</v>
      </c>
      <c r="C1348">
        <v>322</v>
      </c>
      <c r="D1348" t="s">
        <v>63</v>
      </c>
      <c r="E1348" t="s">
        <v>64</v>
      </c>
      <c r="F1348" t="s">
        <v>362</v>
      </c>
      <c r="H1348">
        <v>38</v>
      </c>
      <c r="I1348">
        <v>1400</v>
      </c>
      <c r="J1348" t="s">
        <v>6413</v>
      </c>
      <c r="K1348" t="s">
        <v>6274</v>
      </c>
      <c r="M1348" t="s">
        <v>92</v>
      </c>
      <c r="N1348">
        <v>32201</v>
      </c>
      <c r="O1348" t="s">
        <v>70</v>
      </c>
      <c r="Q1348" t="s">
        <v>93</v>
      </c>
      <c r="R1348" t="s">
        <v>6414</v>
      </c>
      <c r="S1348" t="s">
        <v>4360</v>
      </c>
      <c r="T1348" s="6">
        <v>4850000000</v>
      </c>
      <c r="W1348" t="str">
        <f t="shared" si="21"/>
        <v>TARA TU5P1400</v>
      </c>
      <c r="X1348" t="e">
        <f>VLOOKUP(W1348,Sheet10!D:F,2,0)*10000000</f>
        <v>#N/A</v>
      </c>
      <c r="Y1348" t="s">
        <v>5712</v>
      </c>
    </row>
    <row r="1349" spans="1:25" x14ac:dyDescent="0.25">
      <c r="A1349" t="s">
        <v>4483</v>
      </c>
      <c r="B1349" t="s">
        <v>6415</v>
      </c>
      <c r="C1349">
        <v>606</v>
      </c>
      <c r="D1349" t="s">
        <v>63</v>
      </c>
      <c r="E1349" t="s">
        <v>64</v>
      </c>
      <c r="F1349" t="s">
        <v>362</v>
      </c>
      <c r="H1349">
        <v>54</v>
      </c>
      <c r="I1349">
        <v>1400</v>
      </c>
      <c r="J1349" t="s">
        <v>6416</v>
      </c>
      <c r="K1349" t="s">
        <v>6004</v>
      </c>
      <c r="M1349" t="s">
        <v>4487</v>
      </c>
      <c r="N1349">
        <v>60602</v>
      </c>
      <c r="O1349" t="s">
        <v>4488</v>
      </c>
      <c r="Q1349" t="s">
        <v>4489</v>
      </c>
      <c r="R1349" t="s">
        <v>6417</v>
      </c>
      <c r="S1349" t="s">
        <v>4224</v>
      </c>
      <c r="T1349" s="6">
        <v>5450000000</v>
      </c>
      <c r="W1349" t="str">
        <f t="shared" si="21"/>
        <v>207i TU5P A1400</v>
      </c>
      <c r="X1349">
        <f>VLOOKUP(W1349,Sheet10!D:F,2,0)*10000000</f>
        <v>7000000000</v>
      </c>
      <c r="Y1349" t="s">
        <v>5712</v>
      </c>
    </row>
    <row r="1350" spans="1:25" x14ac:dyDescent="0.25">
      <c r="A1350" t="s">
        <v>6237</v>
      </c>
      <c r="B1350" t="s">
        <v>6418</v>
      </c>
      <c r="C1350">
        <v>606</v>
      </c>
      <c r="D1350" t="s">
        <v>63</v>
      </c>
      <c r="E1350" t="s">
        <v>64</v>
      </c>
      <c r="F1350" t="s">
        <v>362</v>
      </c>
      <c r="H1350">
        <v>53</v>
      </c>
      <c r="I1350">
        <v>1400</v>
      </c>
      <c r="J1350" t="s">
        <v>6419</v>
      </c>
      <c r="K1350" t="s">
        <v>6420</v>
      </c>
      <c r="M1350" t="s">
        <v>4487</v>
      </c>
      <c r="N1350">
        <v>60601</v>
      </c>
      <c r="O1350" t="s">
        <v>4488</v>
      </c>
      <c r="Q1350" t="s">
        <v>6241</v>
      </c>
      <c r="R1350" t="s">
        <v>6421</v>
      </c>
      <c r="S1350" t="s">
        <v>4414</v>
      </c>
      <c r="T1350" s="6">
        <v>6200000000</v>
      </c>
      <c r="W1350" t="str">
        <f t="shared" si="21"/>
        <v>207i TU5P A1400</v>
      </c>
      <c r="X1350">
        <f>VLOOKUP(W1350,Sheet10!D:F,2,0)*10000000</f>
        <v>7000000000</v>
      </c>
      <c r="Y1350" t="s">
        <v>5712</v>
      </c>
    </row>
    <row r="1351" spans="1:25" x14ac:dyDescent="0.25">
      <c r="A1351" t="s">
        <v>5954</v>
      </c>
      <c r="B1351" t="s">
        <v>6422</v>
      </c>
      <c r="C1351">
        <v>606</v>
      </c>
      <c r="D1351" t="s">
        <v>63</v>
      </c>
      <c r="E1351" t="s">
        <v>64</v>
      </c>
      <c r="F1351" t="s">
        <v>420</v>
      </c>
      <c r="H1351">
        <v>53</v>
      </c>
      <c r="I1351">
        <v>1401</v>
      </c>
      <c r="J1351" t="s">
        <v>6423</v>
      </c>
      <c r="K1351" t="s">
        <v>6424</v>
      </c>
      <c r="M1351" t="s">
        <v>4487</v>
      </c>
      <c r="N1351">
        <v>60603</v>
      </c>
      <c r="O1351" t="s">
        <v>4488</v>
      </c>
      <c r="Q1351" t="s">
        <v>5958</v>
      </c>
      <c r="R1351" t="s">
        <v>6425</v>
      </c>
      <c r="S1351" t="s">
        <v>2886</v>
      </c>
      <c r="T1351" s="6">
        <v>5950000000</v>
      </c>
      <c r="W1351" t="str">
        <f t="shared" si="21"/>
        <v>207i TU5P A1401</v>
      </c>
      <c r="X1351">
        <f>VLOOKUP(W1351,Sheet10!D:F,2,0)*10000000</f>
        <v>7100000000</v>
      </c>
      <c r="Y1351" t="s">
        <v>5712</v>
      </c>
    </row>
    <row r="1352" spans="1:25" x14ac:dyDescent="0.25">
      <c r="A1352" t="s">
        <v>4483</v>
      </c>
      <c r="B1352" t="s">
        <v>4735</v>
      </c>
      <c r="C1352">
        <v>606</v>
      </c>
      <c r="D1352" t="s">
        <v>63</v>
      </c>
      <c r="E1352" t="s">
        <v>64</v>
      </c>
      <c r="F1352" t="s">
        <v>4256</v>
      </c>
      <c r="H1352">
        <v>53</v>
      </c>
      <c r="I1352">
        <v>1400</v>
      </c>
      <c r="J1352" t="s">
        <v>4736</v>
      </c>
      <c r="K1352" t="s">
        <v>4641</v>
      </c>
      <c r="M1352" t="s">
        <v>4487</v>
      </c>
      <c r="N1352">
        <v>60602</v>
      </c>
      <c r="O1352" t="s">
        <v>4488</v>
      </c>
      <c r="Q1352" t="s">
        <v>4489</v>
      </c>
      <c r="R1352" t="s">
        <v>4737</v>
      </c>
      <c r="S1352" t="s">
        <v>4628</v>
      </c>
      <c r="T1352" s="6">
        <v>5450000000</v>
      </c>
      <c r="W1352" t="str">
        <f t="shared" si="21"/>
        <v>207i TU5P A1400</v>
      </c>
      <c r="X1352">
        <f>VLOOKUP(W1352,Sheet10!D:F,2,0)*10000000</f>
        <v>7000000000</v>
      </c>
      <c r="Y1352" t="s">
        <v>5712</v>
      </c>
    </row>
    <row r="1353" spans="1:25" x14ac:dyDescent="0.25">
      <c r="A1353" t="s">
        <v>6426</v>
      </c>
      <c r="B1353" t="s">
        <v>6427</v>
      </c>
      <c r="C1353">
        <v>260</v>
      </c>
      <c r="D1353" t="s">
        <v>3203</v>
      </c>
      <c r="E1353" t="s">
        <v>64</v>
      </c>
      <c r="F1353" t="s">
        <v>362</v>
      </c>
      <c r="H1353">
        <v>53</v>
      </c>
      <c r="I1353">
        <v>1400</v>
      </c>
      <c r="J1353" t="s">
        <v>6428</v>
      </c>
      <c r="K1353" t="s">
        <v>6004</v>
      </c>
      <c r="M1353" t="s">
        <v>329</v>
      </c>
      <c r="N1353">
        <v>26031</v>
      </c>
      <c r="O1353" t="s">
        <v>303</v>
      </c>
      <c r="Q1353" t="s">
        <v>330</v>
      </c>
      <c r="R1353" t="s">
        <v>6429</v>
      </c>
      <c r="S1353" t="s">
        <v>634</v>
      </c>
      <c r="T1353" s="6">
        <v>3550000000</v>
      </c>
      <c r="W1353" t="str">
        <f t="shared" si="21"/>
        <v>206TU31400</v>
      </c>
      <c r="X1353" t="e">
        <f>VLOOKUP(W1353,Sheet10!D:F,2,0)*10000000</f>
        <v>#N/A</v>
      </c>
      <c r="Y1353" t="s">
        <v>5712</v>
      </c>
    </row>
    <row r="1354" spans="1:25" x14ac:dyDescent="0.25">
      <c r="A1354" t="s">
        <v>5970</v>
      </c>
      <c r="B1354" t="s">
        <v>6430</v>
      </c>
      <c r="C1354">
        <v>704</v>
      </c>
      <c r="D1354" t="s">
        <v>77</v>
      </c>
      <c r="E1354" t="s">
        <v>64</v>
      </c>
      <c r="F1354" t="s">
        <v>420</v>
      </c>
      <c r="H1354">
        <v>52</v>
      </c>
      <c r="I1354">
        <v>1401</v>
      </c>
      <c r="J1354" t="s">
        <v>6431</v>
      </c>
      <c r="K1354" t="s">
        <v>6432</v>
      </c>
      <c r="M1354" t="s">
        <v>4401</v>
      </c>
      <c r="N1354">
        <v>70406</v>
      </c>
      <c r="O1354" t="s">
        <v>70</v>
      </c>
      <c r="Q1354" t="s">
        <v>5974</v>
      </c>
      <c r="R1354" t="s">
        <v>6433</v>
      </c>
      <c r="S1354" t="s">
        <v>1174</v>
      </c>
      <c r="T1354" s="6">
        <v>5900000000</v>
      </c>
      <c r="W1354" t="str">
        <f t="shared" si="21"/>
        <v>DENA EF7 TC-MT1401</v>
      </c>
      <c r="X1354">
        <f>VLOOKUP(W1354,Sheet10!D:F,2,0)*10000000</f>
        <v>6750000000</v>
      </c>
      <c r="Y1354" t="s">
        <v>5712</v>
      </c>
    </row>
    <row r="1355" spans="1:25" x14ac:dyDescent="0.25">
      <c r="A1355" t="s">
        <v>3242</v>
      </c>
      <c r="B1355" t="s">
        <v>6434</v>
      </c>
      <c r="C1355">
        <v>600</v>
      </c>
      <c r="D1355" t="s">
        <v>63</v>
      </c>
      <c r="E1355" t="s">
        <v>64</v>
      </c>
      <c r="F1355" t="s">
        <v>362</v>
      </c>
      <c r="H1355">
        <v>52</v>
      </c>
      <c r="I1355">
        <v>1400</v>
      </c>
      <c r="J1355" t="s">
        <v>6435</v>
      </c>
      <c r="K1355" t="s">
        <v>6436</v>
      </c>
      <c r="M1355" t="s">
        <v>3246</v>
      </c>
      <c r="N1355">
        <v>60010</v>
      </c>
      <c r="O1355" t="s">
        <v>303</v>
      </c>
      <c r="Q1355" t="s">
        <v>3247</v>
      </c>
      <c r="R1355" t="s">
        <v>6437</v>
      </c>
      <c r="S1355" t="s">
        <v>4789</v>
      </c>
      <c r="T1355" s="6">
        <v>5100000000</v>
      </c>
      <c r="W1355" t="str">
        <f t="shared" si="21"/>
        <v>207i-MT1400</v>
      </c>
      <c r="X1355">
        <f>VLOOKUP(W1355,Sheet10!D:F,2,0)*10000000</f>
        <v>5600000000</v>
      </c>
      <c r="Y1355" t="s">
        <v>5712</v>
      </c>
    </row>
    <row r="1356" spans="1:25" x14ac:dyDescent="0.25">
      <c r="A1356" t="s">
        <v>5997</v>
      </c>
      <c r="B1356" t="s">
        <v>6438</v>
      </c>
      <c r="C1356">
        <v>704</v>
      </c>
      <c r="D1356" t="s">
        <v>63</v>
      </c>
      <c r="E1356" t="s">
        <v>64</v>
      </c>
      <c r="F1356" t="s">
        <v>4256</v>
      </c>
      <c r="H1356">
        <v>51</v>
      </c>
      <c r="I1356">
        <v>1400</v>
      </c>
      <c r="J1356" t="s">
        <v>6439</v>
      </c>
      <c r="K1356" t="s">
        <v>6440</v>
      </c>
      <c r="M1356" t="s">
        <v>4401</v>
      </c>
      <c r="N1356">
        <v>70406</v>
      </c>
      <c r="O1356" t="s">
        <v>70</v>
      </c>
      <c r="Q1356" t="s">
        <v>5974</v>
      </c>
      <c r="R1356" t="s">
        <v>6441</v>
      </c>
      <c r="S1356" t="s">
        <v>2188</v>
      </c>
      <c r="T1356" s="6">
        <v>5700000000</v>
      </c>
      <c r="W1356" t="str">
        <f t="shared" si="21"/>
        <v>DENA EF7 TC-MT1400</v>
      </c>
      <c r="X1356" t="e">
        <f>VLOOKUP(W1356,Sheet10!D:F,2,0)*10000000</f>
        <v>#N/A</v>
      </c>
      <c r="Y1356" t="s">
        <v>5712</v>
      </c>
    </row>
    <row r="1357" spans="1:25" x14ac:dyDescent="0.25">
      <c r="A1357" t="s">
        <v>3179</v>
      </c>
      <c r="B1357" t="s">
        <v>6442</v>
      </c>
      <c r="C1357">
        <v>615</v>
      </c>
      <c r="D1357" t="s">
        <v>63</v>
      </c>
      <c r="E1357" t="s">
        <v>64</v>
      </c>
      <c r="F1357" t="s">
        <v>362</v>
      </c>
      <c r="H1357">
        <v>51</v>
      </c>
      <c r="I1357">
        <v>1400</v>
      </c>
      <c r="J1357" t="s">
        <v>6443</v>
      </c>
      <c r="K1357" t="s">
        <v>6004</v>
      </c>
      <c r="M1357" t="s">
        <v>3130</v>
      </c>
      <c r="N1357">
        <v>61503</v>
      </c>
      <c r="O1357" t="s">
        <v>70</v>
      </c>
      <c r="Q1357" t="s">
        <v>3131</v>
      </c>
      <c r="R1357" t="s">
        <v>6444</v>
      </c>
      <c r="S1357" t="s">
        <v>1149</v>
      </c>
      <c r="T1357" s="6">
        <v>3950000000</v>
      </c>
      <c r="W1357" t="str">
        <f t="shared" si="21"/>
        <v>+TU51400</v>
      </c>
      <c r="X1357" t="e">
        <f>VLOOKUP(W1357,Sheet10!D:F,2,0)*10000000</f>
        <v>#N/A</v>
      </c>
      <c r="Y1357" t="s">
        <v>5712</v>
      </c>
    </row>
    <row r="1358" spans="1:25" x14ac:dyDescent="0.25">
      <c r="A1358" t="s">
        <v>4497</v>
      </c>
      <c r="B1358" t="s">
        <v>6445</v>
      </c>
      <c r="C1358">
        <v>606</v>
      </c>
      <c r="D1358" t="s">
        <v>77</v>
      </c>
      <c r="E1358" t="s">
        <v>64</v>
      </c>
      <c r="F1358" t="s">
        <v>362</v>
      </c>
      <c r="H1358">
        <v>51</v>
      </c>
      <c r="I1358">
        <v>1400</v>
      </c>
      <c r="J1358" t="s">
        <v>6446</v>
      </c>
      <c r="K1358" t="s">
        <v>6447</v>
      </c>
      <c r="M1358" t="s">
        <v>4487</v>
      </c>
      <c r="N1358">
        <v>60602</v>
      </c>
      <c r="O1358" t="s">
        <v>4488</v>
      </c>
      <c r="Q1358" t="s">
        <v>4489</v>
      </c>
      <c r="R1358" t="s">
        <v>6448</v>
      </c>
      <c r="S1358" t="s">
        <v>3944</v>
      </c>
      <c r="T1358" s="6">
        <v>5450000000</v>
      </c>
      <c r="W1358" t="str">
        <f t="shared" ref="W1358:W1421" si="22">M1358&amp;I1358</f>
        <v>207i TU5P A1400</v>
      </c>
      <c r="X1358">
        <f>VLOOKUP(W1358,Sheet10!D:F,2,0)*10000000</f>
        <v>7000000000</v>
      </c>
      <c r="Y1358" t="s">
        <v>5712</v>
      </c>
    </row>
    <row r="1359" spans="1:25" x14ac:dyDescent="0.25">
      <c r="A1359" t="s">
        <v>4366</v>
      </c>
      <c r="B1359" t="s">
        <v>6449</v>
      </c>
      <c r="C1359">
        <v>575</v>
      </c>
      <c r="D1359" t="s">
        <v>63</v>
      </c>
      <c r="E1359" t="s">
        <v>64</v>
      </c>
      <c r="F1359" t="s">
        <v>420</v>
      </c>
      <c r="H1359">
        <v>50</v>
      </c>
      <c r="I1359">
        <v>1401</v>
      </c>
      <c r="J1359" t="s">
        <v>6450</v>
      </c>
      <c r="K1359" t="s">
        <v>6451</v>
      </c>
      <c r="M1359" t="s">
        <v>367</v>
      </c>
      <c r="N1359">
        <v>57523</v>
      </c>
      <c r="O1359" t="s">
        <v>70</v>
      </c>
      <c r="Q1359" t="s">
        <v>2648</v>
      </c>
      <c r="R1359" t="s">
        <v>6452</v>
      </c>
      <c r="S1359" t="s">
        <v>2009</v>
      </c>
      <c r="T1359" s="6">
        <v>4150000000</v>
      </c>
      <c r="W1359" t="str">
        <f t="shared" si="22"/>
        <v>SOREN EF71401</v>
      </c>
      <c r="X1359">
        <f>VLOOKUP(W1359,Sheet10!D:F,2,0)*10000000</f>
        <v>4650000000</v>
      </c>
      <c r="Y1359" t="s">
        <v>5712</v>
      </c>
    </row>
    <row r="1360" spans="1:25" x14ac:dyDescent="0.25">
      <c r="A1360" t="s">
        <v>6237</v>
      </c>
      <c r="B1360" t="s">
        <v>6453</v>
      </c>
      <c r="C1360">
        <v>606</v>
      </c>
      <c r="D1360" t="s">
        <v>63</v>
      </c>
      <c r="E1360" t="s">
        <v>64</v>
      </c>
      <c r="F1360" t="s">
        <v>4256</v>
      </c>
      <c r="H1360">
        <v>50</v>
      </c>
      <c r="I1360">
        <v>1400</v>
      </c>
      <c r="J1360" t="s">
        <v>6454</v>
      </c>
      <c r="K1360" t="s">
        <v>6455</v>
      </c>
      <c r="M1360" t="s">
        <v>4487</v>
      </c>
      <c r="N1360">
        <v>60601</v>
      </c>
      <c r="O1360" t="s">
        <v>4488</v>
      </c>
      <c r="Q1360" t="s">
        <v>6241</v>
      </c>
      <c r="R1360" t="s">
        <v>6456</v>
      </c>
      <c r="S1360" t="s">
        <v>2665</v>
      </c>
      <c r="T1360" s="6">
        <v>6150000000</v>
      </c>
      <c r="W1360" t="str">
        <f t="shared" si="22"/>
        <v>207i TU5P A1400</v>
      </c>
      <c r="X1360">
        <f>VLOOKUP(W1360,Sheet10!D:F,2,0)*10000000</f>
        <v>7000000000</v>
      </c>
      <c r="Y1360" t="s">
        <v>5712</v>
      </c>
    </row>
    <row r="1361" spans="1:25" x14ac:dyDescent="0.25">
      <c r="A1361" t="s">
        <v>3242</v>
      </c>
      <c r="B1361" t="s">
        <v>6457</v>
      </c>
      <c r="C1361">
        <v>600</v>
      </c>
      <c r="D1361" t="s">
        <v>63</v>
      </c>
      <c r="E1361" t="s">
        <v>64</v>
      </c>
      <c r="F1361" t="s">
        <v>491</v>
      </c>
      <c r="H1361">
        <v>50</v>
      </c>
      <c r="I1361">
        <v>1401</v>
      </c>
      <c r="J1361" t="s">
        <v>6458</v>
      </c>
      <c r="K1361" t="s">
        <v>6459</v>
      </c>
      <c r="M1361" t="s">
        <v>3246</v>
      </c>
      <c r="N1361">
        <v>60010</v>
      </c>
      <c r="O1361" t="s">
        <v>303</v>
      </c>
      <c r="Q1361" t="s">
        <v>3247</v>
      </c>
      <c r="R1361" t="s">
        <v>6460</v>
      </c>
      <c r="S1361" t="s">
        <v>2607</v>
      </c>
      <c r="T1361" s="6">
        <v>5220000000</v>
      </c>
      <c r="W1361" t="str">
        <f t="shared" si="22"/>
        <v>207i-MT1401</v>
      </c>
      <c r="X1361">
        <f>VLOOKUP(W1361,Sheet10!D:F,2,0)*10000000</f>
        <v>5800000000</v>
      </c>
      <c r="Y1361" t="s">
        <v>5712</v>
      </c>
    </row>
    <row r="1362" spans="1:25" x14ac:dyDescent="0.25">
      <c r="A1362" t="s">
        <v>3579</v>
      </c>
      <c r="B1362" t="s">
        <v>6461</v>
      </c>
      <c r="C1362">
        <v>600</v>
      </c>
      <c r="D1362" t="s">
        <v>77</v>
      </c>
      <c r="E1362" t="s">
        <v>64</v>
      </c>
      <c r="F1362" t="s">
        <v>420</v>
      </c>
      <c r="H1362">
        <v>50</v>
      </c>
      <c r="I1362">
        <v>1401</v>
      </c>
      <c r="J1362" t="s">
        <v>6462</v>
      </c>
      <c r="K1362" t="s">
        <v>6463</v>
      </c>
      <c r="M1362" t="s">
        <v>3246</v>
      </c>
      <c r="N1362">
        <v>60006</v>
      </c>
      <c r="O1362" t="s">
        <v>303</v>
      </c>
      <c r="Q1362" t="s">
        <v>3415</v>
      </c>
      <c r="R1362" t="s">
        <v>6464</v>
      </c>
      <c r="S1362" t="s">
        <v>306</v>
      </c>
      <c r="T1362" s="6">
        <v>4950000000</v>
      </c>
      <c r="W1362" t="str">
        <f t="shared" si="22"/>
        <v>207i-MT1401</v>
      </c>
      <c r="X1362">
        <f>VLOOKUP(W1362,Sheet10!D:F,2,0)*10000000</f>
        <v>5800000000</v>
      </c>
      <c r="Y1362" t="s">
        <v>5712</v>
      </c>
    </row>
    <row r="1363" spans="1:25" x14ac:dyDescent="0.25">
      <c r="A1363" t="s">
        <v>2416</v>
      </c>
      <c r="B1363" t="s">
        <v>6465</v>
      </c>
      <c r="C1363">
        <v>575</v>
      </c>
      <c r="D1363" t="s">
        <v>259</v>
      </c>
      <c r="E1363" t="s">
        <v>64</v>
      </c>
      <c r="F1363" t="s">
        <v>362</v>
      </c>
      <c r="H1363">
        <v>49</v>
      </c>
      <c r="I1363">
        <v>1400</v>
      </c>
      <c r="J1363" t="s">
        <v>6466</v>
      </c>
      <c r="K1363" t="s">
        <v>6467</v>
      </c>
      <c r="M1363" t="s">
        <v>367</v>
      </c>
      <c r="N1363">
        <v>57519</v>
      </c>
      <c r="O1363" t="s">
        <v>70</v>
      </c>
      <c r="Q1363" t="s">
        <v>2420</v>
      </c>
      <c r="R1363" t="s">
        <v>6468</v>
      </c>
      <c r="S1363" t="s">
        <v>1923</v>
      </c>
      <c r="T1363" s="6">
        <v>3700000000</v>
      </c>
      <c r="W1363" t="str">
        <f t="shared" si="22"/>
        <v>SOREN EF71400</v>
      </c>
      <c r="X1363">
        <f>VLOOKUP(W1363,Sheet10!D:F,2,0)*10000000</f>
        <v>4350000000</v>
      </c>
      <c r="Y1363" t="s">
        <v>5712</v>
      </c>
    </row>
    <row r="1364" spans="1:25" x14ac:dyDescent="0.25">
      <c r="A1364" t="s">
        <v>4497</v>
      </c>
      <c r="B1364" t="s">
        <v>6469</v>
      </c>
      <c r="C1364">
        <v>606</v>
      </c>
      <c r="D1364" t="s">
        <v>77</v>
      </c>
      <c r="E1364" t="s">
        <v>64</v>
      </c>
      <c r="F1364" t="s">
        <v>362</v>
      </c>
      <c r="H1364">
        <v>49</v>
      </c>
      <c r="I1364">
        <v>1400</v>
      </c>
      <c r="J1364" t="s">
        <v>6470</v>
      </c>
      <c r="K1364" t="s">
        <v>6004</v>
      </c>
      <c r="M1364" t="s">
        <v>4487</v>
      </c>
      <c r="N1364">
        <v>60602</v>
      </c>
      <c r="O1364" t="s">
        <v>4488</v>
      </c>
      <c r="Q1364" t="s">
        <v>4489</v>
      </c>
      <c r="R1364" t="s">
        <v>6471</v>
      </c>
      <c r="S1364" t="s">
        <v>2427</v>
      </c>
      <c r="T1364" s="6">
        <v>5450000000</v>
      </c>
      <c r="W1364" t="str">
        <f t="shared" si="22"/>
        <v>207i TU5P A1400</v>
      </c>
      <c r="X1364">
        <f>VLOOKUP(W1364,Sheet10!D:F,2,0)*10000000</f>
        <v>7000000000</v>
      </c>
      <c r="Y1364" t="s">
        <v>5712</v>
      </c>
    </row>
    <row r="1365" spans="1:25" x14ac:dyDescent="0.25">
      <c r="A1365" t="s">
        <v>4497</v>
      </c>
      <c r="B1365" t="s">
        <v>6472</v>
      </c>
      <c r="C1365">
        <v>606</v>
      </c>
      <c r="D1365" t="s">
        <v>77</v>
      </c>
      <c r="E1365" t="s">
        <v>64</v>
      </c>
      <c r="F1365" t="s">
        <v>318</v>
      </c>
      <c r="H1365">
        <v>49</v>
      </c>
      <c r="I1365">
        <v>1401</v>
      </c>
      <c r="J1365" t="s">
        <v>6473</v>
      </c>
      <c r="K1365" t="s">
        <v>6474</v>
      </c>
      <c r="M1365" t="s">
        <v>4487</v>
      </c>
      <c r="N1365">
        <v>60602</v>
      </c>
      <c r="O1365" t="s">
        <v>4488</v>
      </c>
      <c r="Q1365" t="s">
        <v>4489</v>
      </c>
      <c r="R1365" t="s">
        <v>6475</v>
      </c>
      <c r="S1365" t="s">
        <v>4697</v>
      </c>
      <c r="T1365" s="6">
        <v>5650000000</v>
      </c>
      <c r="W1365" t="str">
        <f t="shared" si="22"/>
        <v>207i TU5P A1401</v>
      </c>
      <c r="X1365">
        <f>VLOOKUP(W1365,Sheet10!D:F,2,0)*10000000</f>
        <v>7100000000</v>
      </c>
      <c r="Y1365" t="s">
        <v>5712</v>
      </c>
    </row>
    <row r="1366" spans="1:25" x14ac:dyDescent="0.25">
      <c r="A1366" t="s">
        <v>5216</v>
      </c>
      <c r="B1366" t="s">
        <v>6476</v>
      </c>
      <c r="C1366">
        <v>323</v>
      </c>
      <c r="D1366" t="s">
        <v>63</v>
      </c>
      <c r="E1366" t="s">
        <v>64</v>
      </c>
      <c r="F1366" t="s">
        <v>362</v>
      </c>
      <c r="H1366">
        <v>48</v>
      </c>
      <c r="I1366">
        <v>1400</v>
      </c>
      <c r="J1366" t="s">
        <v>6477</v>
      </c>
      <c r="K1366" t="s">
        <v>6274</v>
      </c>
      <c r="M1366" t="s">
        <v>5192</v>
      </c>
      <c r="N1366">
        <v>32301</v>
      </c>
      <c r="O1366" t="s">
        <v>70</v>
      </c>
      <c r="Q1366" t="s">
        <v>5193</v>
      </c>
      <c r="R1366" t="s">
        <v>6478</v>
      </c>
      <c r="S1366" t="s">
        <v>4669</v>
      </c>
      <c r="T1366" s="6">
        <v>6200000000</v>
      </c>
      <c r="W1366" t="str">
        <f t="shared" si="22"/>
        <v>TARA TU5PA1400</v>
      </c>
      <c r="X1366">
        <f>VLOOKUP(W1366,Sheet10!D:F,2,0)*10000000</f>
        <v>7200000000</v>
      </c>
      <c r="Y1366" t="s">
        <v>5712</v>
      </c>
    </row>
    <row r="1367" spans="1:25" x14ac:dyDescent="0.25">
      <c r="A1367" t="s">
        <v>6270</v>
      </c>
      <c r="B1367" t="s">
        <v>6479</v>
      </c>
      <c r="C1367">
        <v>322</v>
      </c>
      <c r="D1367" t="s">
        <v>6272</v>
      </c>
      <c r="E1367" t="s">
        <v>64</v>
      </c>
      <c r="F1367" t="s">
        <v>362</v>
      </c>
      <c r="H1367">
        <v>48</v>
      </c>
      <c r="I1367">
        <v>1400</v>
      </c>
      <c r="J1367" t="s">
        <v>6480</v>
      </c>
      <c r="K1367" t="s">
        <v>6004</v>
      </c>
      <c r="M1367" t="s">
        <v>92</v>
      </c>
      <c r="N1367">
        <v>32201</v>
      </c>
      <c r="O1367" t="s">
        <v>70</v>
      </c>
      <c r="Q1367" t="s">
        <v>93</v>
      </c>
      <c r="R1367" t="s">
        <v>6481</v>
      </c>
      <c r="S1367" t="s">
        <v>4365</v>
      </c>
      <c r="T1367" s="6">
        <v>4850000000</v>
      </c>
      <c r="W1367" t="str">
        <f t="shared" si="22"/>
        <v>TARA TU5P1400</v>
      </c>
      <c r="X1367" t="e">
        <f>VLOOKUP(W1367,Sheet10!D:F,2,0)*10000000</f>
        <v>#N/A</v>
      </c>
      <c r="Y1367" t="s">
        <v>5712</v>
      </c>
    </row>
    <row r="1368" spans="1:25" x14ac:dyDescent="0.25">
      <c r="A1368" t="s">
        <v>3497</v>
      </c>
      <c r="B1368" t="s">
        <v>6482</v>
      </c>
      <c r="C1368">
        <v>600</v>
      </c>
      <c r="D1368" t="s">
        <v>77</v>
      </c>
      <c r="E1368" t="s">
        <v>64</v>
      </c>
      <c r="F1368" t="s">
        <v>362</v>
      </c>
      <c r="H1368">
        <v>48</v>
      </c>
      <c r="I1368">
        <v>1400</v>
      </c>
      <c r="J1368" t="s">
        <v>6483</v>
      </c>
      <c r="K1368" t="s">
        <v>6484</v>
      </c>
      <c r="M1368" t="s">
        <v>3246</v>
      </c>
      <c r="N1368">
        <v>60010</v>
      </c>
      <c r="O1368" t="s">
        <v>303</v>
      </c>
      <c r="Q1368" t="s">
        <v>3247</v>
      </c>
      <c r="R1368" t="s">
        <v>6485</v>
      </c>
      <c r="S1368" t="s">
        <v>2518</v>
      </c>
      <c r="T1368" s="6">
        <v>5100000000</v>
      </c>
      <c r="W1368" t="str">
        <f t="shared" si="22"/>
        <v>207i-MT1400</v>
      </c>
      <c r="X1368">
        <f>VLOOKUP(W1368,Sheet10!D:F,2,0)*10000000</f>
        <v>5600000000</v>
      </c>
      <c r="Y1368" t="s">
        <v>5712</v>
      </c>
    </row>
    <row r="1369" spans="1:25" x14ac:dyDescent="0.25">
      <c r="A1369" t="s">
        <v>3139</v>
      </c>
      <c r="B1369" t="s">
        <v>6486</v>
      </c>
      <c r="C1369">
        <v>575</v>
      </c>
      <c r="D1369" t="s">
        <v>77</v>
      </c>
      <c r="E1369" t="s">
        <v>64</v>
      </c>
      <c r="F1369" t="s">
        <v>420</v>
      </c>
      <c r="H1369">
        <v>47</v>
      </c>
      <c r="I1369">
        <v>1401</v>
      </c>
      <c r="J1369" t="s">
        <v>6487</v>
      </c>
      <c r="K1369" t="s">
        <v>6488</v>
      </c>
      <c r="M1369" t="s">
        <v>367</v>
      </c>
      <c r="N1369">
        <v>57523</v>
      </c>
      <c r="O1369" t="s">
        <v>70</v>
      </c>
      <c r="Q1369" t="s">
        <v>2648</v>
      </c>
      <c r="R1369" t="s">
        <v>6489</v>
      </c>
      <c r="S1369" t="s">
        <v>2019</v>
      </c>
      <c r="T1369" s="6">
        <v>4150000000</v>
      </c>
      <c r="W1369" t="str">
        <f t="shared" si="22"/>
        <v>SOREN EF71401</v>
      </c>
      <c r="X1369">
        <f>VLOOKUP(W1369,Sheet10!D:F,2,0)*10000000</f>
        <v>4650000000</v>
      </c>
      <c r="Y1369" t="s">
        <v>5712</v>
      </c>
    </row>
    <row r="1370" spans="1:25" x14ac:dyDescent="0.25">
      <c r="A1370" t="s">
        <v>87</v>
      </c>
      <c r="B1370" t="s">
        <v>6490</v>
      </c>
      <c r="C1370">
        <v>322</v>
      </c>
      <c r="D1370" t="s">
        <v>63</v>
      </c>
      <c r="E1370" t="s">
        <v>64</v>
      </c>
      <c r="F1370" t="s">
        <v>362</v>
      </c>
      <c r="H1370">
        <v>47</v>
      </c>
      <c r="I1370">
        <v>1400</v>
      </c>
      <c r="J1370" t="s">
        <v>6491</v>
      </c>
      <c r="K1370" t="s">
        <v>6492</v>
      </c>
      <c r="M1370" t="s">
        <v>92</v>
      </c>
      <c r="N1370">
        <v>32201</v>
      </c>
      <c r="O1370" t="s">
        <v>70</v>
      </c>
      <c r="Q1370" t="s">
        <v>93</v>
      </c>
      <c r="R1370" t="s">
        <v>6493</v>
      </c>
      <c r="S1370" t="s">
        <v>3676</v>
      </c>
      <c r="T1370" s="6">
        <v>4850000000</v>
      </c>
      <c r="W1370" t="str">
        <f t="shared" si="22"/>
        <v>TARA TU5P1400</v>
      </c>
      <c r="X1370" t="e">
        <f>VLOOKUP(W1370,Sheet10!D:F,2,0)*10000000</f>
        <v>#N/A</v>
      </c>
      <c r="Y1370" t="s">
        <v>5712</v>
      </c>
    </row>
    <row r="1371" spans="1:25" x14ac:dyDescent="0.25">
      <c r="A1371" t="s">
        <v>6317</v>
      </c>
      <c r="B1371" t="s">
        <v>6494</v>
      </c>
      <c r="C1371">
        <v>322</v>
      </c>
      <c r="D1371" t="s">
        <v>5197</v>
      </c>
      <c r="E1371" t="s">
        <v>64</v>
      </c>
      <c r="F1371" t="s">
        <v>362</v>
      </c>
      <c r="H1371">
        <v>47</v>
      </c>
      <c r="I1371">
        <v>1400</v>
      </c>
      <c r="J1371" t="s">
        <v>6495</v>
      </c>
      <c r="K1371" t="s">
        <v>6496</v>
      </c>
      <c r="M1371" t="s">
        <v>92</v>
      </c>
      <c r="N1371">
        <v>32201</v>
      </c>
      <c r="O1371" t="s">
        <v>70</v>
      </c>
      <c r="Q1371" t="s">
        <v>93</v>
      </c>
      <c r="R1371" t="s">
        <v>6497</v>
      </c>
      <c r="S1371" t="s">
        <v>4430</v>
      </c>
      <c r="T1371" s="6">
        <v>4850000000</v>
      </c>
      <c r="W1371" t="str">
        <f t="shared" si="22"/>
        <v>TARA TU5P1400</v>
      </c>
      <c r="X1371" t="e">
        <f>VLOOKUP(W1371,Sheet10!D:F,2,0)*10000000</f>
        <v>#N/A</v>
      </c>
      <c r="Y1371" t="s">
        <v>5712</v>
      </c>
    </row>
    <row r="1372" spans="1:25" x14ac:dyDescent="0.25">
      <c r="A1372" t="s">
        <v>4483</v>
      </c>
      <c r="B1372" t="s">
        <v>6498</v>
      </c>
      <c r="C1372">
        <v>606</v>
      </c>
      <c r="D1372" t="s">
        <v>63</v>
      </c>
      <c r="E1372" t="s">
        <v>64</v>
      </c>
      <c r="F1372" t="s">
        <v>362</v>
      </c>
      <c r="H1372">
        <v>47</v>
      </c>
      <c r="I1372">
        <v>1400</v>
      </c>
      <c r="J1372" t="s">
        <v>6499</v>
      </c>
      <c r="K1372" t="s">
        <v>6004</v>
      </c>
      <c r="M1372" t="s">
        <v>4487</v>
      </c>
      <c r="N1372">
        <v>60602</v>
      </c>
      <c r="O1372" t="s">
        <v>4488</v>
      </c>
      <c r="Q1372" t="s">
        <v>4489</v>
      </c>
      <c r="R1372" t="s">
        <v>6500</v>
      </c>
      <c r="S1372" t="s">
        <v>2881</v>
      </c>
      <c r="T1372" s="6">
        <v>5450000000</v>
      </c>
      <c r="W1372" t="str">
        <f t="shared" si="22"/>
        <v>207i TU5P A1400</v>
      </c>
      <c r="X1372">
        <f>VLOOKUP(W1372,Sheet10!D:F,2,0)*10000000</f>
        <v>7000000000</v>
      </c>
      <c r="Y1372" t="s">
        <v>5712</v>
      </c>
    </row>
    <row r="1373" spans="1:25" x14ac:dyDescent="0.25">
      <c r="A1373" t="s">
        <v>3242</v>
      </c>
      <c r="B1373" t="s">
        <v>6501</v>
      </c>
      <c r="C1373">
        <v>600</v>
      </c>
      <c r="D1373" t="s">
        <v>63</v>
      </c>
      <c r="E1373" t="s">
        <v>64</v>
      </c>
      <c r="F1373" t="s">
        <v>318</v>
      </c>
      <c r="H1373">
        <v>47</v>
      </c>
      <c r="I1373">
        <v>1401</v>
      </c>
      <c r="J1373" t="s">
        <v>6502</v>
      </c>
      <c r="K1373" t="s">
        <v>6503</v>
      </c>
      <c r="M1373" t="s">
        <v>3246</v>
      </c>
      <c r="N1373">
        <v>60010</v>
      </c>
      <c r="O1373" t="s">
        <v>303</v>
      </c>
      <c r="Q1373" t="s">
        <v>3247</v>
      </c>
      <c r="R1373" t="s">
        <v>6504</v>
      </c>
      <c r="S1373" t="s">
        <v>3209</v>
      </c>
      <c r="T1373" s="6">
        <v>5000000000</v>
      </c>
      <c r="W1373" t="str">
        <f t="shared" si="22"/>
        <v>207i-MT1401</v>
      </c>
      <c r="X1373">
        <f>VLOOKUP(W1373,Sheet10!D:F,2,0)*10000000</f>
        <v>5800000000</v>
      </c>
      <c r="Y1373" t="s">
        <v>5712</v>
      </c>
    </row>
    <row r="1374" spans="1:25" x14ac:dyDescent="0.25">
      <c r="A1374" t="s">
        <v>5785</v>
      </c>
      <c r="B1374" t="s">
        <v>6505</v>
      </c>
      <c r="C1374">
        <v>600</v>
      </c>
      <c r="D1374" t="s">
        <v>178</v>
      </c>
      <c r="E1374" t="s">
        <v>64</v>
      </c>
      <c r="F1374" t="s">
        <v>362</v>
      </c>
      <c r="H1374">
        <v>46</v>
      </c>
      <c r="I1374">
        <v>1400</v>
      </c>
      <c r="J1374" t="s">
        <v>6506</v>
      </c>
      <c r="K1374" t="s">
        <v>6507</v>
      </c>
      <c r="M1374" t="s">
        <v>3246</v>
      </c>
      <c r="N1374">
        <v>60010</v>
      </c>
      <c r="O1374" t="s">
        <v>303</v>
      </c>
      <c r="Q1374" t="s">
        <v>3247</v>
      </c>
      <c r="R1374" t="s">
        <v>6508</v>
      </c>
      <c r="S1374" t="s">
        <v>2935</v>
      </c>
      <c r="T1374" s="6">
        <v>5100000000</v>
      </c>
      <c r="W1374" t="str">
        <f t="shared" si="22"/>
        <v>207i-MT1400</v>
      </c>
      <c r="X1374">
        <f>VLOOKUP(W1374,Sheet10!D:F,2,0)*10000000</f>
        <v>5600000000</v>
      </c>
      <c r="Y1374" t="s">
        <v>5712</v>
      </c>
    </row>
    <row r="1375" spans="1:25" x14ac:dyDescent="0.25">
      <c r="A1375" t="s">
        <v>5661</v>
      </c>
      <c r="B1375" t="s">
        <v>6509</v>
      </c>
      <c r="C1375">
        <v>522</v>
      </c>
      <c r="D1375" t="s">
        <v>63</v>
      </c>
      <c r="E1375" t="s">
        <v>64</v>
      </c>
      <c r="F1375" t="s">
        <v>362</v>
      </c>
      <c r="H1375">
        <v>46</v>
      </c>
      <c r="I1375">
        <v>1400</v>
      </c>
      <c r="J1375" t="s">
        <v>6510</v>
      </c>
      <c r="K1375" t="s">
        <v>6511</v>
      </c>
      <c r="M1375" t="s">
        <v>5589</v>
      </c>
      <c r="N1375">
        <v>52201</v>
      </c>
      <c r="O1375" t="s">
        <v>4488</v>
      </c>
      <c r="Q1375" t="s">
        <v>5590</v>
      </c>
      <c r="R1375" t="s">
        <v>6512</v>
      </c>
      <c r="S1375" t="s">
        <v>4461</v>
      </c>
      <c r="T1375" s="6">
        <v>9350000000</v>
      </c>
      <c r="W1375" t="str">
        <f t="shared" si="22"/>
        <v>S5-T-AT1400</v>
      </c>
      <c r="X1375" t="e">
        <f>VLOOKUP(W1375,Sheet10!D:F,2,0)*10000000</f>
        <v>#N/A</v>
      </c>
      <c r="Y1375" t="s">
        <v>5712</v>
      </c>
    </row>
    <row r="1376" spans="1:25" x14ac:dyDescent="0.25">
      <c r="A1376" t="s">
        <v>191</v>
      </c>
      <c r="B1376" t="s">
        <v>6513</v>
      </c>
      <c r="C1376">
        <v>285</v>
      </c>
      <c r="D1376" t="s">
        <v>63</v>
      </c>
      <c r="E1376" t="s">
        <v>64</v>
      </c>
      <c r="F1376" t="s">
        <v>3186</v>
      </c>
      <c r="H1376">
        <v>46</v>
      </c>
      <c r="I1376">
        <v>1400</v>
      </c>
      <c r="J1376" t="s">
        <v>6514</v>
      </c>
      <c r="K1376" t="s">
        <v>6515</v>
      </c>
      <c r="M1376" t="s">
        <v>198</v>
      </c>
      <c r="N1376">
        <v>28520</v>
      </c>
      <c r="O1376" t="s">
        <v>70</v>
      </c>
      <c r="Q1376" t="s">
        <v>199</v>
      </c>
      <c r="R1376" t="s">
        <v>6516</v>
      </c>
      <c r="S1376" t="s">
        <v>2968</v>
      </c>
      <c r="T1376" s="6">
        <v>4300000000</v>
      </c>
      <c r="W1376" t="str">
        <f t="shared" si="22"/>
        <v>PARS TU51400</v>
      </c>
      <c r="X1376">
        <f>VLOOKUP(W1376,Sheet10!D:F,2,0)*10000000</f>
        <v>5100000000</v>
      </c>
      <c r="Y1376" t="s">
        <v>5712</v>
      </c>
    </row>
    <row r="1377" spans="1:25" x14ac:dyDescent="0.25">
      <c r="A1377" t="s">
        <v>5216</v>
      </c>
      <c r="B1377" t="s">
        <v>6517</v>
      </c>
      <c r="C1377">
        <v>323</v>
      </c>
      <c r="D1377" t="s">
        <v>63</v>
      </c>
      <c r="E1377" t="s">
        <v>64</v>
      </c>
      <c r="F1377" t="s">
        <v>362</v>
      </c>
      <c r="H1377">
        <v>45</v>
      </c>
      <c r="I1377">
        <v>1400</v>
      </c>
      <c r="J1377" t="s">
        <v>6518</v>
      </c>
      <c r="K1377" t="s">
        <v>6519</v>
      </c>
      <c r="M1377" t="s">
        <v>5192</v>
      </c>
      <c r="N1377">
        <v>32301</v>
      </c>
      <c r="O1377" t="s">
        <v>70</v>
      </c>
      <c r="Q1377" t="s">
        <v>5193</v>
      </c>
      <c r="R1377" t="s">
        <v>6520</v>
      </c>
      <c r="S1377" t="s">
        <v>403</v>
      </c>
      <c r="T1377" s="6">
        <v>6200000000</v>
      </c>
      <c r="W1377" t="str">
        <f t="shared" si="22"/>
        <v>TARA TU5PA1400</v>
      </c>
      <c r="X1377">
        <f>VLOOKUP(W1377,Sheet10!D:F,2,0)*10000000</f>
        <v>7200000000</v>
      </c>
      <c r="Y1377" t="s">
        <v>5712</v>
      </c>
    </row>
    <row r="1378" spans="1:25" x14ac:dyDescent="0.25">
      <c r="A1378" t="s">
        <v>6270</v>
      </c>
      <c r="B1378" t="s">
        <v>6521</v>
      </c>
      <c r="C1378">
        <v>322</v>
      </c>
      <c r="D1378" t="s">
        <v>6272</v>
      </c>
      <c r="E1378" t="s">
        <v>64</v>
      </c>
      <c r="F1378" t="s">
        <v>362</v>
      </c>
      <c r="H1378">
        <v>45</v>
      </c>
      <c r="I1378">
        <v>1400</v>
      </c>
      <c r="J1378" t="s">
        <v>6522</v>
      </c>
      <c r="K1378" t="s">
        <v>6004</v>
      </c>
      <c r="M1378" t="s">
        <v>92</v>
      </c>
      <c r="N1378">
        <v>32201</v>
      </c>
      <c r="O1378" t="s">
        <v>70</v>
      </c>
      <c r="Q1378" t="s">
        <v>93</v>
      </c>
      <c r="R1378" t="s">
        <v>6523</v>
      </c>
      <c r="S1378" t="s">
        <v>4371</v>
      </c>
      <c r="T1378" s="6">
        <v>4850000000</v>
      </c>
      <c r="W1378" t="str">
        <f t="shared" si="22"/>
        <v>TARA TU5P1400</v>
      </c>
      <c r="X1378" t="e">
        <f>VLOOKUP(W1378,Sheet10!D:F,2,0)*10000000</f>
        <v>#N/A</v>
      </c>
      <c r="Y1378" t="s">
        <v>5712</v>
      </c>
    </row>
    <row r="1379" spans="1:25" x14ac:dyDescent="0.25">
      <c r="A1379" t="s">
        <v>3242</v>
      </c>
      <c r="B1379" t="s">
        <v>6524</v>
      </c>
      <c r="C1379">
        <v>600</v>
      </c>
      <c r="D1379" t="s">
        <v>63</v>
      </c>
      <c r="E1379" t="s">
        <v>64</v>
      </c>
      <c r="F1379" t="s">
        <v>362</v>
      </c>
      <c r="H1379">
        <v>45</v>
      </c>
      <c r="I1379">
        <v>1400</v>
      </c>
      <c r="J1379" t="s">
        <v>6525</v>
      </c>
      <c r="K1379" t="s">
        <v>6420</v>
      </c>
      <c r="M1379" t="s">
        <v>3246</v>
      </c>
      <c r="N1379">
        <v>60010</v>
      </c>
      <c r="O1379" t="s">
        <v>303</v>
      </c>
      <c r="Q1379" t="s">
        <v>3247</v>
      </c>
      <c r="R1379" t="s">
        <v>6526</v>
      </c>
      <c r="S1379" t="s">
        <v>2716</v>
      </c>
      <c r="T1379" s="6">
        <v>5100000000</v>
      </c>
      <c r="W1379" t="str">
        <f t="shared" si="22"/>
        <v>207i-MT1400</v>
      </c>
      <c r="X1379">
        <f>VLOOKUP(W1379,Sheet10!D:F,2,0)*10000000</f>
        <v>5600000000</v>
      </c>
      <c r="Y1379" t="s">
        <v>5712</v>
      </c>
    </row>
    <row r="1380" spans="1:25" x14ac:dyDescent="0.25">
      <c r="A1380" t="s">
        <v>3242</v>
      </c>
      <c r="B1380" t="s">
        <v>6527</v>
      </c>
      <c r="C1380">
        <v>600</v>
      </c>
      <c r="D1380" t="s">
        <v>63</v>
      </c>
      <c r="E1380" t="s">
        <v>64</v>
      </c>
      <c r="F1380" t="s">
        <v>362</v>
      </c>
      <c r="H1380">
        <v>44</v>
      </c>
      <c r="I1380">
        <v>1400</v>
      </c>
      <c r="J1380" t="s">
        <v>6528</v>
      </c>
      <c r="K1380" t="s">
        <v>6436</v>
      </c>
      <c r="M1380" t="s">
        <v>3246</v>
      </c>
      <c r="N1380">
        <v>60010</v>
      </c>
      <c r="O1380" t="s">
        <v>303</v>
      </c>
      <c r="Q1380" t="s">
        <v>3247</v>
      </c>
      <c r="R1380" t="s">
        <v>6529</v>
      </c>
      <c r="S1380" t="s">
        <v>4638</v>
      </c>
      <c r="T1380" s="6">
        <v>5950000000</v>
      </c>
      <c r="W1380" t="str">
        <f t="shared" si="22"/>
        <v>207i-MT1400</v>
      </c>
      <c r="X1380">
        <f>VLOOKUP(W1380,Sheet10!D:F,2,0)*10000000</f>
        <v>5600000000</v>
      </c>
      <c r="Y1380" t="s">
        <v>5712</v>
      </c>
    </row>
    <row r="1381" spans="1:25" x14ac:dyDescent="0.25">
      <c r="A1381" t="s">
        <v>4497</v>
      </c>
      <c r="B1381" t="s">
        <v>4650</v>
      </c>
      <c r="C1381">
        <v>606</v>
      </c>
      <c r="D1381" t="s">
        <v>77</v>
      </c>
      <c r="E1381" t="s">
        <v>64</v>
      </c>
      <c r="F1381" t="s">
        <v>4256</v>
      </c>
      <c r="H1381">
        <v>44</v>
      </c>
      <c r="I1381">
        <v>1400</v>
      </c>
      <c r="J1381" t="s">
        <v>4651</v>
      </c>
      <c r="K1381" t="s">
        <v>4641</v>
      </c>
      <c r="M1381" t="s">
        <v>4487</v>
      </c>
      <c r="N1381">
        <v>60602</v>
      </c>
      <c r="O1381" t="s">
        <v>4488</v>
      </c>
      <c r="Q1381" t="s">
        <v>4489</v>
      </c>
      <c r="R1381" t="s">
        <v>4652</v>
      </c>
      <c r="S1381" t="s">
        <v>3633</v>
      </c>
      <c r="T1381" s="6">
        <v>5450000000</v>
      </c>
      <c r="W1381" t="str">
        <f t="shared" si="22"/>
        <v>207i TU5P A1400</v>
      </c>
      <c r="X1381">
        <f>VLOOKUP(W1381,Sheet10!D:F,2,0)*10000000</f>
        <v>7000000000</v>
      </c>
      <c r="Y1381" t="s">
        <v>5712</v>
      </c>
    </row>
    <row r="1382" spans="1:25" x14ac:dyDescent="0.25">
      <c r="A1382" t="s">
        <v>3139</v>
      </c>
      <c r="B1382" t="s">
        <v>6530</v>
      </c>
      <c r="C1382">
        <v>575</v>
      </c>
      <c r="D1382" t="s">
        <v>77</v>
      </c>
      <c r="E1382" t="s">
        <v>64</v>
      </c>
      <c r="F1382" t="s">
        <v>420</v>
      </c>
      <c r="H1382">
        <v>43</v>
      </c>
      <c r="I1382">
        <v>1401</v>
      </c>
      <c r="J1382" t="s">
        <v>6531</v>
      </c>
      <c r="K1382" t="s">
        <v>6532</v>
      </c>
      <c r="M1382" t="s">
        <v>367</v>
      </c>
      <c r="N1382">
        <v>57523</v>
      </c>
      <c r="O1382" t="s">
        <v>70</v>
      </c>
      <c r="Q1382" t="s">
        <v>2648</v>
      </c>
      <c r="R1382" t="s">
        <v>6533</v>
      </c>
      <c r="S1382" t="s">
        <v>478</v>
      </c>
      <c r="T1382" s="6">
        <v>4050000000</v>
      </c>
      <c r="W1382" t="str">
        <f t="shared" si="22"/>
        <v>SOREN EF71401</v>
      </c>
      <c r="X1382">
        <f>VLOOKUP(W1382,Sheet10!D:F,2,0)*10000000</f>
        <v>4650000000</v>
      </c>
      <c r="Y1382" t="s">
        <v>5712</v>
      </c>
    </row>
    <row r="1383" spans="1:25" x14ac:dyDescent="0.25">
      <c r="A1383" t="s">
        <v>5216</v>
      </c>
      <c r="B1383" t="s">
        <v>6534</v>
      </c>
      <c r="C1383">
        <v>323</v>
      </c>
      <c r="D1383" t="s">
        <v>63</v>
      </c>
      <c r="E1383" t="s">
        <v>64</v>
      </c>
      <c r="F1383" t="s">
        <v>362</v>
      </c>
      <c r="H1383">
        <v>43</v>
      </c>
      <c r="I1383">
        <v>1400</v>
      </c>
      <c r="J1383" t="s">
        <v>6535</v>
      </c>
      <c r="K1383" t="s">
        <v>6274</v>
      </c>
      <c r="M1383" t="s">
        <v>5192</v>
      </c>
      <c r="N1383">
        <v>32301</v>
      </c>
      <c r="O1383" t="s">
        <v>70</v>
      </c>
      <c r="Q1383" t="s">
        <v>5193</v>
      </c>
      <c r="R1383" t="s">
        <v>6536</v>
      </c>
      <c r="S1383" t="s">
        <v>2138</v>
      </c>
      <c r="T1383" s="6">
        <v>6200000000</v>
      </c>
      <c r="W1383" t="str">
        <f t="shared" si="22"/>
        <v>TARA TU5PA1400</v>
      </c>
      <c r="X1383">
        <f>VLOOKUP(W1383,Sheet10!D:F,2,0)*10000000</f>
        <v>7200000000</v>
      </c>
      <c r="Y1383" t="s">
        <v>5712</v>
      </c>
    </row>
    <row r="1384" spans="1:25" x14ac:dyDescent="0.25">
      <c r="A1384" t="s">
        <v>5661</v>
      </c>
      <c r="B1384" t="s">
        <v>6537</v>
      </c>
      <c r="C1384">
        <v>522</v>
      </c>
      <c r="D1384" t="s">
        <v>63</v>
      </c>
      <c r="E1384" t="s">
        <v>64</v>
      </c>
      <c r="F1384" t="s">
        <v>420</v>
      </c>
      <c r="H1384">
        <v>43</v>
      </c>
      <c r="I1384">
        <v>1401</v>
      </c>
      <c r="J1384" t="s">
        <v>6538</v>
      </c>
      <c r="K1384" t="s">
        <v>6539</v>
      </c>
      <c r="M1384" t="s">
        <v>5589</v>
      </c>
      <c r="N1384">
        <v>52201</v>
      </c>
      <c r="O1384" t="s">
        <v>4488</v>
      </c>
      <c r="Q1384" t="s">
        <v>5590</v>
      </c>
      <c r="R1384" t="s">
        <v>6540</v>
      </c>
      <c r="S1384" t="s">
        <v>5063</v>
      </c>
      <c r="T1384" s="6">
        <v>10000000000</v>
      </c>
      <c r="W1384" t="str">
        <f t="shared" si="22"/>
        <v>S5-T-AT1401</v>
      </c>
      <c r="X1384">
        <f>VLOOKUP(W1384,Sheet10!D:F,2,0)*10000000</f>
        <v>11100000000</v>
      </c>
      <c r="Y1384" t="s">
        <v>5712</v>
      </c>
    </row>
    <row r="1385" spans="1:25" x14ac:dyDescent="0.25">
      <c r="A1385" t="s">
        <v>5216</v>
      </c>
      <c r="B1385" t="s">
        <v>6541</v>
      </c>
      <c r="C1385">
        <v>323</v>
      </c>
      <c r="D1385" t="s">
        <v>63</v>
      </c>
      <c r="E1385" t="s">
        <v>64</v>
      </c>
      <c r="F1385" t="s">
        <v>362</v>
      </c>
      <c r="H1385">
        <v>42</v>
      </c>
      <c r="I1385">
        <v>1400</v>
      </c>
      <c r="J1385" t="s">
        <v>6542</v>
      </c>
      <c r="K1385" t="s">
        <v>6274</v>
      </c>
      <c r="M1385" t="s">
        <v>5192</v>
      </c>
      <c r="N1385">
        <v>32301</v>
      </c>
      <c r="O1385" t="s">
        <v>70</v>
      </c>
      <c r="Q1385" t="s">
        <v>5193</v>
      </c>
      <c r="R1385" t="s">
        <v>6543</v>
      </c>
      <c r="S1385" t="s">
        <v>2090</v>
      </c>
      <c r="T1385" s="6">
        <v>6200000000</v>
      </c>
      <c r="W1385" t="str">
        <f t="shared" si="22"/>
        <v>TARA TU5PA1400</v>
      </c>
      <c r="X1385">
        <f>VLOOKUP(W1385,Sheet10!D:F,2,0)*10000000</f>
        <v>7200000000</v>
      </c>
      <c r="Y1385" t="s">
        <v>5712</v>
      </c>
    </row>
    <row r="1386" spans="1:25" x14ac:dyDescent="0.25">
      <c r="A1386" t="s">
        <v>4343</v>
      </c>
      <c r="B1386" t="s">
        <v>6544</v>
      </c>
      <c r="C1386">
        <v>322</v>
      </c>
      <c r="D1386" t="s">
        <v>4345</v>
      </c>
      <c r="E1386" t="s">
        <v>64</v>
      </c>
      <c r="F1386" t="s">
        <v>362</v>
      </c>
      <c r="H1386">
        <v>42</v>
      </c>
      <c r="I1386">
        <v>1400</v>
      </c>
      <c r="J1386" t="s">
        <v>6545</v>
      </c>
      <c r="K1386" t="s">
        <v>6546</v>
      </c>
      <c r="M1386" t="s">
        <v>92</v>
      </c>
      <c r="N1386">
        <v>32201</v>
      </c>
      <c r="O1386" t="s">
        <v>70</v>
      </c>
      <c r="Q1386" t="s">
        <v>93</v>
      </c>
      <c r="R1386" t="s">
        <v>6547</v>
      </c>
      <c r="S1386" t="s">
        <v>4877</v>
      </c>
      <c r="T1386" s="6">
        <v>4850000000</v>
      </c>
      <c r="W1386" t="str">
        <f t="shared" si="22"/>
        <v>TARA TU5P1400</v>
      </c>
      <c r="X1386" t="e">
        <f>VLOOKUP(W1386,Sheet10!D:F,2,0)*10000000</f>
        <v>#N/A</v>
      </c>
      <c r="Y1386" t="s">
        <v>5712</v>
      </c>
    </row>
    <row r="1387" spans="1:25" x14ac:dyDescent="0.25">
      <c r="A1387" t="s">
        <v>3242</v>
      </c>
      <c r="B1387" t="s">
        <v>6548</v>
      </c>
      <c r="C1387">
        <v>600</v>
      </c>
      <c r="D1387" t="s">
        <v>63</v>
      </c>
      <c r="E1387" t="s">
        <v>64</v>
      </c>
      <c r="F1387" t="s">
        <v>491</v>
      </c>
      <c r="H1387">
        <v>42</v>
      </c>
      <c r="I1387">
        <v>1401</v>
      </c>
      <c r="J1387" t="s">
        <v>6549</v>
      </c>
      <c r="K1387" t="s">
        <v>6550</v>
      </c>
      <c r="M1387" t="s">
        <v>3246</v>
      </c>
      <c r="N1387">
        <v>60010</v>
      </c>
      <c r="O1387" t="s">
        <v>303</v>
      </c>
      <c r="Q1387" t="s">
        <v>3247</v>
      </c>
      <c r="R1387" t="s">
        <v>6551</v>
      </c>
      <c r="S1387" t="s">
        <v>4804</v>
      </c>
      <c r="T1387" s="6">
        <v>5300000000</v>
      </c>
      <c r="W1387" t="str">
        <f t="shared" si="22"/>
        <v>207i-MT1401</v>
      </c>
      <c r="X1387">
        <f>VLOOKUP(W1387,Sheet10!D:F,2,0)*10000000</f>
        <v>5800000000</v>
      </c>
      <c r="Y1387" t="s">
        <v>5712</v>
      </c>
    </row>
    <row r="1388" spans="1:25" x14ac:dyDescent="0.25">
      <c r="A1388" t="s">
        <v>5206</v>
      </c>
      <c r="B1388" t="s">
        <v>6552</v>
      </c>
      <c r="C1388">
        <v>323</v>
      </c>
      <c r="D1388" t="s">
        <v>240</v>
      </c>
      <c r="E1388" t="s">
        <v>64</v>
      </c>
      <c r="F1388" t="s">
        <v>318</v>
      </c>
      <c r="H1388">
        <v>42</v>
      </c>
      <c r="I1388">
        <v>1400</v>
      </c>
      <c r="J1388" t="s">
        <v>6553</v>
      </c>
      <c r="K1388" t="s">
        <v>6554</v>
      </c>
      <c r="M1388" t="s">
        <v>5192</v>
      </c>
      <c r="N1388">
        <v>32301</v>
      </c>
      <c r="O1388" t="s">
        <v>70</v>
      </c>
      <c r="Q1388" t="s">
        <v>5193</v>
      </c>
      <c r="R1388" t="s">
        <v>6555</v>
      </c>
      <c r="S1388" t="s">
        <v>3355</v>
      </c>
      <c r="T1388" s="6">
        <v>5550000000</v>
      </c>
      <c r="W1388" t="str">
        <f t="shared" si="22"/>
        <v>TARA TU5PA1400</v>
      </c>
      <c r="X1388">
        <f>VLOOKUP(W1388,Sheet10!D:F,2,0)*10000000</f>
        <v>7200000000</v>
      </c>
      <c r="Y1388" t="s">
        <v>5712</v>
      </c>
    </row>
    <row r="1389" spans="1:25" x14ac:dyDescent="0.25">
      <c r="A1389" t="s">
        <v>6270</v>
      </c>
      <c r="B1389" t="s">
        <v>6556</v>
      </c>
      <c r="C1389">
        <v>322</v>
      </c>
      <c r="D1389" t="s">
        <v>6272</v>
      </c>
      <c r="E1389" t="s">
        <v>64</v>
      </c>
      <c r="F1389" t="s">
        <v>362</v>
      </c>
      <c r="H1389">
        <v>41</v>
      </c>
      <c r="I1389">
        <v>1400</v>
      </c>
      <c r="J1389" t="s">
        <v>6557</v>
      </c>
      <c r="K1389" t="s">
        <v>6274</v>
      </c>
      <c r="M1389" t="s">
        <v>92</v>
      </c>
      <c r="N1389">
        <v>32201</v>
      </c>
      <c r="O1389" t="s">
        <v>70</v>
      </c>
      <c r="Q1389" t="s">
        <v>93</v>
      </c>
      <c r="R1389" t="s">
        <v>6558</v>
      </c>
      <c r="S1389" t="s">
        <v>4854</v>
      </c>
      <c r="T1389" s="6">
        <v>4850000000</v>
      </c>
      <c r="W1389" t="str">
        <f t="shared" si="22"/>
        <v>TARA TU5P1400</v>
      </c>
      <c r="X1389" t="e">
        <f>VLOOKUP(W1389,Sheet10!D:F,2,0)*10000000</f>
        <v>#N/A</v>
      </c>
      <c r="Y1389" t="s">
        <v>5712</v>
      </c>
    </row>
    <row r="1390" spans="1:25" x14ac:dyDescent="0.25">
      <c r="A1390" t="s">
        <v>6559</v>
      </c>
      <c r="B1390" t="s">
        <v>6560</v>
      </c>
      <c r="C1390">
        <v>600</v>
      </c>
      <c r="D1390" t="s">
        <v>6561</v>
      </c>
      <c r="E1390" t="s">
        <v>64</v>
      </c>
      <c r="F1390" t="s">
        <v>362</v>
      </c>
      <c r="H1390">
        <v>41</v>
      </c>
      <c r="I1390">
        <v>1400</v>
      </c>
      <c r="J1390" t="s">
        <v>6562</v>
      </c>
      <c r="K1390" t="s">
        <v>6563</v>
      </c>
      <c r="M1390" t="s">
        <v>3246</v>
      </c>
      <c r="N1390">
        <v>60010</v>
      </c>
      <c r="O1390" t="s">
        <v>303</v>
      </c>
      <c r="Q1390" t="s">
        <v>3247</v>
      </c>
      <c r="R1390" t="s">
        <v>6564</v>
      </c>
      <c r="S1390" t="s">
        <v>5654</v>
      </c>
      <c r="T1390" s="6">
        <v>5100000000</v>
      </c>
      <c r="W1390" t="str">
        <f t="shared" si="22"/>
        <v>207i-MT1400</v>
      </c>
      <c r="X1390">
        <f>VLOOKUP(W1390,Sheet10!D:F,2,0)*10000000</f>
        <v>5600000000</v>
      </c>
      <c r="Y1390" t="s">
        <v>5712</v>
      </c>
    </row>
    <row r="1391" spans="1:25" x14ac:dyDescent="0.25">
      <c r="A1391" t="s">
        <v>5216</v>
      </c>
      <c r="B1391" t="s">
        <v>6565</v>
      </c>
      <c r="C1391">
        <v>323</v>
      </c>
      <c r="D1391" t="s">
        <v>63</v>
      </c>
      <c r="E1391" t="s">
        <v>64</v>
      </c>
      <c r="F1391" t="s">
        <v>362</v>
      </c>
      <c r="H1391">
        <v>40</v>
      </c>
      <c r="I1391">
        <v>1400</v>
      </c>
      <c r="J1391" t="s">
        <v>6566</v>
      </c>
      <c r="K1391" t="s">
        <v>6274</v>
      </c>
      <c r="M1391" t="s">
        <v>5192</v>
      </c>
      <c r="N1391">
        <v>32301</v>
      </c>
      <c r="O1391" t="s">
        <v>70</v>
      </c>
      <c r="Q1391" t="s">
        <v>5193</v>
      </c>
      <c r="R1391" t="s">
        <v>6567</v>
      </c>
      <c r="S1391" t="s">
        <v>3862</v>
      </c>
      <c r="T1391" s="6">
        <v>6200000000</v>
      </c>
      <c r="W1391" t="str">
        <f t="shared" si="22"/>
        <v>TARA TU5PA1400</v>
      </c>
      <c r="X1391">
        <f>VLOOKUP(W1391,Sheet10!D:F,2,0)*10000000</f>
        <v>7200000000</v>
      </c>
      <c r="Y1391" t="s">
        <v>5712</v>
      </c>
    </row>
    <row r="1392" spans="1:25" x14ac:dyDescent="0.25">
      <c r="A1392" t="s">
        <v>87</v>
      </c>
      <c r="B1392" t="s">
        <v>6568</v>
      </c>
      <c r="C1392">
        <v>322</v>
      </c>
      <c r="D1392" t="s">
        <v>63</v>
      </c>
      <c r="E1392" t="s">
        <v>64</v>
      </c>
      <c r="F1392" t="s">
        <v>362</v>
      </c>
      <c r="H1392">
        <v>40</v>
      </c>
      <c r="I1392">
        <v>1400</v>
      </c>
      <c r="J1392" t="s">
        <v>6569</v>
      </c>
      <c r="K1392" t="s">
        <v>6274</v>
      </c>
      <c r="M1392" t="s">
        <v>92</v>
      </c>
      <c r="N1392">
        <v>32201</v>
      </c>
      <c r="O1392" t="s">
        <v>70</v>
      </c>
      <c r="Q1392" t="s">
        <v>93</v>
      </c>
      <c r="R1392" t="s">
        <v>6570</v>
      </c>
      <c r="S1392" t="s">
        <v>3688</v>
      </c>
      <c r="T1392" s="6">
        <v>4850000000</v>
      </c>
      <c r="W1392" t="str">
        <f t="shared" si="22"/>
        <v>TARA TU5P1400</v>
      </c>
      <c r="X1392" t="e">
        <f>VLOOKUP(W1392,Sheet10!D:F,2,0)*10000000</f>
        <v>#N/A</v>
      </c>
      <c r="Y1392" t="s">
        <v>5712</v>
      </c>
    </row>
    <row r="1393" spans="1:25" x14ac:dyDescent="0.25">
      <c r="A1393" t="s">
        <v>3689</v>
      </c>
      <c r="B1393" t="s">
        <v>6571</v>
      </c>
      <c r="C1393">
        <v>575</v>
      </c>
      <c r="D1393" t="s">
        <v>2461</v>
      </c>
      <c r="E1393" t="s">
        <v>64</v>
      </c>
      <c r="F1393" t="s">
        <v>420</v>
      </c>
      <c r="H1393">
        <v>39</v>
      </c>
      <c r="I1393">
        <v>1401</v>
      </c>
      <c r="J1393" t="s">
        <v>6572</v>
      </c>
      <c r="K1393" t="s">
        <v>6573</v>
      </c>
      <c r="M1393" t="s">
        <v>367</v>
      </c>
      <c r="N1393">
        <v>57523</v>
      </c>
      <c r="O1393" t="s">
        <v>70</v>
      </c>
      <c r="Q1393" t="s">
        <v>2648</v>
      </c>
      <c r="R1393" t="s">
        <v>6574</v>
      </c>
      <c r="S1393" t="s">
        <v>2029</v>
      </c>
      <c r="T1393" s="6">
        <v>4150000000</v>
      </c>
      <c r="W1393" t="str">
        <f t="shared" si="22"/>
        <v>SOREN EF71401</v>
      </c>
      <c r="X1393">
        <f>VLOOKUP(W1393,Sheet10!D:F,2,0)*10000000</f>
        <v>4650000000</v>
      </c>
      <c r="Y1393" t="s">
        <v>5712</v>
      </c>
    </row>
    <row r="1394" spans="1:25" x14ac:dyDescent="0.25">
      <c r="A1394" t="s">
        <v>3242</v>
      </c>
      <c r="B1394" t="s">
        <v>6575</v>
      </c>
      <c r="C1394">
        <v>600</v>
      </c>
      <c r="D1394" t="s">
        <v>63</v>
      </c>
      <c r="E1394" t="s">
        <v>64</v>
      </c>
      <c r="F1394" t="s">
        <v>362</v>
      </c>
      <c r="H1394">
        <v>39</v>
      </c>
      <c r="I1394">
        <v>1400</v>
      </c>
      <c r="J1394" t="s">
        <v>6576</v>
      </c>
      <c r="K1394" t="s">
        <v>6577</v>
      </c>
      <c r="M1394" t="s">
        <v>3246</v>
      </c>
      <c r="N1394">
        <v>60010</v>
      </c>
      <c r="O1394" t="s">
        <v>303</v>
      </c>
      <c r="Q1394" t="s">
        <v>3247</v>
      </c>
      <c r="R1394" t="s">
        <v>6578</v>
      </c>
      <c r="S1394" t="s">
        <v>4823</v>
      </c>
      <c r="T1394" s="6">
        <v>5100000000</v>
      </c>
      <c r="W1394" t="str">
        <f t="shared" si="22"/>
        <v>207i-MT1400</v>
      </c>
      <c r="X1394">
        <f>VLOOKUP(W1394,Sheet10!D:F,2,0)*10000000</f>
        <v>5600000000</v>
      </c>
      <c r="Y1394" t="s">
        <v>5712</v>
      </c>
    </row>
    <row r="1395" spans="1:25" x14ac:dyDescent="0.25">
      <c r="A1395" t="s">
        <v>4497</v>
      </c>
      <c r="B1395" t="s">
        <v>5517</v>
      </c>
      <c r="C1395">
        <v>606</v>
      </c>
      <c r="D1395" t="s">
        <v>77</v>
      </c>
      <c r="E1395" t="s">
        <v>64</v>
      </c>
      <c r="F1395" t="s">
        <v>420</v>
      </c>
      <c r="H1395">
        <v>39</v>
      </c>
      <c r="I1395">
        <v>1401</v>
      </c>
      <c r="J1395" t="s">
        <v>5518</v>
      </c>
      <c r="K1395" t="s">
        <v>5519</v>
      </c>
      <c r="M1395" t="s">
        <v>4487</v>
      </c>
      <c r="N1395">
        <v>60602</v>
      </c>
      <c r="O1395" t="s">
        <v>4488</v>
      </c>
      <c r="Q1395" t="s">
        <v>4489</v>
      </c>
      <c r="R1395" t="s">
        <v>5520</v>
      </c>
      <c r="S1395" t="s">
        <v>4686</v>
      </c>
      <c r="T1395" s="6">
        <v>5700000000</v>
      </c>
      <c r="W1395" t="str">
        <f t="shared" si="22"/>
        <v>207i TU5P A1401</v>
      </c>
      <c r="X1395">
        <f>VLOOKUP(W1395,Sheet10!D:F,2,0)*10000000</f>
        <v>7100000000</v>
      </c>
      <c r="Y1395" t="s">
        <v>5712</v>
      </c>
    </row>
    <row r="1396" spans="1:25" x14ac:dyDescent="0.25">
      <c r="A1396" t="s">
        <v>5970</v>
      </c>
      <c r="B1396" t="s">
        <v>6579</v>
      </c>
      <c r="C1396">
        <v>704</v>
      </c>
      <c r="D1396" t="s">
        <v>77</v>
      </c>
      <c r="E1396" t="s">
        <v>64</v>
      </c>
      <c r="F1396" t="s">
        <v>420</v>
      </c>
      <c r="H1396">
        <v>38</v>
      </c>
      <c r="I1396">
        <v>1401</v>
      </c>
      <c r="J1396" t="s">
        <v>6580</v>
      </c>
      <c r="K1396" t="s">
        <v>6581</v>
      </c>
      <c r="M1396" t="s">
        <v>4401</v>
      </c>
      <c r="N1396">
        <v>70406</v>
      </c>
      <c r="O1396" t="s">
        <v>70</v>
      </c>
      <c r="Q1396" t="s">
        <v>5974</v>
      </c>
      <c r="R1396" t="s">
        <v>6582</v>
      </c>
      <c r="S1396" t="s">
        <v>554</v>
      </c>
      <c r="T1396" s="6">
        <v>5950000000</v>
      </c>
      <c r="W1396" t="str">
        <f t="shared" si="22"/>
        <v>DENA EF7 TC-MT1401</v>
      </c>
      <c r="X1396">
        <f>VLOOKUP(W1396,Sheet10!D:F,2,0)*10000000</f>
        <v>6750000000</v>
      </c>
      <c r="Y1396" t="s">
        <v>5712</v>
      </c>
    </row>
    <row r="1397" spans="1:25" x14ac:dyDescent="0.25">
      <c r="A1397" t="s">
        <v>2476</v>
      </c>
      <c r="B1397" t="s">
        <v>6583</v>
      </c>
      <c r="C1397">
        <v>575</v>
      </c>
      <c r="D1397" t="s">
        <v>63</v>
      </c>
      <c r="E1397" t="s">
        <v>64</v>
      </c>
      <c r="F1397" t="s">
        <v>318</v>
      </c>
      <c r="H1397">
        <v>38</v>
      </c>
      <c r="I1397">
        <v>1401</v>
      </c>
      <c r="J1397" t="s">
        <v>6584</v>
      </c>
      <c r="K1397" t="s">
        <v>6585</v>
      </c>
      <c r="M1397" t="s">
        <v>367</v>
      </c>
      <c r="N1397">
        <v>57519</v>
      </c>
      <c r="O1397" t="s">
        <v>70</v>
      </c>
      <c r="Q1397" t="s">
        <v>2420</v>
      </c>
      <c r="R1397" t="s">
        <v>6586</v>
      </c>
      <c r="S1397" t="s">
        <v>1036</v>
      </c>
      <c r="T1397" s="6">
        <v>3900000000</v>
      </c>
      <c r="W1397" t="str">
        <f t="shared" si="22"/>
        <v>SOREN EF71401</v>
      </c>
      <c r="X1397">
        <f>VLOOKUP(W1397,Sheet10!D:F,2,0)*10000000</f>
        <v>4650000000</v>
      </c>
      <c r="Y1397" t="s">
        <v>5712</v>
      </c>
    </row>
    <row r="1398" spans="1:25" x14ac:dyDescent="0.25">
      <c r="A1398" t="s">
        <v>87</v>
      </c>
      <c r="B1398" t="s">
        <v>6587</v>
      </c>
      <c r="C1398">
        <v>322</v>
      </c>
      <c r="D1398" t="s">
        <v>63</v>
      </c>
      <c r="E1398" t="s">
        <v>64</v>
      </c>
      <c r="F1398" t="s">
        <v>362</v>
      </c>
      <c r="H1398">
        <v>38</v>
      </c>
      <c r="I1398">
        <v>1400</v>
      </c>
      <c r="J1398" t="s">
        <v>6588</v>
      </c>
      <c r="K1398" t="s">
        <v>6589</v>
      </c>
      <c r="M1398" t="s">
        <v>92</v>
      </c>
      <c r="N1398">
        <v>32201</v>
      </c>
      <c r="O1398" t="s">
        <v>70</v>
      </c>
      <c r="Q1398" t="s">
        <v>93</v>
      </c>
      <c r="R1398" t="s">
        <v>6590</v>
      </c>
      <c r="S1398" t="s">
        <v>4818</v>
      </c>
      <c r="T1398" s="6">
        <v>4850000000</v>
      </c>
      <c r="W1398" t="str">
        <f t="shared" si="22"/>
        <v>TARA TU5P1400</v>
      </c>
      <c r="X1398" t="e">
        <f>VLOOKUP(W1398,Sheet10!D:F,2,0)*10000000</f>
        <v>#N/A</v>
      </c>
      <c r="Y1398" t="s">
        <v>5712</v>
      </c>
    </row>
    <row r="1399" spans="1:25" x14ac:dyDescent="0.25">
      <c r="A1399" t="s">
        <v>5954</v>
      </c>
      <c r="B1399" t="s">
        <v>6591</v>
      </c>
      <c r="C1399">
        <v>606</v>
      </c>
      <c r="D1399" t="s">
        <v>63</v>
      </c>
      <c r="E1399" t="s">
        <v>64</v>
      </c>
      <c r="F1399" t="s">
        <v>420</v>
      </c>
      <c r="H1399">
        <v>87</v>
      </c>
      <c r="I1399">
        <v>1401</v>
      </c>
      <c r="J1399" t="s">
        <v>6592</v>
      </c>
      <c r="K1399" t="s">
        <v>6593</v>
      </c>
      <c r="M1399" t="s">
        <v>4487</v>
      </c>
      <c r="N1399">
        <v>60603</v>
      </c>
      <c r="O1399" t="s">
        <v>4488</v>
      </c>
      <c r="Q1399" t="s">
        <v>5958</v>
      </c>
      <c r="R1399" t="s">
        <v>6594</v>
      </c>
      <c r="S1399" t="s">
        <v>4420</v>
      </c>
      <c r="T1399" s="6">
        <v>5900000000</v>
      </c>
      <c r="W1399" t="str">
        <f t="shared" si="22"/>
        <v>207i TU5P A1401</v>
      </c>
      <c r="X1399">
        <f>VLOOKUP(W1399,Sheet10!D:F,2,0)*10000000</f>
        <v>7100000000</v>
      </c>
      <c r="Y1399" t="s">
        <v>5712</v>
      </c>
    </row>
    <row r="1400" spans="1:25" x14ac:dyDescent="0.25">
      <c r="A1400" t="s">
        <v>5976</v>
      </c>
      <c r="B1400" t="s">
        <v>6595</v>
      </c>
      <c r="C1400">
        <v>704</v>
      </c>
      <c r="D1400" t="s">
        <v>259</v>
      </c>
      <c r="E1400" t="s">
        <v>64</v>
      </c>
      <c r="F1400" t="s">
        <v>4256</v>
      </c>
      <c r="H1400">
        <v>86</v>
      </c>
      <c r="I1400">
        <v>1400</v>
      </c>
      <c r="J1400" t="s">
        <v>6596</v>
      </c>
      <c r="K1400" t="s">
        <v>6597</v>
      </c>
      <c r="M1400" t="s">
        <v>4401</v>
      </c>
      <c r="N1400">
        <v>70406</v>
      </c>
      <c r="O1400" t="s">
        <v>70</v>
      </c>
      <c r="Q1400" t="s">
        <v>5974</v>
      </c>
      <c r="R1400" t="s">
        <v>6598</v>
      </c>
      <c r="S1400" t="s">
        <v>2202</v>
      </c>
      <c r="T1400" s="6">
        <v>5670000000</v>
      </c>
      <c r="W1400" t="str">
        <f t="shared" si="22"/>
        <v>DENA EF7 TC-MT1400</v>
      </c>
      <c r="X1400" t="e">
        <f>VLOOKUP(W1400,Sheet10!D:F,2,0)*10000000</f>
        <v>#N/A</v>
      </c>
      <c r="Y1400" t="s">
        <v>5712</v>
      </c>
    </row>
    <row r="1401" spans="1:25" x14ac:dyDescent="0.25">
      <c r="A1401" t="s">
        <v>5976</v>
      </c>
      <c r="B1401" t="s">
        <v>6599</v>
      </c>
      <c r="C1401">
        <v>704</v>
      </c>
      <c r="D1401" t="s">
        <v>259</v>
      </c>
      <c r="E1401" t="s">
        <v>64</v>
      </c>
      <c r="F1401" t="s">
        <v>4256</v>
      </c>
      <c r="H1401">
        <v>85</v>
      </c>
      <c r="I1401">
        <v>1400</v>
      </c>
      <c r="J1401" t="s">
        <v>6600</v>
      </c>
      <c r="K1401" t="s">
        <v>6601</v>
      </c>
      <c r="M1401" t="s">
        <v>4401</v>
      </c>
      <c r="N1401">
        <v>70406</v>
      </c>
      <c r="O1401" t="s">
        <v>70</v>
      </c>
      <c r="Q1401" t="s">
        <v>5974</v>
      </c>
      <c r="R1401" t="s">
        <v>6602</v>
      </c>
      <c r="S1401" t="s">
        <v>884</v>
      </c>
      <c r="T1401" s="6">
        <v>5650000000</v>
      </c>
      <c r="W1401" t="str">
        <f t="shared" si="22"/>
        <v>DENA EF7 TC-MT1400</v>
      </c>
      <c r="X1401" t="e">
        <f>VLOOKUP(W1401,Sheet10!D:F,2,0)*10000000</f>
        <v>#N/A</v>
      </c>
      <c r="Y1401" t="s">
        <v>5712</v>
      </c>
    </row>
    <row r="1402" spans="1:25" x14ac:dyDescent="0.25">
      <c r="A1402" t="s">
        <v>6237</v>
      </c>
      <c r="B1402" t="s">
        <v>6603</v>
      </c>
      <c r="C1402">
        <v>606</v>
      </c>
      <c r="D1402" t="s">
        <v>63</v>
      </c>
      <c r="E1402" t="s">
        <v>64</v>
      </c>
      <c r="F1402" t="s">
        <v>4256</v>
      </c>
      <c r="H1402">
        <v>85</v>
      </c>
      <c r="I1402">
        <v>1400</v>
      </c>
      <c r="J1402" t="s">
        <v>6604</v>
      </c>
      <c r="K1402" t="s">
        <v>6605</v>
      </c>
      <c r="M1402" t="s">
        <v>4487</v>
      </c>
      <c r="N1402">
        <v>60601</v>
      </c>
      <c r="O1402" t="s">
        <v>4488</v>
      </c>
      <c r="Q1402" t="s">
        <v>6241</v>
      </c>
      <c r="R1402" t="s">
        <v>6606</v>
      </c>
      <c r="S1402" t="s">
        <v>2538</v>
      </c>
      <c r="T1402" s="6">
        <v>6200000000</v>
      </c>
      <c r="W1402" t="str">
        <f t="shared" si="22"/>
        <v>207i TU5P A1400</v>
      </c>
      <c r="X1402">
        <f>VLOOKUP(W1402,Sheet10!D:F,2,0)*10000000</f>
        <v>7000000000</v>
      </c>
      <c r="Y1402" t="s">
        <v>5712</v>
      </c>
    </row>
    <row r="1403" spans="1:25" x14ac:dyDescent="0.25">
      <c r="A1403" t="s">
        <v>6237</v>
      </c>
      <c r="B1403" t="s">
        <v>6607</v>
      </c>
      <c r="C1403">
        <v>606</v>
      </c>
      <c r="D1403" t="s">
        <v>63</v>
      </c>
      <c r="E1403" t="s">
        <v>64</v>
      </c>
      <c r="F1403" t="s">
        <v>4256</v>
      </c>
      <c r="H1403">
        <v>84</v>
      </c>
      <c r="I1403">
        <v>1400</v>
      </c>
      <c r="J1403" t="s">
        <v>6608</v>
      </c>
      <c r="K1403" t="s">
        <v>6609</v>
      </c>
      <c r="M1403" t="s">
        <v>4487</v>
      </c>
      <c r="N1403">
        <v>60601</v>
      </c>
      <c r="O1403" t="s">
        <v>4488</v>
      </c>
      <c r="Q1403" t="s">
        <v>6241</v>
      </c>
      <c r="R1403" t="s">
        <v>6610</v>
      </c>
      <c r="S1403" t="s">
        <v>4981</v>
      </c>
      <c r="T1403" s="6">
        <v>6200000000</v>
      </c>
      <c r="W1403" t="str">
        <f t="shared" si="22"/>
        <v>207i TU5P A1400</v>
      </c>
      <c r="X1403">
        <f>VLOOKUP(W1403,Sheet10!D:F,2,0)*10000000</f>
        <v>7000000000</v>
      </c>
      <c r="Y1403" t="s">
        <v>5712</v>
      </c>
    </row>
    <row r="1404" spans="1:25" x14ac:dyDescent="0.25">
      <c r="A1404" t="s">
        <v>2476</v>
      </c>
      <c r="B1404" t="s">
        <v>6611</v>
      </c>
      <c r="C1404">
        <v>575</v>
      </c>
      <c r="D1404" t="s">
        <v>63</v>
      </c>
      <c r="E1404" t="s">
        <v>64</v>
      </c>
      <c r="F1404" t="s">
        <v>318</v>
      </c>
      <c r="H1404">
        <v>82</v>
      </c>
      <c r="I1404">
        <v>1401</v>
      </c>
      <c r="J1404" t="s">
        <v>6612</v>
      </c>
      <c r="K1404" t="s">
        <v>6613</v>
      </c>
      <c r="M1404" t="s">
        <v>367</v>
      </c>
      <c r="N1404">
        <v>57519</v>
      </c>
      <c r="O1404" t="s">
        <v>70</v>
      </c>
      <c r="Q1404" t="s">
        <v>2420</v>
      </c>
      <c r="R1404" t="s">
        <v>6614</v>
      </c>
      <c r="S1404" t="s">
        <v>908</v>
      </c>
      <c r="T1404" s="6">
        <v>3850000000</v>
      </c>
      <c r="W1404" t="str">
        <f t="shared" si="22"/>
        <v>SOREN EF71401</v>
      </c>
      <c r="X1404">
        <f>VLOOKUP(W1404,Sheet10!D:F,2,0)*10000000</f>
        <v>4650000000</v>
      </c>
      <c r="Y1404" t="s">
        <v>5712</v>
      </c>
    </row>
    <row r="1405" spans="1:25" x14ac:dyDescent="0.25">
      <c r="A1405" t="s">
        <v>4483</v>
      </c>
      <c r="B1405" t="s">
        <v>4665</v>
      </c>
      <c r="C1405">
        <v>606</v>
      </c>
      <c r="D1405" t="s">
        <v>63</v>
      </c>
      <c r="E1405" t="s">
        <v>64</v>
      </c>
      <c r="F1405" t="s">
        <v>4256</v>
      </c>
      <c r="H1405">
        <v>81</v>
      </c>
      <c r="I1405">
        <v>1400</v>
      </c>
      <c r="J1405" t="s">
        <v>4666</v>
      </c>
      <c r="K1405" t="s">
        <v>4667</v>
      </c>
      <c r="M1405" t="s">
        <v>4487</v>
      </c>
      <c r="N1405">
        <v>60602</v>
      </c>
      <c r="O1405" t="s">
        <v>4488</v>
      </c>
      <c r="Q1405" t="s">
        <v>4489</v>
      </c>
      <c r="R1405" t="s">
        <v>4668</v>
      </c>
      <c r="S1405" t="s">
        <v>4260</v>
      </c>
      <c r="T1405" s="6">
        <v>5450000000</v>
      </c>
      <c r="W1405" t="str">
        <f t="shared" si="22"/>
        <v>207i TU5P A1400</v>
      </c>
      <c r="X1405">
        <f>VLOOKUP(W1405,Sheet10!D:F,2,0)*10000000</f>
        <v>7000000000</v>
      </c>
      <c r="Y1405" t="s">
        <v>5712</v>
      </c>
    </row>
    <row r="1406" spans="1:25" x14ac:dyDescent="0.25">
      <c r="A1406" t="s">
        <v>6237</v>
      </c>
      <c r="B1406" t="s">
        <v>6615</v>
      </c>
      <c r="C1406">
        <v>606</v>
      </c>
      <c r="D1406" t="s">
        <v>63</v>
      </c>
      <c r="E1406" t="s">
        <v>64</v>
      </c>
      <c r="F1406" t="s">
        <v>4256</v>
      </c>
      <c r="H1406">
        <v>80</v>
      </c>
      <c r="I1406">
        <v>1400</v>
      </c>
      <c r="J1406" t="s">
        <v>6616</v>
      </c>
      <c r="K1406" t="s">
        <v>6617</v>
      </c>
      <c r="M1406" t="s">
        <v>4487</v>
      </c>
      <c r="N1406">
        <v>60601</v>
      </c>
      <c r="O1406" t="s">
        <v>4488</v>
      </c>
      <c r="Q1406" t="s">
        <v>6241</v>
      </c>
      <c r="R1406" t="s">
        <v>6618</v>
      </c>
      <c r="S1406" t="s">
        <v>2866</v>
      </c>
      <c r="T1406" s="6">
        <v>6200000000</v>
      </c>
      <c r="W1406" t="str">
        <f t="shared" si="22"/>
        <v>207i TU5P A1400</v>
      </c>
      <c r="X1406">
        <f>VLOOKUP(W1406,Sheet10!D:F,2,0)*10000000</f>
        <v>7000000000</v>
      </c>
      <c r="Y1406" t="s">
        <v>5712</v>
      </c>
    </row>
    <row r="1407" spans="1:25" x14ac:dyDescent="0.25">
      <c r="A1407" t="s">
        <v>5976</v>
      </c>
      <c r="B1407" t="s">
        <v>6619</v>
      </c>
      <c r="C1407">
        <v>704</v>
      </c>
      <c r="D1407" t="s">
        <v>259</v>
      </c>
      <c r="E1407" t="s">
        <v>64</v>
      </c>
      <c r="F1407" t="s">
        <v>4256</v>
      </c>
      <c r="H1407">
        <v>78</v>
      </c>
      <c r="I1407">
        <v>1400</v>
      </c>
      <c r="J1407" t="s">
        <v>6620</v>
      </c>
      <c r="K1407" t="s">
        <v>6621</v>
      </c>
      <c r="M1407" t="s">
        <v>4401</v>
      </c>
      <c r="N1407">
        <v>70406</v>
      </c>
      <c r="O1407" t="s">
        <v>70</v>
      </c>
      <c r="Q1407" t="s">
        <v>5974</v>
      </c>
      <c r="R1407" t="s">
        <v>6622</v>
      </c>
      <c r="S1407" t="s">
        <v>673</v>
      </c>
      <c r="T1407" s="6">
        <v>5700000000</v>
      </c>
      <c r="W1407" t="str">
        <f t="shared" si="22"/>
        <v>DENA EF7 TC-MT1400</v>
      </c>
      <c r="X1407" t="e">
        <f>VLOOKUP(W1407,Sheet10!D:F,2,0)*10000000</f>
        <v>#N/A</v>
      </c>
      <c r="Y1407" t="s">
        <v>5712</v>
      </c>
    </row>
    <row r="1408" spans="1:25" x14ac:dyDescent="0.25">
      <c r="A1408" t="s">
        <v>6237</v>
      </c>
      <c r="B1408" t="s">
        <v>6623</v>
      </c>
      <c r="C1408">
        <v>606</v>
      </c>
      <c r="D1408" t="s">
        <v>63</v>
      </c>
      <c r="E1408" t="s">
        <v>64</v>
      </c>
      <c r="F1408" t="s">
        <v>362</v>
      </c>
      <c r="H1408">
        <v>78</v>
      </c>
      <c r="I1408">
        <v>1400</v>
      </c>
      <c r="J1408" t="s">
        <v>6624</v>
      </c>
      <c r="K1408" t="s">
        <v>6625</v>
      </c>
      <c r="M1408" t="s">
        <v>4487</v>
      </c>
      <c r="N1408">
        <v>60601</v>
      </c>
      <c r="O1408" t="s">
        <v>4488</v>
      </c>
      <c r="Q1408" t="s">
        <v>6241</v>
      </c>
      <c r="R1408" t="s">
        <v>6626</v>
      </c>
      <c r="S1408" t="s">
        <v>4653</v>
      </c>
      <c r="T1408" s="6">
        <v>6200000000</v>
      </c>
      <c r="W1408" t="str">
        <f t="shared" si="22"/>
        <v>207i TU5P A1400</v>
      </c>
      <c r="X1408">
        <f>VLOOKUP(W1408,Sheet10!D:F,2,0)*10000000</f>
        <v>7000000000</v>
      </c>
      <c r="Y1408" t="s">
        <v>5712</v>
      </c>
    </row>
    <row r="1409" spans="1:25" x14ac:dyDescent="0.25">
      <c r="A1409" t="s">
        <v>5976</v>
      </c>
      <c r="B1409" t="s">
        <v>6627</v>
      </c>
      <c r="C1409">
        <v>704</v>
      </c>
      <c r="D1409" t="s">
        <v>259</v>
      </c>
      <c r="E1409" t="s">
        <v>64</v>
      </c>
      <c r="F1409" t="s">
        <v>4256</v>
      </c>
      <c r="H1409">
        <v>77</v>
      </c>
      <c r="I1409">
        <v>1400</v>
      </c>
      <c r="J1409" t="s">
        <v>6628</v>
      </c>
      <c r="K1409" t="s">
        <v>6629</v>
      </c>
      <c r="M1409" t="s">
        <v>4401</v>
      </c>
      <c r="N1409">
        <v>70406</v>
      </c>
      <c r="O1409" t="s">
        <v>70</v>
      </c>
      <c r="Q1409" t="s">
        <v>5974</v>
      </c>
      <c r="R1409" t="s">
        <v>6630</v>
      </c>
      <c r="S1409" t="s">
        <v>742</v>
      </c>
      <c r="T1409" s="6">
        <v>5700000000</v>
      </c>
      <c r="W1409" t="str">
        <f t="shared" si="22"/>
        <v>DENA EF7 TC-MT1400</v>
      </c>
      <c r="X1409" t="e">
        <f>VLOOKUP(W1409,Sheet10!D:F,2,0)*10000000</f>
        <v>#N/A</v>
      </c>
      <c r="Y1409" t="s">
        <v>5712</v>
      </c>
    </row>
    <row r="1410" spans="1:25" x14ac:dyDescent="0.25">
      <c r="A1410" t="s">
        <v>3497</v>
      </c>
      <c r="B1410" t="s">
        <v>6631</v>
      </c>
      <c r="C1410">
        <v>600</v>
      </c>
      <c r="D1410" t="s">
        <v>77</v>
      </c>
      <c r="E1410" t="s">
        <v>64</v>
      </c>
      <c r="F1410" t="s">
        <v>362</v>
      </c>
      <c r="H1410">
        <v>76</v>
      </c>
      <c r="I1410">
        <v>1400</v>
      </c>
      <c r="J1410" t="s">
        <v>6632</v>
      </c>
      <c r="K1410" t="s">
        <v>6633</v>
      </c>
      <c r="M1410" t="s">
        <v>3246</v>
      </c>
      <c r="N1410">
        <v>60010</v>
      </c>
      <c r="O1410" t="s">
        <v>303</v>
      </c>
      <c r="Q1410" t="s">
        <v>3247</v>
      </c>
      <c r="R1410" t="s">
        <v>6634</v>
      </c>
      <c r="S1410" t="s">
        <v>5095</v>
      </c>
      <c r="T1410" s="6">
        <v>5950000000</v>
      </c>
      <c r="W1410" t="str">
        <f t="shared" si="22"/>
        <v>207i-MT1400</v>
      </c>
      <c r="X1410">
        <f>VLOOKUP(W1410,Sheet10!D:F,2,0)*10000000</f>
        <v>5600000000</v>
      </c>
      <c r="Y1410" t="s">
        <v>5712</v>
      </c>
    </row>
    <row r="1411" spans="1:25" x14ac:dyDescent="0.25">
      <c r="A1411" t="s">
        <v>5976</v>
      </c>
      <c r="B1411" t="s">
        <v>6635</v>
      </c>
      <c r="C1411">
        <v>704</v>
      </c>
      <c r="D1411" t="s">
        <v>259</v>
      </c>
      <c r="E1411" t="s">
        <v>64</v>
      </c>
      <c r="F1411" t="s">
        <v>4256</v>
      </c>
      <c r="H1411">
        <v>75</v>
      </c>
      <c r="I1411">
        <v>1400</v>
      </c>
      <c r="J1411" t="s">
        <v>6636</v>
      </c>
      <c r="K1411" t="s">
        <v>6637</v>
      </c>
      <c r="M1411" t="s">
        <v>4401</v>
      </c>
      <c r="N1411">
        <v>70406</v>
      </c>
      <c r="O1411" t="s">
        <v>70</v>
      </c>
      <c r="Q1411" t="s">
        <v>5974</v>
      </c>
      <c r="R1411" t="s">
        <v>6638</v>
      </c>
      <c r="S1411" t="s">
        <v>974</v>
      </c>
      <c r="T1411" s="6">
        <v>5700000000</v>
      </c>
      <c r="W1411" t="str">
        <f t="shared" si="22"/>
        <v>DENA EF7 TC-MT1400</v>
      </c>
      <c r="X1411" t="e">
        <f>VLOOKUP(W1411,Sheet10!D:F,2,0)*10000000</f>
        <v>#N/A</v>
      </c>
      <c r="Y1411" t="s">
        <v>5712</v>
      </c>
    </row>
    <row r="1412" spans="1:25" x14ac:dyDescent="0.25">
      <c r="A1412" t="s">
        <v>6237</v>
      </c>
      <c r="B1412" t="s">
        <v>6639</v>
      </c>
      <c r="C1412">
        <v>606</v>
      </c>
      <c r="D1412" t="s">
        <v>63</v>
      </c>
      <c r="E1412" t="s">
        <v>64</v>
      </c>
      <c r="F1412" t="s">
        <v>4256</v>
      </c>
      <c r="H1412">
        <v>75</v>
      </c>
      <c r="I1412">
        <v>1400</v>
      </c>
      <c r="J1412" t="s">
        <v>6640</v>
      </c>
      <c r="K1412" t="s">
        <v>6617</v>
      </c>
      <c r="M1412" t="s">
        <v>4487</v>
      </c>
      <c r="N1412">
        <v>60601</v>
      </c>
      <c r="O1412" t="s">
        <v>4488</v>
      </c>
      <c r="Q1412" t="s">
        <v>6241</v>
      </c>
      <c r="R1412" t="s">
        <v>6641</v>
      </c>
      <c r="S1412" t="s">
        <v>4934</v>
      </c>
      <c r="T1412" s="6">
        <v>6200000000</v>
      </c>
      <c r="W1412" t="str">
        <f t="shared" si="22"/>
        <v>207i TU5P A1400</v>
      </c>
      <c r="X1412">
        <f>VLOOKUP(W1412,Sheet10!D:F,2,0)*10000000</f>
        <v>7000000000</v>
      </c>
      <c r="Y1412" t="s">
        <v>5712</v>
      </c>
    </row>
    <row r="1413" spans="1:25" x14ac:dyDescent="0.25">
      <c r="A1413" t="s">
        <v>5976</v>
      </c>
      <c r="B1413" t="s">
        <v>6642</v>
      </c>
      <c r="C1413">
        <v>704</v>
      </c>
      <c r="D1413" t="s">
        <v>259</v>
      </c>
      <c r="E1413" t="s">
        <v>64</v>
      </c>
      <c r="F1413" t="s">
        <v>4256</v>
      </c>
      <c r="H1413">
        <v>74</v>
      </c>
      <c r="I1413">
        <v>1400</v>
      </c>
      <c r="J1413" t="s">
        <v>6643</v>
      </c>
      <c r="K1413" t="s">
        <v>6644</v>
      </c>
      <c r="M1413" t="s">
        <v>4401</v>
      </c>
      <c r="N1413">
        <v>70406</v>
      </c>
      <c r="O1413" t="s">
        <v>70</v>
      </c>
      <c r="Q1413" t="s">
        <v>5974</v>
      </c>
      <c r="R1413" t="s">
        <v>6645</v>
      </c>
      <c r="S1413" t="s">
        <v>1086</v>
      </c>
      <c r="T1413" s="6">
        <v>5700000000</v>
      </c>
      <c r="W1413" t="str">
        <f t="shared" si="22"/>
        <v>DENA EF7 TC-MT1400</v>
      </c>
      <c r="X1413" t="e">
        <f>VLOOKUP(W1413,Sheet10!D:F,2,0)*10000000</f>
        <v>#N/A</v>
      </c>
      <c r="Y1413" t="s">
        <v>5712</v>
      </c>
    </row>
    <row r="1414" spans="1:25" x14ac:dyDescent="0.25">
      <c r="A1414" t="s">
        <v>316</v>
      </c>
      <c r="B1414" t="s">
        <v>6646</v>
      </c>
      <c r="C1414">
        <v>610</v>
      </c>
      <c r="D1414" t="s">
        <v>63</v>
      </c>
      <c r="E1414" t="s">
        <v>64</v>
      </c>
      <c r="F1414" t="s">
        <v>491</v>
      </c>
      <c r="H1414">
        <v>74</v>
      </c>
      <c r="I1414">
        <v>1401</v>
      </c>
      <c r="J1414" t="s">
        <v>6647</v>
      </c>
      <c r="K1414" t="s">
        <v>6648</v>
      </c>
      <c r="M1414" t="s">
        <v>321</v>
      </c>
      <c r="N1414">
        <v>61015</v>
      </c>
      <c r="O1414" t="s">
        <v>70</v>
      </c>
      <c r="Q1414" t="s">
        <v>322</v>
      </c>
      <c r="R1414" t="s">
        <v>6649</v>
      </c>
      <c r="S1414" t="s">
        <v>1010</v>
      </c>
      <c r="T1414" s="6">
        <v>3600000000</v>
      </c>
      <c r="W1414" t="str">
        <f t="shared" si="22"/>
        <v>TU51401</v>
      </c>
      <c r="X1414">
        <f>VLOOKUP(W1414,Sheet10!D:F,2,0)*10000000</f>
        <v>4450000000</v>
      </c>
      <c r="Y1414" t="s">
        <v>5712</v>
      </c>
    </row>
    <row r="1415" spans="1:25" x14ac:dyDescent="0.25">
      <c r="A1415" t="s">
        <v>4483</v>
      </c>
      <c r="B1415" t="s">
        <v>6650</v>
      </c>
      <c r="C1415">
        <v>606</v>
      </c>
      <c r="D1415" t="s">
        <v>63</v>
      </c>
      <c r="E1415" t="s">
        <v>64</v>
      </c>
      <c r="F1415" t="s">
        <v>362</v>
      </c>
      <c r="H1415">
        <v>74</v>
      </c>
      <c r="I1415">
        <v>1400</v>
      </c>
      <c r="J1415" t="s">
        <v>6651</v>
      </c>
      <c r="K1415" t="s">
        <v>6652</v>
      </c>
      <c r="M1415" t="s">
        <v>4487</v>
      </c>
      <c r="N1415">
        <v>60602</v>
      </c>
      <c r="O1415" t="s">
        <v>4488</v>
      </c>
      <c r="Q1415" t="s">
        <v>4489</v>
      </c>
      <c r="R1415" t="s">
        <v>6653</v>
      </c>
      <c r="S1415" t="s">
        <v>4863</v>
      </c>
      <c r="T1415" s="6">
        <v>5450000000</v>
      </c>
      <c r="W1415" t="str">
        <f t="shared" si="22"/>
        <v>207i TU5P A1400</v>
      </c>
      <c r="X1415">
        <f>VLOOKUP(W1415,Sheet10!D:F,2,0)*10000000</f>
        <v>7000000000</v>
      </c>
      <c r="Y1415" t="s">
        <v>5712</v>
      </c>
    </row>
    <row r="1416" spans="1:25" x14ac:dyDescent="0.25">
      <c r="A1416" t="s">
        <v>6029</v>
      </c>
      <c r="B1416" t="s">
        <v>6654</v>
      </c>
      <c r="C1416">
        <v>704</v>
      </c>
      <c r="D1416" t="s">
        <v>240</v>
      </c>
      <c r="E1416" t="s">
        <v>64</v>
      </c>
      <c r="F1416" t="s">
        <v>420</v>
      </c>
      <c r="H1416">
        <v>73</v>
      </c>
      <c r="I1416">
        <v>1401</v>
      </c>
      <c r="J1416" t="s">
        <v>6655</v>
      </c>
      <c r="K1416" t="s">
        <v>6656</v>
      </c>
      <c r="M1416" t="s">
        <v>4401</v>
      </c>
      <c r="N1416">
        <v>70406</v>
      </c>
      <c r="O1416" t="s">
        <v>70</v>
      </c>
      <c r="Q1416" t="s">
        <v>5974</v>
      </c>
      <c r="R1416" t="s">
        <v>6657</v>
      </c>
      <c r="S1416" t="s">
        <v>938</v>
      </c>
      <c r="T1416" s="6">
        <v>5900000000</v>
      </c>
      <c r="W1416" t="str">
        <f t="shared" si="22"/>
        <v>DENA EF7 TC-MT1401</v>
      </c>
      <c r="X1416">
        <f>VLOOKUP(W1416,Sheet10!D:F,2,0)*10000000</f>
        <v>6750000000</v>
      </c>
      <c r="Y1416" t="s">
        <v>5712</v>
      </c>
    </row>
    <row r="1417" spans="1:25" x14ac:dyDescent="0.25">
      <c r="A1417" t="s">
        <v>3521</v>
      </c>
      <c r="B1417" t="s">
        <v>6658</v>
      </c>
      <c r="C1417">
        <v>707</v>
      </c>
      <c r="D1417" t="s">
        <v>77</v>
      </c>
      <c r="E1417" t="s">
        <v>64</v>
      </c>
      <c r="F1417" t="s">
        <v>362</v>
      </c>
      <c r="H1417">
        <v>72</v>
      </c>
      <c r="I1417">
        <v>1400</v>
      </c>
      <c r="J1417" t="s">
        <v>6659</v>
      </c>
      <c r="K1417" t="s">
        <v>6660</v>
      </c>
      <c r="M1417" t="s">
        <v>3450</v>
      </c>
      <c r="N1417">
        <v>70702</v>
      </c>
      <c r="O1417" t="s">
        <v>70</v>
      </c>
      <c r="Q1417" t="s">
        <v>3451</v>
      </c>
      <c r="R1417" t="s">
        <v>6661</v>
      </c>
      <c r="S1417" t="s">
        <v>219</v>
      </c>
      <c r="T1417" s="6">
        <v>6050000000</v>
      </c>
      <c r="W1417" t="str">
        <f t="shared" si="22"/>
        <v>DENA+EF7TC A1400</v>
      </c>
      <c r="X1417">
        <f>VLOOKUP(W1417,Sheet10!D:F,2,0)*10000000</f>
        <v>7100000000</v>
      </c>
      <c r="Y1417" t="s">
        <v>5712</v>
      </c>
    </row>
    <row r="1418" spans="1:25" x14ac:dyDescent="0.25">
      <c r="A1418" t="s">
        <v>316</v>
      </c>
      <c r="B1418" t="s">
        <v>6662</v>
      </c>
      <c r="C1418">
        <v>610</v>
      </c>
      <c r="D1418" t="s">
        <v>63</v>
      </c>
      <c r="E1418" t="s">
        <v>64</v>
      </c>
      <c r="F1418" t="s">
        <v>2436</v>
      </c>
      <c r="H1418">
        <v>71</v>
      </c>
      <c r="I1418">
        <v>1401</v>
      </c>
      <c r="J1418" t="s">
        <v>6663</v>
      </c>
      <c r="K1418" t="s">
        <v>6664</v>
      </c>
      <c r="M1418" t="s">
        <v>321</v>
      </c>
      <c r="N1418">
        <v>61015</v>
      </c>
      <c r="O1418" t="s">
        <v>70</v>
      </c>
      <c r="Q1418" t="s">
        <v>322</v>
      </c>
      <c r="R1418" t="s">
        <v>6665</v>
      </c>
      <c r="S1418" t="s">
        <v>777</v>
      </c>
      <c r="T1418" s="6">
        <v>3550000000</v>
      </c>
      <c r="W1418" t="str">
        <f t="shared" si="22"/>
        <v>TU51401</v>
      </c>
      <c r="X1418">
        <f>VLOOKUP(W1418,Sheet10!D:F,2,0)*10000000</f>
        <v>4450000000</v>
      </c>
      <c r="Y1418" t="s">
        <v>5712</v>
      </c>
    </row>
    <row r="1419" spans="1:25" x14ac:dyDescent="0.25">
      <c r="A1419" t="s">
        <v>4366</v>
      </c>
      <c r="B1419" t="s">
        <v>6666</v>
      </c>
      <c r="C1419">
        <v>575</v>
      </c>
      <c r="D1419" t="s">
        <v>63</v>
      </c>
      <c r="E1419" t="s">
        <v>64</v>
      </c>
      <c r="F1419" t="s">
        <v>362</v>
      </c>
      <c r="H1419">
        <v>69</v>
      </c>
      <c r="I1419">
        <v>1400</v>
      </c>
      <c r="J1419" t="s">
        <v>6667</v>
      </c>
      <c r="K1419" t="s">
        <v>6668</v>
      </c>
      <c r="M1419" t="s">
        <v>367</v>
      </c>
      <c r="N1419">
        <v>57523</v>
      </c>
      <c r="O1419" t="s">
        <v>70</v>
      </c>
      <c r="Q1419" t="s">
        <v>2648</v>
      </c>
      <c r="R1419" t="s">
        <v>6669</v>
      </c>
      <c r="S1419" t="s">
        <v>432</v>
      </c>
      <c r="T1419" s="6">
        <v>3800000000</v>
      </c>
      <c r="W1419" t="str">
        <f t="shared" si="22"/>
        <v>SOREN EF71400</v>
      </c>
      <c r="X1419">
        <f>VLOOKUP(W1419,Sheet10!D:F,2,0)*10000000</f>
        <v>4350000000</v>
      </c>
      <c r="Y1419" t="s">
        <v>5712</v>
      </c>
    </row>
    <row r="1420" spans="1:25" x14ac:dyDescent="0.25">
      <c r="A1420" t="s">
        <v>3242</v>
      </c>
      <c r="B1420" t="s">
        <v>6670</v>
      </c>
      <c r="C1420">
        <v>600</v>
      </c>
      <c r="D1420" t="s">
        <v>63</v>
      </c>
      <c r="E1420" t="s">
        <v>64</v>
      </c>
      <c r="F1420" t="s">
        <v>491</v>
      </c>
      <c r="H1420">
        <v>69</v>
      </c>
      <c r="I1420">
        <v>1401</v>
      </c>
      <c r="J1420" t="s">
        <v>6671</v>
      </c>
      <c r="K1420" t="s">
        <v>6672</v>
      </c>
      <c r="M1420" t="s">
        <v>3246</v>
      </c>
      <c r="N1420">
        <v>60010</v>
      </c>
      <c r="O1420" t="s">
        <v>303</v>
      </c>
      <c r="Q1420" t="s">
        <v>3247</v>
      </c>
      <c r="R1420" t="s">
        <v>6673</v>
      </c>
      <c r="S1420" t="s">
        <v>5504</v>
      </c>
      <c r="T1420" s="6">
        <v>5250000000</v>
      </c>
      <c r="W1420" t="str">
        <f t="shared" si="22"/>
        <v>207i-MT1401</v>
      </c>
      <c r="X1420">
        <f>VLOOKUP(W1420,Sheet10!D:F,2,0)*10000000</f>
        <v>5800000000</v>
      </c>
      <c r="Y1420" t="s">
        <v>5712</v>
      </c>
    </row>
    <row r="1421" spans="1:25" x14ac:dyDescent="0.25">
      <c r="A1421" t="s">
        <v>6237</v>
      </c>
      <c r="B1421" t="s">
        <v>6674</v>
      </c>
      <c r="C1421">
        <v>606</v>
      </c>
      <c r="D1421" t="s">
        <v>63</v>
      </c>
      <c r="E1421" t="s">
        <v>64</v>
      </c>
      <c r="F1421" t="s">
        <v>362</v>
      </c>
      <c r="H1421">
        <v>68</v>
      </c>
      <c r="I1421">
        <v>1400</v>
      </c>
      <c r="J1421" t="s">
        <v>6675</v>
      </c>
      <c r="K1421" t="s">
        <v>6676</v>
      </c>
      <c r="M1421" t="s">
        <v>4487</v>
      </c>
      <c r="N1421">
        <v>60601</v>
      </c>
      <c r="O1421" t="s">
        <v>4488</v>
      </c>
      <c r="Q1421" t="s">
        <v>6241</v>
      </c>
      <c r="R1421" t="s">
        <v>6677</v>
      </c>
      <c r="S1421" t="s">
        <v>2815</v>
      </c>
      <c r="T1421" s="6">
        <v>6200000000</v>
      </c>
      <c r="W1421" t="str">
        <f t="shared" si="22"/>
        <v>207i TU5P A1400</v>
      </c>
      <c r="X1421">
        <f>VLOOKUP(W1421,Sheet10!D:F,2,0)*10000000</f>
        <v>7000000000</v>
      </c>
      <c r="Y1421" t="s">
        <v>5712</v>
      </c>
    </row>
    <row r="1422" spans="1:25" x14ac:dyDescent="0.25">
      <c r="A1422" t="s">
        <v>5997</v>
      </c>
      <c r="B1422" t="s">
        <v>6678</v>
      </c>
      <c r="C1422">
        <v>704</v>
      </c>
      <c r="D1422" t="s">
        <v>63</v>
      </c>
      <c r="E1422" t="s">
        <v>64</v>
      </c>
      <c r="F1422" t="s">
        <v>4256</v>
      </c>
      <c r="H1422">
        <v>67</v>
      </c>
      <c r="I1422">
        <v>1400</v>
      </c>
      <c r="J1422" t="s">
        <v>6679</v>
      </c>
      <c r="K1422" t="s">
        <v>6680</v>
      </c>
      <c r="M1422" t="s">
        <v>4401</v>
      </c>
      <c r="N1422">
        <v>70406</v>
      </c>
      <c r="O1422" t="s">
        <v>70</v>
      </c>
      <c r="Q1422" t="s">
        <v>5974</v>
      </c>
      <c r="R1422" t="s">
        <v>6681</v>
      </c>
      <c r="S1422" t="s">
        <v>722</v>
      </c>
      <c r="T1422" s="6">
        <v>5650000000</v>
      </c>
      <c r="W1422" t="str">
        <f t="shared" ref="W1422:W1485" si="23">M1422&amp;I1422</f>
        <v>DENA EF7 TC-MT1400</v>
      </c>
      <c r="X1422" t="e">
        <f>VLOOKUP(W1422,Sheet10!D:F,2,0)*10000000</f>
        <v>#N/A</v>
      </c>
      <c r="Y1422" t="s">
        <v>5712</v>
      </c>
    </row>
    <row r="1423" spans="1:25" x14ac:dyDescent="0.25">
      <c r="A1423" t="s">
        <v>5997</v>
      </c>
      <c r="B1423" t="s">
        <v>6682</v>
      </c>
      <c r="C1423">
        <v>704</v>
      </c>
      <c r="D1423" t="s">
        <v>63</v>
      </c>
      <c r="E1423" t="s">
        <v>64</v>
      </c>
      <c r="F1423" t="s">
        <v>4256</v>
      </c>
      <c r="H1423">
        <v>67</v>
      </c>
      <c r="I1423">
        <v>1400</v>
      </c>
      <c r="J1423" t="s">
        <v>6683</v>
      </c>
      <c r="K1423" t="s">
        <v>6684</v>
      </c>
      <c r="M1423" t="s">
        <v>4401</v>
      </c>
      <c r="N1423">
        <v>70406</v>
      </c>
      <c r="O1423" t="s">
        <v>70</v>
      </c>
      <c r="Q1423" t="s">
        <v>5974</v>
      </c>
      <c r="R1423" t="s">
        <v>6685</v>
      </c>
      <c r="S1423" t="s">
        <v>757</v>
      </c>
      <c r="T1423" s="6">
        <v>5700000000</v>
      </c>
      <c r="W1423" t="str">
        <f t="shared" si="23"/>
        <v>DENA EF7 TC-MT1400</v>
      </c>
      <c r="X1423" t="e">
        <f>VLOOKUP(W1423,Sheet10!D:F,2,0)*10000000</f>
        <v>#N/A</v>
      </c>
      <c r="Y1423" t="s">
        <v>5712</v>
      </c>
    </row>
    <row r="1424" spans="1:25" x14ac:dyDescent="0.25">
      <c r="A1424" t="s">
        <v>4483</v>
      </c>
      <c r="B1424" t="s">
        <v>6686</v>
      </c>
      <c r="C1424">
        <v>606</v>
      </c>
      <c r="D1424" t="s">
        <v>63</v>
      </c>
      <c r="E1424" t="s">
        <v>64</v>
      </c>
      <c r="F1424" t="s">
        <v>362</v>
      </c>
      <c r="H1424">
        <v>67</v>
      </c>
      <c r="I1424">
        <v>1400</v>
      </c>
      <c r="J1424" t="s">
        <v>6687</v>
      </c>
      <c r="K1424" t="s">
        <v>6004</v>
      </c>
      <c r="M1424" t="s">
        <v>4487</v>
      </c>
      <c r="N1424">
        <v>60602</v>
      </c>
      <c r="O1424" t="s">
        <v>4488</v>
      </c>
      <c r="Q1424" t="s">
        <v>4489</v>
      </c>
      <c r="R1424" t="s">
        <v>6688</v>
      </c>
      <c r="S1424" t="s">
        <v>3917</v>
      </c>
      <c r="T1424" s="6">
        <v>5450000000</v>
      </c>
      <c r="W1424" t="str">
        <f t="shared" si="23"/>
        <v>207i TU5P A1400</v>
      </c>
      <c r="X1424">
        <f>VLOOKUP(W1424,Sheet10!D:F,2,0)*10000000</f>
        <v>7000000000</v>
      </c>
      <c r="Y1424" t="s">
        <v>5712</v>
      </c>
    </row>
    <row r="1425" spans="1:25" x14ac:dyDescent="0.25">
      <c r="A1425" t="s">
        <v>3497</v>
      </c>
      <c r="B1425" t="s">
        <v>6689</v>
      </c>
      <c r="C1425">
        <v>600</v>
      </c>
      <c r="D1425" t="s">
        <v>77</v>
      </c>
      <c r="E1425" t="s">
        <v>64</v>
      </c>
      <c r="F1425" t="s">
        <v>362</v>
      </c>
      <c r="H1425">
        <v>66</v>
      </c>
      <c r="I1425">
        <v>1400</v>
      </c>
      <c r="J1425" t="s">
        <v>6690</v>
      </c>
      <c r="K1425" t="s">
        <v>6691</v>
      </c>
      <c r="M1425" t="s">
        <v>3246</v>
      </c>
      <c r="N1425">
        <v>60010</v>
      </c>
      <c r="O1425" t="s">
        <v>303</v>
      </c>
      <c r="Q1425" t="s">
        <v>3247</v>
      </c>
      <c r="R1425" t="s">
        <v>6692</v>
      </c>
      <c r="S1425" t="s">
        <v>3717</v>
      </c>
      <c r="T1425" s="6">
        <v>5300000000</v>
      </c>
      <c r="W1425" t="str">
        <f t="shared" si="23"/>
        <v>207i-MT1400</v>
      </c>
      <c r="X1425">
        <f>VLOOKUP(W1425,Sheet10!D:F,2,0)*10000000</f>
        <v>5600000000</v>
      </c>
      <c r="Y1425" t="s">
        <v>5712</v>
      </c>
    </row>
    <row r="1426" spans="1:25" x14ac:dyDescent="0.25">
      <c r="A1426" t="s">
        <v>3242</v>
      </c>
      <c r="B1426" t="s">
        <v>6693</v>
      </c>
      <c r="C1426">
        <v>600</v>
      </c>
      <c r="D1426" t="s">
        <v>63</v>
      </c>
      <c r="E1426" t="s">
        <v>64</v>
      </c>
      <c r="F1426" t="s">
        <v>362</v>
      </c>
      <c r="H1426">
        <v>65</v>
      </c>
      <c r="I1426">
        <v>1400</v>
      </c>
      <c r="J1426" t="s">
        <v>6694</v>
      </c>
      <c r="K1426" t="s">
        <v>6004</v>
      </c>
      <c r="M1426" t="s">
        <v>3246</v>
      </c>
      <c r="N1426">
        <v>60010</v>
      </c>
      <c r="O1426" t="s">
        <v>303</v>
      </c>
      <c r="Q1426" t="s">
        <v>3247</v>
      </c>
      <c r="R1426" t="s">
        <v>6695</v>
      </c>
      <c r="S1426" t="s">
        <v>2685</v>
      </c>
      <c r="T1426" s="6">
        <v>5100000000</v>
      </c>
      <c r="W1426" t="str">
        <f t="shared" si="23"/>
        <v>207i-MT1400</v>
      </c>
      <c r="X1426">
        <f>VLOOKUP(W1426,Sheet10!D:F,2,0)*10000000</f>
        <v>5600000000</v>
      </c>
      <c r="Y1426" t="s">
        <v>5712</v>
      </c>
    </row>
    <row r="1427" spans="1:25" x14ac:dyDescent="0.25">
      <c r="A1427" t="s">
        <v>6237</v>
      </c>
      <c r="B1427" t="s">
        <v>6696</v>
      </c>
      <c r="C1427">
        <v>606</v>
      </c>
      <c r="D1427" t="s">
        <v>63</v>
      </c>
      <c r="E1427" t="s">
        <v>64</v>
      </c>
      <c r="F1427" t="s">
        <v>362</v>
      </c>
      <c r="H1427">
        <v>64</v>
      </c>
      <c r="I1427">
        <v>1400</v>
      </c>
      <c r="J1427" t="s">
        <v>6697</v>
      </c>
      <c r="K1427" t="s">
        <v>6004</v>
      </c>
      <c r="M1427" t="s">
        <v>4487</v>
      </c>
      <c r="N1427">
        <v>60601</v>
      </c>
      <c r="O1427" t="s">
        <v>4488</v>
      </c>
      <c r="Q1427" t="s">
        <v>6241</v>
      </c>
      <c r="R1427" t="s">
        <v>6698</v>
      </c>
      <c r="S1427" t="s">
        <v>4558</v>
      </c>
      <c r="T1427" s="6">
        <v>6200000000</v>
      </c>
      <c r="W1427" t="str">
        <f t="shared" si="23"/>
        <v>207i TU5P A1400</v>
      </c>
      <c r="X1427">
        <f>VLOOKUP(W1427,Sheet10!D:F,2,0)*10000000</f>
        <v>7000000000</v>
      </c>
      <c r="Y1427" t="s">
        <v>5712</v>
      </c>
    </row>
    <row r="1428" spans="1:25" x14ac:dyDescent="0.25">
      <c r="A1428" t="s">
        <v>87</v>
      </c>
      <c r="B1428" t="s">
        <v>6699</v>
      </c>
      <c r="C1428">
        <v>322</v>
      </c>
      <c r="D1428" t="s">
        <v>63</v>
      </c>
      <c r="E1428" t="s">
        <v>64</v>
      </c>
      <c r="F1428" t="s">
        <v>362</v>
      </c>
      <c r="H1428">
        <v>63</v>
      </c>
      <c r="I1428">
        <v>1400</v>
      </c>
      <c r="J1428" t="s">
        <v>6700</v>
      </c>
      <c r="K1428" t="s">
        <v>6004</v>
      </c>
      <c r="M1428" t="s">
        <v>92</v>
      </c>
      <c r="N1428">
        <v>32201</v>
      </c>
      <c r="O1428" t="s">
        <v>70</v>
      </c>
      <c r="Q1428" t="s">
        <v>93</v>
      </c>
      <c r="R1428" t="s">
        <v>6701</v>
      </c>
      <c r="S1428" t="s">
        <v>4794</v>
      </c>
      <c r="T1428" s="6">
        <v>4850000000</v>
      </c>
      <c r="W1428" t="str">
        <f t="shared" si="23"/>
        <v>TARA TU5P1400</v>
      </c>
      <c r="X1428" t="e">
        <f>VLOOKUP(W1428,Sheet10!D:F,2,0)*10000000</f>
        <v>#N/A</v>
      </c>
      <c r="Y1428" t="s">
        <v>5712</v>
      </c>
    </row>
    <row r="1429" spans="1:25" x14ac:dyDescent="0.25">
      <c r="A1429" t="s">
        <v>6237</v>
      </c>
      <c r="B1429" t="s">
        <v>6702</v>
      </c>
      <c r="C1429">
        <v>606</v>
      </c>
      <c r="D1429" t="s">
        <v>63</v>
      </c>
      <c r="E1429" t="s">
        <v>64</v>
      </c>
      <c r="F1429" t="s">
        <v>4256</v>
      </c>
      <c r="H1429">
        <v>63</v>
      </c>
      <c r="I1429">
        <v>1400</v>
      </c>
      <c r="J1429" t="s">
        <v>6703</v>
      </c>
      <c r="K1429" t="s">
        <v>6704</v>
      </c>
      <c r="M1429" t="s">
        <v>4487</v>
      </c>
      <c r="N1429">
        <v>60601</v>
      </c>
      <c r="O1429" t="s">
        <v>4488</v>
      </c>
      <c r="Q1429" t="s">
        <v>6241</v>
      </c>
      <c r="R1429" t="s">
        <v>6705</v>
      </c>
      <c r="S1429" t="s">
        <v>4678</v>
      </c>
      <c r="T1429" s="6">
        <v>6150000000</v>
      </c>
      <c r="W1429" t="str">
        <f t="shared" si="23"/>
        <v>207i TU5P A1400</v>
      </c>
      <c r="X1429">
        <f>VLOOKUP(W1429,Sheet10!D:F,2,0)*10000000</f>
        <v>7000000000</v>
      </c>
      <c r="Y1429" t="s">
        <v>5712</v>
      </c>
    </row>
    <row r="1430" spans="1:25" x14ac:dyDescent="0.25">
      <c r="A1430" t="s">
        <v>3497</v>
      </c>
      <c r="B1430" t="s">
        <v>6706</v>
      </c>
      <c r="C1430">
        <v>600</v>
      </c>
      <c r="D1430" t="s">
        <v>77</v>
      </c>
      <c r="E1430" t="s">
        <v>64</v>
      </c>
      <c r="F1430" t="s">
        <v>362</v>
      </c>
      <c r="H1430">
        <v>61</v>
      </c>
      <c r="I1430">
        <v>1400</v>
      </c>
      <c r="J1430" t="s">
        <v>6707</v>
      </c>
      <c r="K1430" t="s">
        <v>6708</v>
      </c>
      <c r="M1430" t="s">
        <v>3246</v>
      </c>
      <c r="N1430">
        <v>60010</v>
      </c>
      <c r="O1430" t="s">
        <v>303</v>
      </c>
      <c r="Q1430" t="s">
        <v>3247</v>
      </c>
      <c r="R1430" t="s">
        <v>6709</v>
      </c>
      <c r="S1430" t="s">
        <v>4966</v>
      </c>
      <c r="T1430" s="6">
        <v>5050000000</v>
      </c>
      <c r="W1430" t="str">
        <f t="shared" si="23"/>
        <v>207i-MT1400</v>
      </c>
      <c r="X1430">
        <f>VLOOKUP(W1430,Sheet10!D:F,2,0)*10000000</f>
        <v>5600000000</v>
      </c>
      <c r="Y1430" t="s">
        <v>5712</v>
      </c>
    </row>
    <row r="1431" spans="1:25" x14ac:dyDescent="0.25">
      <c r="A1431" t="s">
        <v>3242</v>
      </c>
      <c r="B1431" t="s">
        <v>6710</v>
      </c>
      <c r="C1431">
        <v>600</v>
      </c>
      <c r="D1431" t="s">
        <v>63</v>
      </c>
      <c r="E1431" t="s">
        <v>64</v>
      </c>
      <c r="F1431" t="s">
        <v>362</v>
      </c>
      <c r="H1431">
        <v>61</v>
      </c>
      <c r="I1431">
        <v>1400</v>
      </c>
      <c r="J1431" t="s">
        <v>6711</v>
      </c>
      <c r="K1431" t="s">
        <v>6712</v>
      </c>
      <c r="M1431" t="s">
        <v>3246</v>
      </c>
      <c r="N1431">
        <v>60010</v>
      </c>
      <c r="O1431" t="s">
        <v>303</v>
      </c>
      <c r="Q1431" t="s">
        <v>3247</v>
      </c>
      <c r="R1431" t="s">
        <v>6713</v>
      </c>
      <c r="S1431" t="s">
        <v>3897</v>
      </c>
      <c r="T1431" s="6">
        <v>5100000000</v>
      </c>
      <c r="W1431" t="str">
        <f t="shared" si="23"/>
        <v>207i-MT1400</v>
      </c>
      <c r="X1431">
        <f>VLOOKUP(W1431,Sheet10!D:F,2,0)*10000000</f>
        <v>5600000000</v>
      </c>
      <c r="Y1431" t="s">
        <v>5712</v>
      </c>
    </row>
    <row r="1432" spans="1:25" x14ac:dyDescent="0.25">
      <c r="A1432" t="s">
        <v>4483</v>
      </c>
      <c r="B1432" t="s">
        <v>6714</v>
      </c>
      <c r="C1432">
        <v>606</v>
      </c>
      <c r="D1432" t="s">
        <v>63</v>
      </c>
      <c r="E1432" t="s">
        <v>64</v>
      </c>
      <c r="F1432" t="s">
        <v>362</v>
      </c>
      <c r="H1432">
        <v>61</v>
      </c>
      <c r="I1432">
        <v>1400</v>
      </c>
      <c r="J1432" t="s">
        <v>6715</v>
      </c>
      <c r="K1432" t="s">
        <v>6004</v>
      </c>
      <c r="M1432" t="s">
        <v>4487</v>
      </c>
      <c r="N1432">
        <v>60602</v>
      </c>
      <c r="O1432" t="s">
        <v>4488</v>
      </c>
      <c r="Q1432" t="s">
        <v>4489</v>
      </c>
      <c r="R1432" t="s">
        <v>6716</v>
      </c>
      <c r="S1432" t="s">
        <v>4229</v>
      </c>
      <c r="T1432" s="6">
        <v>5450000000</v>
      </c>
      <c r="W1432" t="str">
        <f t="shared" si="23"/>
        <v>207i TU5P A1400</v>
      </c>
      <c r="X1432">
        <f>VLOOKUP(W1432,Sheet10!D:F,2,0)*10000000</f>
        <v>7000000000</v>
      </c>
      <c r="Y1432" t="s">
        <v>5712</v>
      </c>
    </row>
    <row r="1433" spans="1:25" x14ac:dyDescent="0.25">
      <c r="A1433" t="s">
        <v>5976</v>
      </c>
      <c r="B1433" t="s">
        <v>6717</v>
      </c>
      <c r="C1433">
        <v>704</v>
      </c>
      <c r="D1433" t="s">
        <v>259</v>
      </c>
      <c r="E1433" t="s">
        <v>64</v>
      </c>
      <c r="F1433" t="s">
        <v>4256</v>
      </c>
      <c r="H1433">
        <v>60</v>
      </c>
      <c r="I1433">
        <v>1400</v>
      </c>
      <c r="J1433" t="s">
        <v>6718</v>
      </c>
      <c r="K1433" t="s">
        <v>6719</v>
      </c>
      <c r="M1433" t="s">
        <v>4401</v>
      </c>
      <c r="N1433">
        <v>70406</v>
      </c>
      <c r="O1433" t="s">
        <v>70</v>
      </c>
      <c r="Q1433" t="s">
        <v>5974</v>
      </c>
      <c r="R1433" t="s">
        <v>6720</v>
      </c>
      <c r="S1433" t="s">
        <v>655</v>
      </c>
      <c r="T1433" s="6">
        <v>5700000000</v>
      </c>
      <c r="W1433" t="str">
        <f t="shared" si="23"/>
        <v>DENA EF7 TC-MT1400</v>
      </c>
      <c r="X1433" t="e">
        <f>VLOOKUP(W1433,Sheet10!D:F,2,0)*10000000</f>
        <v>#N/A</v>
      </c>
      <c r="Y1433" t="s">
        <v>5712</v>
      </c>
    </row>
    <row r="1434" spans="1:25" x14ac:dyDescent="0.25">
      <c r="A1434" t="s">
        <v>4497</v>
      </c>
      <c r="B1434" t="s">
        <v>6721</v>
      </c>
      <c r="C1434">
        <v>606</v>
      </c>
      <c r="D1434" t="s">
        <v>77</v>
      </c>
      <c r="E1434" t="s">
        <v>64</v>
      </c>
      <c r="F1434" t="s">
        <v>362</v>
      </c>
      <c r="H1434">
        <v>60</v>
      </c>
      <c r="I1434">
        <v>1400</v>
      </c>
      <c r="J1434" t="s">
        <v>6722</v>
      </c>
      <c r="K1434" t="s">
        <v>6723</v>
      </c>
      <c r="M1434" t="s">
        <v>4487</v>
      </c>
      <c r="N1434">
        <v>60602</v>
      </c>
      <c r="O1434" t="s">
        <v>4488</v>
      </c>
      <c r="Q1434" t="s">
        <v>4489</v>
      </c>
      <c r="R1434" t="s">
        <v>6724</v>
      </c>
      <c r="S1434" t="s">
        <v>3922</v>
      </c>
      <c r="T1434" s="6">
        <v>5450000000</v>
      </c>
      <c r="W1434" t="str">
        <f t="shared" si="23"/>
        <v>207i TU5P A1400</v>
      </c>
      <c r="X1434">
        <f>VLOOKUP(W1434,Sheet10!D:F,2,0)*10000000</f>
        <v>7000000000</v>
      </c>
      <c r="Y1434" t="s">
        <v>5712</v>
      </c>
    </row>
    <row r="1435" spans="1:25" x14ac:dyDescent="0.25">
      <c r="A1435" t="s">
        <v>5976</v>
      </c>
      <c r="B1435" t="s">
        <v>6725</v>
      </c>
      <c r="C1435">
        <v>704</v>
      </c>
      <c r="D1435" t="s">
        <v>259</v>
      </c>
      <c r="E1435" t="s">
        <v>64</v>
      </c>
      <c r="F1435" t="s">
        <v>4256</v>
      </c>
      <c r="H1435">
        <v>58</v>
      </c>
      <c r="I1435">
        <v>1400</v>
      </c>
      <c r="J1435" t="s">
        <v>6726</v>
      </c>
      <c r="K1435" t="s">
        <v>6727</v>
      </c>
      <c r="M1435" t="s">
        <v>4401</v>
      </c>
      <c r="N1435">
        <v>70406</v>
      </c>
      <c r="O1435" t="s">
        <v>70</v>
      </c>
      <c r="Q1435" t="s">
        <v>5974</v>
      </c>
      <c r="R1435" t="s">
        <v>6728</v>
      </c>
      <c r="S1435" t="s">
        <v>1307</v>
      </c>
      <c r="T1435" s="6">
        <v>5700000000</v>
      </c>
      <c r="W1435" t="str">
        <f t="shared" si="23"/>
        <v>DENA EF7 TC-MT1400</v>
      </c>
      <c r="X1435" t="e">
        <f>VLOOKUP(W1435,Sheet10!D:F,2,0)*10000000</f>
        <v>#N/A</v>
      </c>
      <c r="Y1435" t="s">
        <v>5712</v>
      </c>
    </row>
    <row r="1436" spans="1:25" x14ac:dyDescent="0.25">
      <c r="A1436" t="s">
        <v>5785</v>
      </c>
      <c r="B1436" t="s">
        <v>6729</v>
      </c>
      <c r="C1436">
        <v>600</v>
      </c>
      <c r="D1436" t="s">
        <v>178</v>
      </c>
      <c r="E1436" t="s">
        <v>64</v>
      </c>
      <c r="F1436" t="s">
        <v>362</v>
      </c>
      <c r="H1436">
        <v>58</v>
      </c>
      <c r="I1436">
        <v>1400</v>
      </c>
      <c r="J1436" t="s">
        <v>6730</v>
      </c>
      <c r="K1436" t="s">
        <v>6507</v>
      </c>
      <c r="M1436" t="s">
        <v>3246</v>
      </c>
      <c r="N1436">
        <v>60010</v>
      </c>
      <c r="O1436" t="s">
        <v>303</v>
      </c>
      <c r="Q1436" t="s">
        <v>3247</v>
      </c>
      <c r="R1436" t="s">
        <v>6731</v>
      </c>
      <c r="S1436" t="s">
        <v>2612</v>
      </c>
      <c r="T1436" s="6">
        <v>5100000000</v>
      </c>
      <c r="W1436" t="str">
        <f t="shared" si="23"/>
        <v>207i-MT1400</v>
      </c>
      <c r="X1436">
        <f>VLOOKUP(W1436,Sheet10!D:F,2,0)*10000000</f>
        <v>5600000000</v>
      </c>
      <c r="Y1436" t="s">
        <v>5712</v>
      </c>
    </row>
    <row r="1437" spans="1:25" x14ac:dyDescent="0.25">
      <c r="A1437" t="s">
        <v>4483</v>
      </c>
      <c r="B1437" t="s">
        <v>6732</v>
      </c>
      <c r="C1437">
        <v>606</v>
      </c>
      <c r="D1437" t="s">
        <v>63</v>
      </c>
      <c r="E1437" t="s">
        <v>64</v>
      </c>
      <c r="F1437" t="s">
        <v>362</v>
      </c>
      <c r="H1437">
        <v>58</v>
      </c>
      <c r="I1437">
        <v>1400</v>
      </c>
      <c r="J1437" t="s">
        <v>6733</v>
      </c>
      <c r="K1437" t="s">
        <v>6004</v>
      </c>
      <c r="M1437" t="s">
        <v>4487</v>
      </c>
      <c r="N1437">
        <v>60602</v>
      </c>
      <c r="O1437" t="s">
        <v>4488</v>
      </c>
      <c r="Q1437" t="s">
        <v>4489</v>
      </c>
      <c r="R1437" t="s">
        <v>6734</v>
      </c>
      <c r="S1437" t="s">
        <v>2790</v>
      </c>
      <c r="T1437" s="6">
        <v>5450000000</v>
      </c>
      <c r="W1437" t="str">
        <f t="shared" si="23"/>
        <v>207i TU5P A1400</v>
      </c>
      <c r="X1437">
        <f>VLOOKUP(W1437,Sheet10!D:F,2,0)*10000000</f>
        <v>7000000000</v>
      </c>
      <c r="Y1437" t="s">
        <v>5712</v>
      </c>
    </row>
    <row r="1438" spans="1:25" x14ac:dyDescent="0.25">
      <c r="A1438" t="s">
        <v>6270</v>
      </c>
      <c r="B1438" t="s">
        <v>6735</v>
      </c>
      <c r="C1438">
        <v>322</v>
      </c>
      <c r="D1438" t="s">
        <v>6272</v>
      </c>
      <c r="E1438" t="s">
        <v>64</v>
      </c>
      <c r="F1438" t="s">
        <v>362</v>
      </c>
      <c r="H1438">
        <v>57</v>
      </c>
      <c r="I1438">
        <v>1400</v>
      </c>
      <c r="J1438" t="s">
        <v>6736</v>
      </c>
      <c r="K1438" t="s">
        <v>6737</v>
      </c>
      <c r="M1438" t="s">
        <v>92</v>
      </c>
      <c r="N1438">
        <v>32201</v>
      </c>
      <c r="O1438" t="s">
        <v>70</v>
      </c>
      <c r="Q1438" t="s">
        <v>93</v>
      </c>
      <c r="R1438" t="s">
        <v>6738</v>
      </c>
      <c r="S1438" t="s">
        <v>3934</v>
      </c>
      <c r="T1438" s="6">
        <v>4850000000</v>
      </c>
      <c r="W1438" t="str">
        <f t="shared" si="23"/>
        <v>TARA TU5P1400</v>
      </c>
      <c r="X1438" t="e">
        <f>VLOOKUP(W1438,Sheet10!D:F,2,0)*10000000</f>
        <v>#N/A</v>
      </c>
      <c r="Y1438" t="s">
        <v>5712</v>
      </c>
    </row>
    <row r="1439" spans="1:25" x14ac:dyDescent="0.25">
      <c r="A1439" t="s">
        <v>6237</v>
      </c>
      <c r="B1439" t="s">
        <v>6739</v>
      </c>
      <c r="C1439">
        <v>606</v>
      </c>
      <c r="D1439" t="s">
        <v>63</v>
      </c>
      <c r="E1439" t="s">
        <v>64</v>
      </c>
      <c r="F1439" t="s">
        <v>362</v>
      </c>
      <c r="H1439">
        <v>56</v>
      </c>
      <c r="I1439">
        <v>1400</v>
      </c>
      <c r="J1439" t="s">
        <v>6740</v>
      </c>
      <c r="K1439" t="s">
        <v>6741</v>
      </c>
      <c r="M1439" t="s">
        <v>4487</v>
      </c>
      <c r="N1439">
        <v>60601</v>
      </c>
      <c r="O1439" t="s">
        <v>4488</v>
      </c>
      <c r="Q1439" t="s">
        <v>6241</v>
      </c>
      <c r="R1439" t="s">
        <v>6742</v>
      </c>
      <c r="S1439" t="s">
        <v>3753</v>
      </c>
      <c r="T1439" s="6">
        <v>6200000000</v>
      </c>
      <c r="W1439" t="str">
        <f t="shared" si="23"/>
        <v>207i TU5P A1400</v>
      </c>
      <c r="X1439">
        <f>VLOOKUP(W1439,Sheet10!D:F,2,0)*10000000</f>
        <v>7000000000</v>
      </c>
      <c r="Y1439" t="s">
        <v>5712</v>
      </c>
    </row>
    <row r="1440" spans="1:25" x14ac:dyDescent="0.25">
      <c r="A1440" t="s">
        <v>4497</v>
      </c>
      <c r="B1440" t="s">
        <v>6743</v>
      </c>
      <c r="C1440">
        <v>606</v>
      </c>
      <c r="D1440" t="s">
        <v>77</v>
      </c>
      <c r="E1440" t="s">
        <v>64</v>
      </c>
      <c r="F1440" t="s">
        <v>362</v>
      </c>
      <c r="H1440">
        <v>56</v>
      </c>
      <c r="I1440">
        <v>1400</v>
      </c>
      <c r="J1440" t="s">
        <v>6744</v>
      </c>
      <c r="K1440" t="s">
        <v>6004</v>
      </c>
      <c r="M1440" t="s">
        <v>4487</v>
      </c>
      <c r="N1440">
        <v>60602</v>
      </c>
      <c r="O1440" t="s">
        <v>4488</v>
      </c>
      <c r="Q1440" t="s">
        <v>4489</v>
      </c>
      <c r="R1440" t="s">
        <v>6745</v>
      </c>
      <c r="S1440" t="s">
        <v>2513</v>
      </c>
      <c r="T1440" s="6">
        <v>5450000000</v>
      </c>
      <c r="W1440" t="str">
        <f t="shared" si="23"/>
        <v>207i TU5P A1400</v>
      </c>
      <c r="X1440">
        <f>VLOOKUP(W1440,Sheet10!D:F,2,0)*10000000</f>
        <v>7000000000</v>
      </c>
      <c r="Y1440" t="s">
        <v>5712</v>
      </c>
    </row>
    <row r="1441" spans="1:25" x14ac:dyDescent="0.25">
      <c r="A1441" t="s">
        <v>6029</v>
      </c>
      <c r="B1441" t="s">
        <v>6746</v>
      </c>
      <c r="C1441">
        <v>704</v>
      </c>
      <c r="D1441" t="s">
        <v>240</v>
      </c>
      <c r="E1441" t="s">
        <v>64</v>
      </c>
      <c r="F1441" t="s">
        <v>420</v>
      </c>
      <c r="H1441">
        <v>55</v>
      </c>
      <c r="I1441">
        <v>1401</v>
      </c>
      <c r="J1441" t="s">
        <v>6747</v>
      </c>
      <c r="K1441" t="s">
        <v>6748</v>
      </c>
      <c r="M1441" t="s">
        <v>4401</v>
      </c>
      <c r="N1441">
        <v>70406</v>
      </c>
      <c r="O1441" t="s">
        <v>70</v>
      </c>
      <c r="Q1441" t="s">
        <v>5974</v>
      </c>
      <c r="R1441" t="s">
        <v>6749</v>
      </c>
      <c r="S1441" t="s">
        <v>417</v>
      </c>
      <c r="T1441" s="6">
        <v>5900000000</v>
      </c>
      <c r="W1441" t="str">
        <f t="shared" si="23"/>
        <v>DENA EF7 TC-MT1401</v>
      </c>
      <c r="X1441">
        <f>VLOOKUP(W1441,Sheet10!D:F,2,0)*10000000</f>
        <v>6750000000</v>
      </c>
      <c r="Y1441" t="s">
        <v>5712</v>
      </c>
    </row>
    <row r="1442" spans="1:25" x14ac:dyDescent="0.25">
      <c r="A1442" t="s">
        <v>3242</v>
      </c>
      <c r="B1442" t="s">
        <v>6750</v>
      </c>
      <c r="C1442">
        <v>600</v>
      </c>
      <c r="D1442" t="s">
        <v>63</v>
      </c>
      <c r="E1442" t="s">
        <v>64</v>
      </c>
      <c r="F1442" t="s">
        <v>362</v>
      </c>
      <c r="H1442">
        <v>55</v>
      </c>
      <c r="I1442">
        <v>1400</v>
      </c>
      <c r="J1442" t="s">
        <v>6751</v>
      </c>
      <c r="K1442" t="s">
        <v>6752</v>
      </c>
      <c r="M1442" t="s">
        <v>3246</v>
      </c>
      <c r="N1442">
        <v>60010</v>
      </c>
      <c r="O1442" t="s">
        <v>303</v>
      </c>
      <c r="Q1442" t="s">
        <v>3247</v>
      </c>
      <c r="R1442" t="s">
        <v>6753</v>
      </c>
      <c r="S1442" t="s">
        <v>4496</v>
      </c>
      <c r="T1442" s="6">
        <v>5300000000</v>
      </c>
      <c r="W1442" t="str">
        <f t="shared" si="23"/>
        <v>207i-MT1400</v>
      </c>
      <c r="X1442">
        <f>VLOOKUP(W1442,Sheet10!D:F,2,0)*10000000</f>
        <v>5600000000</v>
      </c>
      <c r="Y1442" t="s">
        <v>5712</v>
      </c>
    </row>
    <row r="1443" spans="1:25" x14ac:dyDescent="0.25">
      <c r="A1443" t="s">
        <v>4497</v>
      </c>
      <c r="B1443" t="s">
        <v>5509</v>
      </c>
      <c r="C1443">
        <v>606</v>
      </c>
      <c r="D1443" t="s">
        <v>77</v>
      </c>
      <c r="E1443" t="s">
        <v>64</v>
      </c>
      <c r="F1443" t="s">
        <v>420</v>
      </c>
      <c r="H1443">
        <v>55</v>
      </c>
      <c r="I1443">
        <v>1401</v>
      </c>
      <c r="J1443" t="s">
        <v>5510</v>
      </c>
      <c r="K1443" t="s">
        <v>5511</v>
      </c>
      <c r="M1443" t="s">
        <v>4487</v>
      </c>
      <c r="N1443">
        <v>60602</v>
      </c>
      <c r="O1443" t="s">
        <v>4488</v>
      </c>
      <c r="Q1443" t="s">
        <v>4489</v>
      </c>
      <c r="R1443" t="s">
        <v>5512</v>
      </c>
      <c r="S1443" t="s">
        <v>4882</v>
      </c>
      <c r="T1443" s="6">
        <v>5700000000</v>
      </c>
      <c r="W1443" t="str">
        <f t="shared" si="23"/>
        <v>207i TU5P A1401</v>
      </c>
      <c r="X1443">
        <f>VLOOKUP(W1443,Sheet10!D:F,2,0)*10000000</f>
        <v>7100000000</v>
      </c>
      <c r="Y1443" t="s">
        <v>5712</v>
      </c>
    </row>
    <row r="1444" spans="1:25" x14ac:dyDescent="0.25">
      <c r="A1444" t="s">
        <v>6270</v>
      </c>
      <c r="B1444" t="s">
        <v>6754</v>
      </c>
      <c r="C1444">
        <v>322</v>
      </c>
      <c r="D1444" t="s">
        <v>6272</v>
      </c>
      <c r="E1444" t="s">
        <v>64</v>
      </c>
      <c r="F1444" t="s">
        <v>362</v>
      </c>
      <c r="H1444">
        <v>54</v>
      </c>
      <c r="I1444">
        <v>1400</v>
      </c>
      <c r="J1444" t="s">
        <v>6755</v>
      </c>
      <c r="K1444" t="s">
        <v>6756</v>
      </c>
      <c r="M1444" t="s">
        <v>92</v>
      </c>
      <c r="N1444">
        <v>32201</v>
      </c>
      <c r="O1444" t="s">
        <v>70</v>
      </c>
      <c r="Q1444" t="s">
        <v>93</v>
      </c>
      <c r="R1444" t="s">
        <v>6757</v>
      </c>
      <c r="S1444" t="s">
        <v>3955</v>
      </c>
      <c r="T1444" s="6">
        <v>4850000000</v>
      </c>
      <c r="W1444" t="str">
        <f t="shared" si="23"/>
        <v>TARA TU5P1400</v>
      </c>
      <c r="X1444" t="e">
        <f>VLOOKUP(W1444,Sheet10!D:F,2,0)*10000000</f>
        <v>#N/A</v>
      </c>
      <c r="Y1444" t="s">
        <v>5712</v>
      </c>
    </row>
    <row r="1445" spans="1:25" x14ac:dyDescent="0.25">
      <c r="A1445" t="s">
        <v>5283</v>
      </c>
      <c r="B1445" t="s">
        <v>6758</v>
      </c>
      <c r="C1445">
        <v>600</v>
      </c>
      <c r="D1445" t="s">
        <v>63</v>
      </c>
      <c r="E1445" t="s">
        <v>64</v>
      </c>
      <c r="F1445" t="s">
        <v>3186</v>
      </c>
      <c r="H1445">
        <v>87</v>
      </c>
      <c r="I1445">
        <v>1401</v>
      </c>
      <c r="J1445" t="s">
        <v>6759</v>
      </c>
      <c r="K1445" t="s">
        <v>6760</v>
      </c>
      <c r="M1445" t="s">
        <v>3246</v>
      </c>
      <c r="N1445">
        <v>60012</v>
      </c>
      <c r="O1445" t="s">
        <v>303</v>
      </c>
      <c r="Q1445" t="s">
        <v>5287</v>
      </c>
      <c r="R1445" t="s">
        <v>6761</v>
      </c>
      <c r="S1445" t="s">
        <v>3062</v>
      </c>
      <c r="T1445" s="6">
        <v>5300000000</v>
      </c>
      <c r="W1445" t="str">
        <f t="shared" si="23"/>
        <v>207i-MT1401</v>
      </c>
      <c r="X1445">
        <f>VLOOKUP(W1445,Sheet10!D:F,2,0)*10000000</f>
        <v>5800000000</v>
      </c>
      <c r="Y1445" t="s">
        <v>5712</v>
      </c>
    </row>
    <row r="1446" spans="1:25" x14ac:dyDescent="0.25">
      <c r="A1446" t="s">
        <v>5970</v>
      </c>
      <c r="B1446" t="s">
        <v>6762</v>
      </c>
      <c r="C1446">
        <v>704</v>
      </c>
      <c r="D1446" t="s">
        <v>77</v>
      </c>
      <c r="E1446" t="s">
        <v>64</v>
      </c>
      <c r="F1446" t="s">
        <v>420</v>
      </c>
      <c r="H1446">
        <v>86</v>
      </c>
      <c r="I1446">
        <v>1401</v>
      </c>
      <c r="J1446" t="s">
        <v>6763</v>
      </c>
      <c r="K1446" t="s">
        <v>6764</v>
      </c>
      <c r="M1446" t="s">
        <v>4401</v>
      </c>
      <c r="N1446">
        <v>70406</v>
      </c>
      <c r="O1446" t="s">
        <v>70</v>
      </c>
      <c r="Q1446" t="s">
        <v>5974</v>
      </c>
      <c r="R1446" t="s">
        <v>6765</v>
      </c>
      <c r="S1446" t="s">
        <v>1272</v>
      </c>
      <c r="T1446" s="6">
        <v>5900000000</v>
      </c>
      <c r="W1446" t="str">
        <f t="shared" si="23"/>
        <v>DENA EF7 TC-MT1401</v>
      </c>
      <c r="X1446">
        <f>VLOOKUP(W1446,Sheet10!D:F,2,0)*10000000</f>
        <v>6750000000</v>
      </c>
      <c r="Y1446" t="s">
        <v>5712</v>
      </c>
    </row>
    <row r="1447" spans="1:25" x14ac:dyDescent="0.25">
      <c r="A1447" t="s">
        <v>4366</v>
      </c>
      <c r="B1447" t="s">
        <v>6766</v>
      </c>
      <c r="C1447">
        <v>575</v>
      </c>
      <c r="D1447" t="s">
        <v>63</v>
      </c>
      <c r="E1447" t="s">
        <v>64</v>
      </c>
      <c r="F1447" t="s">
        <v>2436</v>
      </c>
      <c r="H1447">
        <v>85</v>
      </c>
      <c r="I1447">
        <v>1401</v>
      </c>
      <c r="J1447" t="s">
        <v>6767</v>
      </c>
      <c r="K1447" t="s">
        <v>6768</v>
      </c>
      <c r="M1447" t="s">
        <v>367</v>
      </c>
      <c r="N1447">
        <v>57523</v>
      </c>
      <c r="O1447" t="s">
        <v>70</v>
      </c>
      <c r="Q1447" t="s">
        <v>2648</v>
      </c>
      <c r="R1447" t="s">
        <v>6769</v>
      </c>
      <c r="S1447" t="s">
        <v>395</v>
      </c>
      <c r="T1447" s="6">
        <v>4070000000</v>
      </c>
      <c r="W1447" t="str">
        <f t="shared" si="23"/>
        <v>SOREN EF71401</v>
      </c>
      <c r="X1447">
        <f>VLOOKUP(W1447,Sheet10!D:F,2,0)*10000000</f>
        <v>4650000000</v>
      </c>
      <c r="Y1447" t="s">
        <v>5712</v>
      </c>
    </row>
    <row r="1448" spans="1:25" x14ac:dyDescent="0.25">
      <c r="A1448" t="s">
        <v>6029</v>
      </c>
      <c r="B1448" t="s">
        <v>6770</v>
      </c>
      <c r="C1448">
        <v>704</v>
      </c>
      <c r="D1448" t="s">
        <v>240</v>
      </c>
      <c r="E1448" t="s">
        <v>64</v>
      </c>
      <c r="F1448" t="s">
        <v>420</v>
      </c>
      <c r="H1448">
        <v>85</v>
      </c>
      <c r="I1448">
        <v>1401</v>
      </c>
      <c r="J1448" t="s">
        <v>6771</v>
      </c>
      <c r="K1448" t="s">
        <v>6772</v>
      </c>
      <c r="M1448" t="s">
        <v>4401</v>
      </c>
      <c r="N1448">
        <v>70406</v>
      </c>
      <c r="O1448" t="s">
        <v>70</v>
      </c>
      <c r="Q1448" t="s">
        <v>5974</v>
      </c>
      <c r="R1448" t="s">
        <v>6773</v>
      </c>
      <c r="S1448" t="s">
        <v>3101</v>
      </c>
      <c r="T1448" s="6">
        <v>5550000000</v>
      </c>
      <c r="W1448" t="str">
        <f t="shared" si="23"/>
        <v>DENA EF7 TC-MT1401</v>
      </c>
      <c r="X1448">
        <f>VLOOKUP(W1448,Sheet10!D:F,2,0)*10000000</f>
        <v>6750000000</v>
      </c>
      <c r="Y1448" t="s">
        <v>5712</v>
      </c>
    </row>
    <row r="1449" spans="1:25" x14ac:dyDescent="0.25">
      <c r="A1449" t="s">
        <v>6237</v>
      </c>
      <c r="B1449" t="s">
        <v>6774</v>
      </c>
      <c r="C1449">
        <v>606</v>
      </c>
      <c r="D1449" t="s">
        <v>63</v>
      </c>
      <c r="E1449" t="s">
        <v>64</v>
      </c>
      <c r="F1449" t="s">
        <v>4256</v>
      </c>
      <c r="H1449">
        <v>84</v>
      </c>
      <c r="I1449">
        <v>1400</v>
      </c>
      <c r="J1449" t="s">
        <v>6775</v>
      </c>
      <c r="K1449" t="s">
        <v>6776</v>
      </c>
      <c r="M1449" t="s">
        <v>4487</v>
      </c>
      <c r="N1449">
        <v>60601</v>
      </c>
      <c r="O1449" t="s">
        <v>4488</v>
      </c>
      <c r="Q1449" t="s">
        <v>6241</v>
      </c>
      <c r="R1449" t="s">
        <v>6777</v>
      </c>
      <c r="S1449" t="s">
        <v>3044</v>
      </c>
      <c r="T1449" s="6">
        <v>6200000000</v>
      </c>
      <c r="W1449" t="str">
        <f t="shared" si="23"/>
        <v>207i TU5P A1400</v>
      </c>
      <c r="X1449">
        <f>VLOOKUP(W1449,Sheet10!D:F,2,0)*10000000</f>
        <v>7000000000</v>
      </c>
      <c r="Y1449" t="s">
        <v>5712</v>
      </c>
    </row>
    <row r="1450" spans="1:25" x14ac:dyDescent="0.25">
      <c r="A1450" t="s">
        <v>5976</v>
      </c>
      <c r="B1450" t="s">
        <v>6778</v>
      </c>
      <c r="C1450">
        <v>704</v>
      </c>
      <c r="D1450" t="s">
        <v>259</v>
      </c>
      <c r="E1450" t="s">
        <v>64</v>
      </c>
      <c r="F1450" t="s">
        <v>4256</v>
      </c>
      <c r="H1450">
        <v>81</v>
      </c>
      <c r="I1450">
        <v>1400</v>
      </c>
      <c r="J1450" t="s">
        <v>6779</v>
      </c>
      <c r="K1450" t="s">
        <v>6780</v>
      </c>
      <c r="M1450" t="s">
        <v>4401</v>
      </c>
      <c r="N1450">
        <v>70406</v>
      </c>
      <c r="O1450" t="s">
        <v>70</v>
      </c>
      <c r="Q1450" t="s">
        <v>5974</v>
      </c>
      <c r="R1450" t="s">
        <v>6781</v>
      </c>
      <c r="S1450" t="s">
        <v>703</v>
      </c>
      <c r="T1450" s="6">
        <v>5700000000</v>
      </c>
      <c r="W1450" t="str">
        <f t="shared" si="23"/>
        <v>DENA EF7 TC-MT1400</v>
      </c>
      <c r="X1450" t="e">
        <f>VLOOKUP(W1450,Sheet10!D:F,2,0)*10000000</f>
        <v>#N/A</v>
      </c>
      <c r="Y1450" t="s">
        <v>5712</v>
      </c>
    </row>
    <row r="1451" spans="1:25" x14ac:dyDescent="0.25">
      <c r="A1451" t="s">
        <v>5976</v>
      </c>
      <c r="B1451" t="s">
        <v>6782</v>
      </c>
      <c r="C1451">
        <v>704</v>
      </c>
      <c r="D1451" t="s">
        <v>259</v>
      </c>
      <c r="E1451" t="s">
        <v>64</v>
      </c>
      <c r="F1451" t="s">
        <v>4256</v>
      </c>
      <c r="H1451">
        <v>80</v>
      </c>
      <c r="I1451">
        <v>1400</v>
      </c>
      <c r="J1451" t="s">
        <v>6783</v>
      </c>
      <c r="K1451" t="s">
        <v>6784</v>
      </c>
      <c r="M1451" t="s">
        <v>4401</v>
      </c>
      <c r="N1451">
        <v>70406</v>
      </c>
      <c r="O1451" t="s">
        <v>70</v>
      </c>
      <c r="Q1451" t="s">
        <v>5974</v>
      </c>
      <c r="R1451" t="s">
        <v>6785</v>
      </c>
      <c r="S1451" t="s">
        <v>683</v>
      </c>
      <c r="T1451" s="6">
        <v>5650000000</v>
      </c>
      <c r="W1451" t="str">
        <f t="shared" si="23"/>
        <v>DENA EF7 TC-MT1400</v>
      </c>
      <c r="X1451" t="e">
        <f>VLOOKUP(W1451,Sheet10!D:F,2,0)*10000000</f>
        <v>#N/A</v>
      </c>
      <c r="Y1451" t="s">
        <v>5712</v>
      </c>
    </row>
    <row r="1452" spans="1:25" x14ac:dyDescent="0.25">
      <c r="A1452" t="s">
        <v>6237</v>
      </c>
      <c r="B1452" t="s">
        <v>6786</v>
      </c>
      <c r="C1452">
        <v>606</v>
      </c>
      <c r="D1452" t="s">
        <v>63</v>
      </c>
      <c r="E1452" t="s">
        <v>64</v>
      </c>
      <c r="F1452" t="s">
        <v>4256</v>
      </c>
      <c r="H1452">
        <v>80</v>
      </c>
      <c r="I1452">
        <v>1400</v>
      </c>
      <c r="J1452" t="s">
        <v>6787</v>
      </c>
      <c r="K1452" t="s">
        <v>6788</v>
      </c>
      <c r="M1452" t="s">
        <v>4487</v>
      </c>
      <c r="N1452">
        <v>60601</v>
      </c>
      <c r="O1452" t="s">
        <v>4488</v>
      </c>
      <c r="Q1452" t="s">
        <v>6241</v>
      </c>
      <c r="R1452" t="s">
        <v>6789</v>
      </c>
      <c r="S1452" t="s">
        <v>2835</v>
      </c>
      <c r="T1452" s="6">
        <v>6200000000</v>
      </c>
      <c r="W1452" t="str">
        <f t="shared" si="23"/>
        <v>207i TU5P A1400</v>
      </c>
      <c r="X1452">
        <f>VLOOKUP(W1452,Sheet10!D:F,2,0)*10000000</f>
        <v>7000000000</v>
      </c>
      <c r="Y1452" t="s">
        <v>5712</v>
      </c>
    </row>
    <row r="1453" spans="1:25" x14ac:dyDescent="0.25">
      <c r="A1453" t="s">
        <v>6790</v>
      </c>
      <c r="B1453" t="s">
        <v>6791</v>
      </c>
      <c r="C1453">
        <v>575</v>
      </c>
      <c r="D1453" t="s">
        <v>2461</v>
      </c>
      <c r="E1453" t="s">
        <v>64</v>
      </c>
      <c r="F1453" t="s">
        <v>420</v>
      </c>
      <c r="H1453">
        <v>79</v>
      </c>
      <c r="I1453">
        <v>1401</v>
      </c>
      <c r="J1453" t="s">
        <v>6792</v>
      </c>
      <c r="K1453" t="s">
        <v>6793</v>
      </c>
      <c r="M1453" t="s">
        <v>367</v>
      </c>
      <c r="N1453">
        <v>57522</v>
      </c>
      <c r="O1453" t="s">
        <v>70</v>
      </c>
      <c r="Q1453" t="s">
        <v>3932</v>
      </c>
      <c r="R1453" t="s">
        <v>6794</v>
      </c>
      <c r="S1453" t="s">
        <v>1912</v>
      </c>
      <c r="T1453" s="6">
        <v>4300000000</v>
      </c>
      <c r="W1453" t="str">
        <f t="shared" si="23"/>
        <v>SOREN EF71401</v>
      </c>
      <c r="X1453">
        <f>VLOOKUP(W1453,Sheet10!D:F,2,0)*10000000</f>
        <v>4650000000</v>
      </c>
      <c r="Y1453" t="s">
        <v>5712</v>
      </c>
    </row>
    <row r="1454" spans="1:25" x14ac:dyDescent="0.25">
      <c r="A1454" t="s">
        <v>5976</v>
      </c>
      <c r="B1454" t="s">
        <v>6795</v>
      </c>
      <c r="C1454">
        <v>704</v>
      </c>
      <c r="D1454" t="s">
        <v>259</v>
      </c>
      <c r="E1454" t="s">
        <v>64</v>
      </c>
      <c r="F1454" t="s">
        <v>4256</v>
      </c>
      <c r="H1454">
        <v>78</v>
      </c>
      <c r="I1454">
        <v>1400</v>
      </c>
      <c r="J1454" t="s">
        <v>6796</v>
      </c>
      <c r="K1454" t="s">
        <v>6797</v>
      </c>
      <c r="M1454" t="s">
        <v>4401</v>
      </c>
      <c r="N1454">
        <v>70406</v>
      </c>
      <c r="O1454" t="s">
        <v>70</v>
      </c>
      <c r="Q1454" t="s">
        <v>5974</v>
      </c>
      <c r="R1454" t="s">
        <v>6798</v>
      </c>
      <c r="S1454" t="s">
        <v>933</v>
      </c>
      <c r="T1454" s="6">
        <v>5650000000</v>
      </c>
      <c r="W1454" t="str">
        <f t="shared" si="23"/>
        <v>DENA EF7 TC-MT1400</v>
      </c>
      <c r="X1454" t="e">
        <f>VLOOKUP(W1454,Sheet10!D:F,2,0)*10000000</f>
        <v>#N/A</v>
      </c>
      <c r="Y1454" t="s">
        <v>5712</v>
      </c>
    </row>
    <row r="1455" spans="1:25" x14ac:dyDescent="0.25">
      <c r="A1455" t="s">
        <v>5976</v>
      </c>
      <c r="B1455" t="s">
        <v>6799</v>
      </c>
      <c r="C1455">
        <v>704</v>
      </c>
      <c r="D1455" t="s">
        <v>259</v>
      </c>
      <c r="E1455" t="s">
        <v>64</v>
      </c>
      <c r="F1455" t="s">
        <v>4256</v>
      </c>
      <c r="H1455">
        <v>77</v>
      </c>
      <c r="I1455">
        <v>1400</v>
      </c>
      <c r="J1455" t="s">
        <v>6800</v>
      </c>
      <c r="K1455" t="s">
        <v>6801</v>
      </c>
      <c r="M1455" t="s">
        <v>4401</v>
      </c>
      <c r="N1455">
        <v>70406</v>
      </c>
      <c r="O1455" t="s">
        <v>70</v>
      </c>
      <c r="Q1455" t="s">
        <v>5974</v>
      </c>
      <c r="R1455" t="s">
        <v>6802</v>
      </c>
      <c r="S1455" t="s">
        <v>678</v>
      </c>
      <c r="T1455" s="6">
        <v>5650000000</v>
      </c>
      <c r="W1455" t="str">
        <f t="shared" si="23"/>
        <v>DENA EF7 TC-MT1400</v>
      </c>
      <c r="X1455" t="e">
        <f>VLOOKUP(W1455,Sheet10!D:F,2,0)*10000000</f>
        <v>#N/A</v>
      </c>
      <c r="Y1455" t="s">
        <v>5712</v>
      </c>
    </row>
    <row r="1456" spans="1:25" x14ac:dyDescent="0.25">
      <c r="A1456" t="s">
        <v>6237</v>
      </c>
      <c r="B1456" t="s">
        <v>6803</v>
      </c>
      <c r="C1456">
        <v>606</v>
      </c>
      <c r="D1456" t="s">
        <v>63</v>
      </c>
      <c r="E1456" t="s">
        <v>64</v>
      </c>
      <c r="F1456" t="s">
        <v>362</v>
      </c>
      <c r="H1456">
        <v>76</v>
      </c>
      <c r="I1456">
        <v>1400</v>
      </c>
      <c r="J1456" t="s">
        <v>6804</v>
      </c>
      <c r="K1456" t="s">
        <v>6004</v>
      </c>
      <c r="M1456" t="s">
        <v>4487</v>
      </c>
      <c r="N1456">
        <v>60601</v>
      </c>
      <c r="O1456" t="s">
        <v>4488</v>
      </c>
      <c r="Q1456" t="s">
        <v>6241</v>
      </c>
      <c r="R1456" t="s">
        <v>6805</v>
      </c>
      <c r="S1456" t="s">
        <v>4943</v>
      </c>
      <c r="T1456" s="6">
        <v>6200000000</v>
      </c>
      <c r="W1456" t="str">
        <f t="shared" si="23"/>
        <v>207i TU5P A1400</v>
      </c>
      <c r="X1456">
        <f>VLOOKUP(W1456,Sheet10!D:F,2,0)*10000000</f>
        <v>7000000000</v>
      </c>
      <c r="Y1456" t="s">
        <v>5712</v>
      </c>
    </row>
    <row r="1457" spans="1:25" x14ac:dyDescent="0.25">
      <c r="A1457" t="s">
        <v>5997</v>
      </c>
      <c r="B1457" t="s">
        <v>6806</v>
      </c>
      <c r="C1457">
        <v>704</v>
      </c>
      <c r="D1457" t="s">
        <v>63</v>
      </c>
      <c r="E1457" t="s">
        <v>64</v>
      </c>
      <c r="F1457" t="s">
        <v>4256</v>
      </c>
      <c r="H1457">
        <v>75</v>
      </c>
      <c r="I1457">
        <v>1400</v>
      </c>
      <c r="J1457" t="s">
        <v>6807</v>
      </c>
      <c r="K1457" t="s">
        <v>6808</v>
      </c>
      <c r="M1457" t="s">
        <v>4401</v>
      </c>
      <c r="N1457">
        <v>70406</v>
      </c>
      <c r="O1457" t="s">
        <v>70</v>
      </c>
      <c r="Q1457" t="s">
        <v>5974</v>
      </c>
      <c r="R1457" t="s">
        <v>6809</v>
      </c>
      <c r="S1457" t="s">
        <v>2183</v>
      </c>
      <c r="T1457" s="6">
        <v>5650000000</v>
      </c>
      <c r="W1457" t="str">
        <f t="shared" si="23"/>
        <v>DENA EF7 TC-MT1400</v>
      </c>
      <c r="X1457" t="e">
        <f>VLOOKUP(W1457,Sheet10!D:F,2,0)*10000000</f>
        <v>#N/A</v>
      </c>
      <c r="Y1457" t="s">
        <v>5712</v>
      </c>
    </row>
    <row r="1458" spans="1:25" x14ac:dyDescent="0.25">
      <c r="A1458" t="s">
        <v>6237</v>
      </c>
      <c r="B1458" t="s">
        <v>6810</v>
      </c>
      <c r="C1458">
        <v>606</v>
      </c>
      <c r="D1458" t="s">
        <v>63</v>
      </c>
      <c r="E1458" t="s">
        <v>64</v>
      </c>
      <c r="F1458" t="s">
        <v>4256</v>
      </c>
      <c r="H1458">
        <v>75</v>
      </c>
      <c r="I1458">
        <v>1400</v>
      </c>
      <c r="J1458" t="s">
        <v>6811</v>
      </c>
      <c r="K1458" t="s">
        <v>6617</v>
      </c>
      <c r="M1458" t="s">
        <v>4487</v>
      </c>
      <c r="N1458">
        <v>60601</v>
      </c>
      <c r="O1458" t="s">
        <v>4488</v>
      </c>
      <c r="Q1458" t="s">
        <v>6241</v>
      </c>
      <c r="R1458" t="s">
        <v>6812</v>
      </c>
      <c r="S1458" t="s">
        <v>4929</v>
      </c>
      <c r="T1458" s="6">
        <v>6200000000</v>
      </c>
      <c r="W1458" t="str">
        <f t="shared" si="23"/>
        <v>207i TU5P A1400</v>
      </c>
      <c r="X1458">
        <f>VLOOKUP(W1458,Sheet10!D:F,2,0)*10000000</f>
        <v>7000000000</v>
      </c>
      <c r="Y1458" t="s">
        <v>5712</v>
      </c>
    </row>
    <row r="1459" spans="1:25" x14ac:dyDescent="0.25">
      <c r="A1459" t="s">
        <v>6237</v>
      </c>
      <c r="B1459" t="s">
        <v>6813</v>
      </c>
      <c r="C1459">
        <v>606</v>
      </c>
      <c r="D1459" t="s">
        <v>63</v>
      </c>
      <c r="E1459" t="s">
        <v>64</v>
      </c>
      <c r="F1459" t="s">
        <v>4256</v>
      </c>
      <c r="H1459">
        <v>75</v>
      </c>
      <c r="I1459">
        <v>1400</v>
      </c>
      <c r="J1459" t="s">
        <v>6814</v>
      </c>
      <c r="K1459" t="s">
        <v>6815</v>
      </c>
      <c r="M1459" t="s">
        <v>4487</v>
      </c>
      <c r="N1459">
        <v>60601</v>
      </c>
      <c r="O1459" t="s">
        <v>4488</v>
      </c>
      <c r="Q1459" t="s">
        <v>6241</v>
      </c>
      <c r="R1459" t="s">
        <v>6816</v>
      </c>
      <c r="S1459" t="s">
        <v>2913</v>
      </c>
      <c r="T1459" s="6">
        <v>6200000000</v>
      </c>
      <c r="W1459" t="str">
        <f t="shared" si="23"/>
        <v>207i TU5P A1400</v>
      </c>
      <c r="X1459">
        <f>VLOOKUP(W1459,Sheet10!D:F,2,0)*10000000</f>
        <v>7000000000</v>
      </c>
      <c r="Y1459" t="s">
        <v>5712</v>
      </c>
    </row>
    <row r="1460" spans="1:25" x14ac:dyDescent="0.25">
      <c r="A1460" t="s">
        <v>5997</v>
      </c>
      <c r="B1460" t="s">
        <v>6817</v>
      </c>
      <c r="C1460">
        <v>704</v>
      </c>
      <c r="D1460" t="s">
        <v>63</v>
      </c>
      <c r="E1460" t="s">
        <v>64</v>
      </c>
      <c r="F1460" t="s">
        <v>420</v>
      </c>
      <c r="H1460">
        <v>74</v>
      </c>
      <c r="I1460">
        <v>1401</v>
      </c>
      <c r="J1460" t="s">
        <v>6818</v>
      </c>
      <c r="K1460" t="s">
        <v>6819</v>
      </c>
      <c r="M1460" t="s">
        <v>4401</v>
      </c>
      <c r="N1460">
        <v>70406</v>
      </c>
      <c r="O1460" t="s">
        <v>70</v>
      </c>
      <c r="Q1460" t="s">
        <v>5974</v>
      </c>
      <c r="R1460" t="s">
        <v>6820</v>
      </c>
      <c r="S1460" t="s">
        <v>1277</v>
      </c>
      <c r="T1460" s="6">
        <v>5900000000</v>
      </c>
      <c r="W1460" t="str">
        <f t="shared" si="23"/>
        <v>DENA EF7 TC-MT1401</v>
      </c>
      <c r="X1460">
        <f>VLOOKUP(W1460,Sheet10!D:F,2,0)*10000000</f>
        <v>6750000000</v>
      </c>
      <c r="Y1460" t="s">
        <v>5712</v>
      </c>
    </row>
    <row r="1461" spans="1:25" x14ac:dyDescent="0.25">
      <c r="A1461" t="s">
        <v>6237</v>
      </c>
      <c r="B1461" t="s">
        <v>6821</v>
      </c>
      <c r="C1461">
        <v>606</v>
      </c>
      <c r="D1461" t="s">
        <v>63</v>
      </c>
      <c r="E1461" t="s">
        <v>64</v>
      </c>
      <c r="F1461" t="s">
        <v>4256</v>
      </c>
      <c r="H1461">
        <v>74</v>
      </c>
      <c r="I1461">
        <v>1400</v>
      </c>
      <c r="J1461" t="s">
        <v>6822</v>
      </c>
      <c r="K1461" t="s">
        <v>6823</v>
      </c>
      <c r="M1461" t="s">
        <v>4487</v>
      </c>
      <c r="N1461">
        <v>60601</v>
      </c>
      <c r="O1461" t="s">
        <v>4488</v>
      </c>
      <c r="Q1461" t="s">
        <v>6241</v>
      </c>
      <c r="R1461" t="s">
        <v>6824</v>
      </c>
      <c r="S1461" t="s">
        <v>2761</v>
      </c>
      <c r="T1461" s="6">
        <v>6150000000</v>
      </c>
      <c r="W1461" t="str">
        <f t="shared" si="23"/>
        <v>207i TU5P A1400</v>
      </c>
      <c r="X1461">
        <f>VLOOKUP(W1461,Sheet10!D:F,2,0)*10000000</f>
        <v>7000000000</v>
      </c>
      <c r="Y1461" t="s">
        <v>5712</v>
      </c>
    </row>
    <row r="1462" spans="1:25" x14ac:dyDescent="0.25">
      <c r="A1462" t="s">
        <v>3242</v>
      </c>
      <c r="B1462" t="s">
        <v>6825</v>
      </c>
      <c r="C1462">
        <v>600</v>
      </c>
      <c r="D1462" t="s">
        <v>63</v>
      </c>
      <c r="E1462" t="s">
        <v>64</v>
      </c>
      <c r="F1462" t="s">
        <v>362</v>
      </c>
      <c r="H1462">
        <v>73</v>
      </c>
      <c r="I1462">
        <v>1400</v>
      </c>
      <c r="J1462" t="s">
        <v>6826</v>
      </c>
      <c r="K1462" t="s">
        <v>6827</v>
      </c>
      <c r="M1462" t="s">
        <v>3246</v>
      </c>
      <c r="N1462">
        <v>60010</v>
      </c>
      <c r="O1462" t="s">
        <v>303</v>
      </c>
      <c r="Q1462" t="s">
        <v>3247</v>
      </c>
      <c r="R1462" t="s">
        <v>6828</v>
      </c>
      <c r="S1462" t="s">
        <v>2617</v>
      </c>
      <c r="T1462" s="6">
        <v>5100000000</v>
      </c>
      <c r="W1462" t="str">
        <f t="shared" si="23"/>
        <v>207i-MT1400</v>
      </c>
      <c r="X1462">
        <f>VLOOKUP(W1462,Sheet10!D:F,2,0)*10000000</f>
        <v>5600000000</v>
      </c>
      <c r="Y1462" t="s">
        <v>5712</v>
      </c>
    </row>
    <row r="1463" spans="1:25" x14ac:dyDescent="0.25">
      <c r="A1463" t="s">
        <v>6237</v>
      </c>
      <c r="B1463" t="s">
        <v>6829</v>
      </c>
      <c r="C1463">
        <v>606</v>
      </c>
      <c r="D1463" t="s">
        <v>63</v>
      </c>
      <c r="E1463" t="s">
        <v>64</v>
      </c>
      <c r="F1463" t="s">
        <v>4256</v>
      </c>
      <c r="H1463">
        <v>71</v>
      </c>
      <c r="I1463">
        <v>1400</v>
      </c>
      <c r="J1463" t="s">
        <v>6830</v>
      </c>
      <c r="K1463" t="s">
        <v>6831</v>
      </c>
      <c r="M1463" t="s">
        <v>4487</v>
      </c>
      <c r="N1463">
        <v>60601</v>
      </c>
      <c r="O1463" t="s">
        <v>4488</v>
      </c>
      <c r="Q1463" t="s">
        <v>6241</v>
      </c>
      <c r="R1463" t="s">
        <v>6832</v>
      </c>
      <c r="S1463" t="s">
        <v>2481</v>
      </c>
      <c r="T1463" s="6">
        <v>6200000000</v>
      </c>
      <c r="W1463" t="str">
        <f t="shared" si="23"/>
        <v>207i TU5P A1400</v>
      </c>
      <c r="X1463">
        <f>VLOOKUP(W1463,Sheet10!D:F,2,0)*10000000</f>
        <v>7000000000</v>
      </c>
      <c r="Y1463" t="s">
        <v>5712</v>
      </c>
    </row>
    <row r="1464" spans="1:25" x14ac:dyDescent="0.25">
      <c r="A1464" t="s">
        <v>5954</v>
      </c>
      <c r="B1464" t="s">
        <v>6833</v>
      </c>
      <c r="C1464">
        <v>606</v>
      </c>
      <c r="D1464" t="s">
        <v>63</v>
      </c>
      <c r="E1464" t="s">
        <v>64</v>
      </c>
      <c r="F1464" t="s">
        <v>420</v>
      </c>
      <c r="H1464">
        <v>69</v>
      </c>
      <c r="I1464">
        <v>1401</v>
      </c>
      <c r="J1464" t="s">
        <v>6834</v>
      </c>
      <c r="K1464" t="s">
        <v>6172</v>
      </c>
      <c r="M1464" t="s">
        <v>4487</v>
      </c>
      <c r="N1464">
        <v>60603</v>
      </c>
      <c r="O1464" t="s">
        <v>4488</v>
      </c>
      <c r="Q1464" t="s">
        <v>5958</v>
      </c>
      <c r="R1464" t="s">
        <v>6835</v>
      </c>
      <c r="S1464" t="s">
        <v>3332</v>
      </c>
      <c r="T1464" s="6">
        <v>5950000000</v>
      </c>
      <c r="W1464" t="str">
        <f t="shared" si="23"/>
        <v>207i TU5P A1401</v>
      </c>
      <c r="X1464">
        <f>VLOOKUP(W1464,Sheet10!D:F,2,0)*10000000</f>
        <v>7100000000</v>
      </c>
      <c r="Y1464" t="s">
        <v>5712</v>
      </c>
    </row>
    <row r="1465" spans="1:25" x14ac:dyDescent="0.25">
      <c r="A1465" t="s">
        <v>5997</v>
      </c>
      <c r="B1465" t="s">
        <v>6836</v>
      </c>
      <c r="C1465">
        <v>704</v>
      </c>
      <c r="D1465" t="s">
        <v>63</v>
      </c>
      <c r="E1465" t="s">
        <v>64</v>
      </c>
      <c r="F1465" t="s">
        <v>4256</v>
      </c>
      <c r="H1465">
        <v>68</v>
      </c>
      <c r="I1465">
        <v>1400</v>
      </c>
      <c r="J1465" t="s">
        <v>6837</v>
      </c>
      <c r="K1465" t="s">
        <v>6838</v>
      </c>
      <c r="M1465" t="s">
        <v>4401</v>
      </c>
      <c r="N1465">
        <v>70406</v>
      </c>
      <c r="O1465" t="s">
        <v>70</v>
      </c>
      <c r="Q1465" t="s">
        <v>5974</v>
      </c>
      <c r="R1465" t="s">
        <v>6839</v>
      </c>
      <c r="S1465" t="s">
        <v>693</v>
      </c>
      <c r="T1465" s="6">
        <v>5650000000</v>
      </c>
      <c r="W1465" t="str">
        <f t="shared" si="23"/>
        <v>DENA EF7 TC-MT1400</v>
      </c>
      <c r="X1465" t="e">
        <f>VLOOKUP(W1465,Sheet10!D:F,2,0)*10000000</f>
        <v>#N/A</v>
      </c>
      <c r="Y1465" t="s">
        <v>5712</v>
      </c>
    </row>
    <row r="1466" spans="1:25" x14ac:dyDescent="0.25">
      <c r="A1466" t="s">
        <v>5976</v>
      </c>
      <c r="B1466" t="s">
        <v>6840</v>
      </c>
      <c r="C1466">
        <v>704</v>
      </c>
      <c r="D1466" t="s">
        <v>259</v>
      </c>
      <c r="E1466" t="s">
        <v>64</v>
      </c>
      <c r="F1466" t="s">
        <v>4256</v>
      </c>
      <c r="H1466">
        <v>67</v>
      </c>
      <c r="I1466">
        <v>1400</v>
      </c>
      <c r="J1466" t="s">
        <v>6841</v>
      </c>
      <c r="K1466" t="s">
        <v>6842</v>
      </c>
      <c r="M1466" t="s">
        <v>4401</v>
      </c>
      <c r="N1466">
        <v>70406</v>
      </c>
      <c r="O1466" t="s">
        <v>70</v>
      </c>
      <c r="Q1466" t="s">
        <v>5974</v>
      </c>
      <c r="R1466" t="s">
        <v>6843</v>
      </c>
      <c r="S1466" t="s">
        <v>688</v>
      </c>
      <c r="T1466" s="6">
        <v>5700000000</v>
      </c>
      <c r="W1466" t="str">
        <f t="shared" si="23"/>
        <v>DENA EF7 TC-MT1400</v>
      </c>
      <c r="X1466" t="e">
        <f>VLOOKUP(W1466,Sheet10!D:F,2,0)*10000000</f>
        <v>#N/A</v>
      </c>
      <c r="Y1466" t="s">
        <v>5712</v>
      </c>
    </row>
    <row r="1467" spans="1:25" x14ac:dyDescent="0.25">
      <c r="A1467" t="s">
        <v>5997</v>
      </c>
      <c r="B1467" t="s">
        <v>6844</v>
      </c>
      <c r="C1467">
        <v>704</v>
      </c>
      <c r="D1467" t="s">
        <v>63</v>
      </c>
      <c r="E1467" t="s">
        <v>64</v>
      </c>
      <c r="F1467" t="s">
        <v>4256</v>
      </c>
      <c r="H1467">
        <v>67</v>
      </c>
      <c r="I1467">
        <v>1400</v>
      </c>
      <c r="J1467" t="s">
        <v>6845</v>
      </c>
      <c r="K1467" t="s">
        <v>6846</v>
      </c>
      <c r="M1467" t="s">
        <v>4401</v>
      </c>
      <c r="N1467">
        <v>70406</v>
      </c>
      <c r="O1467" t="s">
        <v>70</v>
      </c>
      <c r="Q1467" t="s">
        <v>5974</v>
      </c>
      <c r="R1467" t="s">
        <v>6847</v>
      </c>
      <c r="S1467" t="s">
        <v>727</v>
      </c>
      <c r="T1467" s="6">
        <v>5650000000</v>
      </c>
      <c r="W1467" t="str">
        <f t="shared" si="23"/>
        <v>DENA EF7 TC-MT1400</v>
      </c>
      <c r="X1467" t="e">
        <f>VLOOKUP(W1467,Sheet10!D:F,2,0)*10000000</f>
        <v>#N/A</v>
      </c>
      <c r="Y1467" t="s">
        <v>5712</v>
      </c>
    </row>
    <row r="1468" spans="1:25" x14ac:dyDescent="0.25">
      <c r="A1468" t="s">
        <v>5997</v>
      </c>
      <c r="B1468" t="s">
        <v>6848</v>
      </c>
      <c r="C1468">
        <v>704</v>
      </c>
      <c r="D1468" t="s">
        <v>63</v>
      </c>
      <c r="E1468" t="s">
        <v>64</v>
      </c>
      <c r="F1468" t="s">
        <v>420</v>
      </c>
      <c r="H1468">
        <v>67</v>
      </c>
      <c r="I1468">
        <v>1401</v>
      </c>
      <c r="J1468" t="s">
        <v>6849</v>
      </c>
      <c r="K1468" t="s">
        <v>6850</v>
      </c>
      <c r="M1468" t="s">
        <v>4401</v>
      </c>
      <c r="N1468">
        <v>70406</v>
      </c>
      <c r="O1468" t="s">
        <v>70</v>
      </c>
      <c r="Q1468" t="s">
        <v>5974</v>
      </c>
      <c r="R1468" t="s">
        <v>6851</v>
      </c>
      <c r="S1468" t="s">
        <v>979</v>
      </c>
      <c r="T1468" s="6">
        <v>5900000000</v>
      </c>
      <c r="W1468" t="str">
        <f t="shared" si="23"/>
        <v>DENA EF7 TC-MT1401</v>
      </c>
      <c r="X1468">
        <f>VLOOKUP(W1468,Sheet10!D:F,2,0)*10000000</f>
        <v>6750000000</v>
      </c>
      <c r="Y1468" t="s">
        <v>5712</v>
      </c>
    </row>
    <row r="1469" spans="1:25" x14ac:dyDescent="0.25">
      <c r="A1469" t="s">
        <v>3497</v>
      </c>
      <c r="B1469" t="s">
        <v>6852</v>
      </c>
      <c r="C1469">
        <v>600</v>
      </c>
      <c r="D1469" t="s">
        <v>77</v>
      </c>
      <c r="E1469" t="s">
        <v>64</v>
      </c>
      <c r="F1469" t="s">
        <v>362</v>
      </c>
      <c r="H1469">
        <v>67</v>
      </c>
      <c r="I1469">
        <v>1400</v>
      </c>
      <c r="J1469" t="s">
        <v>6853</v>
      </c>
      <c r="K1469" t="s">
        <v>6854</v>
      </c>
      <c r="M1469" t="s">
        <v>3246</v>
      </c>
      <c r="N1469">
        <v>60010</v>
      </c>
      <c r="O1469" t="s">
        <v>303</v>
      </c>
      <c r="Q1469" t="s">
        <v>3247</v>
      </c>
      <c r="R1469" t="s">
        <v>6855</v>
      </c>
      <c r="S1469" t="s">
        <v>4254</v>
      </c>
      <c r="T1469" s="6">
        <v>5100000000</v>
      </c>
      <c r="W1469" t="str">
        <f t="shared" si="23"/>
        <v>207i-MT1400</v>
      </c>
      <c r="X1469">
        <f>VLOOKUP(W1469,Sheet10!D:F,2,0)*10000000</f>
        <v>5600000000</v>
      </c>
      <c r="Y1469" t="s">
        <v>5712</v>
      </c>
    </row>
    <row r="1470" spans="1:25" x14ac:dyDescent="0.25">
      <c r="A1470" t="s">
        <v>5976</v>
      </c>
      <c r="B1470" t="s">
        <v>6856</v>
      </c>
      <c r="C1470">
        <v>704</v>
      </c>
      <c r="D1470" t="s">
        <v>259</v>
      </c>
      <c r="E1470" t="s">
        <v>64</v>
      </c>
      <c r="F1470" t="s">
        <v>4256</v>
      </c>
      <c r="H1470">
        <v>65</v>
      </c>
      <c r="I1470">
        <v>1400</v>
      </c>
      <c r="J1470" t="s">
        <v>6857</v>
      </c>
      <c r="K1470" t="s">
        <v>6858</v>
      </c>
      <c r="M1470" t="s">
        <v>4401</v>
      </c>
      <c r="N1470">
        <v>70406</v>
      </c>
      <c r="O1470" t="s">
        <v>70</v>
      </c>
      <c r="Q1470" t="s">
        <v>5974</v>
      </c>
      <c r="R1470" t="s">
        <v>6859</v>
      </c>
      <c r="S1470" t="s">
        <v>752</v>
      </c>
      <c r="T1470" s="6">
        <v>5700000000</v>
      </c>
      <c r="W1470" t="str">
        <f t="shared" si="23"/>
        <v>DENA EF7 TC-MT1400</v>
      </c>
      <c r="X1470" t="e">
        <f>VLOOKUP(W1470,Sheet10!D:F,2,0)*10000000</f>
        <v>#N/A</v>
      </c>
      <c r="Y1470" t="s">
        <v>5712</v>
      </c>
    </row>
    <row r="1471" spans="1:25" x14ac:dyDescent="0.25">
      <c r="A1471" t="s">
        <v>6237</v>
      </c>
      <c r="B1471" t="s">
        <v>6860</v>
      </c>
      <c r="C1471">
        <v>606</v>
      </c>
      <c r="D1471" t="s">
        <v>63</v>
      </c>
      <c r="E1471" t="s">
        <v>64</v>
      </c>
      <c r="F1471" t="s">
        <v>4256</v>
      </c>
      <c r="H1471">
        <v>64</v>
      </c>
      <c r="I1471">
        <v>1400</v>
      </c>
      <c r="J1471" t="s">
        <v>6861</v>
      </c>
      <c r="K1471" t="s">
        <v>6862</v>
      </c>
      <c r="M1471" t="s">
        <v>4487</v>
      </c>
      <c r="N1471">
        <v>60601</v>
      </c>
      <c r="O1471" t="s">
        <v>4488</v>
      </c>
      <c r="Q1471" t="s">
        <v>6241</v>
      </c>
      <c r="R1471" t="s">
        <v>6863</v>
      </c>
      <c r="S1471" t="s">
        <v>4845</v>
      </c>
      <c r="T1471" s="6">
        <v>6200000000</v>
      </c>
      <c r="W1471" t="str">
        <f t="shared" si="23"/>
        <v>207i TU5P A1400</v>
      </c>
      <c r="X1471">
        <f>VLOOKUP(W1471,Sheet10!D:F,2,0)*10000000</f>
        <v>7000000000</v>
      </c>
      <c r="Y1471" t="s">
        <v>5712</v>
      </c>
    </row>
    <row r="1472" spans="1:25" x14ac:dyDescent="0.25">
      <c r="A1472" t="s">
        <v>6237</v>
      </c>
      <c r="B1472" t="s">
        <v>6864</v>
      </c>
      <c r="C1472">
        <v>606</v>
      </c>
      <c r="D1472" t="s">
        <v>63</v>
      </c>
      <c r="E1472" t="s">
        <v>64</v>
      </c>
      <c r="F1472" t="s">
        <v>362</v>
      </c>
      <c r="H1472">
        <v>64</v>
      </c>
      <c r="I1472">
        <v>1400</v>
      </c>
      <c r="J1472" t="s">
        <v>6865</v>
      </c>
      <c r="K1472" t="s">
        <v>6866</v>
      </c>
      <c r="M1472" t="s">
        <v>4487</v>
      </c>
      <c r="N1472">
        <v>60601</v>
      </c>
      <c r="O1472" t="s">
        <v>4488</v>
      </c>
      <c r="Q1472" t="s">
        <v>6241</v>
      </c>
      <c r="R1472" t="s">
        <v>6867</v>
      </c>
      <c r="S1472" t="s">
        <v>3138</v>
      </c>
      <c r="T1472" s="6">
        <v>6200000000</v>
      </c>
      <c r="W1472" t="str">
        <f t="shared" si="23"/>
        <v>207i TU5P A1400</v>
      </c>
      <c r="X1472">
        <f>VLOOKUP(W1472,Sheet10!D:F,2,0)*10000000</f>
        <v>7000000000</v>
      </c>
      <c r="Y1472" t="s">
        <v>5712</v>
      </c>
    </row>
    <row r="1473" spans="1:25" x14ac:dyDescent="0.25">
      <c r="A1473" t="s">
        <v>6270</v>
      </c>
      <c r="B1473" t="s">
        <v>6868</v>
      </c>
      <c r="C1473">
        <v>322</v>
      </c>
      <c r="D1473" t="s">
        <v>6272</v>
      </c>
      <c r="E1473" t="s">
        <v>64</v>
      </c>
      <c r="F1473" t="s">
        <v>362</v>
      </c>
      <c r="H1473">
        <v>63</v>
      </c>
      <c r="I1473">
        <v>1400</v>
      </c>
      <c r="J1473" t="s">
        <v>6869</v>
      </c>
      <c r="K1473" t="s">
        <v>6274</v>
      </c>
      <c r="M1473" t="s">
        <v>92</v>
      </c>
      <c r="N1473">
        <v>32201</v>
      </c>
      <c r="O1473" t="s">
        <v>70</v>
      </c>
      <c r="Q1473" t="s">
        <v>93</v>
      </c>
      <c r="R1473" t="s">
        <v>6870</v>
      </c>
      <c r="S1473" t="s">
        <v>4435</v>
      </c>
      <c r="T1473" s="6">
        <v>4850000000</v>
      </c>
      <c r="W1473" t="str">
        <f t="shared" si="23"/>
        <v>TARA TU5P1400</v>
      </c>
      <c r="X1473" t="e">
        <f>VLOOKUP(W1473,Sheet10!D:F,2,0)*10000000</f>
        <v>#N/A</v>
      </c>
      <c r="Y1473" t="s">
        <v>5712</v>
      </c>
    </row>
    <row r="1474" spans="1:25" x14ac:dyDescent="0.25">
      <c r="A1474" t="s">
        <v>5954</v>
      </c>
      <c r="B1474" t="s">
        <v>6871</v>
      </c>
      <c r="C1474">
        <v>606</v>
      </c>
      <c r="D1474" t="s">
        <v>63</v>
      </c>
      <c r="E1474" t="s">
        <v>64</v>
      </c>
      <c r="F1474" t="s">
        <v>420</v>
      </c>
      <c r="H1474">
        <v>63</v>
      </c>
      <c r="I1474">
        <v>1401</v>
      </c>
      <c r="J1474" t="s">
        <v>6872</v>
      </c>
      <c r="K1474" t="s">
        <v>6873</v>
      </c>
      <c r="M1474" t="s">
        <v>4487</v>
      </c>
      <c r="N1474">
        <v>60603</v>
      </c>
      <c r="O1474" t="s">
        <v>4488</v>
      </c>
      <c r="Q1474" t="s">
        <v>5958</v>
      </c>
      <c r="R1474" t="s">
        <v>6874</v>
      </c>
      <c r="S1474" t="s">
        <v>3389</v>
      </c>
      <c r="T1474" s="6">
        <v>5950000000</v>
      </c>
      <c r="W1474" t="str">
        <f t="shared" si="23"/>
        <v>207i TU5P A1401</v>
      </c>
      <c r="X1474">
        <f>VLOOKUP(W1474,Sheet10!D:F,2,0)*10000000</f>
        <v>7100000000</v>
      </c>
      <c r="Y1474" t="s">
        <v>5712</v>
      </c>
    </row>
    <row r="1475" spans="1:25" x14ac:dyDescent="0.25">
      <c r="A1475" t="s">
        <v>5274</v>
      </c>
      <c r="B1475" t="s">
        <v>6875</v>
      </c>
      <c r="C1475">
        <v>323</v>
      </c>
      <c r="D1475" t="s">
        <v>178</v>
      </c>
      <c r="E1475" t="s">
        <v>64</v>
      </c>
      <c r="F1475" t="s">
        <v>362</v>
      </c>
      <c r="H1475">
        <v>62</v>
      </c>
      <c r="I1475">
        <v>1400</v>
      </c>
      <c r="J1475" t="s">
        <v>6876</v>
      </c>
      <c r="K1475" t="s">
        <v>6274</v>
      </c>
      <c r="M1475" t="s">
        <v>5192</v>
      </c>
      <c r="N1475">
        <v>32301</v>
      </c>
      <c r="O1475" t="s">
        <v>70</v>
      </c>
      <c r="Q1475" t="s">
        <v>5193</v>
      </c>
      <c r="R1475" t="s">
        <v>6877</v>
      </c>
      <c r="S1475" t="s">
        <v>2119</v>
      </c>
      <c r="T1475" s="6">
        <v>6200000000</v>
      </c>
      <c r="W1475" t="str">
        <f t="shared" si="23"/>
        <v>TARA TU5PA1400</v>
      </c>
      <c r="X1475">
        <f>VLOOKUP(W1475,Sheet10!D:F,2,0)*10000000</f>
        <v>7200000000</v>
      </c>
      <c r="Y1475" t="s">
        <v>5712</v>
      </c>
    </row>
    <row r="1476" spans="1:25" x14ac:dyDescent="0.25">
      <c r="A1476" t="s">
        <v>5976</v>
      </c>
      <c r="B1476" t="s">
        <v>6878</v>
      </c>
      <c r="C1476">
        <v>704</v>
      </c>
      <c r="D1476" t="s">
        <v>259</v>
      </c>
      <c r="E1476" t="s">
        <v>64</v>
      </c>
      <c r="F1476" t="s">
        <v>4256</v>
      </c>
      <c r="H1476">
        <v>61</v>
      </c>
      <c r="I1476">
        <v>1400</v>
      </c>
      <c r="J1476" t="s">
        <v>6879</v>
      </c>
      <c r="K1476" t="s">
        <v>6880</v>
      </c>
      <c r="M1476" t="s">
        <v>4401</v>
      </c>
      <c r="N1476">
        <v>70406</v>
      </c>
      <c r="O1476" t="s">
        <v>70</v>
      </c>
      <c r="Q1476" t="s">
        <v>5974</v>
      </c>
      <c r="R1476" t="s">
        <v>6881</v>
      </c>
      <c r="S1476" t="s">
        <v>737</v>
      </c>
      <c r="T1476" s="6">
        <v>5650000000</v>
      </c>
      <c r="W1476" t="str">
        <f t="shared" si="23"/>
        <v>DENA EF7 TC-MT1400</v>
      </c>
      <c r="X1476" t="e">
        <f>VLOOKUP(W1476,Sheet10!D:F,2,0)*10000000</f>
        <v>#N/A</v>
      </c>
      <c r="Y1476" t="s">
        <v>5712</v>
      </c>
    </row>
    <row r="1477" spans="1:25" x14ac:dyDescent="0.25">
      <c r="A1477" t="s">
        <v>3497</v>
      </c>
      <c r="B1477" t="s">
        <v>6882</v>
      </c>
      <c r="C1477">
        <v>600</v>
      </c>
      <c r="D1477" t="s">
        <v>77</v>
      </c>
      <c r="E1477" t="s">
        <v>64</v>
      </c>
      <c r="F1477" t="s">
        <v>362</v>
      </c>
      <c r="H1477">
        <v>61</v>
      </c>
      <c r="I1477">
        <v>1400</v>
      </c>
      <c r="J1477" t="s">
        <v>6883</v>
      </c>
      <c r="K1477" t="s">
        <v>6884</v>
      </c>
      <c r="M1477" t="s">
        <v>3246</v>
      </c>
      <c r="N1477">
        <v>60010</v>
      </c>
      <c r="O1477" t="s">
        <v>303</v>
      </c>
      <c r="Q1477" t="s">
        <v>3247</v>
      </c>
      <c r="R1477" t="s">
        <v>6885</v>
      </c>
      <c r="S1477" t="s">
        <v>5401</v>
      </c>
      <c r="T1477" s="6">
        <v>5100000000</v>
      </c>
      <c r="W1477" t="str">
        <f t="shared" si="23"/>
        <v>207i-MT1400</v>
      </c>
      <c r="X1477">
        <f>VLOOKUP(W1477,Sheet10!D:F,2,0)*10000000</f>
        <v>5600000000</v>
      </c>
      <c r="Y1477" t="s">
        <v>5712</v>
      </c>
    </row>
    <row r="1478" spans="1:25" x14ac:dyDescent="0.25">
      <c r="A1478" t="s">
        <v>3497</v>
      </c>
      <c r="B1478" t="s">
        <v>6886</v>
      </c>
      <c r="C1478">
        <v>600</v>
      </c>
      <c r="D1478" t="s">
        <v>77</v>
      </c>
      <c r="E1478" t="s">
        <v>64</v>
      </c>
      <c r="F1478" t="s">
        <v>362</v>
      </c>
      <c r="H1478">
        <v>61</v>
      </c>
      <c r="I1478">
        <v>1400</v>
      </c>
      <c r="J1478" t="s">
        <v>6887</v>
      </c>
      <c r="K1478" t="s">
        <v>6004</v>
      </c>
      <c r="M1478" t="s">
        <v>3246</v>
      </c>
      <c r="N1478">
        <v>60010</v>
      </c>
      <c r="O1478" t="s">
        <v>303</v>
      </c>
      <c r="Q1478" t="s">
        <v>3247</v>
      </c>
      <c r="R1478" t="s">
        <v>6888</v>
      </c>
      <c r="S1478" t="s">
        <v>2795</v>
      </c>
      <c r="T1478" s="6">
        <v>5100000000</v>
      </c>
      <c r="W1478" t="str">
        <f t="shared" si="23"/>
        <v>207i-MT1400</v>
      </c>
      <c r="X1478">
        <f>VLOOKUP(W1478,Sheet10!D:F,2,0)*10000000</f>
        <v>5600000000</v>
      </c>
      <c r="Y1478" t="s">
        <v>5712</v>
      </c>
    </row>
    <row r="1479" spans="1:25" x14ac:dyDescent="0.25">
      <c r="A1479" t="s">
        <v>5216</v>
      </c>
      <c r="B1479" t="s">
        <v>6889</v>
      </c>
      <c r="C1479">
        <v>323</v>
      </c>
      <c r="D1479" t="s">
        <v>63</v>
      </c>
      <c r="E1479" t="s">
        <v>64</v>
      </c>
      <c r="F1479" t="s">
        <v>3186</v>
      </c>
      <c r="H1479">
        <v>61</v>
      </c>
      <c r="I1479">
        <v>1400</v>
      </c>
      <c r="J1479" t="s">
        <v>6890</v>
      </c>
      <c r="K1479" t="s">
        <v>6891</v>
      </c>
      <c r="M1479" t="s">
        <v>5192</v>
      </c>
      <c r="N1479">
        <v>32301</v>
      </c>
      <c r="O1479" t="s">
        <v>70</v>
      </c>
      <c r="Q1479" t="s">
        <v>5193</v>
      </c>
      <c r="R1479" t="s">
        <v>6892</v>
      </c>
      <c r="S1479" t="s">
        <v>3384</v>
      </c>
      <c r="T1479" s="6">
        <v>5950000000</v>
      </c>
      <c r="W1479" t="str">
        <f t="shared" si="23"/>
        <v>TARA TU5PA1400</v>
      </c>
      <c r="X1479">
        <f>VLOOKUP(W1479,Sheet10!D:F,2,0)*10000000</f>
        <v>7200000000</v>
      </c>
      <c r="Y1479" t="s">
        <v>5712</v>
      </c>
    </row>
    <row r="1480" spans="1:25" x14ac:dyDescent="0.25">
      <c r="A1480" t="s">
        <v>4497</v>
      </c>
      <c r="B1480" t="s">
        <v>4723</v>
      </c>
      <c r="C1480">
        <v>606</v>
      </c>
      <c r="D1480" t="s">
        <v>77</v>
      </c>
      <c r="E1480" t="s">
        <v>64</v>
      </c>
      <c r="F1480" t="s">
        <v>4256</v>
      </c>
      <c r="H1480">
        <v>60</v>
      </c>
      <c r="I1480">
        <v>1400</v>
      </c>
      <c r="J1480" t="s">
        <v>4724</v>
      </c>
      <c r="K1480" t="s">
        <v>4641</v>
      </c>
      <c r="M1480" t="s">
        <v>4487</v>
      </c>
      <c r="N1480">
        <v>60602</v>
      </c>
      <c r="O1480" t="s">
        <v>4488</v>
      </c>
      <c r="Q1480" t="s">
        <v>4489</v>
      </c>
      <c r="R1480" t="s">
        <v>4725</v>
      </c>
      <c r="S1480" t="s">
        <v>3417</v>
      </c>
      <c r="T1480" s="6">
        <v>5450000000</v>
      </c>
      <c r="W1480" t="str">
        <f t="shared" si="23"/>
        <v>207i TU5P A1400</v>
      </c>
      <c r="X1480">
        <f>VLOOKUP(W1480,Sheet10!D:F,2,0)*10000000</f>
        <v>7000000000</v>
      </c>
      <c r="Y1480" t="s">
        <v>5712</v>
      </c>
    </row>
    <row r="1481" spans="1:25" x14ac:dyDescent="0.25">
      <c r="A1481" t="s">
        <v>4483</v>
      </c>
      <c r="B1481" t="s">
        <v>6893</v>
      </c>
      <c r="C1481">
        <v>606</v>
      </c>
      <c r="D1481" t="s">
        <v>63</v>
      </c>
      <c r="E1481" t="s">
        <v>64</v>
      </c>
      <c r="F1481" t="s">
        <v>362</v>
      </c>
      <c r="H1481">
        <v>59</v>
      </c>
      <c r="I1481">
        <v>1400</v>
      </c>
      <c r="J1481" t="s">
        <v>6894</v>
      </c>
      <c r="K1481" t="s">
        <v>6004</v>
      </c>
      <c r="M1481" t="s">
        <v>4487</v>
      </c>
      <c r="N1481">
        <v>60602</v>
      </c>
      <c r="O1481" t="s">
        <v>4488</v>
      </c>
      <c r="Q1481" t="s">
        <v>4489</v>
      </c>
      <c r="R1481" t="s">
        <v>6895</v>
      </c>
      <c r="S1481" t="s">
        <v>2939</v>
      </c>
      <c r="T1481" s="6">
        <v>5450000000</v>
      </c>
      <c r="W1481" t="str">
        <f t="shared" si="23"/>
        <v>207i TU5P A1400</v>
      </c>
      <c r="X1481">
        <f>VLOOKUP(W1481,Sheet10!D:F,2,0)*10000000</f>
        <v>7000000000</v>
      </c>
      <c r="Y1481" t="s">
        <v>5712</v>
      </c>
    </row>
    <row r="1482" spans="1:25" x14ac:dyDescent="0.25">
      <c r="A1482" t="s">
        <v>5997</v>
      </c>
      <c r="B1482" t="s">
        <v>6896</v>
      </c>
      <c r="C1482">
        <v>704</v>
      </c>
      <c r="D1482" t="s">
        <v>63</v>
      </c>
      <c r="E1482" t="s">
        <v>64</v>
      </c>
      <c r="F1482" t="s">
        <v>491</v>
      </c>
      <c r="H1482">
        <v>58</v>
      </c>
      <c r="I1482">
        <v>1401</v>
      </c>
      <c r="J1482" t="s">
        <v>6897</v>
      </c>
      <c r="K1482" t="s">
        <v>6898</v>
      </c>
      <c r="M1482" t="s">
        <v>4401</v>
      </c>
      <c r="N1482">
        <v>70406</v>
      </c>
      <c r="O1482" t="s">
        <v>70</v>
      </c>
      <c r="Q1482" t="s">
        <v>5974</v>
      </c>
      <c r="R1482" t="s">
        <v>6899</v>
      </c>
      <c r="S1482" t="s">
        <v>1297</v>
      </c>
      <c r="T1482" s="6">
        <v>5900000000</v>
      </c>
      <c r="W1482" t="str">
        <f t="shared" si="23"/>
        <v>DENA EF7 TC-MT1401</v>
      </c>
      <c r="X1482">
        <f>VLOOKUP(W1482,Sheet10!D:F,2,0)*10000000</f>
        <v>6750000000</v>
      </c>
      <c r="Y1482" t="s">
        <v>5712</v>
      </c>
    </row>
    <row r="1483" spans="1:25" x14ac:dyDescent="0.25">
      <c r="A1483" t="s">
        <v>5604</v>
      </c>
      <c r="B1483" t="s">
        <v>6900</v>
      </c>
      <c r="C1483">
        <v>518</v>
      </c>
      <c r="D1483" t="s">
        <v>77</v>
      </c>
      <c r="E1483" t="s">
        <v>64</v>
      </c>
      <c r="F1483" t="s">
        <v>2696</v>
      </c>
      <c r="H1483">
        <v>58</v>
      </c>
      <c r="I1483">
        <v>1401</v>
      </c>
      <c r="J1483" t="s">
        <v>6901</v>
      </c>
      <c r="K1483" t="s">
        <v>6902</v>
      </c>
      <c r="M1483" t="s">
        <v>5609</v>
      </c>
      <c r="N1483">
        <v>51802</v>
      </c>
      <c r="O1483" t="s">
        <v>303</v>
      </c>
      <c r="Q1483" t="s">
        <v>5610</v>
      </c>
      <c r="R1483" t="s">
        <v>6903</v>
      </c>
      <c r="S1483" t="s">
        <v>5141</v>
      </c>
      <c r="T1483" s="6">
        <v>11000000000</v>
      </c>
      <c r="W1483" t="str">
        <f t="shared" si="23"/>
        <v>S7-T-AT1401</v>
      </c>
      <c r="X1483">
        <f>VLOOKUP(W1483,Sheet10!D:F,2,0)*10000000</f>
        <v>13450000000</v>
      </c>
      <c r="Y1483" t="s">
        <v>5712</v>
      </c>
    </row>
    <row r="1484" spans="1:25" x14ac:dyDescent="0.25">
      <c r="A1484" t="s">
        <v>6237</v>
      </c>
      <c r="B1484" t="s">
        <v>6904</v>
      </c>
      <c r="C1484">
        <v>606</v>
      </c>
      <c r="D1484" t="s">
        <v>63</v>
      </c>
      <c r="E1484" t="s">
        <v>64</v>
      </c>
      <c r="F1484" t="s">
        <v>4256</v>
      </c>
      <c r="H1484">
        <v>56</v>
      </c>
      <c r="I1484">
        <v>1400</v>
      </c>
      <c r="J1484" t="s">
        <v>6905</v>
      </c>
      <c r="K1484" t="s">
        <v>6906</v>
      </c>
      <c r="M1484" t="s">
        <v>4487</v>
      </c>
      <c r="N1484">
        <v>60601</v>
      </c>
      <c r="O1484" t="s">
        <v>4488</v>
      </c>
      <c r="Q1484" t="s">
        <v>6241</v>
      </c>
      <c r="R1484" t="s">
        <v>6907</v>
      </c>
      <c r="S1484" t="s">
        <v>4924</v>
      </c>
      <c r="T1484" s="6">
        <v>6200000000</v>
      </c>
      <c r="W1484" t="str">
        <f t="shared" si="23"/>
        <v>207i TU5P A1400</v>
      </c>
      <c r="X1484">
        <f>VLOOKUP(W1484,Sheet10!D:F,2,0)*10000000</f>
        <v>7000000000</v>
      </c>
      <c r="Y1484" t="s">
        <v>5712</v>
      </c>
    </row>
    <row r="1485" spans="1:25" x14ac:dyDescent="0.25">
      <c r="A1485" t="s">
        <v>5997</v>
      </c>
      <c r="B1485" t="s">
        <v>6908</v>
      </c>
      <c r="C1485">
        <v>704</v>
      </c>
      <c r="D1485" t="s">
        <v>63</v>
      </c>
      <c r="E1485" t="s">
        <v>64</v>
      </c>
      <c r="F1485" t="s">
        <v>4256</v>
      </c>
      <c r="H1485">
        <v>55</v>
      </c>
      <c r="I1485">
        <v>1400</v>
      </c>
      <c r="J1485" t="s">
        <v>6909</v>
      </c>
      <c r="K1485" t="s">
        <v>6910</v>
      </c>
      <c r="M1485" t="s">
        <v>4401</v>
      </c>
      <c r="N1485">
        <v>70406</v>
      </c>
      <c r="O1485" t="s">
        <v>70</v>
      </c>
      <c r="Q1485" t="s">
        <v>5974</v>
      </c>
      <c r="R1485" t="s">
        <v>6911</v>
      </c>
      <c r="S1485" t="s">
        <v>847</v>
      </c>
      <c r="T1485" s="6">
        <v>5700000000</v>
      </c>
      <c r="W1485" t="str">
        <f t="shared" si="23"/>
        <v>DENA EF7 TC-MT1400</v>
      </c>
      <c r="X1485" t="e">
        <f>VLOOKUP(W1485,Sheet10!D:F,2,0)*10000000</f>
        <v>#N/A</v>
      </c>
      <c r="Y1485" t="s">
        <v>5712</v>
      </c>
    </row>
    <row r="1486" spans="1:25" x14ac:dyDescent="0.25">
      <c r="A1486" t="s">
        <v>87</v>
      </c>
      <c r="B1486" t="s">
        <v>6912</v>
      </c>
      <c r="C1486">
        <v>322</v>
      </c>
      <c r="D1486" t="s">
        <v>63</v>
      </c>
      <c r="E1486" t="s">
        <v>64</v>
      </c>
      <c r="F1486" t="s">
        <v>362</v>
      </c>
      <c r="H1486">
        <v>55</v>
      </c>
      <c r="I1486">
        <v>1400</v>
      </c>
      <c r="J1486" t="s">
        <v>6913</v>
      </c>
      <c r="K1486" t="s">
        <v>6914</v>
      </c>
      <c r="M1486" t="s">
        <v>92</v>
      </c>
      <c r="N1486">
        <v>32201</v>
      </c>
      <c r="O1486" t="s">
        <v>70</v>
      </c>
      <c r="Q1486" t="s">
        <v>93</v>
      </c>
      <c r="R1486" t="s">
        <v>6915</v>
      </c>
      <c r="S1486" t="s">
        <v>4709</v>
      </c>
      <c r="T1486" s="6">
        <v>4850000000</v>
      </c>
      <c r="W1486" t="str">
        <f t="shared" ref="W1486:W1549" si="24">M1486&amp;I1486</f>
        <v>TARA TU5P1400</v>
      </c>
      <c r="X1486" t="e">
        <f>VLOOKUP(W1486,Sheet10!D:F,2,0)*10000000</f>
        <v>#N/A</v>
      </c>
      <c r="Y1486" t="s">
        <v>5712</v>
      </c>
    </row>
    <row r="1487" spans="1:25" x14ac:dyDescent="0.25">
      <c r="A1487" t="s">
        <v>5661</v>
      </c>
      <c r="B1487" t="s">
        <v>6916</v>
      </c>
      <c r="C1487">
        <v>522</v>
      </c>
      <c r="D1487" t="s">
        <v>63</v>
      </c>
      <c r="E1487" t="s">
        <v>64</v>
      </c>
      <c r="F1487" t="s">
        <v>3186</v>
      </c>
      <c r="H1487">
        <v>55</v>
      </c>
      <c r="I1487">
        <v>1400</v>
      </c>
      <c r="J1487" t="s">
        <v>6917</v>
      </c>
      <c r="K1487" t="s">
        <v>6918</v>
      </c>
      <c r="M1487" t="s">
        <v>5589</v>
      </c>
      <c r="N1487">
        <v>52201</v>
      </c>
      <c r="O1487" t="s">
        <v>4488</v>
      </c>
      <c r="Q1487" t="s">
        <v>5590</v>
      </c>
      <c r="R1487" t="s">
        <v>6919</v>
      </c>
      <c r="S1487" t="s">
        <v>4381</v>
      </c>
      <c r="T1487" s="6">
        <v>9300000000</v>
      </c>
      <c r="W1487" t="str">
        <f t="shared" si="24"/>
        <v>S5-T-AT1400</v>
      </c>
      <c r="X1487" t="e">
        <f>VLOOKUP(W1487,Sheet10!D:F,2,0)*10000000</f>
        <v>#N/A</v>
      </c>
      <c r="Y1487" t="s">
        <v>5712</v>
      </c>
    </row>
    <row r="1488" spans="1:25" x14ac:dyDescent="0.25">
      <c r="A1488" t="s">
        <v>6920</v>
      </c>
      <c r="B1488" t="s">
        <v>6921</v>
      </c>
      <c r="C1488">
        <v>323</v>
      </c>
      <c r="D1488" t="s">
        <v>6922</v>
      </c>
      <c r="E1488" t="s">
        <v>64</v>
      </c>
      <c r="F1488" t="s">
        <v>3186</v>
      </c>
      <c r="H1488">
        <v>55</v>
      </c>
      <c r="I1488">
        <v>1400</v>
      </c>
      <c r="J1488" t="s">
        <v>6923</v>
      </c>
      <c r="K1488" t="s">
        <v>6924</v>
      </c>
      <c r="M1488" t="s">
        <v>5192</v>
      </c>
      <c r="N1488">
        <v>32301</v>
      </c>
      <c r="O1488" t="s">
        <v>70</v>
      </c>
      <c r="Q1488" t="s">
        <v>5193</v>
      </c>
      <c r="R1488" t="s">
        <v>6925</v>
      </c>
      <c r="S1488" t="s">
        <v>3022</v>
      </c>
      <c r="T1488" s="6">
        <v>6100000000</v>
      </c>
      <c r="W1488" t="str">
        <f t="shared" si="24"/>
        <v>TARA TU5PA1400</v>
      </c>
      <c r="X1488">
        <f>VLOOKUP(W1488,Sheet10!D:F,2,0)*10000000</f>
        <v>7200000000</v>
      </c>
      <c r="Y1488" t="s">
        <v>5712</v>
      </c>
    </row>
    <row r="1489" spans="1:25" x14ac:dyDescent="0.25">
      <c r="A1489" t="s">
        <v>5216</v>
      </c>
      <c r="B1489" t="s">
        <v>6926</v>
      </c>
      <c r="C1489">
        <v>323</v>
      </c>
      <c r="D1489" t="s">
        <v>63</v>
      </c>
      <c r="E1489" t="s">
        <v>64</v>
      </c>
      <c r="F1489" t="s">
        <v>362</v>
      </c>
      <c r="H1489">
        <v>54</v>
      </c>
      <c r="I1489">
        <v>1400</v>
      </c>
      <c r="J1489" t="s">
        <v>6927</v>
      </c>
      <c r="K1489" t="s">
        <v>6004</v>
      </c>
      <c r="M1489" t="s">
        <v>5192</v>
      </c>
      <c r="N1489">
        <v>32301</v>
      </c>
      <c r="O1489" t="s">
        <v>70</v>
      </c>
      <c r="Q1489" t="s">
        <v>5193</v>
      </c>
      <c r="R1489" t="s">
        <v>6928</v>
      </c>
      <c r="S1489" t="s">
        <v>2129</v>
      </c>
      <c r="T1489" s="6">
        <v>6200000000</v>
      </c>
      <c r="W1489" t="str">
        <f t="shared" si="24"/>
        <v>TARA TU5PA1400</v>
      </c>
      <c r="X1489">
        <f>VLOOKUP(W1489,Sheet10!D:F,2,0)*10000000</f>
        <v>7200000000</v>
      </c>
      <c r="Y1489" t="s">
        <v>5712</v>
      </c>
    </row>
    <row r="1490" spans="1:25" x14ac:dyDescent="0.25">
      <c r="A1490" t="s">
        <v>3497</v>
      </c>
      <c r="B1490" t="s">
        <v>6929</v>
      </c>
      <c r="C1490">
        <v>600</v>
      </c>
      <c r="D1490" t="s">
        <v>77</v>
      </c>
      <c r="E1490" t="s">
        <v>64</v>
      </c>
      <c r="F1490" t="s">
        <v>362</v>
      </c>
      <c r="H1490">
        <v>54</v>
      </c>
      <c r="I1490">
        <v>1400</v>
      </c>
      <c r="J1490" t="s">
        <v>6930</v>
      </c>
      <c r="K1490" t="s">
        <v>6752</v>
      </c>
      <c r="M1490" t="s">
        <v>3246</v>
      </c>
      <c r="N1490">
        <v>60010</v>
      </c>
      <c r="O1490" t="s">
        <v>303</v>
      </c>
      <c r="Q1490" t="s">
        <v>3247</v>
      </c>
      <c r="R1490" t="s">
        <v>6931</v>
      </c>
      <c r="S1490" t="s">
        <v>5050</v>
      </c>
      <c r="T1490" s="6">
        <v>5100000000</v>
      </c>
      <c r="W1490" t="str">
        <f t="shared" si="24"/>
        <v>207i-MT1400</v>
      </c>
      <c r="X1490">
        <f>VLOOKUP(W1490,Sheet10!D:F,2,0)*10000000</f>
        <v>5600000000</v>
      </c>
      <c r="Y1490" t="s">
        <v>5712</v>
      </c>
    </row>
    <row r="1491" spans="1:25" x14ac:dyDescent="0.25">
      <c r="A1491" t="s">
        <v>2476</v>
      </c>
      <c r="B1491" t="s">
        <v>6932</v>
      </c>
      <c r="C1491">
        <v>575</v>
      </c>
      <c r="D1491" t="s">
        <v>63</v>
      </c>
      <c r="E1491" t="s">
        <v>64</v>
      </c>
      <c r="F1491" t="s">
        <v>362</v>
      </c>
      <c r="H1491">
        <v>547</v>
      </c>
      <c r="I1491">
        <v>1400</v>
      </c>
      <c r="J1491" t="s">
        <v>6933</v>
      </c>
      <c r="K1491" t="s">
        <v>6934</v>
      </c>
      <c r="M1491" t="s">
        <v>367</v>
      </c>
      <c r="N1491">
        <v>57519</v>
      </c>
      <c r="O1491" t="s">
        <v>70</v>
      </c>
      <c r="Q1491" t="s">
        <v>2420</v>
      </c>
      <c r="R1491" t="s">
        <v>6935</v>
      </c>
      <c r="S1491" t="s">
        <v>2466</v>
      </c>
      <c r="T1491" s="6">
        <v>3850000000</v>
      </c>
      <c r="W1491" t="str">
        <f t="shared" si="24"/>
        <v>SOREN EF71400</v>
      </c>
      <c r="X1491">
        <f>VLOOKUP(W1491,Sheet10!D:F,2,0)*10000000</f>
        <v>4350000000</v>
      </c>
      <c r="Y1491" t="s">
        <v>5712</v>
      </c>
    </row>
    <row r="1492" spans="1:25" x14ac:dyDescent="0.25">
      <c r="A1492" t="s">
        <v>5681</v>
      </c>
      <c r="B1492" t="s">
        <v>6936</v>
      </c>
      <c r="C1492">
        <v>522</v>
      </c>
      <c r="D1492" t="s">
        <v>259</v>
      </c>
      <c r="E1492" t="s">
        <v>64</v>
      </c>
      <c r="F1492" t="s">
        <v>3186</v>
      </c>
      <c r="H1492">
        <v>508</v>
      </c>
      <c r="I1492">
        <v>1400</v>
      </c>
      <c r="J1492" t="s">
        <v>6937</v>
      </c>
      <c r="K1492" t="s">
        <v>6938</v>
      </c>
      <c r="M1492" t="s">
        <v>5589</v>
      </c>
      <c r="N1492">
        <v>52201</v>
      </c>
      <c r="O1492" t="s">
        <v>4488</v>
      </c>
      <c r="Q1492" t="s">
        <v>5590</v>
      </c>
      <c r="R1492" t="s">
        <v>6939</v>
      </c>
      <c r="S1492" t="s">
        <v>4535</v>
      </c>
      <c r="T1492" s="6">
        <v>9330000000</v>
      </c>
      <c r="W1492" t="str">
        <f t="shared" si="24"/>
        <v>S5-T-AT1400</v>
      </c>
      <c r="X1492" t="e">
        <f>VLOOKUP(W1492,Sheet10!D:F,2,0)*10000000</f>
        <v>#N/A</v>
      </c>
      <c r="Y1492" t="s">
        <v>5712</v>
      </c>
    </row>
    <row r="1493" spans="1:25" x14ac:dyDescent="0.25">
      <c r="A1493" t="s">
        <v>2476</v>
      </c>
      <c r="B1493" t="s">
        <v>6940</v>
      </c>
      <c r="C1493">
        <v>575</v>
      </c>
      <c r="D1493" t="s">
        <v>63</v>
      </c>
      <c r="E1493" t="s">
        <v>64</v>
      </c>
      <c r="F1493" t="s">
        <v>318</v>
      </c>
      <c r="H1493">
        <v>492</v>
      </c>
      <c r="I1493">
        <v>1400</v>
      </c>
      <c r="J1493" t="s">
        <v>6941</v>
      </c>
      <c r="K1493" t="s">
        <v>6942</v>
      </c>
      <c r="M1493" t="s">
        <v>367</v>
      </c>
      <c r="N1493">
        <v>57519</v>
      </c>
      <c r="O1493" t="s">
        <v>70</v>
      </c>
      <c r="Q1493" t="s">
        <v>2420</v>
      </c>
      <c r="R1493" t="s">
        <v>6943</v>
      </c>
      <c r="S1493" t="s">
        <v>212</v>
      </c>
      <c r="T1493" s="6">
        <v>3750000000</v>
      </c>
      <c r="W1493" t="str">
        <f t="shared" si="24"/>
        <v>SOREN EF71400</v>
      </c>
      <c r="X1493">
        <f>VLOOKUP(W1493,Sheet10!D:F,2,0)*10000000</f>
        <v>4350000000</v>
      </c>
      <c r="Y1493" t="s">
        <v>5712</v>
      </c>
    </row>
    <row r="1494" spans="1:25" x14ac:dyDescent="0.25">
      <c r="A1494" t="s">
        <v>6944</v>
      </c>
      <c r="B1494" t="s">
        <v>6945</v>
      </c>
      <c r="C1494">
        <v>575</v>
      </c>
      <c r="D1494" t="s">
        <v>4479</v>
      </c>
      <c r="E1494" t="s">
        <v>64</v>
      </c>
      <c r="F1494" t="s">
        <v>420</v>
      </c>
      <c r="H1494">
        <v>456</v>
      </c>
      <c r="I1494">
        <v>1401</v>
      </c>
      <c r="J1494" t="s">
        <v>6946</v>
      </c>
      <c r="K1494" t="s">
        <v>6947</v>
      </c>
      <c r="M1494" t="s">
        <v>367</v>
      </c>
      <c r="N1494">
        <v>57519</v>
      </c>
      <c r="O1494" t="s">
        <v>70</v>
      </c>
      <c r="Q1494" t="s">
        <v>2420</v>
      </c>
      <c r="R1494" t="s">
        <v>6948</v>
      </c>
      <c r="S1494" t="s">
        <v>1154</v>
      </c>
      <c r="T1494" s="6">
        <v>3850000000</v>
      </c>
      <c r="W1494" t="str">
        <f t="shared" si="24"/>
        <v>SOREN EF71401</v>
      </c>
      <c r="X1494">
        <f>VLOOKUP(W1494,Sheet10!D:F,2,0)*10000000</f>
        <v>4650000000</v>
      </c>
      <c r="Y1494" t="s">
        <v>5712</v>
      </c>
    </row>
    <row r="1495" spans="1:25" x14ac:dyDescent="0.25">
      <c r="A1495" t="s">
        <v>6949</v>
      </c>
      <c r="B1495" t="s">
        <v>6950</v>
      </c>
      <c r="C1495">
        <v>323</v>
      </c>
      <c r="D1495" t="s">
        <v>6272</v>
      </c>
      <c r="E1495" t="s">
        <v>64</v>
      </c>
      <c r="F1495" t="s">
        <v>3186</v>
      </c>
      <c r="H1495">
        <v>403</v>
      </c>
      <c r="I1495">
        <v>1400</v>
      </c>
      <c r="J1495" t="s">
        <v>6951</v>
      </c>
      <c r="K1495" t="s">
        <v>6952</v>
      </c>
      <c r="M1495" t="s">
        <v>5192</v>
      </c>
      <c r="N1495">
        <v>32301</v>
      </c>
      <c r="O1495" t="s">
        <v>70</v>
      </c>
      <c r="Q1495" t="s">
        <v>5193</v>
      </c>
      <c r="R1495" t="s">
        <v>6953</v>
      </c>
      <c r="S1495" t="s">
        <v>4887</v>
      </c>
      <c r="T1495" s="6">
        <v>6050000000</v>
      </c>
      <c r="W1495" t="str">
        <f t="shared" si="24"/>
        <v>TARA TU5PA1400</v>
      </c>
      <c r="X1495">
        <f>VLOOKUP(W1495,Sheet10!D:F,2,0)*10000000</f>
        <v>7200000000</v>
      </c>
      <c r="Y1495" t="s">
        <v>5712</v>
      </c>
    </row>
    <row r="1496" spans="1:25" x14ac:dyDescent="0.25">
      <c r="A1496" t="s">
        <v>5681</v>
      </c>
      <c r="B1496" t="s">
        <v>6954</v>
      </c>
      <c r="C1496">
        <v>522</v>
      </c>
      <c r="D1496" t="s">
        <v>259</v>
      </c>
      <c r="E1496" t="s">
        <v>64</v>
      </c>
      <c r="F1496" t="s">
        <v>362</v>
      </c>
      <c r="H1496">
        <v>378</v>
      </c>
      <c r="I1496">
        <v>1400</v>
      </c>
      <c r="J1496" t="s">
        <v>6955</v>
      </c>
      <c r="K1496" t="s">
        <v>6956</v>
      </c>
      <c r="M1496" t="s">
        <v>5589</v>
      </c>
      <c r="N1496">
        <v>52201</v>
      </c>
      <c r="O1496" t="s">
        <v>4488</v>
      </c>
      <c r="Q1496" t="s">
        <v>5590</v>
      </c>
      <c r="R1496" t="s">
        <v>6957</v>
      </c>
      <c r="S1496" t="s">
        <v>2845</v>
      </c>
      <c r="T1496" s="6">
        <v>9350000000</v>
      </c>
      <c r="W1496" t="str">
        <f t="shared" si="24"/>
        <v>S5-T-AT1400</v>
      </c>
      <c r="X1496" t="e">
        <f>VLOOKUP(W1496,Sheet10!D:F,2,0)*10000000</f>
        <v>#N/A</v>
      </c>
      <c r="Y1496" t="s">
        <v>5712</v>
      </c>
    </row>
    <row r="1497" spans="1:25" x14ac:dyDescent="0.25">
      <c r="A1497" t="s">
        <v>6360</v>
      </c>
      <c r="B1497" t="s">
        <v>6958</v>
      </c>
      <c r="C1497">
        <v>575</v>
      </c>
      <c r="D1497" t="s">
        <v>4479</v>
      </c>
      <c r="E1497" t="s">
        <v>64</v>
      </c>
      <c r="F1497" t="s">
        <v>318</v>
      </c>
      <c r="H1497">
        <v>337</v>
      </c>
      <c r="I1497">
        <v>1401</v>
      </c>
      <c r="J1497" t="s">
        <v>6959</v>
      </c>
      <c r="K1497" t="s">
        <v>6960</v>
      </c>
      <c r="M1497" t="s">
        <v>367</v>
      </c>
      <c r="N1497">
        <v>57523</v>
      </c>
      <c r="O1497" t="s">
        <v>70</v>
      </c>
      <c r="Q1497" t="s">
        <v>2648</v>
      </c>
      <c r="R1497" t="s">
        <v>6961</v>
      </c>
      <c r="S1497" t="s">
        <v>2508</v>
      </c>
      <c r="T1497" s="6">
        <v>4050000000</v>
      </c>
      <c r="W1497" t="str">
        <f t="shared" si="24"/>
        <v>SOREN EF71401</v>
      </c>
      <c r="X1497">
        <f>VLOOKUP(W1497,Sheet10!D:F,2,0)*10000000</f>
        <v>4650000000</v>
      </c>
      <c r="Y1497" t="s">
        <v>5712</v>
      </c>
    </row>
    <row r="1498" spans="1:25" x14ac:dyDescent="0.25">
      <c r="A1498" t="s">
        <v>191</v>
      </c>
      <c r="B1498" t="s">
        <v>6962</v>
      </c>
      <c r="C1498">
        <v>285</v>
      </c>
      <c r="D1498" t="s">
        <v>63</v>
      </c>
      <c r="E1498" t="s">
        <v>64</v>
      </c>
      <c r="F1498" t="s">
        <v>318</v>
      </c>
      <c r="H1498">
        <v>280</v>
      </c>
      <c r="I1498">
        <v>1401</v>
      </c>
      <c r="J1498" t="s">
        <v>6963</v>
      </c>
      <c r="K1498" t="s">
        <v>6964</v>
      </c>
      <c r="M1498" t="s">
        <v>198</v>
      </c>
      <c r="N1498">
        <v>28520</v>
      </c>
      <c r="O1498" t="s">
        <v>70</v>
      </c>
      <c r="Q1498" t="s">
        <v>199</v>
      </c>
      <c r="R1498" t="s">
        <v>6965</v>
      </c>
      <c r="S1498" t="s">
        <v>3166</v>
      </c>
      <c r="T1498" s="6">
        <v>4300000000</v>
      </c>
      <c r="W1498" t="str">
        <f t="shared" si="24"/>
        <v>PARS TU51401</v>
      </c>
      <c r="X1498">
        <f>VLOOKUP(W1498,Sheet10!D:F,2,0)*10000000</f>
        <v>5250000000</v>
      </c>
      <c r="Y1498" t="s">
        <v>5712</v>
      </c>
    </row>
    <row r="1499" spans="1:25" x14ac:dyDescent="0.25">
      <c r="A1499" t="s">
        <v>5201</v>
      </c>
      <c r="B1499" t="s">
        <v>6966</v>
      </c>
      <c r="C1499">
        <v>323</v>
      </c>
      <c r="D1499" t="s">
        <v>259</v>
      </c>
      <c r="E1499" t="s">
        <v>64</v>
      </c>
      <c r="F1499" t="s">
        <v>3186</v>
      </c>
      <c r="H1499">
        <v>258</v>
      </c>
      <c r="I1499">
        <v>1401</v>
      </c>
      <c r="J1499" t="s">
        <v>6967</v>
      </c>
      <c r="K1499" t="s">
        <v>6968</v>
      </c>
      <c r="M1499" t="s">
        <v>5192</v>
      </c>
      <c r="N1499">
        <v>32301</v>
      </c>
      <c r="O1499" t="s">
        <v>70</v>
      </c>
      <c r="Q1499" t="s">
        <v>5193</v>
      </c>
      <c r="R1499" t="s">
        <v>6969</v>
      </c>
      <c r="S1499" t="s">
        <v>2143</v>
      </c>
      <c r="T1499" s="6">
        <v>6200000000</v>
      </c>
      <c r="W1499" t="str">
        <f t="shared" si="24"/>
        <v>TARA TU5PA1401</v>
      </c>
      <c r="X1499" t="e">
        <f>VLOOKUP(W1499,Sheet10!D:F,2,0)*10000000</f>
        <v>#N/A</v>
      </c>
      <c r="Y1499" t="s">
        <v>5712</v>
      </c>
    </row>
    <row r="1500" spans="1:25" x14ac:dyDescent="0.25">
      <c r="A1500" t="s">
        <v>3139</v>
      </c>
      <c r="B1500" t="s">
        <v>6970</v>
      </c>
      <c r="C1500">
        <v>575</v>
      </c>
      <c r="D1500" t="s">
        <v>77</v>
      </c>
      <c r="E1500" t="s">
        <v>64</v>
      </c>
      <c r="F1500" t="s">
        <v>362</v>
      </c>
      <c r="H1500">
        <v>207</v>
      </c>
      <c r="I1500">
        <v>1400</v>
      </c>
      <c r="J1500" t="s">
        <v>6971</v>
      </c>
      <c r="K1500" t="s">
        <v>6972</v>
      </c>
      <c r="M1500" t="s">
        <v>367</v>
      </c>
      <c r="N1500">
        <v>57523</v>
      </c>
      <c r="O1500" t="s">
        <v>70</v>
      </c>
      <c r="Q1500" t="s">
        <v>2648</v>
      </c>
      <c r="R1500" t="s">
        <v>6973</v>
      </c>
      <c r="S1500" t="s">
        <v>495</v>
      </c>
      <c r="T1500" s="6">
        <v>3800000000</v>
      </c>
      <c r="W1500" t="str">
        <f t="shared" si="24"/>
        <v>SOREN EF71400</v>
      </c>
      <c r="X1500">
        <f>VLOOKUP(W1500,Sheet10!D:F,2,0)*10000000</f>
        <v>4350000000</v>
      </c>
      <c r="Y1500" t="s">
        <v>5712</v>
      </c>
    </row>
    <row r="1501" spans="1:25" x14ac:dyDescent="0.25">
      <c r="A1501" t="s">
        <v>6237</v>
      </c>
      <c r="B1501" t="s">
        <v>6974</v>
      </c>
      <c r="C1501">
        <v>606</v>
      </c>
      <c r="D1501" t="s">
        <v>63</v>
      </c>
      <c r="E1501" t="s">
        <v>64</v>
      </c>
      <c r="F1501" t="s">
        <v>4256</v>
      </c>
      <c r="H1501">
        <v>192</v>
      </c>
      <c r="I1501">
        <v>1400</v>
      </c>
      <c r="J1501" t="s">
        <v>6975</v>
      </c>
      <c r="K1501" t="s">
        <v>6976</v>
      </c>
      <c r="M1501" t="s">
        <v>4487</v>
      </c>
      <c r="N1501">
        <v>60601</v>
      </c>
      <c r="O1501" t="s">
        <v>4488</v>
      </c>
      <c r="Q1501" t="s">
        <v>6241</v>
      </c>
      <c r="R1501" t="s">
        <v>6977</v>
      </c>
      <c r="S1501" t="s">
        <v>3144</v>
      </c>
      <c r="T1501" s="6">
        <v>6200000000</v>
      </c>
      <c r="W1501" t="str">
        <f t="shared" si="24"/>
        <v>207i TU5P A1400</v>
      </c>
      <c r="X1501">
        <f>VLOOKUP(W1501,Sheet10!D:F,2,0)*10000000</f>
        <v>7000000000</v>
      </c>
      <c r="Y1501" t="s">
        <v>5712</v>
      </c>
    </row>
    <row r="1502" spans="1:25" x14ac:dyDescent="0.25">
      <c r="A1502" t="s">
        <v>5976</v>
      </c>
      <c r="B1502" t="s">
        <v>6978</v>
      </c>
      <c r="C1502">
        <v>704</v>
      </c>
      <c r="D1502" t="s">
        <v>259</v>
      </c>
      <c r="E1502" t="s">
        <v>64</v>
      </c>
      <c r="F1502" t="s">
        <v>4256</v>
      </c>
      <c r="H1502">
        <v>178</v>
      </c>
      <c r="I1502">
        <v>1400</v>
      </c>
      <c r="J1502" t="s">
        <v>6979</v>
      </c>
      <c r="K1502" t="s">
        <v>6980</v>
      </c>
      <c r="M1502" t="s">
        <v>4401</v>
      </c>
      <c r="N1502">
        <v>70406</v>
      </c>
      <c r="O1502" t="s">
        <v>70</v>
      </c>
      <c r="Q1502" t="s">
        <v>5974</v>
      </c>
      <c r="R1502" t="s">
        <v>6981</v>
      </c>
      <c r="S1502" t="s">
        <v>190</v>
      </c>
      <c r="T1502" s="6">
        <v>5700000000</v>
      </c>
      <c r="W1502" t="str">
        <f t="shared" si="24"/>
        <v>DENA EF7 TC-MT1400</v>
      </c>
      <c r="X1502" t="e">
        <f>VLOOKUP(W1502,Sheet10!D:F,2,0)*10000000</f>
        <v>#N/A</v>
      </c>
      <c r="Y1502" t="s">
        <v>5712</v>
      </c>
    </row>
    <row r="1503" spans="1:25" x14ac:dyDescent="0.25">
      <c r="A1503" t="s">
        <v>6237</v>
      </c>
      <c r="B1503" t="s">
        <v>6982</v>
      </c>
      <c r="C1503">
        <v>606</v>
      </c>
      <c r="D1503" t="s">
        <v>63</v>
      </c>
      <c r="E1503" t="s">
        <v>64</v>
      </c>
      <c r="F1503" t="s">
        <v>4256</v>
      </c>
      <c r="H1503">
        <v>165</v>
      </c>
      <c r="I1503">
        <v>1400</v>
      </c>
      <c r="J1503" t="s">
        <v>6983</v>
      </c>
      <c r="K1503" t="s">
        <v>6984</v>
      </c>
      <c r="M1503" t="s">
        <v>4487</v>
      </c>
      <c r="N1503">
        <v>60601</v>
      </c>
      <c r="O1503" t="s">
        <v>4488</v>
      </c>
      <c r="Q1503" t="s">
        <v>6241</v>
      </c>
      <c r="R1503" t="s">
        <v>6985</v>
      </c>
      <c r="S1503" t="s">
        <v>3752</v>
      </c>
      <c r="T1503" s="6">
        <v>6200000000</v>
      </c>
      <c r="W1503" t="str">
        <f t="shared" si="24"/>
        <v>207i TU5P A1400</v>
      </c>
      <c r="X1503">
        <f>VLOOKUP(W1503,Sheet10!D:F,2,0)*10000000</f>
        <v>7000000000</v>
      </c>
      <c r="Y1503" t="s">
        <v>5712</v>
      </c>
    </row>
    <row r="1504" spans="1:25" x14ac:dyDescent="0.25">
      <c r="A1504" t="s">
        <v>191</v>
      </c>
      <c r="B1504" t="s">
        <v>6986</v>
      </c>
      <c r="C1504">
        <v>285</v>
      </c>
      <c r="D1504" t="s">
        <v>63</v>
      </c>
      <c r="E1504" t="s">
        <v>64</v>
      </c>
      <c r="F1504" t="s">
        <v>3186</v>
      </c>
      <c r="H1504">
        <v>160</v>
      </c>
      <c r="I1504">
        <v>1400</v>
      </c>
      <c r="J1504" t="s">
        <v>6987</v>
      </c>
      <c r="K1504" t="s">
        <v>6988</v>
      </c>
      <c r="M1504" t="s">
        <v>198</v>
      </c>
      <c r="N1504">
        <v>28520</v>
      </c>
      <c r="O1504" t="s">
        <v>70</v>
      </c>
      <c r="Q1504" t="s">
        <v>199</v>
      </c>
      <c r="R1504" t="s">
        <v>6989</v>
      </c>
      <c r="S1504" t="s">
        <v>2996</v>
      </c>
      <c r="T1504" s="6">
        <v>4300000000</v>
      </c>
      <c r="W1504" t="str">
        <f t="shared" si="24"/>
        <v>PARS TU51400</v>
      </c>
      <c r="X1504">
        <f>VLOOKUP(W1504,Sheet10!D:F,2,0)*10000000</f>
        <v>5100000000</v>
      </c>
      <c r="Y1504" t="s">
        <v>5712</v>
      </c>
    </row>
    <row r="1505" spans="1:25" x14ac:dyDescent="0.25">
      <c r="A1505" t="s">
        <v>5997</v>
      </c>
      <c r="B1505" t="s">
        <v>6990</v>
      </c>
      <c r="C1505">
        <v>704</v>
      </c>
      <c r="D1505" t="s">
        <v>63</v>
      </c>
      <c r="E1505" t="s">
        <v>64</v>
      </c>
      <c r="F1505" t="s">
        <v>3186</v>
      </c>
      <c r="H1505">
        <v>157</v>
      </c>
      <c r="I1505">
        <v>1401</v>
      </c>
      <c r="J1505" t="s">
        <v>6991</v>
      </c>
      <c r="K1505" t="s">
        <v>6992</v>
      </c>
      <c r="M1505" t="s">
        <v>4401</v>
      </c>
      <c r="N1505">
        <v>70406</v>
      </c>
      <c r="O1505" t="s">
        <v>70</v>
      </c>
      <c r="Q1505" t="s">
        <v>5974</v>
      </c>
      <c r="R1505" t="s">
        <v>6993</v>
      </c>
      <c r="S1505" t="s">
        <v>1350</v>
      </c>
      <c r="T1505" s="6">
        <v>5900000000</v>
      </c>
      <c r="W1505" t="str">
        <f t="shared" si="24"/>
        <v>DENA EF7 TC-MT1401</v>
      </c>
      <c r="X1505">
        <f>VLOOKUP(W1505,Sheet10!D:F,2,0)*10000000</f>
        <v>6750000000</v>
      </c>
      <c r="Y1505" t="s">
        <v>5712</v>
      </c>
    </row>
    <row r="1506" spans="1:25" x14ac:dyDescent="0.25">
      <c r="A1506" t="s">
        <v>5976</v>
      </c>
      <c r="B1506" t="s">
        <v>6994</v>
      </c>
      <c r="C1506">
        <v>704</v>
      </c>
      <c r="D1506" t="s">
        <v>259</v>
      </c>
      <c r="E1506" t="s">
        <v>64</v>
      </c>
      <c r="F1506" t="s">
        <v>4256</v>
      </c>
      <c r="H1506">
        <v>147</v>
      </c>
      <c r="I1506">
        <v>1401</v>
      </c>
      <c r="J1506" t="s">
        <v>6995</v>
      </c>
      <c r="K1506" t="s">
        <v>6996</v>
      </c>
      <c r="M1506" t="s">
        <v>4401</v>
      </c>
      <c r="N1506">
        <v>70406</v>
      </c>
      <c r="O1506" t="s">
        <v>70</v>
      </c>
      <c r="Q1506" t="s">
        <v>5974</v>
      </c>
      <c r="R1506" t="s">
        <v>6997</v>
      </c>
      <c r="S1506" t="s">
        <v>1071</v>
      </c>
      <c r="T1506" s="6">
        <v>5900000000</v>
      </c>
      <c r="W1506" t="str">
        <f t="shared" si="24"/>
        <v>DENA EF7 TC-MT1401</v>
      </c>
      <c r="X1506">
        <f>VLOOKUP(W1506,Sheet10!D:F,2,0)*10000000</f>
        <v>6750000000</v>
      </c>
      <c r="Y1506" t="s">
        <v>5712</v>
      </c>
    </row>
    <row r="1507" spans="1:25" x14ac:dyDescent="0.25">
      <c r="A1507" t="s">
        <v>6237</v>
      </c>
      <c r="B1507" t="s">
        <v>6998</v>
      </c>
      <c r="C1507">
        <v>606</v>
      </c>
      <c r="D1507" t="s">
        <v>63</v>
      </c>
      <c r="E1507" t="s">
        <v>64</v>
      </c>
      <c r="F1507" t="s">
        <v>4256</v>
      </c>
      <c r="H1507">
        <v>139</v>
      </c>
      <c r="I1507">
        <v>1400</v>
      </c>
      <c r="J1507" t="s">
        <v>6999</v>
      </c>
      <c r="K1507" t="s">
        <v>7000</v>
      </c>
      <c r="M1507" t="s">
        <v>4487</v>
      </c>
      <c r="N1507">
        <v>60601</v>
      </c>
      <c r="O1507" t="s">
        <v>4488</v>
      </c>
      <c r="Q1507" t="s">
        <v>6241</v>
      </c>
      <c r="R1507" t="s">
        <v>7001</v>
      </c>
      <c r="S1507" t="s">
        <v>4726</v>
      </c>
      <c r="T1507" s="6">
        <v>6170000000</v>
      </c>
      <c r="W1507" t="str">
        <f t="shared" si="24"/>
        <v>207i TU5P A1400</v>
      </c>
      <c r="X1507">
        <f>VLOOKUP(W1507,Sheet10!D:F,2,0)*10000000</f>
        <v>7000000000</v>
      </c>
      <c r="Y1507" t="s">
        <v>5712</v>
      </c>
    </row>
    <row r="1508" spans="1:25" x14ac:dyDescent="0.25">
      <c r="A1508" t="s">
        <v>5997</v>
      </c>
      <c r="B1508" t="s">
        <v>7002</v>
      </c>
      <c r="C1508">
        <v>704</v>
      </c>
      <c r="D1508" t="s">
        <v>63</v>
      </c>
      <c r="E1508" t="s">
        <v>64</v>
      </c>
      <c r="F1508" t="s">
        <v>420</v>
      </c>
      <c r="H1508">
        <v>134</v>
      </c>
      <c r="I1508">
        <v>1401</v>
      </c>
      <c r="J1508" t="s">
        <v>7003</v>
      </c>
      <c r="K1508" t="s">
        <v>7004</v>
      </c>
      <c r="M1508" t="s">
        <v>4401</v>
      </c>
      <c r="N1508">
        <v>70406</v>
      </c>
      <c r="O1508" t="s">
        <v>70</v>
      </c>
      <c r="Q1508" t="s">
        <v>5974</v>
      </c>
      <c r="R1508" t="s">
        <v>7005</v>
      </c>
      <c r="S1508" t="s">
        <v>1041</v>
      </c>
      <c r="T1508" s="6">
        <v>5850000000</v>
      </c>
      <c r="W1508" t="str">
        <f t="shared" si="24"/>
        <v>DENA EF7 TC-MT1401</v>
      </c>
      <c r="X1508">
        <f>VLOOKUP(W1508,Sheet10!D:F,2,0)*10000000</f>
        <v>6750000000</v>
      </c>
      <c r="Y1508" t="s">
        <v>5712</v>
      </c>
    </row>
    <row r="1509" spans="1:25" x14ac:dyDescent="0.25">
      <c r="A1509" t="s">
        <v>5206</v>
      </c>
      <c r="B1509" t="s">
        <v>7006</v>
      </c>
      <c r="C1509">
        <v>323</v>
      </c>
      <c r="D1509" t="s">
        <v>240</v>
      </c>
      <c r="E1509" t="s">
        <v>64</v>
      </c>
      <c r="F1509" t="s">
        <v>420</v>
      </c>
      <c r="H1509">
        <v>130</v>
      </c>
      <c r="I1509">
        <v>1401</v>
      </c>
      <c r="J1509" t="s">
        <v>7007</v>
      </c>
      <c r="K1509" t="s">
        <v>7008</v>
      </c>
      <c r="M1509" t="s">
        <v>5192</v>
      </c>
      <c r="N1509">
        <v>32301</v>
      </c>
      <c r="O1509" t="s">
        <v>70</v>
      </c>
      <c r="Q1509" t="s">
        <v>5193</v>
      </c>
      <c r="R1509" t="s">
        <v>7009</v>
      </c>
      <c r="S1509" t="s">
        <v>3722</v>
      </c>
      <c r="T1509" s="6">
        <v>6420000000</v>
      </c>
      <c r="W1509" t="str">
        <f t="shared" si="24"/>
        <v>TARA TU5PA1401</v>
      </c>
      <c r="X1509" t="e">
        <f>VLOOKUP(W1509,Sheet10!D:F,2,0)*10000000</f>
        <v>#N/A</v>
      </c>
      <c r="Y1509" t="s">
        <v>5712</v>
      </c>
    </row>
    <row r="1510" spans="1:25" x14ac:dyDescent="0.25">
      <c r="A1510" t="s">
        <v>5585</v>
      </c>
      <c r="B1510" t="s">
        <v>7010</v>
      </c>
      <c r="C1510">
        <v>522</v>
      </c>
      <c r="D1510" t="s">
        <v>77</v>
      </c>
      <c r="E1510" t="s">
        <v>64</v>
      </c>
      <c r="F1510" t="s">
        <v>491</v>
      </c>
      <c r="H1510">
        <v>130</v>
      </c>
      <c r="I1510">
        <v>1401</v>
      </c>
      <c r="J1510" t="s">
        <v>7011</v>
      </c>
      <c r="K1510" t="s">
        <v>7012</v>
      </c>
      <c r="M1510" t="s">
        <v>5589</v>
      </c>
      <c r="N1510">
        <v>52201</v>
      </c>
      <c r="O1510" t="s">
        <v>4488</v>
      </c>
      <c r="Q1510" t="s">
        <v>5590</v>
      </c>
      <c r="R1510" t="s">
        <v>7013</v>
      </c>
      <c r="S1510" t="s">
        <v>2876</v>
      </c>
      <c r="T1510" s="6">
        <v>9800000000</v>
      </c>
      <c r="W1510" t="str">
        <f t="shared" si="24"/>
        <v>S5-T-AT1401</v>
      </c>
      <c r="X1510">
        <f>VLOOKUP(W1510,Sheet10!D:F,2,0)*10000000</f>
        <v>11100000000</v>
      </c>
      <c r="Y1510" t="s">
        <v>5712</v>
      </c>
    </row>
    <row r="1511" spans="1:25" x14ac:dyDescent="0.25">
      <c r="A1511" t="s">
        <v>2644</v>
      </c>
      <c r="B1511" t="s">
        <v>7014</v>
      </c>
      <c r="C1511">
        <v>575</v>
      </c>
      <c r="D1511" t="s">
        <v>259</v>
      </c>
      <c r="E1511" t="s">
        <v>64</v>
      </c>
      <c r="F1511" t="s">
        <v>420</v>
      </c>
      <c r="H1511">
        <v>128</v>
      </c>
      <c r="I1511">
        <v>1401</v>
      </c>
      <c r="J1511" t="s">
        <v>7015</v>
      </c>
      <c r="K1511" t="s">
        <v>7016</v>
      </c>
      <c r="M1511" t="s">
        <v>367</v>
      </c>
      <c r="N1511">
        <v>57523</v>
      </c>
      <c r="O1511" t="s">
        <v>70</v>
      </c>
      <c r="Q1511" t="s">
        <v>2648</v>
      </c>
      <c r="R1511" t="s">
        <v>7017</v>
      </c>
      <c r="S1511" t="s">
        <v>2711</v>
      </c>
      <c r="T1511" s="6">
        <v>4150000000</v>
      </c>
      <c r="W1511" t="str">
        <f t="shared" si="24"/>
        <v>SOREN EF71401</v>
      </c>
      <c r="X1511">
        <f>VLOOKUP(W1511,Sheet10!D:F,2,0)*10000000</f>
        <v>4650000000</v>
      </c>
      <c r="Y1511" t="s">
        <v>5712</v>
      </c>
    </row>
    <row r="1512" spans="1:25" x14ac:dyDescent="0.25">
      <c r="A1512" t="s">
        <v>5997</v>
      </c>
      <c r="B1512" t="s">
        <v>7018</v>
      </c>
      <c r="C1512">
        <v>704</v>
      </c>
      <c r="D1512" t="s">
        <v>63</v>
      </c>
      <c r="E1512" t="s">
        <v>64</v>
      </c>
      <c r="F1512" t="s">
        <v>4256</v>
      </c>
      <c r="H1512">
        <v>123</v>
      </c>
      <c r="I1512">
        <v>1400</v>
      </c>
      <c r="J1512" t="s">
        <v>7019</v>
      </c>
      <c r="K1512" t="s">
        <v>7020</v>
      </c>
      <c r="M1512" t="s">
        <v>4401</v>
      </c>
      <c r="N1512">
        <v>70406</v>
      </c>
      <c r="O1512" t="s">
        <v>70</v>
      </c>
      <c r="Q1512" t="s">
        <v>5974</v>
      </c>
      <c r="R1512" t="s">
        <v>7021</v>
      </c>
      <c r="S1512" t="s">
        <v>1361</v>
      </c>
      <c r="T1512" s="6">
        <v>5700000000</v>
      </c>
      <c r="W1512" t="str">
        <f t="shared" si="24"/>
        <v>DENA EF7 TC-MT1400</v>
      </c>
      <c r="X1512" t="e">
        <f>VLOOKUP(W1512,Sheet10!D:F,2,0)*10000000</f>
        <v>#N/A</v>
      </c>
      <c r="Y1512" t="s">
        <v>5712</v>
      </c>
    </row>
    <row r="1513" spans="1:25" x14ac:dyDescent="0.25">
      <c r="A1513" t="s">
        <v>6237</v>
      </c>
      <c r="B1513" t="s">
        <v>7022</v>
      </c>
      <c r="C1513">
        <v>606</v>
      </c>
      <c r="D1513" t="s">
        <v>63</v>
      </c>
      <c r="E1513" t="s">
        <v>64</v>
      </c>
      <c r="F1513" t="s">
        <v>4256</v>
      </c>
      <c r="H1513">
        <v>120</v>
      </c>
      <c r="I1513">
        <v>1400</v>
      </c>
      <c r="J1513" t="s">
        <v>7023</v>
      </c>
      <c r="K1513" t="s">
        <v>7024</v>
      </c>
      <c r="M1513" t="s">
        <v>4487</v>
      </c>
      <c r="N1513">
        <v>60601</v>
      </c>
      <c r="O1513" t="s">
        <v>4488</v>
      </c>
      <c r="Q1513" t="s">
        <v>6241</v>
      </c>
      <c r="R1513" t="s">
        <v>7025</v>
      </c>
      <c r="S1513" t="s">
        <v>4657</v>
      </c>
      <c r="T1513" s="6">
        <v>6200000000</v>
      </c>
      <c r="W1513" t="str">
        <f t="shared" si="24"/>
        <v>207i TU5P A1400</v>
      </c>
      <c r="X1513">
        <f>VLOOKUP(W1513,Sheet10!D:F,2,0)*10000000</f>
        <v>7000000000</v>
      </c>
      <c r="Y1513" t="s">
        <v>5712</v>
      </c>
    </row>
    <row r="1514" spans="1:25" x14ac:dyDescent="0.25">
      <c r="A1514" t="s">
        <v>6237</v>
      </c>
      <c r="B1514" t="s">
        <v>7026</v>
      </c>
      <c r="C1514">
        <v>606</v>
      </c>
      <c r="D1514" t="s">
        <v>63</v>
      </c>
      <c r="E1514" t="s">
        <v>64</v>
      </c>
      <c r="F1514" t="s">
        <v>4256</v>
      </c>
      <c r="H1514">
        <v>115</v>
      </c>
      <c r="I1514">
        <v>1400</v>
      </c>
      <c r="J1514" t="s">
        <v>7027</v>
      </c>
      <c r="K1514" t="s">
        <v>7028</v>
      </c>
      <c r="M1514" t="s">
        <v>4487</v>
      </c>
      <c r="N1514">
        <v>60601</v>
      </c>
      <c r="O1514" t="s">
        <v>4488</v>
      </c>
      <c r="Q1514" t="s">
        <v>6241</v>
      </c>
      <c r="R1514" t="s">
        <v>7029</v>
      </c>
      <c r="S1514" t="s">
        <v>2643</v>
      </c>
      <c r="T1514" s="6">
        <v>6200000000</v>
      </c>
      <c r="W1514" t="str">
        <f t="shared" si="24"/>
        <v>207i TU5P A1400</v>
      </c>
      <c r="X1514">
        <f>VLOOKUP(W1514,Sheet10!D:F,2,0)*10000000</f>
        <v>7000000000</v>
      </c>
      <c r="Y1514" t="s">
        <v>5712</v>
      </c>
    </row>
    <row r="1515" spans="1:25" x14ac:dyDescent="0.25">
      <c r="A1515" t="s">
        <v>2476</v>
      </c>
      <c r="B1515" t="s">
        <v>7030</v>
      </c>
      <c r="C1515">
        <v>575</v>
      </c>
      <c r="D1515" t="s">
        <v>63</v>
      </c>
      <c r="E1515" t="s">
        <v>64</v>
      </c>
      <c r="F1515" t="s">
        <v>2436</v>
      </c>
      <c r="H1515">
        <v>111</v>
      </c>
      <c r="I1515">
        <v>1401</v>
      </c>
      <c r="J1515" t="s">
        <v>7031</v>
      </c>
      <c r="K1515" t="s">
        <v>7032</v>
      </c>
      <c r="M1515" t="s">
        <v>367</v>
      </c>
      <c r="N1515">
        <v>57519</v>
      </c>
      <c r="O1515" t="s">
        <v>70</v>
      </c>
      <c r="Q1515" t="s">
        <v>2420</v>
      </c>
      <c r="R1515" t="s">
        <v>7033</v>
      </c>
      <c r="S1515" t="s">
        <v>898</v>
      </c>
      <c r="T1515" s="6">
        <v>3800000000</v>
      </c>
      <c r="W1515" t="str">
        <f t="shared" si="24"/>
        <v>SOREN EF71401</v>
      </c>
      <c r="X1515">
        <f>VLOOKUP(W1515,Sheet10!D:F,2,0)*10000000</f>
        <v>4650000000</v>
      </c>
      <c r="Y1515" t="s">
        <v>5712</v>
      </c>
    </row>
    <row r="1516" spans="1:25" x14ac:dyDescent="0.25">
      <c r="A1516" t="s">
        <v>6237</v>
      </c>
      <c r="B1516" t="s">
        <v>7034</v>
      </c>
      <c r="C1516">
        <v>606</v>
      </c>
      <c r="D1516" t="s">
        <v>63</v>
      </c>
      <c r="E1516" t="s">
        <v>64</v>
      </c>
      <c r="F1516" t="s">
        <v>4256</v>
      </c>
      <c r="H1516">
        <v>110</v>
      </c>
      <c r="I1516">
        <v>1400</v>
      </c>
      <c r="J1516" t="s">
        <v>7035</v>
      </c>
      <c r="K1516" t="s">
        <v>7036</v>
      </c>
      <c r="M1516" t="s">
        <v>4487</v>
      </c>
      <c r="N1516">
        <v>60601</v>
      </c>
      <c r="O1516" t="s">
        <v>4488</v>
      </c>
      <c r="Q1516" t="s">
        <v>6241</v>
      </c>
      <c r="R1516" t="s">
        <v>7037</v>
      </c>
      <c r="S1516" t="s">
        <v>3154</v>
      </c>
      <c r="T1516" s="6">
        <v>6200000000</v>
      </c>
      <c r="W1516" t="str">
        <f t="shared" si="24"/>
        <v>207i TU5P A1400</v>
      </c>
      <c r="X1516">
        <f>VLOOKUP(W1516,Sheet10!D:F,2,0)*10000000</f>
        <v>7000000000</v>
      </c>
      <c r="Y1516" t="s">
        <v>5712</v>
      </c>
    </row>
    <row r="1517" spans="1:25" x14ac:dyDescent="0.25">
      <c r="A1517" t="s">
        <v>6237</v>
      </c>
      <c r="B1517" t="s">
        <v>7038</v>
      </c>
      <c r="C1517">
        <v>606</v>
      </c>
      <c r="D1517" t="s">
        <v>63</v>
      </c>
      <c r="E1517" t="s">
        <v>64</v>
      </c>
      <c r="F1517" t="s">
        <v>4256</v>
      </c>
      <c r="H1517">
        <v>107</v>
      </c>
      <c r="I1517">
        <v>1400</v>
      </c>
      <c r="J1517" t="s">
        <v>7039</v>
      </c>
      <c r="K1517" t="s">
        <v>7040</v>
      </c>
      <c r="M1517" t="s">
        <v>4487</v>
      </c>
      <c r="N1517">
        <v>60601</v>
      </c>
      <c r="O1517" t="s">
        <v>4488</v>
      </c>
      <c r="Q1517" t="s">
        <v>6241</v>
      </c>
      <c r="R1517" t="s">
        <v>7041</v>
      </c>
      <c r="S1517" t="s">
        <v>3049</v>
      </c>
      <c r="T1517" s="6">
        <v>6200000000</v>
      </c>
      <c r="W1517" t="str">
        <f t="shared" si="24"/>
        <v>207i TU5P A1400</v>
      </c>
      <c r="X1517">
        <f>VLOOKUP(W1517,Sheet10!D:F,2,0)*10000000</f>
        <v>7000000000</v>
      </c>
      <c r="Y1517" t="s">
        <v>5712</v>
      </c>
    </row>
    <row r="1518" spans="1:25" x14ac:dyDescent="0.25">
      <c r="A1518" t="s">
        <v>5997</v>
      </c>
      <c r="B1518" t="s">
        <v>7042</v>
      </c>
      <c r="C1518">
        <v>704</v>
      </c>
      <c r="D1518" t="s">
        <v>63</v>
      </c>
      <c r="E1518" t="s">
        <v>64</v>
      </c>
      <c r="F1518" t="s">
        <v>4256</v>
      </c>
      <c r="H1518">
        <v>103</v>
      </c>
      <c r="I1518">
        <v>1400</v>
      </c>
      <c r="J1518" t="s">
        <v>7043</v>
      </c>
      <c r="K1518" t="s">
        <v>7044</v>
      </c>
      <c r="M1518" t="s">
        <v>4401</v>
      </c>
      <c r="N1518">
        <v>70406</v>
      </c>
      <c r="O1518" t="s">
        <v>70</v>
      </c>
      <c r="Q1518" t="s">
        <v>5974</v>
      </c>
      <c r="R1518" t="s">
        <v>7045</v>
      </c>
      <c r="S1518" t="s">
        <v>1123</v>
      </c>
      <c r="T1518" s="6">
        <v>5650000000</v>
      </c>
      <c r="W1518" t="str">
        <f t="shared" si="24"/>
        <v>DENA EF7 TC-MT1400</v>
      </c>
      <c r="X1518" t="e">
        <f>VLOOKUP(W1518,Sheet10!D:F,2,0)*10000000</f>
        <v>#N/A</v>
      </c>
      <c r="Y1518" t="s">
        <v>5712</v>
      </c>
    </row>
    <row r="1519" spans="1:25" x14ac:dyDescent="0.25">
      <c r="A1519" t="s">
        <v>5188</v>
      </c>
      <c r="B1519" t="s">
        <v>7046</v>
      </c>
      <c r="C1519">
        <v>323</v>
      </c>
      <c r="D1519" t="s">
        <v>77</v>
      </c>
      <c r="E1519" t="s">
        <v>64</v>
      </c>
      <c r="F1519" t="s">
        <v>3186</v>
      </c>
      <c r="H1519">
        <v>103</v>
      </c>
      <c r="I1519">
        <v>1400</v>
      </c>
      <c r="J1519" t="s">
        <v>7047</v>
      </c>
      <c r="K1519" t="s">
        <v>7048</v>
      </c>
      <c r="M1519" t="s">
        <v>5192</v>
      </c>
      <c r="N1519">
        <v>32301</v>
      </c>
      <c r="O1519" t="s">
        <v>70</v>
      </c>
      <c r="Q1519" t="s">
        <v>5193</v>
      </c>
      <c r="R1519" t="s">
        <v>7049</v>
      </c>
      <c r="S1519" t="s">
        <v>2075</v>
      </c>
      <c r="T1519" s="6">
        <v>5650000000</v>
      </c>
      <c r="W1519" t="str">
        <f t="shared" si="24"/>
        <v>TARA TU5PA1400</v>
      </c>
      <c r="X1519">
        <f>VLOOKUP(W1519,Sheet10!D:F,2,0)*10000000</f>
        <v>7200000000</v>
      </c>
      <c r="Y1519" t="s">
        <v>5712</v>
      </c>
    </row>
    <row r="1520" spans="1:25" x14ac:dyDescent="0.25">
      <c r="A1520" t="s">
        <v>5976</v>
      </c>
      <c r="B1520" t="s">
        <v>7050</v>
      </c>
      <c r="C1520">
        <v>704</v>
      </c>
      <c r="D1520" t="s">
        <v>259</v>
      </c>
      <c r="E1520" t="s">
        <v>64</v>
      </c>
      <c r="F1520" t="s">
        <v>3186</v>
      </c>
      <c r="H1520">
        <v>100</v>
      </c>
      <c r="I1520">
        <v>1401</v>
      </c>
      <c r="J1520" t="s">
        <v>7051</v>
      </c>
      <c r="K1520" t="s">
        <v>5979</v>
      </c>
      <c r="M1520" t="s">
        <v>4401</v>
      </c>
      <c r="N1520">
        <v>70406</v>
      </c>
      <c r="O1520" t="s">
        <v>70</v>
      </c>
      <c r="Q1520" t="s">
        <v>5974</v>
      </c>
      <c r="R1520" t="s">
        <v>7052</v>
      </c>
      <c r="S1520" t="s">
        <v>863</v>
      </c>
      <c r="T1520" s="6">
        <v>5950000000</v>
      </c>
      <c r="W1520" t="str">
        <f t="shared" si="24"/>
        <v>DENA EF7 TC-MT1401</v>
      </c>
      <c r="X1520">
        <f>VLOOKUP(W1520,Sheet10!D:F,2,0)*10000000</f>
        <v>6750000000</v>
      </c>
      <c r="Y1520" t="s">
        <v>5712</v>
      </c>
    </row>
    <row r="1521" spans="1:25" x14ac:dyDescent="0.25">
      <c r="A1521" t="s">
        <v>2706</v>
      </c>
      <c r="B1521" t="s">
        <v>7053</v>
      </c>
      <c r="C1521">
        <v>351</v>
      </c>
      <c r="D1521" t="s">
        <v>77</v>
      </c>
      <c r="E1521" t="s">
        <v>64</v>
      </c>
      <c r="F1521" t="s">
        <v>318</v>
      </c>
      <c r="H1521">
        <v>100</v>
      </c>
      <c r="I1521">
        <v>1401</v>
      </c>
      <c r="J1521" t="s">
        <v>7054</v>
      </c>
      <c r="K1521" t="s">
        <v>7055</v>
      </c>
      <c r="M1521" t="s">
        <v>400</v>
      </c>
      <c r="N1521">
        <v>35101</v>
      </c>
      <c r="O1521" t="s">
        <v>70</v>
      </c>
      <c r="Q1521" t="s">
        <v>401</v>
      </c>
      <c r="R1521" t="s">
        <v>7056</v>
      </c>
      <c r="S1521" t="s">
        <v>3770</v>
      </c>
      <c r="T1521" s="6">
        <v>2500000000</v>
      </c>
      <c r="W1521" t="str">
        <f t="shared" si="24"/>
        <v>PARS XU7 P1401</v>
      </c>
      <c r="X1521">
        <f>VLOOKUP(W1521,Sheet10!D:F,2,0)*10000000</f>
        <v>4500000000</v>
      </c>
      <c r="Y1521" t="s">
        <v>5712</v>
      </c>
    </row>
    <row r="1522" spans="1:25" x14ac:dyDescent="0.25">
      <c r="A1522" t="s">
        <v>2706</v>
      </c>
      <c r="B1522" t="s">
        <v>7057</v>
      </c>
      <c r="C1522">
        <v>351</v>
      </c>
      <c r="D1522" t="s">
        <v>77</v>
      </c>
      <c r="E1522" t="s">
        <v>64</v>
      </c>
      <c r="F1522" t="s">
        <v>318</v>
      </c>
      <c r="H1522">
        <v>100</v>
      </c>
      <c r="I1522">
        <v>1401</v>
      </c>
      <c r="J1522" t="s">
        <v>7058</v>
      </c>
      <c r="K1522" t="s">
        <v>7059</v>
      </c>
      <c r="M1522" t="s">
        <v>400</v>
      </c>
      <c r="N1522">
        <v>35101</v>
      </c>
      <c r="O1522" t="s">
        <v>70</v>
      </c>
      <c r="Q1522" t="s">
        <v>401</v>
      </c>
      <c r="R1522" t="s">
        <v>7060</v>
      </c>
      <c r="S1522" t="s">
        <v>3705</v>
      </c>
      <c r="T1522" s="6">
        <v>2500000000</v>
      </c>
      <c r="W1522" t="str">
        <f t="shared" si="24"/>
        <v>PARS XU7 P1401</v>
      </c>
      <c r="X1522">
        <f>VLOOKUP(W1522,Sheet10!D:F,2,0)*10000000</f>
        <v>4500000000</v>
      </c>
      <c r="Y1522" t="s">
        <v>5712</v>
      </c>
    </row>
    <row r="1523" spans="1:25" x14ac:dyDescent="0.25">
      <c r="A1523" t="s">
        <v>2568</v>
      </c>
      <c r="B1523" t="s">
        <v>7061</v>
      </c>
      <c r="C1523">
        <v>351</v>
      </c>
      <c r="D1523" t="s">
        <v>63</v>
      </c>
      <c r="E1523" t="s">
        <v>64</v>
      </c>
      <c r="F1523" t="s">
        <v>318</v>
      </c>
      <c r="H1523">
        <v>100</v>
      </c>
      <c r="I1523">
        <v>1401</v>
      </c>
      <c r="J1523" t="s">
        <v>7062</v>
      </c>
      <c r="K1523" t="s">
        <v>7063</v>
      </c>
      <c r="M1523" t="s">
        <v>400</v>
      </c>
      <c r="N1523">
        <v>35103</v>
      </c>
      <c r="O1523" t="s">
        <v>70</v>
      </c>
      <c r="Q1523" t="s">
        <v>2572</v>
      </c>
      <c r="R1523" t="s">
        <v>7064</v>
      </c>
      <c r="S1523" t="s">
        <v>3133</v>
      </c>
      <c r="T1523" s="6">
        <v>3400000000</v>
      </c>
      <c r="W1523" t="str">
        <f t="shared" si="24"/>
        <v>PARS XU7 P1401</v>
      </c>
      <c r="X1523">
        <f>VLOOKUP(W1523,Sheet10!D:F,2,0)*10000000</f>
        <v>4500000000</v>
      </c>
      <c r="Y1523" t="s">
        <v>5712</v>
      </c>
    </row>
    <row r="1524" spans="1:25" x14ac:dyDescent="0.25">
      <c r="A1524" t="s">
        <v>6308</v>
      </c>
      <c r="B1524" t="s">
        <v>7065</v>
      </c>
      <c r="C1524">
        <v>518</v>
      </c>
      <c r="D1524" t="s">
        <v>63</v>
      </c>
      <c r="E1524" t="s">
        <v>64</v>
      </c>
      <c r="F1524" t="s">
        <v>362</v>
      </c>
      <c r="H1524">
        <v>100</v>
      </c>
      <c r="I1524">
        <v>1400</v>
      </c>
      <c r="J1524" t="s">
        <v>7066</v>
      </c>
      <c r="K1524" t="s">
        <v>7067</v>
      </c>
      <c r="M1524" t="s">
        <v>5609</v>
      </c>
      <c r="N1524">
        <v>51802</v>
      </c>
      <c r="O1524" t="s">
        <v>303</v>
      </c>
      <c r="Q1524" t="s">
        <v>5610</v>
      </c>
      <c r="R1524" t="s">
        <v>7068</v>
      </c>
      <c r="S1524" t="s">
        <v>3547</v>
      </c>
      <c r="T1524" s="6">
        <v>10900000000</v>
      </c>
      <c r="W1524" t="str">
        <f t="shared" si="24"/>
        <v>S7-T-AT1400</v>
      </c>
      <c r="X1524" t="e">
        <f>VLOOKUP(W1524,Sheet10!D:F,2,0)*10000000</f>
        <v>#N/A</v>
      </c>
      <c r="Y1524" t="s">
        <v>5712</v>
      </c>
    </row>
    <row r="1525" spans="1:25" x14ac:dyDescent="0.25">
      <c r="A1525" t="s">
        <v>316</v>
      </c>
      <c r="B1525" t="s">
        <v>7069</v>
      </c>
      <c r="C1525">
        <v>610</v>
      </c>
      <c r="D1525" t="s">
        <v>63</v>
      </c>
      <c r="E1525" t="s">
        <v>64</v>
      </c>
      <c r="F1525" t="s">
        <v>318</v>
      </c>
      <c r="H1525">
        <v>100</v>
      </c>
      <c r="I1525">
        <v>1401</v>
      </c>
      <c r="J1525" t="s">
        <v>7070</v>
      </c>
      <c r="K1525" t="s">
        <v>7071</v>
      </c>
      <c r="M1525" t="s">
        <v>321</v>
      </c>
      <c r="N1525">
        <v>61015</v>
      </c>
      <c r="O1525" t="s">
        <v>70</v>
      </c>
      <c r="Q1525" t="s">
        <v>322</v>
      </c>
      <c r="R1525" t="s">
        <v>7072</v>
      </c>
      <c r="S1525" t="s">
        <v>3606</v>
      </c>
      <c r="T1525" s="6">
        <v>2500000000</v>
      </c>
      <c r="W1525" t="str">
        <f t="shared" si="24"/>
        <v>TU51401</v>
      </c>
      <c r="X1525">
        <f>VLOOKUP(W1525,Sheet10!D:F,2,0)*10000000</f>
        <v>4450000000</v>
      </c>
      <c r="Y1525" t="s">
        <v>5712</v>
      </c>
    </row>
    <row r="1526" spans="1:25" x14ac:dyDescent="0.25">
      <c r="A1526" t="s">
        <v>3478</v>
      </c>
      <c r="B1526" t="s">
        <v>7073</v>
      </c>
      <c r="C1526">
        <v>707</v>
      </c>
      <c r="D1526" t="s">
        <v>259</v>
      </c>
      <c r="E1526" t="s">
        <v>64</v>
      </c>
      <c r="F1526" t="s">
        <v>491</v>
      </c>
      <c r="H1526">
        <v>99</v>
      </c>
      <c r="I1526">
        <v>1401</v>
      </c>
      <c r="J1526" t="s">
        <v>7074</v>
      </c>
      <c r="K1526" t="s">
        <v>7075</v>
      </c>
      <c r="M1526" t="s">
        <v>3450</v>
      </c>
      <c r="N1526">
        <v>70702</v>
      </c>
      <c r="O1526" t="s">
        <v>70</v>
      </c>
      <c r="Q1526" t="s">
        <v>3451</v>
      </c>
      <c r="R1526" t="s">
        <v>7076</v>
      </c>
      <c r="S1526" t="s">
        <v>3119</v>
      </c>
      <c r="T1526" s="6">
        <v>6200000000</v>
      </c>
      <c r="W1526" t="str">
        <f t="shared" si="24"/>
        <v>DENA+EF7TC A1401</v>
      </c>
      <c r="X1526">
        <f>VLOOKUP(W1526,Sheet10!D:F,2,0)*10000000</f>
        <v>7250000000</v>
      </c>
      <c r="Y1526" t="s">
        <v>5712</v>
      </c>
    </row>
    <row r="1527" spans="1:25" x14ac:dyDescent="0.25">
      <c r="A1527" t="s">
        <v>5970</v>
      </c>
      <c r="B1527" t="s">
        <v>7077</v>
      </c>
      <c r="C1527">
        <v>704</v>
      </c>
      <c r="D1527" t="s">
        <v>77</v>
      </c>
      <c r="E1527" t="s">
        <v>64</v>
      </c>
      <c r="F1527" t="s">
        <v>420</v>
      </c>
      <c r="H1527">
        <v>97</v>
      </c>
      <c r="I1527">
        <v>1401</v>
      </c>
      <c r="J1527" t="s">
        <v>7078</v>
      </c>
      <c r="K1527" t="s">
        <v>7079</v>
      </c>
      <c r="M1527" t="s">
        <v>4401</v>
      </c>
      <c r="N1527">
        <v>70406</v>
      </c>
      <c r="O1527" t="s">
        <v>70</v>
      </c>
      <c r="Q1527" t="s">
        <v>5974</v>
      </c>
      <c r="R1527" t="s">
        <v>7080</v>
      </c>
      <c r="S1527" t="s">
        <v>1180</v>
      </c>
      <c r="T1527" s="6">
        <v>5900000000</v>
      </c>
      <c r="W1527" t="str">
        <f t="shared" si="24"/>
        <v>DENA EF7 TC-MT1401</v>
      </c>
      <c r="X1527">
        <f>VLOOKUP(W1527,Sheet10!D:F,2,0)*10000000</f>
        <v>6750000000</v>
      </c>
      <c r="Y1527" t="s">
        <v>5712</v>
      </c>
    </row>
    <row r="1528" spans="1:25" x14ac:dyDescent="0.25">
      <c r="A1528" t="s">
        <v>5976</v>
      </c>
      <c r="B1528" t="s">
        <v>7081</v>
      </c>
      <c r="C1528">
        <v>704</v>
      </c>
      <c r="D1528" t="s">
        <v>259</v>
      </c>
      <c r="E1528" t="s">
        <v>64</v>
      </c>
      <c r="F1528" t="s">
        <v>4256</v>
      </c>
      <c r="H1528">
        <v>96</v>
      </c>
      <c r="I1528">
        <v>1400</v>
      </c>
      <c r="J1528" t="s">
        <v>7082</v>
      </c>
      <c r="K1528" t="s">
        <v>7083</v>
      </c>
      <c r="M1528" t="s">
        <v>4401</v>
      </c>
      <c r="N1528">
        <v>70406</v>
      </c>
      <c r="O1528" t="s">
        <v>70</v>
      </c>
      <c r="Q1528" t="s">
        <v>5974</v>
      </c>
      <c r="R1528" t="s">
        <v>7084</v>
      </c>
      <c r="S1528" t="s">
        <v>184</v>
      </c>
      <c r="T1528" s="6">
        <v>5650000000</v>
      </c>
      <c r="W1528" t="str">
        <f t="shared" si="24"/>
        <v>DENA EF7 TC-MT1400</v>
      </c>
      <c r="X1528" t="e">
        <f>VLOOKUP(W1528,Sheet10!D:F,2,0)*10000000</f>
        <v>#N/A</v>
      </c>
      <c r="Y1528" t="s">
        <v>5712</v>
      </c>
    </row>
    <row r="1529" spans="1:25" x14ac:dyDescent="0.25">
      <c r="A1529" t="s">
        <v>7085</v>
      </c>
      <c r="B1529" t="s">
        <v>7086</v>
      </c>
      <c r="C1529">
        <v>522</v>
      </c>
      <c r="D1529" t="s">
        <v>240</v>
      </c>
      <c r="E1529" t="s">
        <v>64</v>
      </c>
      <c r="F1529" t="s">
        <v>420</v>
      </c>
      <c r="H1529">
        <v>96</v>
      </c>
      <c r="I1529">
        <v>1401</v>
      </c>
      <c r="J1529" t="s">
        <v>7087</v>
      </c>
      <c r="K1529" t="s">
        <v>7088</v>
      </c>
      <c r="M1529" t="s">
        <v>5589</v>
      </c>
      <c r="N1529">
        <v>52201</v>
      </c>
      <c r="O1529" t="s">
        <v>4488</v>
      </c>
      <c r="Q1529" t="s">
        <v>5590</v>
      </c>
      <c r="R1529" t="s">
        <v>7089</v>
      </c>
      <c r="S1529" t="s">
        <v>4752</v>
      </c>
      <c r="T1529" s="6">
        <v>10000000000</v>
      </c>
      <c r="W1529" t="str">
        <f t="shared" si="24"/>
        <v>S5-T-AT1401</v>
      </c>
      <c r="X1529">
        <f>VLOOKUP(W1529,Sheet10!D:F,2,0)*10000000</f>
        <v>11100000000</v>
      </c>
      <c r="Y1529" t="s">
        <v>5712</v>
      </c>
    </row>
    <row r="1530" spans="1:25" x14ac:dyDescent="0.25">
      <c r="A1530" t="s">
        <v>5970</v>
      </c>
      <c r="B1530" t="s">
        <v>7090</v>
      </c>
      <c r="C1530">
        <v>704</v>
      </c>
      <c r="D1530" t="s">
        <v>77</v>
      </c>
      <c r="E1530" t="s">
        <v>64</v>
      </c>
      <c r="F1530" t="s">
        <v>420</v>
      </c>
      <c r="H1530">
        <v>95</v>
      </c>
      <c r="I1530">
        <v>1401</v>
      </c>
      <c r="J1530" t="s">
        <v>7091</v>
      </c>
      <c r="K1530" t="s">
        <v>7092</v>
      </c>
      <c r="M1530" t="s">
        <v>4401</v>
      </c>
      <c r="N1530">
        <v>70406</v>
      </c>
      <c r="O1530" t="s">
        <v>70</v>
      </c>
      <c r="Q1530" t="s">
        <v>5974</v>
      </c>
      <c r="R1530" t="s">
        <v>7093</v>
      </c>
      <c r="S1530" t="s">
        <v>572</v>
      </c>
      <c r="T1530" s="6">
        <v>5900000000</v>
      </c>
      <c r="W1530" t="str">
        <f t="shared" si="24"/>
        <v>DENA EF7 TC-MT1401</v>
      </c>
      <c r="X1530">
        <f>VLOOKUP(W1530,Sheet10!D:F,2,0)*10000000</f>
        <v>6750000000</v>
      </c>
      <c r="Y1530" t="s">
        <v>5712</v>
      </c>
    </row>
    <row r="1531" spans="1:25" x14ac:dyDescent="0.25">
      <c r="A1531" t="s">
        <v>6237</v>
      </c>
      <c r="B1531" t="s">
        <v>7094</v>
      </c>
      <c r="C1531">
        <v>606</v>
      </c>
      <c r="D1531" t="s">
        <v>63</v>
      </c>
      <c r="E1531" t="s">
        <v>64</v>
      </c>
      <c r="F1531" t="s">
        <v>4256</v>
      </c>
      <c r="H1531">
        <v>95</v>
      </c>
      <c r="I1531">
        <v>1400</v>
      </c>
      <c r="J1531" t="s">
        <v>7095</v>
      </c>
      <c r="K1531" t="s">
        <v>7096</v>
      </c>
      <c r="M1531" t="s">
        <v>4487</v>
      </c>
      <c r="N1531">
        <v>60601</v>
      </c>
      <c r="O1531" t="s">
        <v>4488</v>
      </c>
      <c r="Q1531" t="s">
        <v>6241</v>
      </c>
      <c r="R1531" t="s">
        <v>7097</v>
      </c>
      <c r="S1531" t="s">
        <v>4903</v>
      </c>
      <c r="T1531" s="6">
        <v>6150000000</v>
      </c>
      <c r="W1531" t="str">
        <f t="shared" si="24"/>
        <v>207i TU5P A1400</v>
      </c>
      <c r="X1531">
        <f>VLOOKUP(W1531,Sheet10!D:F,2,0)*10000000</f>
        <v>7000000000</v>
      </c>
      <c r="Y1531" t="s">
        <v>5712</v>
      </c>
    </row>
    <row r="1532" spans="1:25" x14ac:dyDescent="0.25">
      <c r="A1532" t="s">
        <v>2476</v>
      </c>
      <c r="B1532" t="s">
        <v>7098</v>
      </c>
      <c r="C1532">
        <v>575</v>
      </c>
      <c r="D1532" t="s">
        <v>63</v>
      </c>
      <c r="E1532" t="s">
        <v>64</v>
      </c>
      <c r="F1532" t="s">
        <v>318</v>
      </c>
      <c r="H1532">
        <v>94</v>
      </c>
      <c r="I1532">
        <v>1401</v>
      </c>
      <c r="J1532" t="s">
        <v>7099</v>
      </c>
      <c r="K1532" t="s">
        <v>7100</v>
      </c>
      <c r="M1532" t="s">
        <v>367</v>
      </c>
      <c r="N1532">
        <v>57519</v>
      </c>
      <c r="O1532" t="s">
        <v>70</v>
      </c>
      <c r="Q1532" t="s">
        <v>2420</v>
      </c>
      <c r="R1532" t="s">
        <v>7101</v>
      </c>
      <c r="S1532" t="s">
        <v>1381</v>
      </c>
      <c r="T1532" s="6">
        <v>3850000000</v>
      </c>
      <c r="W1532" t="str">
        <f t="shared" si="24"/>
        <v>SOREN EF71401</v>
      </c>
      <c r="X1532">
        <f>VLOOKUP(W1532,Sheet10!D:F,2,0)*10000000</f>
        <v>4650000000</v>
      </c>
      <c r="Y1532" t="s">
        <v>5712</v>
      </c>
    </row>
    <row r="1533" spans="1:25" x14ac:dyDescent="0.25">
      <c r="A1533" t="s">
        <v>6029</v>
      </c>
      <c r="B1533" t="s">
        <v>7102</v>
      </c>
      <c r="C1533">
        <v>704</v>
      </c>
      <c r="D1533" t="s">
        <v>240</v>
      </c>
      <c r="E1533" t="s">
        <v>64</v>
      </c>
      <c r="F1533" t="s">
        <v>420</v>
      </c>
      <c r="H1533">
        <v>93</v>
      </c>
      <c r="I1533">
        <v>1401</v>
      </c>
      <c r="J1533" t="s">
        <v>7103</v>
      </c>
      <c r="K1533" t="s">
        <v>7104</v>
      </c>
      <c r="M1533" t="s">
        <v>4401</v>
      </c>
      <c r="N1533">
        <v>70406</v>
      </c>
      <c r="O1533" t="s">
        <v>70</v>
      </c>
      <c r="Q1533" t="s">
        <v>5974</v>
      </c>
      <c r="R1533" t="s">
        <v>7105</v>
      </c>
      <c r="S1533" t="s">
        <v>1242</v>
      </c>
      <c r="T1533" s="6">
        <v>5900000000</v>
      </c>
      <c r="W1533" t="str">
        <f t="shared" si="24"/>
        <v>DENA EF7 TC-MT1401</v>
      </c>
      <c r="X1533">
        <f>VLOOKUP(W1533,Sheet10!D:F,2,0)*10000000</f>
        <v>6750000000</v>
      </c>
      <c r="Y1533" t="s">
        <v>5712</v>
      </c>
    </row>
    <row r="1534" spans="1:25" x14ac:dyDescent="0.25">
      <c r="A1534" t="s">
        <v>5970</v>
      </c>
      <c r="B1534" t="s">
        <v>7106</v>
      </c>
      <c r="C1534">
        <v>704</v>
      </c>
      <c r="D1534" t="s">
        <v>77</v>
      </c>
      <c r="E1534" t="s">
        <v>64</v>
      </c>
      <c r="F1534" t="s">
        <v>420</v>
      </c>
      <c r="H1534">
        <v>91</v>
      </c>
      <c r="I1534">
        <v>1401</v>
      </c>
      <c r="J1534" t="s">
        <v>7107</v>
      </c>
      <c r="K1534" t="s">
        <v>7108</v>
      </c>
      <c r="M1534" t="s">
        <v>4401</v>
      </c>
      <c r="N1534">
        <v>70406</v>
      </c>
      <c r="O1534" t="s">
        <v>70</v>
      </c>
      <c r="Q1534" t="s">
        <v>5974</v>
      </c>
      <c r="R1534" t="s">
        <v>7109</v>
      </c>
      <c r="S1534" t="s">
        <v>853</v>
      </c>
      <c r="T1534" s="6">
        <v>5950000000</v>
      </c>
      <c r="W1534" t="str">
        <f t="shared" si="24"/>
        <v>DENA EF7 TC-MT1401</v>
      </c>
      <c r="X1534">
        <f>VLOOKUP(W1534,Sheet10!D:F,2,0)*10000000</f>
        <v>6750000000</v>
      </c>
      <c r="Y1534" t="s">
        <v>5712</v>
      </c>
    </row>
    <row r="1535" spans="1:25" x14ac:dyDescent="0.25">
      <c r="A1535" t="s">
        <v>5997</v>
      </c>
      <c r="B1535" t="s">
        <v>7110</v>
      </c>
      <c r="C1535">
        <v>704</v>
      </c>
      <c r="D1535" t="s">
        <v>63</v>
      </c>
      <c r="E1535" t="s">
        <v>64</v>
      </c>
      <c r="F1535" t="s">
        <v>4256</v>
      </c>
      <c r="H1535">
        <v>89</v>
      </c>
      <c r="I1535">
        <v>1400</v>
      </c>
      <c r="J1535" t="s">
        <v>7111</v>
      </c>
      <c r="K1535" t="s">
        <v>7112</v>
      </c>
      <c r="M1535" t="s">
        <v>4401</v>
      </c>
      <c r="N1535">
        <v>70406</v>
      </c>
      <c r="O1535" t="s">
        <v>70</v>
      </c>
      <c r="Q1535" t="s">
        <v>5974</v>
      </c>
      <c r="R1535" t="s">
        <v>7113</v>
      </c>
      <c r="S1535" t="s">
        <v>1267</v>
      </c>
      <c r="T1535" s="6">
        <v>5650000000</v>
      </c>
      <c r="W1535" t="str">
        <f t="shared" si="24"/>
        <v>DENA EF7 TC-MT1400</v>
      </c>
      <c r="X1535" t="e">
        <f>VLOOKUP(W1535,Sheet10!D:F,2,0)*10000000</f>
        <v>#N/A</v>
      </c>
      <c r="Y1535" t="s">
        <v>5712</v>
      </c>
    </row>
    <row r="1536" spans="1:25" x14ac:dyDescent="0.25">
      <c r="A1536" t="s">
        <v>5970</v>
      </c>
      <c r="B1536" t="s">
        <v>7114</v>
      </c>
      <c r="C1536">
        <v>704</v>
      </c>
      <c r="D1536" t="s">
        <v>77</v>
      </c>
      <c r="E1536" t="s">
        <v>64</v>
      </c>
      <c r="F1536" t="s">
        <v>420</v>
      </c>
      <c r="H1536">
        <v>89</v>
      </c>
      <c r="I1536">
        <v>1401</v>
      </c>
      <c r="J1536" t="s">
        <v>7115</v>
      </c>
      <c r="K1536" t="s">
        <v>7116</v>
      </c>
      <c r="M1536" t="s">
        <v>4401</v>
      </c>
      <c r="N1536">
        <v>70406</v>
      </c>
      <c r="O1536" t="s">
        <v>70</v>
      </c>
      <c r="Q1536" t="s">
        <v>5974</v>
      </c>
      <c r="R1536" t="s">
        <v>7117</v>
      </c>
      <c r="S1536" t="s">
        <v>1391</v>
      </c>
      <c r="T1536" s="6">
        <v>5900000000</v>
      </c>
      <c r="W1536" t="str">
        <f t="shared" si="24"/>
        <v>DENA EF7 TC-MT1401</v>
      </c>
      <c r="X1536">
        <f>VLOOKUP(W1536,Sheet10!D:F,2,0)*10000000</f>
        <v>6750000000</v>
      </c>
      <c r="Y1536" t="s">
        <v>5712</v>
      </c>
    </row>
    <row r="1537" spans="1:25" x14ac:dyDescent="0.25">
      <c r="A1537" t="s">
        <v>3478</v>
      </c>
      <c r="B1537" t="s">
        <v>7118</v>
      </c>
      <c r="C1537">
        <v>707</v>
      </c>
      <c r="D1537" t="s">
        <v>259</v>
      </c>
      <c r="E1537" t="s">
        <v>64</v>
      </c>
      <c r="F1537" t="s">
        <v>491</v>
      </c>
      <c r="H1537">
        <v>87</v>
      </c>
      <c r="I1537">
        <v>1401</v>
      </c>
      <c r="J1537" t="s">
        <v>7119</v>
      </c>
      <c r="K1537" t="s">
        <v>7120</v>
      </c>
      <c r="M1537" t="s">
        <v>3450</v>
      </c>
      <c r="N1537">
        <v>70702</v>
      </c>
      <c r="O1537" t="s">
        <v>70</v>
      </c>
      <c r="Q1537" t="s">
        <v>3451</v>
      </c>
      <c r="R1537" t="s">
        <v>7121</v>
      </c>
      <c r="S1537" t="s">
        <v>1164</v>
      </c>
      <c r="T1537" s="6">
        <v>6300000000</v>
      </c>
      <c r="W1537" t="str">
        <f t="shared" si="24"/>
        <v>DENA+EF7TC A1401</v>
      </c>
      <c r="X1537">
        <f>VLOOKUP(W1537,Sheet10!D:F,2,0)*10000000</f>
        <v>7250000000</v>
      </c>
      <c r="Y1537" t="s">
        <v>5712</v>
      </c>
    </row>
    <row r="1538" spans="1:25" x14ac:dyDescent="0.25">
      <c r="A1538" t="s">
        <v>6237</v>
      </c>
      <c r="B1538" t="s">
        <v>7122</v>
      </c>
      <c r="C1538">
        <v>606</v>
      </c>
      <c r="D1538" t="s">
        <v>63</v>
      </c>
      <c r="E1538" t="s">
        <v>64</v>
      </c>
      <c r="F1538" t="s">
        <v>4256</v>
      </c>
      <c r="H1538">
        <v>87</v>
      </c>
      <c r="I1538">
        <v>1400</v>
      </c>
      <c r="J1538" t="s">
        <v>7123</v>
      </c>
      <c r="K1538" t="s">
        <v>7124</v>
      </c>
      <c r="M1538" t="s">
        <v>4487</v>
      </c>
      <c r="N1538">
        <v>60601</v>
      </c>
      <c r="O1538" t="s">
        <v>4488</v>
      </c>
      <c r="Q1538" t="s">
        <v>6241</v>
      </c>
      <c r="R1538" t="s">
        <v>7125</v>
      </c>
      <c r="S1538" t="s">
        <v>2650</v>
      </c>
      <c r="T1538" s="6">
        <v>6200000000</v>
      </c>
      <c r="W1538" t="str">
        <f t="shared" si="24"/>
        <v>207i TU5P A1400</v>
      </c>
      <c r="X1538">
        <f>VLOOKUP(W1538,Sheet10!D:F,2,0)*10000000</f>
        <v>7000000000</v>
      </c>
      <c r="Y1538" t="s">
        <v>5712</v>
      </c>
    </row>
    <row r="1539" spans="1:25" x14ac:dyDescent="0.25">
      <c r="A1539" t="s">
        <v>87</v>
      </c>
      <c r="B1539" t="s">
        <v>7126</v>
      </c>
      <c r="C1539">
        <v>322</v>
      </c>
      <c r="D1539" t="s">
        <v>63</v>
      </c>
      <c r="E1539" t="s">
        <v>64</v>
      </c>
      <c r="F1539" t="s">
        <v>3186</v>
      </c>
      <c r="H1539">
        <v>528</v>
      </c>
      <c r="I1539">
        <v>1400</v>
      </c>
      <c r="J1539" t="s">
        <v>7127</v>
      </c>
      <c r="K1539" t="s">
        <v>7128</v>
      </c>
      <c r="M1539" t="s">
        <v>92</v>
      </c>
      <c r="N1539">
        <v>32201</v>
      </c>
      <c r="O1539" t="s">
        <v>70</v>
      </c>
      <c r="Q1539" t="s">
        <v>93</v>
      </c>
      <c r="R1539" t="s">
        <v>7129</v>
      </c>
      <c r="S1539" t="s">
        <v>3034</v>
      </c>
      <c r="T1539" s="6">
        <v>4600000000</v>
      </c>
      <c r="W1539" t="str">
        <f t="shared" si="24"/>
        <v>TARA TU5P1400</v>
      </c>
      <c r="X1539" t="e">
        <f>VLOOKUP(W1539,Sheet10!D:F,2,0)*10000000</f>
        <v>#N/A</v>
      </c>
      <c r="Y1539" t="s">
        <v>5712</v>
      </c>
    </row>
    <row r="1540" spans="1:25" x14ac:dyDescent="0.25">
      <c r="A1540" t="s">
        <v>2476</v>
      </c>
      <c r="B1540" t="s">
        <v>7130</v>
      </c>
      <c r="C1540">
        <v>575</v>
      </c>
      <c r="D1540" t="s">
        <v>63</v>
      </c>
      <c r="E1540" t="s">
        <v>64</v>
      </c>
      <c r="F1540" t="s">
        <v>491</v>
      </c>
      <c r="H1540">
        <v>505</v>
      </c>
      <c r="I1540">
        <v>1401</v>
      </c>
      <c r="J1540" t="s">
        <v>7131</v>
      </c>
      <c r="K1540" t="s">
        <v>7132</v>
      </c>
      <c r="M1540" t="s">
        <v>367</v>
      </c>
      <c r="N1540">
        <v>57519</v>
      </c>
      <c r="O1540" t="s">
        <v>70</v>
      </c>
      <c r="Q1540" t="s">
        <v>2420</v>
      </c>
      <c r="R1540" t="s">
        <v>7133</v>
      </c>
      <c r="S1540" t="s">
        <v>782</v>
      </c>
      <c r="T1540" s="6">
        <v>3800000000</v>
      </c>
      <c r="W1540" t="str">
        <f t="shared" si="24"/>
        <v>SOREN EF71401</v>
      </c>
      <c r="X1540">
        <f>VLOOKUP(W1540,Sheet10!D:F,2,0)*10000000</f>
        <v>4650000000</v>
      </c>
      <c r="Y1540" t="s">
        <v>5712</v>
      </c>
    </row>
    <row r="1541" spans="1:25" x14ac:dyDescent="0.25">
      <c r="A1541" t="s">
        <v>191</v>
      </c>
      <c r="B1541" t="s">
        <v>7134</v>
      </c>
      <c r="C1541">
        <v>285</v>
      </c>
      <c r="D1541" t="s">
        <v>63</v>
      </c>
      <c r="E1541" t="s">
        <v>64</v>
      </c>
      <c r="F1541" t="s">
        <v>318</v>
      </c>
      <c r="H1541">
        <v>483</v>
      </c>
      <c r="I1541">
        <v>1401</v>
      </c>
      <c r="J1541" t="s">
        <v>7135</v>
      </c>
      <c r="K1541" t="s">
        <v>7136</v>
      </c>
      <c r="M1541" t="s">
        <v>198</v>
      </c>
      <c r="N1541">
        <v>28520</v>
      </c>
      <c r="O1541" t="s">
        <v>70</v>
      </c>
      <c r="Q1541" t="s">
        <v>199</v>
      </c>
      <c r="R1541" t="s">
        <v>7137</v>
      </c>
      <c r="S1541" t="s">
        <v>2721</v>
      </c>
      <c r="T1541" s="6">
        <v>4470000000</v>
      </c>
      <c r="W1541" t="str">
        <f t="shared" si="24"/>
        <v>PARS TU51401</v>
      </c>
      <c r="X1541">
        <f>VLOOKUP(W1541,Sheet10!D:F,2,0)*10000000</f>
        <v>5250000000</v>
      </c>
      <c r="Y1541" t="s">
        <v>5712</v>
      </c>
    </row>
    <row r="1542" spans="1:25" x14ac:dyDescent="0.25">
      <c r="A1542" t="s">
        <v>3139</v>
      </c>
      <c r="B1542" t="s">
        <v>7138</v>
      </c>
      <c r="C1542">
        <v>575</v>
      </c>
      <c r="D1542" t="s">
        <v>77</v>
      </c>
      <c r="E1542" t="s">
        <v>64</v>
      </c>
      <c r="F1542" t="s">
        <v>420</v>
      </c>
      <c r="H1542">
        <v>455</v>
      </c>
      <c r="I1542">
        <v>1401</v>
      </c>
      <c r="J1542" t="s">
        <v>7139</v>
      </c>
      <c r="K1542" t="s">
        <v>7140</v>
      </c>
      <c r="M1542" t="s">
        <v>367</v>
      </c>
      <c r="N1542">
        <v>57523</v>
      </c>
      <c r="O1542" t="s">
        <v>70</v>
      </c>
      <c r="Q1542" t="s">
        <v>2648</v>
      </c>
      <c r="R1542" t="s">
        <v>7141</v>
      </c>
      <c r="S1542" t="s">
        <v>2070</v>
      </c>
      <c r="T1542" s="6">
        <v>4100000000</v>
      </c>
      <c r="W1542" t="str">
        <f t="shared" si="24"/>
        <v>SOREN EF71401</v>
      </c>
      <c r="X1542">
        <f>VLOOKUP(W1542,Sheet10!D:F,2,0)*10000000</f>
        <v>4650000000</v>
      </c>
      <c r="Y1542" t="s">
        <v>5712</v>
      </c>
    </row>
    <row r="1543" spans="1:25" x14ac:dyDescent="0.25">
      <c r="A1543" t="s">
        <v>2861</v>
      </c>
      <c r="B1543" t="s">
        <v>7142</v>
      </c>
      <c r="C1543">
        <v>575</v>
      </c>
      <c r="D1543" t="s">
        <v>2461</v>
      </c>
      <c r="E1543" t="s">
        <v>64</v>
      </c>
      <c r="F1543" t="s">
        <v>362</v>
      </c>
      <c r="H1543">
        <v>401</v>
      </c>
      <c r="I1543">
        <v>1400</v>
      </c>
      <c r="J1543" t="s">
        <v>7143</v>
      </c>
      <c r="K1543" t="s">
        <v>7144</v>
      </c>
      <c r="M1543" t="s">
        <v>367</v>
      </c>
      <c r="N1543">
        <v>57519</v>
      </c>
      <c r="O1543" t="s">
        <v>70</v>
      </c>
      <c r="Q1543" t="s">
        <v>2420</v>
      </c>
      <c r="R1543" t="s">
        <v>7145</v>
      </c>
      <c r="S1543" t="s">
        <v>2629</v>
      </c>
      <c r="T1543" s="6">
        <v>3850000000</v>
      </c>
      <c r="W1543" t="str">
        <f t="shared" si="24"/>
        <v>SOREN EF71400</v>
      </c>
      <c r="X1543">
        <f>VLOOKUP(W1543,Sheet10!D:F,2,0)*10000000</f>
        <v>4350000000</v>
      </c>
      <c r="Y1543" t="s">
        <v>5712</v>
      </c>
    </row>
    <row r="1544" spans="1:25" x14ac:dyDescent="0.25">
      <c r="A1544" t="s">
        <v>6944</v>
      </c>
      <c r="B1544" t="s">
        <v>7146</v>
      </c>
      <c r="C1544">
        <v>575</v>
      </c>
      <c r="D1544" t="s">
        <v>4479</v>
      </c>
      <c r="E1544" t="s">
        <v>64</v>
      </c>
      <c r="F1544" t="s">
        <v>318</v>
      </c>
      <c r="H1544">
        <v>370</v>
      </c>
      <c r="I1544">
        <v>1401</v>
      </c>
      <c r="J1544" t="s">
        <v>7147</v>
      </c>
      <c r="K1544" t="s">
        <v>7148</v>
      </c>
      <c r="M1544" t="s">
        <v>367</v>
      </c>
      <c r="N1544">
        <v>57519</v>
      </c>
      <c r="O1544" t="s">
        <v>70</v>
      </c>
      <c r="Q1544" t="s">
        <v>2420</v>
      </c>
      <c r="R1544" t="s">
        <v>7149</v>
      </c>
      <c r="S1544" t="s">
        <v>1015</v>
      </c>
      <c r="T1544" s="6">
        <v>3900000000</v>
      </c>
      <c r="W1544" t="str">
        <f t="shared" si="24"/>
        <v>SOREN EF71401</v>
      </c>
      <c r="X1544">
        <f>VLOOKUP(W1544,Sheet10!D:F,2,0)*10000000</f>
        <v>4650000000</v>
      </c>
      <c r="Y1544" t="s">
        <v>5712</v>
      </c>
    </row>
    <row r="1545" spans="1:25" x14ac:dyDescent="0.25">
      <c r="A1545" t="s">
        <v>6237</v>
      </c>
      <c r="B1545" t="s">
        <v>7150</v>
      </c>
      <c r="C1545">
        <v>606</v>
      </c>
      <c r="D1545" t="s">
        <v>63</v>
      </c>
      <c r="E1545" t="s">
        <v>64</v>
      </c>
      <c r="F1545" t="s">
        <v>4256</v>
      </c>
      <c r="H1545">
        <v>312</v>
      </c>
      <c r="I1545">
        <v>1400</v>
      </c>
      <c r="J1545" t="s">
        <v>7151</v>
      </c>
      <c r="K1545" t="s">
        <v>7152</v>
      </c>
      <c r="M1545" t="s">
        <v>4487</v>
      </c>
      <c r="N1545">
        <v>60601</v>
      </c>
      <c r="O1545" t="s">
        <v>4488</v>
      </c>
      <c r="Q1545" t="s">
        <v>6241</v>
      </c>
      <c r="R1545" t="s">
        <v>7153</v>
      </c>
      <c r="S1545" t="s">
        <v>4502</v>
      </c>
      <c r="T1545" s="6">
        <v>6200000000</v>
      </c>
      <c r="W1545" t="str">
        <f t="shared" si="24"/>
        <v>207i TU5P A1400</v>
      </c>
      <c r="X1545">
        <f>VLOOKUP(W1545,Sheet10!D:F,2,0)*10000000</f>
        <v>7000000000</v>
      </c>
      <c r="Y1545" t="s">
        <v>5712</v>
      </c>
    </row>
    <row r="1546" spans="1:25" x14ac:dyDescent="0.25">
      <c r="A1546" t="s">
        <v>5274</v>
      </c>
      <c r="B1546" t="s">
        <v>7154</v>
      </c>
      <c r="C1546">
        <v>323</v>
      </c>
      <c r="D1546" t="s">
        <v>178</v>
      </c>
      <c r="E1546" t="s">
        <v>64</v>
      </c>
      <c r="F1546" t="s">
        <v>362</v>
      </c>
      <c r="H1546">
        <v>274</v>
      </c>
      <c r="I1546">
        <v>1400</v>
      </c>
      <c r="J1546" t="s">
        <v>7155</v>
      </c>
      <c r="K1546" t="s">
        <v>7156</v>
      </c>
      <c r="M1546" t="s">
        <v>5192</v>
      </c>
      <c r="N1546">
        <v>32301</v>
      </c>
      <c r="O1546" t="s">
        <v>70</v>
      </c>
      <c r="Q1546" t="s">
        <v>5193</v>
      </c>
      <c r="R1546" t="s">
        <v>7157</v>
      </c>
      <c r="S1546" t="s">
        <v>411</v>
      </c>
      <c r="T1546" s="6">
        <v>6200000000</v>
      </c>
      <c r="W1546" t="str">
        <f t="shared" si="24"/>
        <v>TARA TU5PA1400</v>
      </c>
      <c r="X1546">
        <f>VLOOKUP(W1546,Sheet10!D:F,2,0)*10000000</f>
        <v>7200000000</v>
      </c>
      <c r="Y1546" t="s">
        <v>5712</v>
      </c>
    </row>
    <row r="1547" spans="1:25" x14ac:dyDescent="0.25">
      <c r="A1547" t="s">
        <v>5649</v>
      </c>
      <c r="B1547" t="s">
        <v>7158</v>
      </c>
      <c r="C1547">
        <v>518</v>
      </c>
      <c r="D1547" t="s">
        <v>240</v>
      </c>
      <c r="E1547" t="s">
        <v>64</v>
      </c>
      <c r="F1547" t="s">
        <v>3186</v>
      </c>
      <c r="H1547">
        <v>242</v>
      </c>
      <c r="I1547">
        <v>1401</v>
      </c>
      <c r="J1547" t="s">
        <v>7159</v>
      </c>
      <c r="K1547" t="s">
        <v>7160</v>
      </c>
      <c r="M1547" t="s">
        <v>5609</v>
      </c>
      <c r="N1547">
        <v>51802</v>
      </c>
      <c r="O1547" t="s">
        <v>303</v>
      </c>
      <c r="Q1547" t="s">
        <v>5610</v>
      </c>
      <c r="R1547" t="s">
        <v>7161</v>
      </c>
      <c r="S1547" t="s">
        <v>5100</v>
      </c>
      <c r="T1547" s="6">
        <v>11400000000</v>
      </c>
      <c r="W1547" t="str">
        <f t="shared" si="24"/>
        <v>S7-T-AT1401</v>
      </c>
      <c r="X1547">
        <f>VLOOKUP(W1547,Sheet10!D:F,2,0)*10000000</f>
        <v>13450000000</v>
      </c>
      <c r="Y1547" t="s">
        <v>5712</v>
      </c>
    </row>
    <row r="1548" spans="1:25" x14ac:dyDescent="0.25">
      <c r="A1548" t="s">
        <v>5976</v>
      </c>
      <c r="B1548" t="s">
        <v>7162</v>
      </c>
      <c r="C1548">
        <v>704</v>
      </c>
      <c r="D1548" t="s">
        <v>259</v>
      </c>
      <c r="E1548" t="s">
        <v>64</v>
      </c>
      <c r="F1548" t="s">
        <v>4256</v>
      </c>
      <c r="H1548">
        <v>195</v>
      </c>
      <c r="I1548">
        <v>1400</v>
      </c>
      <c r="J1548" t="s">
        <v>7163</v>
      </c>
      <c r="K1548" t="s">
        <v>6684</v>
      </c>
      <c r="M1548" t="s">
        <v>4401</v>
      </c>
      <c r="N1548">
        <v>70406</v>
      </c>
      <c r="O1548" t="s">
        <v>70</v>
      </c>
      <c r="Q1548" t="s">
        <v>5974</v>
      </c>
      <c r="R1548" t="s">
        <v>7164</v>
      </c>
      <c r="S1548" t="s">
        <v>762</v>
      </c>
      <c r="T1548" s="6">
        <v>5700000000</v>
      </c>
      <c r="W1548" t="str">
        <f t="shared" si="24"/>
        <v>DENA EF7 TC-MT1400</v>
      </c>
      <c r="X1548" t="e">
        <f>VLOOKUP(W1548,Sheet10!D:F,2,0)*10000000</f>
        <v>#N/A</v>
      </c>
      <c r="Y1548" t="s">
        <v>5712</v>
      </c>
    </row>
    <row r="1549" spans="1:25" x14ac:dyDescent="0.25">
      <c r="A1549" t="s">
        <v>191</v>
      </c>
      <c r="B1549" t="s">
        <v>7165</v>
      </c>
      <c r="C1549">
        <v>285</v>
      </c>
      <c r="D1549" t="s">
        <v>63</v>
      </c>
      <c r="E1549" t="s">
        <v>64</v>
      </c>
      <c r="F1549" t="s">
        <v>491</v>
      </c>
      <c r="H1549">
        <v>183</v>
      </c>
      <c r="I1549">
        <v>1400</v>
      </c>
      <c r="J1549" t="s">
        <v>7166</v>
      </c>
      <c r="K1549" t="s">
        <v>7167</v>
      </c>
      <c r="M1549" t="s">
        <v>198</v>
      </c>
      <c r="N1549">
        <v>28520</v>
      </c>
      <c r="O1549" t="s">
        <v>70</v>
      </c>
      <c r="Q1549" t="s">
        <v>199</v>
      </c>
      <c r="R1549" t="s">
        <v>7168</v>
      </c>
      <c r="S1549" t="s">
        <v>2775</v>
      </c>
      <c r="T1549" s="6">
        <v>4250000000</v>
      </c>
      <c r="W1549" t="str">
        <f t="shared" si="24"/>
        <v>PARS TU51400</v>
      </c>
      <c r="X1549">
        <f>VLOOKUP(W1549,Sheet10!D:F,2,0)*10000000</f>
        <v>5100000000</v>
      </c>
      <c r="Y1549" t="s">
        <v>5712</v>
      </c>
    </row>
    <row r="1550" spans="1:25" x14ac:dyDescent="0.25">
      <c r="A1550" t="s">
        <v>5997</v>
      </c>
      <c r="B1550" t="s">
        <v>7169</v>
      </c>
      <c r="C1550">
        <v>704</v>
      </c>
      <c r="D1550" t="s">
        <v>63</v>
      </c>
      <c r="E1550" t="s">
        <v>64</v>
      </c>
      <c r="F1550" t="s">
        <v>4256</v>
      </c>
      <c r="H1550">
        <v>171</v>
      </c>
      <c r="I1550">
        <v>1400</v>
      </c>
      <c r="J1550" t="s">
        <v>7170</v>
      </c>
      <c r="K1550" t="s">
        <v>7171</v>
      </c>
      <c r="M1550" t="s">
        <v>4401</v>
      </c>
      <c r="N1550">
        <v>70406</v>
      </c>
      <c r="O1550" t="s">
        <v>70</v>
      </c>
      <c r="Q1550" t="s">
        <v>5974</v>
      </c>
      <c r="R1550" t="s">
        <v>7172</v>
      </c>
      <c r="S1550" t="s">
        <v>708</v>
      </c>
      <c r="T1550" s="6">
        <v>5700000000</v>
      </c>
      <c r="W1550" t="str">
        <f t="shared" ref="W1550:W1613" si="25">M1550&amp;I1550</f>
        <v>DENA EF7 TC-MT1400</v>
      </c>
      <c r="X1550" t="e">
        <f>VLOOKUP(W1550,Sheet10!D:F,2,0)*10000000</f>
        <v>#N/A</v>
      </c>
      <c r="Y1550" t="s">
        <v>5712</v>
      </c>
    </row>
    <row r="1551" spans="1:25" x14ac:dyDescent="0.25">
      <c r="A1551" t="s">
        <v>191</v>
      </c>
      <c r="B1551" t="s">
        <v>7173</v>
      </c>
      <c r="C1551">
        <v>285</v>
      </c>
      <c r="D1551" t="s">
        <v>63</v>
      </c>
      <c r="E1551" t="s">
        <v>64</v>
      </c>
      <c r="F1551" t="s">
        <v>2436</v>
      </c>
      <c r="H1551">
        <v>165</v>
      </c>
      <c r="I1551">
        <v>1401</v>
      </c>
      <c r="J1551" t="s">
        <v>7174</v>
      </c>
      <c r="K1551" t="s">
        <v>7175</v>
      </c>
      <c r="M1551" t="s">
        <v>198</v>
      </c>
      <c r="N1551">
        <v>28520</v>
      </c>
      <c r="O1551" t="s">
        <v>70</v>
      </c>
      <c r="Q1551" t="s">
        <v>199</v>
      </c>
      <c r="R1551" t="s">
        <v>7176</v>
      </c>
      <c r="S1551" t="s">
        <v>2770</v>
      </c>
      <c r="T1551" s="6">
        <v>440000000</v>
      </c>
      <c r="W1551" t="str">
        <f t="shared" si="25"/>
        <v>PARS TU51401</v>
      </c>
      <c r="X1551">
        <f>VLOOKUP(W1551,Sheet10!D:F,2,0)*10000000</f>
        <v>5250000000</v>
      </c>
      <c r="Y1551" t="s">
        <v>5712</v>
      </c>
    </row>
    <row r="1552" spans="1:25" x14ac:dyDescent="0.25">
      <c r="A1552" t="s">
        <v>5997</v>
      </c>
      <c r="B1552" t="s">
        <v>7177</v>
      </c>
      <c r="C1552">
        <v>704</v>
      </c>
      <c r="D1552" t="s">
        <v>63</v>
      </c>
      <c r="E1552" t="s">
        <v>64</v>
      </c>
      <c r="F1552" t="s">
        <v>4256</v>
      </c>
      <c r="H1552">
        <v>159</v>
      </c>
      <c r="I1552">
        <v>1400</v>
      </c>
      <c r="J1552" t="s">
        <v>7178</v>
      </c>
      <c r="K1552" t="s">
        <v>7179</v>
      </c>
      <c r="M1552" t="s">
        <v>4401</v>
      </c>
      <c r="N1552">
        <v>70406</v>
      </c>
      <c r="O1552" t="s">
        <v>70</v>
      </c>
      <c r="Q1552" t="s">
        <v>5974</v>
      </c>
      <c r="R1552" t="s">
        <v>7180</v>
      </c>
      <c r="S1552" t="s">
        <v>958</v>
      </c>
      <c r="T1552" s="6">
        <v>5700000000</v>
      </c>
      <c r="W1552" t="str">
        <f t="shared" si="25"/>
        <v>DENA EF7 TC-MT1400</v>
      </c>
      <c r="X1552" t="e">
        <f>VLOOKUP(W1552,Sheet10!D:F,2,0)*10000000</f>
        <v>#N/A</v>
      </c>
      <c r="Y1552" t="s">
        <v>5712</v>
      </c>
    </row>
    <row r="1553" spans="1:25" x14ac:dyDescent="0.25">
      <c r="A1553" t="s">
        <v>7181</v>
      </c>
      <c r="B1553" t="s">
        <v>7182</v>
      </c>
      <c r="C1553">
        <v>575</v>
      </c>
      <c r="D1553" t="s">
        <v>259</v>
      </c>
      <c r="E1553" t="s">
        <v>64</v>
      </c>
      <c r="F1553" t="s">
        <v>420</v>
      </c>
      <c r="H1553">
        <v>136</v>
      </c>
      <c r="I1553">
        <v>1401</v>
      </c>
      <c r="J1553" t="s">
        <v>7183</v>
      </c>
      <c r="K1553" t="s">
        <v>7184</v>
      </c>
      <c r="M1553" t="s">
        <v>367</v>
      </c>
      <c r="N1553">
        <v>57524</v>
      </c>
      <c r="O1553" t="s">
        <v>70</v>
      </c>
      <c r="Q1553" t="s">
        <v>7185</v>
      </c>
      <c r="R1553" t="s">
        <v>7186</v>
      </c>
      <c r="S1553" t="s">
        <v>589</v>
      </c>
      <c r="T1553" s="6">
        <v>3850000000</v>
      </c>
      <c r="W1553" t="str">
        <f t="shared" si="25"/>
        <v>SOREN EF71401</v>
      </c>
      <c r="X1553">
        <f>VLOOKUP(W1553,Sheet10!D:F,2,0)*10000000</f>
        <v>4650000000</v>
      </c>
      <c r="Y1553" t="s">
        <v>5712</v>
      </c>
    </row>
    <row r="1554" spans="1:25" x14ac:dyDescent="0.25">
      <c r="A1554" t="s">
        <v>6237</v>
      </c>
      <c r="B1554" t="s">
        <v>7187</v>
      </c>
      <c r="C1554">
        <v>606</v>
      </c>
      <c r="D1554" t="s">
        <v>63</v>
      </c>
      <c r="E1554" t="s">
        <v>64</v>
      </c>
      <c r="F1554" t="s">
        <v>4256</v>
      </c>
      <c r="H1554">
        <v>134</v>
      </c>
      <c r="I1554">
        <v>1400</v>
      </c>
      <c r="J1554" t="s">
        <v>7188</v>
      </c>
      <c r="K1554" t="s">
        <v>6617</v>
      </c>
      <c r="M1554" t="s">
        <v>4487</v>
      </c>
      <c r="N1554">
        <v>60601</v>
      </c>
      <c r="O1554" t="s">
        <v>4488</v>
      </c>
      <c r="Q1554" t="s">
        <v>6241</v>
      </c>
      <c r="R1554" t="s">
        <v>7189</v>
      </c>
      <c r="S1554" t="s">
        <v>4664</v>
      </c>
      <c r="T1554" s="6">
        <v>6200000000</v>
      </c>
      <c r="W1554" t="str">
        <f t="shared" si="25"/>
        <v>207i TU5P A1400</v>
      </c>
      <c r="X1554">
        <f>VLOOKUP(W1554,Sheet10!D:F,2,0)*10000000</f>
        <v>7000000000</v>
      </c>
      <c r="Y1554" t="s">
        <v>5712</v>
      </c>
    </row>
    <row r="1555" spans="1:25" x14ac:dyDescent="0.25">
      <c r="A1555" t="s">
        <v>6237</v>
      </c>
      <c r="B1555" t="s">
        <v>7190</v>
      </c>
      <c r="C1555">
        <v>606</v>
      </c>
      <c r="D1555" t="s">
        <v>63</v>
      </c>
      <c r="E1555" t="s">
        <v>64</v>
      </c>
      <c r="F1555" t="s">
        <v>4256</v>
      </c>
      <c r="H1555">
        <v>130</v>
      </c>
      <c r="I1555">
        <v>1400</v>
      </c>
      <c r="J1555" t="s">
        <v>7191</v>
      </c>
      <c r="K1555" t="s">
        <v>7192</v>
      </c>
      <c r="M1555" t="s">
        <v>4487</v>
      </c>
      <c r="N1555">
        <v>60601</v>
      </c>
      <c r="O1555" t="s">
        <v>4488</v>
      </c>
      <c r="Q1555" t="s">
        <v>6241</v>
      </c>
      <c r="R1555" t="s">
        <v>7193</v>
      </c>
      <c r="S1555" t="s">
        <v>3067</v>
      </c>
      <c r="T1555" s="6">
        <v>6200000000</v>
      </c>
      <c r="W1555" t="str">
        <f t="shared" si="25"/>
        <v>207i TU5P A1400</v>
      </c>
      <c r="X1555">
        <f>VLOOKUP(W1555,Sheet10!D:F,2,0)*10000000</f>
        <v>7000000000</v>
      </c>
      <c r="Y1555" t="s">
        <v>5712</v>
      </c>
    </row>
    <row r="1556" spans="1:25" x14ac:dyDescent="0.25">
      <c r="A1556" t="s">
        <v>6237</v>
      </c>
      <c r="B1556" t="s">
        <v>7194</v>
      </c>
      <c r="C1556">
        <v>606</v>
      </c>
      <c r="D1556" t="s">
        <v>63</v>
      </c>
      <c r="E1556" t="s">
        <v>64</v>
      </c>
      <c r="F1556" t="s">
        <v>4256</v>
      </c>
      <c r="H1556">
        <v>129</v>
      </c>
      <c r="I1556">
        <v>1400</v>
      </c>
      <c r="J1556" t="s">
        <v>7195</v>
      </c>
      <c r="K1556" t="s">
        <v>7196</v>
      </c>
      <c r="M1556" t="s">
        <v>4487</v>
      </c>
      <c r="N1556">
        <v>60601</v>
      </c>
      <c r="O1556" t="s">
        <v>4488</v>
      </c>
      <c r="Q1556" t="s">
        <v>6241</v>
      </c>
      <c r="R1556" t="s">
        <v>7197</v>
      </c>
      <c r="S1556" t="s">
        <v>2589</v>
      </c>
      <c r="T1556" s="6">
        <v>6200000000</v>
      </c>
      <c r="W1556" t="str">
        <f t="shared" si="25"/>
        <v>207i TU5P A1400</v>
      </c>
      <c r="X1556">
        <f>VLOOKUP(W1556,Sheet10!D:F,2,0)*10000000</f>
        <v>7000000000</v>
      </c>
      <c r="Y1556" t="s">
        <v>5712</v>
      </c>
    </row>
    <row r="1557" spans="1:25" x14ac:dyDescent="0.25">
      <c r="A1557" t="s">
        <v>6237</v>
      </c>
      <c r="B1557" t="s">
        <v>7198</v>
      </c>
      <c r="C1557">
        <v>606</v>
      </c>
      <c r="D1557" t="s">
        <v>63</v>
      </c>
      <c r="E1557" t="s">
        <v>64</v>
      </c>
      <c r="F1557" t="s">
        <v>4256</v>
      </c>
      <c r="H1557">
        <v>127</v>
      </c>
      <c r="I1557">
        <v>1400</v>
      </c>
      <c r="J1557" t="s">
        <v>7199</v>
      </c>
      <c r="K1557" t="s">
        <v>7200</v>
      </c>
      <c r="M1557" t="s">
        <v>4487</v>
      </c>
      <c r="N1557">
        <v>60601</v>
      </c>
      <c r="O1557" t="s">
        <v>4488</v>
      </c>
      <c r="Q1557" t="s">
        <v>6241</v>
      </c>
      <c r="R1557" t="s">
        <v>7201</v>
      </c>
      <c r="S1557" t="s">
        <v>4521</v>
      </c>
      <c r="T1557" s="6">
        <v>6200000000</v>
      </c>
      <c r="W1557" t="str">
        <f t="shared" si="25"/>
        <v>207i TU5P A1400</v>
      </c>
      <c r="X1557">
        <f>VLOOKUP(W1557,Sheet10!D:F,2,0)*10000000</f>
        <v>7000000000</v>
      </c>
      <c r="Y1557" t="s">
        <v>5712</v>
      </c>
    </row>
    <row r="1558" spans="1:25" x14ac:dyDescent="0.25">
      <c r="A1558" t="s">
        <v>4483</v>
      </c>
      <c r="B1558" t="s">
        <v>5556</v>
      </c>
      <c r="C1558">
        <v>606</v>
      </c>
      <c r="D1558" t="s">
        <v>63</v>
      </c>
      <c r="E1558" t="s">
        <v>64</v>
      </c>
      <c r="F1558" t="s">
        <v>3186</v>
      </c>
      <c r="H1558">
        <v>124</v>
      </c>
      <c r="I1558">
        <v>1401</v>
      </c>
      <c r="J1558" t="s">
        <v>5557</v>
      </c>
      <c r="K1558" t="s">
        <v>5558</v>
      </c>
      <c r="M1558" t="s">
        <v>4487</v>
      </c>
      <c r="N1558">
        <v>60602</v>
      </c>
      <c r="O1558" t="s">
        <v>4488</v>
      </c>
      <c r="Q1558" t="s">
        <v>4489</v>
      </c>
      <c r="R1558" t="s">
        <v>5559</v>
      </c>
      <c r="S1558" t="s">
        <v>4633</v>
      </c>
      <c r="T1558" s="6">
        <v>5700000000</v>
      </c>
      <c r="W1558" t="str">
        <f t="shared" si="25"/>
        <v>207i TU5P A1401</v>
      </c>
      <c r="X1558">
        <f>VLOOKUP(W1558,Sheet10!D:F,2,0)*10000000</f>
        <v>7100000000</v>
      </c>
      <c r="Y1558" t="s">
        <v>5712</v>
      </c>
    </row>
    <row r="1559" spans="1:25" x14ac:dyDescent="0.25">
      <c r="A1559" t="s">
        <v>7202</v>
      </c>
      <c r="B1559" t="s">
        <v>7203</v>
      </c>
      <c r="C1559">
        <v>575</v>
      </c>
      <c r="D1559" t="s">
        <v>63</v>
      </c>
      <c r="E1559" t="s">
        <v>64</v>
      </c>
      <c r="F1559" t="s">
        <v>420</v>
      </c>
      <c r="H1559">
        <v>123</v>
      </c>
      <c r="I1559">
        <v>1401</v>
      </c>
      <c r="J1559" t="s">
        <v>7204</v>
      </c>
      <c r="K1559" t="s">
        <v>7205</v>
      </c>
      <c r="M1559" t="s">
        <v>367</v>
      </c>
      <c r="N1559">
        <v>57524</v>
      </c>
      <c r="O1559" t="s">
        <v>70</v>
      </c>
      <c r="Q1559" t="s">
        <v>7185</v>
      </c>
      <c r="R1559" t="s">
        <v>7206</v>
      </c>
      <c r="S1559" t="s">
        <v>1144</v>
      </c>
      <c r="T1559" s="6">
        <v>3850000000</v>
      </c>
      <c r="W1559" t="str">
        <f t="shared" si="25"/>
        <v>SOREN EF71401</v>
      </c>
      <c r="X1559">
        <f>VLOOKUP(W1559,Sheet10!D:F,2,0)*10000000</f>
        <v>4650000000</v>
      </c>
      <c r="Y1559" t="s">
        <v>5712</v>
      </c>
    </row>
    <row r="1560" spans="1:25" x14ac:dyDescent="0.25">
      <c r="A1560" t="s">
        <v>3521</v>
      </c>
      <c r="B1560" t="s">
        <v>7207</v>
      </c>
      <c r="C1560">
        <v>707</v>
      </c>
      <c r="D1560" t="s">
        <v>77</v>
      </c>
      <c r="E1560" t="s">
        <v>64</v>
      </c>
      <c r="F1560" t="s">
        <v>420</v>
      </c>
      <c r="H1560">
        <v>119</v>
      </c>
      <c r="I1560">
        <v>1400</v>
      </c>
      <c r="J1560" t="s">
        <v>7208</v>
      </c>
      <c r="K1560" t="s">
        <v>7209</v>
      </c>
      <c r="M1560" t="s">
        <v>3450</v>
      </c>
      <c r="N1560">
        <v>70702</v>
      </c>
      <c r="O1560" t="s">
        <v>70</v>
      </c>
      <c r="Q1560" t="s">
        <v>3451</v>
      </c>
      <c r="R1560" t="s">
        <v>7210</v>
      </c>
      <c r="S1560" t="s">
        <v>537</v>
      </c>
      <c r="T1560" s="6">
        <v>6120000000</v>
      </c>
      <c r="W1560" t="str">
        <f t="shared" si="25"/>
        <v>DENA+EF7TC A1400</v>
      </c>
      <c r="X1560">
        <f>VLOOKUP(W1560,Sheet10!D:F,2,0)*10000000</f>
        <v>7100000000</v>
      </c>
      <c r="Y1560" t="s">
        <v>5712</v>
      </c>
    </row>
    <row r="1561" spans="1:25" x14ac:dyDescent="0.25">
      <c r="A1561" t="s">
        <v>7211</v>
      </c>
      <c r="B1561" t="s">
        <v>7212</v>
      </c>
      <c r="C1561">
        <v>323</v>
      </c>
      <c r="D1561" t="s">
        <v>63</v>
      </c>
      <c r="E1561" t="s">
        <v>64</v>
      </c>
      <c r="F1561" t="s">
        <v>4256</v>
      </c>
      <c r="H1561">
        <v>112</v>
      </c>
      <c r="I1561">
        <v>1400</v>
      </c>
      <c r="J1561" t="s">
        <v>7213</v>
      </c>
      <c r="K1561" t="s">
        <v>7214</v>
      </c>
      <c r="M1561" t="s">
        <v>5192</v>
      </c>
      <c r="N1561">
        <v>32304</v>
      </c>
      <c r="O1561" t="s">
        <v>70</v>
      </c>
      <c r="Q1561" t="s">
        <v>7215</v>
      </c>
      <c r="R1561" t="s">
        <v>7216</v>
      </c>
      <c r="S1561" t="s">
        <v>4507</v>
      </c>
      <c r="T1561" s="6">
        <v>6200000000</v>
      </c>
      <c r="W1561" t="str">
        <f t="shared" si="25"/>
        <v>TARA TU5PA1400</v>
      </c>
      <c r="X1561">
        <f>VLOOKUP(W1561,Sheet10!D:F,2,0)*10000000</f>
        <v>7200000000</v>
      </c>
      <c r="Y1561" t="s">
        <v>5712</v>
      </c>
    </row>
    <row r="1562" spans="1:25" x14ac:dyDescent="0.25">
      <c r="A1562" t="s">
        <v>5976</v>
      </c>
      <c r="B1562" t="s">
        <v>7217</v>
      </c>
      <c r="C1562">
        <v>704</v>
      </c>
      <c r="D1562" t="s">
        <v>259</v>
      </c>
      <c r="E1562" t="s">
        <v>64</v>
      </c>
      <c r="F1562" t="s">
        <v>4256</v>
      </c>
      <c r="H1562">
        <v>110</v>
      </c>
      <c r="I1562">
        <v>1401</v>
      </c>
      <c r="J1562" t="s">
        <v>7218</v>
      </c>
      <c r="K1562" t="s">
        <v>7219</v>
      </c>
      <c r="M1562" t="s">
        <v>4401</v>
      </c>
      <c r="N1562">
        <v>70406</v>
      </c>
      <c r="O1562" t="s">
        <v>70</v>
      </c>
      <c r="Q1562" t="s">
        <v>5974</v>
      </c>
      <c r="R1562" t="s">
        <v>7220</v>
      </c>
      <c r="S1562" t="s">
        <v>928</v>
      </c>
      <c r="T1562" s="6">
        <v>5950000000</v>
      </c>
      <c r="W1562" t="str">
        <f t="shared" si="25"/>
        <v>DENA EF7 TC-MT1401</v>
      </c>
      <c r="X1562">
        <f>VLOOKUP(W1562,Sheet10!D:F,2,0)*10000000</f>
        <v>6750000000</v>
      </c>
      <c r="Y1562" t="s">
        <v>5712</v>
      </c>
    </row>
    <row r="1563" spans="1:25" x14ac:dyDescent="0.25">
      <c r="A1563" t="s">
        <v>6237</v>
      </c>
      <c r="B1563" t="s">
        <v>7221</v>
      </c>
      <c r="C1563">
        <v>606</v>
      </c>
      <c r="D1563" t="s">
        <v>63</v>
      </c>
      <c r="E1563" t="s">
        <v>64</v>
      </c>
      <c r="F1563" t="s">
        <v>4256</v>
      </c>
      <c r="H1563">
        <v>108</v>
      </c>
      <c r="I1563">
        <v>1400</v>
      </c>
      <c r="J1563" t="s">
        <v>7222</v>
      </c>
      <c r="K1563" t="s">
        <v>7223</v>
      </c>
      <c r="M1563" t="s">
        <v>4487</v>
      </c>
      <c r="N1563">
        <v>60601</v>
      </c>
      <c r="O1563" t="s">
        <v>4488</v>
      </c>
      <c r="Q1563" t="s">
        <v>6241</v>
      </c>
      <c r="R1563" t="s">
        <v>7224</v>
      </c>
      <c r="S1563" t="s">
        <v>2675</v>
      </c>
      <c r="T1563" s="6">
        <v>6200000000</v>
      </c>
      <c r="W1563" t="str">
        <f t="shared" si="25"/>
        <v>207i TU5P A1400</v>
      </c>
      <c r="X1563">
        <f>VLOOKUP(W1563,Sheet10!D:F,2,0)*10000000</f>
        <v>7000000000</v>
      </c>
      <c r="Y1563" t="s">
        <v>5712</v>
      </c>
    </row>
    <row r="1564" spans="1:25" x14ac:dyDescent="0.25">
      <c r="A1564" t="s">
        <v>6237</v>
      </c>
      <c r="B1564" t="s">
        <v>7225</v>
      </c>
      <c r="C1564">
        <v>606</v>
      </c>
      <c r="D1564" t="s">
        <v>63</v>
      </c>
      <c r="E1564" t="s">
        <v>64</v>
      </c>
      <c r="F1564" t="s">
        <v>4256</v>
      </c>
      <c r="H1564">
        <v>105</v>
      </c>
      <c r="I1564">
        <v>1400</v>
      </c>
      <c r="J1564" t="s">
        <v>7226</v>
      </c>
      <c r="K1564" t="s">
        <v>7227</v>
      </c>
      <c r="M1564" t="s">
        <v>4487</v>
      </c>
      <c r="N1564">
        <v>60601</v>
      </c>
      <c r="O1564" t="s">
        <v>4488</v>
      </c>
      <c r="Q1564" t="s">
        <v>6241</v>
      </c>
      <c r="R1564" t="s">
        <v>7228</v>
      </c>
      <c r="S1564" t="s">
        <v>2670</v>
      </c>
      <c r="T1564" s="6">
        <v>6200000000</v>
      </c>
      <c r="W1564" t="str">
        <f t="shared" si="25"/>
        <v>207i TU5P A1400</v>
      </c>
      <c r="X1564">
        <f>VLOOKUP(W1564,Sheet10!D:F,2,0)*10000000</f>
        <v>7000000000</v>
      </c>
      <c r="Y1564" t="s">
        <v>5712</v>
      </c>
    </row>
    <row r="1565" spans="1:25" x14ac:dyDescent="0.25">
      <c r="A1565" t="s">
        <v>5976</v>
      </c>
      <c r="B1565" t="s">
        <v>7229</v>
      </c>
      <c r="C1565">
        <v>704</v>
      </c>
      <c r="D1565" t="s">
        <v>259</v>
      </c>
      <c r="E1565" t="s">
        <v>64</v>
      </c>
      <c r="F1565" t="s">
        <v>4256</v>
      </c>
      <c r="H1565">
        <v>103</v>
      </c>
      <c r="I1565">
        <v>1401</v>
      </c>
      <c r="J1565" t="s">
        <v>7230</v>
      </c>
      <c r="K1565" t="s">
        <v>7231</v>
      </c>
      <c r="M1565" t="s">
        <v>4401</v>
      </c>
      <c r="N1565">
        <v>70406</v>
      </c>
      <c r="O1565" t="s">
        <v>70</v>
      </c>
      <c r="Q1565" t="s">
        <v>5974</v>
      </c>
      <c r="R1565" t="s">
        <v>7232</v>
      </c>
      <c r="S1565" t="s">
        <v>1096</v>
      </c>
      <c r="T1565" s="6">
        <v>5900000000</v>
      </c>
      <c r="W1565" t="str">
        <f t="shared" si="25"/>
        <v>DENA EF7 TC-MT1401</v>
      </c>
      <c r="X1565">
        <f>VLOOKUP(W1565,Sheet10!D:F,2,0)*10000000</f>
        <v>6750000000</v>
      </c>
      <c r="Y1565" t="s">
        <v>5712</v>
      </c>
    </row>
    <row r="1566" spans="1:25" x14ac:dyDescent="0.25">
      <c r="A1566" t="s">
        <v>6237</v>
      </c>
      <c r="B1566" t="s">
        <v>7233</v>
      </c>
      <c r="C1566">
        <v>606</v>
      </c>
      <c r="D1566" t="s">
        <v>63</v>
      </c>
      <c r="E1566" t="s">
        <v>64</v>
      </c>
      <c r="F1566" t="s">
        <v>4256</v>
      </c>
      <c r="H1566">
        <v>103</v>
      </c>
      <c r="I1566">
        <v>1400</v>
      </c>
      <c r="J1566" t="s">
        <v>7234</v>
      </c>
      <c r="K1566" t="s">
        <v>7235</v>
      </c>
      <c r="M1566" t="s">
        <v>4487</v>
      </c>
      <c r="N1566">
        <v>60601</v>
      </c>
      <c r="O1566" t="s">
        <v>4488</v>
      </c>
      <c r="Q1566" t="s">
        <v>6241</v>
      </c>
      <c r="R1566" t="s">
        <v>7236</v>
      </c>
      <c r="S1566" t="s">
        <v>3699</v>
      </c>
      <c r="T1566" s="6">
        <v>6200000000</v>
      </c>
      <c r="W1566" t="str">
        <f t="shared" si="25"/>
        <v>207i TU5P A1400</v>
      </c>
      <c r="X1566">
        <f>VLOOKUP(W1566,Sheet10!D:F,2,0)*10000000</f>
        <v>7000000000</v>
      </c>
      <c r="Y1566" t="s">
        <v>5712</v>
      </c>
    </row>
    <row r="1567" spans="1:25" x14ac:dyDescent="0.25">
      <c r="A1567" t="s">
        <v>4483</v>
      </c>
      <c r="B1567" t="s">
        <v>7237</v>
      </c>
      <c r="C1567">
        <v>606</v>
      </c>
      <c r="D1567" t="s">
        <v>63</v>
      </c>
      <c r="E1567" t="s">
        <v>64</v>
      </c>
      <c r="F1567" t="s">
        <v>420</v>
      </c>
      <c r="H1567">
        <v>100</v>
      </c>
      <c r="I1567">
        <v>1401</v>
      </c>
      <c r="J1567" t="s">
        <v>7238</v>
      </c>
      <c r="K1567" t="s">
        <v>7239</v>
      </c>
      <c r="M1567" t="s">
        <v>4487</v>
      </c>
      <c r="N1567">
        <v>60602</v>
      </c>
      <c r="O1567" t="s">
        <v>4488</v>
      </c>
      <c r="Q1567" t="s">
        <v>4489</v>
      </c>
      <c r="R1567" t="s">
        <v>7240</v>
      </c>
      <c r="S1567" t="s">
        <v>3817</v>
      </c>
      <c r="T1567" s="6">
        <v>5700000000</v>
      </c>
      <c r="W1567" t="str">
        <f t="shared" si="25"/>
        <v>207i TU5P A1401</v>
      </c>
      <c r="X1567">
        <f>VLOOKUP(W1567,Sheet10!D:F,2,0)*10000000</f>
        <v>7100000000</v>
      </c>
      <c r="Y1567" t="s">
        <v>5712</v>
      </c>
    </row>
    <row r="1568" spans="1:25" x14ac:dyDescent="0.25">
      <c r="A1568" t="s">
        <v>2706</v>
      </c>
      <c r="B1568" t="s">
        <v>7241</v>
      </c>
      <c r="C1568">
        <v>351</v>
      </c>
      <c r="D1568" t="s">
        <v>77</v>
      </c>
      <c r="E1568" t="s">
        <v>64</v>
      </c>
      <c r="F1568" t="s">
        <v>318</v>
      </c>
      <c r="H1568">
        <v>100</v>
      </c>
      <c r="I1568">
        <v>1401</v>
      </c>
      <c r="J1568" t="s">
        <v>7242</v>
      </c>
      <c r="K1568" t="s">
        <v>7243</v>
      </c>
      <c r="M1568" t="s">
        <v>400</v>
      </c>
      <c r="N1568">
        <v>35101</v>
      </c>
      <c r="O1568" t="s">
        <v>70</v>
      </c>
      <c r="Q1568" t="s">
        <v>401</v>
      </c>
      <c r="R1568" t="s">
        <v>7244</v>
      </c>
      <c r="S1568" t="s">
        <v>2501</v>
      </c>
      <c r="T1568" s="6">
        <v>2500000000</v>
      </c>
      <c r="W1568" t="str">
        <f t="shared" si="25"/>
        <v>PARS XU7 P1401</v>
      </c>
      <c r="X1568">
        <f>VLOOKUP(W1568,Sheet10!D:F,2,0)*10000000</f>
        <v>4500000000</v>
      </c>
      <c r="Y1568" t="s">
        <v>5712</v>
      </c>
    </row>
    <row r="1569" spans="1:25" x14ac:dyDescent="0.25">
      <c r="A1569" t="s">
        <v>2568</v>
      </c>
      <c r="B1569" t="s">
        <v>7245</v>
      </c>
      <c r="C1569">
        <v>351</v>
      </c>
      <c r="D1569" t="s">
        <v>63</v>
      </c>
      <c r="E1569" t="s">
        <v>64</v>
      </c>
      <c r="F1569" t="s">
        <v>318</v>
      </c>
      <c r="H1569">
        <v>100</v>
      </c>
      <c r="I1569">
        <v>1401</v>
      </c>
      <c r="J1569" t="s">
        <v>7246</v>
      </c>
      <c r="K1569" t="s">
        <v>7247</v>
      </c>
      <c r="M1569" t="s">
        <v>400</v>
      </c>
      <c r="N1569">
        <v>35103</v>
      </c>
      <c r="O1569" t="s">
        <v>70</v>
      </c>
      <c r="Q1569" t="s">
        <v>2572</v>
      </c>
      <c r="R1569" t="s">
        <v>7248</v>
      </c>
      <c r="S1569" t="s">
        <v>3233</v>
      </c>
      <c r="T1569" s="6">
        <v>2900000000</v>
      </c>
      <c r="W1569" t="str">
        <f t="shared" si="25"/>
        <v>PARS XU7 P1401</v>
      </c>
      <c r="X1569">
        <f>VLOOKUP(W1569,Sheet10!D:F,2,0)*10000000</f>
        <v>4500000000</v>
      </c>
      <c r="Y1569" t="s">
        <v>5712</v>
      </c>
    </row>
    <row r="1570" spans="1:25" x14ac:dyDescent="0.25">
      <c r="A1570" t="s">
        <v>7249</v>
      </c>
      <c r="B1570" t="s">
        <v>7250</v>
      </c>
      <c r="C1570">
        <v>555</v>
      </c>
      <c r="D1570" t="s">
        <v>63</v>
      </c>
      <c r="E1570" t="s">
        <v>78</v>
      </c>
      <c r="F1570" t="s">
        <v>318</v>
      </c>
      <c r="H1570">
        <v>100</v>
      </c>
      <c r="I1570">
        <v>1401</v>
      </c>
      <c r="J1570" t="s">
        <v>7251</v>
      </c>
      <c r="K1570" t="s">
        <v>7252</v>
      </c>
      <c r="M1570" t="s">
        <v>7253</v>
      </c>
      <c r="N1570">
        <v>55505</v>
      </c>
      <c r="O1570" t="s">
        <v>70</v>
      </c>
      <c r="Q1570" t="s">
        <v>7254</v>
      </c>
      <c r="R1570" t="s">
        <v>7255</v>
      </c>
      <c r="S1570" t="s">
        <v>2562</v>
      </c>
      <c r="T1570" s="6">
        <v>3500000000</v>
      </c>
      <c r="W1570" t="str">
        <f t="shared" si="25"/>
        <v>SOREN EF7 CNG1401</v>
      </c>
      <c r="X1570" t="e">
        <f>VLOOKUP(W1570,Sheet10!D:F,2,0)*10000000</f>
        <v>#N/A</v>
      </c>
      <c r="Y1570" t="s">
        <v>5712</v>
      </c>
    </row>
    <row r="1571" spans="1:25" x14ac:dyDescent="0.25">
      <c r="A1571" t="s">
        <v>4483</v>
      </c>
      <c r="B1571" t="s">
        <v>7256</v>
      </c>
      <c r="C1571">
        <v>606</v>
      </c>
      <c r="D1571" t="s">
        <v>63</v>
      </c>
      <c r="E1571" t="s">
        <v>64</v>
      </c>
      <c r="F1571" t="s">
        <v>318</v>
      </c>
      <c r="H1571">
        <v>100</v>
      </c>
      <c r="I1571">
        <v>1401</v>
      </c>
      <c r="J1571" t="s">
        <v>7257</v>
      </c>
      <c r="K1571" t="s">
        <v>7258</v>
      </c>
      <c r="M1571" t="s">
        <v>4487</v>
      </c>
      <c r="N1571">
        <v>60602</v>
      </c>
      <c r="O1571" t="s">
        <v>4488</v>
      </c>
      <c r="Q1571" t="s">
        <v>4489</v>
      </c>
      <c r="R1571" t="s">
        <v>7259</v>
      </c>
      <c r="S1571" t="s">
        <v>3597</v>
      </c>
      <c r="T1571" s="6">
        <v>5000000000</v>
      </c>
      <c r="W1571" t="str">
        <f t="shared" si="25"/>
        <v>207i TU5P A1401</v>
      </c>
      <c r="X1571">
        <f>VLOOKUP(W1571,Sheet10!D:F,2,0)*10000000</f>
        <v>7100000000</v>
      </c>
      <c r="Y1571" t="s">
        <v>5712</v>
      </c>
    </row>
    <row r="1572" spans="1:25" x14ac:dyDescent="0.25">
      <c r="A1572" t="s">
        <v>5834</v>
      </c>
      <c r="B1572" t="s">
        <v>7260</v>
      </c>
      <c r="C1572">
        <v>600</v>
      </c>
      <c r="D1572" t="s">
        <v>4345</v>
      </c>
      <c r="E1572" t="s">
        <v>64</v>
      </c>
      <c r="F1572" t="s">
        <v>420</v>
      </c>
      <c r="H1572">
        <v>99</v>
      </c>
      <c r="I1572">
        <v>1401</v>
      </c>
      <c r="J1572" t="s">
        <v>7261</v>
      </c>
      <c r="K1572" t="s">
        <v>7262</v>
      </c>
      <c r="M1572" t="s">
        <v>3246</v>
      </c>
      <c r="N1572">
        <v>60010</v>
      </c>
      <c r="O1572" t="s">
        <v>303</v>
      </c>
      <c r="Q1572" t="s">
        <v>3247</v>
      </c>
      <c r="R1572" t="s">
        <v>7263</v>
      </c>
      <c r="S1572" t="s">
        <v>2840</v>
      </c>
      <c r="T1572" s="6">
        <v>5300000000</v>
      </c>
      <c r="W1572" t="str">
        <f t="shared" si="25"/>
        <v>207i-MT1401</v>
      </c>
      <c r="X1572">
        <f>VLOOKUP(W1572,Sheet10!D:F,2,0)*10000000</f>
        <v>5800000000</v>
      </c>
      <c r="Y1572" t="s">
        <v>5712</v>
      </c>
    </row>
    <row r="1573" spans="1:25" x14ac:dyDescent="0.25">
      <c r="A1573" t="s">
        <v>5976</v>
      </c>
      <c r="B1573" t="s">
        <v>7264</v>
      </c>
      <c r="C1573">
        <v>704</v>
      </c>
      <c r="D1573" t="s">
        <v>259</v>
      </c>
      <c r="E1573" t="s">
        <v>64</v>
      </c>
      <c r="F1573" t="s">
        <v>4256</v>
      </c>
      <c r="H1573">
        <v>97</v>
      </c>
      <c r="I1573">
        <v>1400</v>
      </c>
      <c r="J1573" t="s">
        <v>7265</v>
      </c>
      <c r="K1573" t="s">
        <v>7266</v>
      </c>
      <c r="M1573" t="s">
        <v>4401</v>
      </c>
      <c r="N1573">
        <v>70406</v>
      </c>
      <c r="O1573" t="s">
        <v>70</v>
      </c>
      <c r="Q1573" t="s">
        <v>5974</v>
      </c>
      <c r="R1573" t="s">
        <v>7267</v>
      </c>
      <c r="S1573" t="s">
        <v>660</v>
      </c>
      <c r="T1573" s="6">
        <v>5700000000</v>
      </c>
      <c r="W1573" t="str">
        <f t="shared" si="25"/>
        <v>DENA EF7 TC-MT1400</v>
      </c>
      <c r="X1573" t="e">
        <f>VLOOKUP(W1573,Sheet10!D:F,2,0)*10000000</f>
        <v>#N/A</v>
      </c>
      <c r="Y1573" t="s">
        <v>5712</v>
      </c>
    </row>
    <row r="1574" spans="1:25" x14ac:dyDescent="0.25">
      <c r="A1574" t="s">
        <v>4497</v>
      </c>
      <c r="B1574" t="s">
        <v>4604</v>
      </c>
      <c r="C1574">
        <v>606</v>
      </c>
      <c r="D1574" t="s">
        <v>77</v>
      </c>
      <c r="E1574" t="s">
        <v>64</v>
      </c>
      <c r="F1574" t="s">
        <v>4256</v>
      </c>
      <c r="H1574">
        <v>97</v>
      </c>
      <c r="I1574">
        <v>1400</v>
      </c>
      <c r="J1574" t="s">
        <v>4605</v>
      </c>
      <c r="K1574" t="s">
        <v>4606</v>
      </c>
      <c r="M1574" t="s">
        <v>4487</v>
      </c>
      <c r="N1574">
        <v>60602</v>
      </c>
      <c r="O1574" t="s">
        <v>4488</v>
      </c>
      <c r="Q1574" t="s">
        <v>4489</v>
      </c>
      <c r="R1574" t="s">
        <v>4607</v>
      </c>
      <c r="S1574" t="s">
        <v>4516</v>
      </c>
      <c r="T1574" s="6">
        <v>5450000000</v>
      </c>
      <c r="W1574" t="str">
        <f t="shared" si="25"/>
        <v>207i TU5P A1400</v>
      </c>
      <c r="X1574">
        <f>VLOOKUP(W1574,Sheet10!D:F,2,0)*10000000</f>
        <v>7000000000</v>
      </c>
      <c r="Y1574" t="s">
        <v>5712</v>
      </c>
    </row>
    <row r="1575" spans="1:25" x14ac:dyDescent="0.25">
      <c r="A1575" t="s">
        <v>5970</v>
      </c>
      <c r="B1575" t="s">
        <v>7268</v>
      </c>
      <c r="C1575">
        <v>704</v>
      </c>
      <c r="D1575" t="s">
        <v>77</v>
      </c>
      <c r="E1575" t="s">
        <v>64</v>
      </c>
      <c r="F1575" t="s">
        <v>420</v>
      </c>
      <c r="H1575">
        <v>96</v>
      </c>
      <c r="I1575">
        <v>1401</v>
      </c>
      <c r="J1575" t="s">
        <v>7269</v>
      </c>
      <c r="K1575" t="s">
        <v>7270</v>
      </c>
      <c r="M1575" t="s">
        <v>4401</v>
      </c>
      <c r="N1575">
        <v>70406</v>
      </c>
      <c r="O1575" t="s">
        <v>70</v>
      </c>
      <c r="Q1575" t="s">
        <v>5974</v>
      </c>
      <c r="R1575" t="s">
        <v>7271</v>
      </c>
      <c r="S1575" t="s">
        <v>1318</v>
      </c>
      <c r="T1575" s="6">
        <v>5950000000</v>
      </c>
      <c r="W1575" t="str">
        <f t="shared" si="25"/>
        <v>DENA EF7 TC-MT1401</v>
      </c>
      <c r="X1575">
        <f>VLOOKUP(W1575,Sheet10!D:F,2,0)*10000000</f>
        <v>6750000000</v>
      </c>
      <c r="Y1575" t="s">
        <v>5712</v>
      </c>
    </row>
    <row r="1576" spans="1:25" x14ac:dyDescent="0.25">
      <c r="A1576" t="s">
        <v>5997</v>
      </c>
      <c r="B1576" t="s">
        <v>7272</v>
      </c>
      <c r="C1576">
        <v>704</v>
      </c>
      <c r="D1576" t="s">
        <v>63</v>
      </c>
      <c r="E1576" t="s">
        <v>64</v>
      </c>
      <c r="F1576" t="s">
        <v>4256</v>
      </c>
      <c r="H1576">
        <v>95</v>
      </c>
      <c r="I1576">
        <v>1400</v>
      </c>
      <c r="J1576" t="s">
        <v>7273</v>
      </c>
      <c r="K1576" t="s">
        <v>7274</v>
      </c>
      <c r="M1576" t="s">
        <v>4401</v>
      </c>
      <c r="N1576">
        <v>70406</v>
      </c>
      <c r="O1576" t="s">
        <v>70</v>
      </c>
      <c r="Q1576" t="s">
        <v>5974</v>
      </c>
      <c r="R1576" t="s">
        <v>7275</v>
      </c>
      <c r="S1576" t="s">
        <v>135</v>
      </c>
      <c r="T1576" s="6">
        <v>5650000000</v>
      </c>
      <c r="W1576" t="str">
        <f t="shared" si="25"/>
        <v>DENA EF7 TC-MT1400</v>
      </c>
      <c r="X1576" t="e">
        <f>VLOOKUP(W1576,Sheet10!D:F,2,0)*10000000</f>
        <v>#N/A</v>
      </c>
      <c r="Y1576" t="s">
        <v>5712</v>
      </c>
    </row>
    <row r="1577" spans="1:25" x14ac:dyDescent="0.25">
      <c r="A1577" t="s">
        <v>7211</v>
      </c>
      <c r="B1577" t="s">
        <v>7276</v>
      </c>
      <c r="C1577">
        <v>323</v>
      </c>
      <c r="D1577" t="s">
        <v>63</v>
      </c>
      <c r="E1577" t="s">
        <v>64</v>
      </c>
      <c r="F1577" t="s">
        <v>4256</v>
      </c>
      <c r="H1577">
        <v>95</v>
      </c>
      <c r="I1577">
        <v>1400</v>
      </c>
      <c r="J1577" t="s">
        <v>7277</v>
      </c>
      <c r="K1577" t="s">
        <v>7278</v>
      </c>
      <c r="M1577" t="s">
        <v>5192</v>
      </c>
      <c r="N1577">
        <v>32304</v>
      </c>
      <c r="O1577" t="s">
        <v>70</v>
      </c>
      <c r="Q1577" t="s">
        <v>7215</v>
      </c>
      <c r="R1577" t="s">
        <v>7279</v>
      </c>
      <c r="S1577" t="s">
        <v>3857</v>
      </c>
      <c r="T1577" s="6">
        <v>6100000000</v>
      </c>
      <c r="W1577" t="str">
        <f t="shared" si="25"/>
        <v>TARA TU5PA1400</v>
      </c>
      <c r="X1577">
        <f>VLOOKUP(W1577,Sheet10!D:F,2,0)*10000000</f>
        <v>7200000000</v>
      </c>
      <c r="Y1577" t="s">
        <v>5712</v>
      </c>
    </row>
    <row r="1578" spans="1:25" x14ac:dyDescent="0.25">
      <c r="A1578" t="s">
        <v>6237</v>
      </c>
      <c r="B1578" t="s">
        <v>7280</v>
      </c>
      <c r="C1578">
        <v>606</v>
      </c>
      <c r="D1578" t="s">
        <v>63</v>
      </c>
      <c r="E1578" t="s">
        <v>64</v>
      </c>
      <c r="F1578" t="s">
        <v>4256</v>
      </c>
      <c r="H1578">
        <v>95</v>
      </c>
      <c r="I1578">
        <v>1400</v>
      </c>
      <c r="J1578" t="s">
        <v>7281</v>
      </c>
      <c r="K1578" t="s">
        <v>7282</v>
      </c>
      <c r="M1578" t="s">
        <v>4487</v>
      </c>
      <c r="N1578">
        <v>60601</v>
      </c>
      <c r="O1578" t="s">
        <v>4488</v>
      </c>
      <c r="Q1578" t="s">
        <v>6241</v>
      </c>
      <c r="R1578" t="s">
        <v>7283</v>
      </c>
      <c r="S1578" t="s">
        <v>2528</v>
      </c>
      <c r="T1578" s="6">
        <v>6150000000</v>
      </c>
      <c r="W1578" t="str">
        <f t="shared" si="25"/>
        <v>207i TU5P A1400</v>
      </c>
      <c r="X1578">
        <f>VLOOKUP(W1578,Sheet10!D:F,2,0)*10000000</f>
        <v>7000000000</v>
      </c>
      <c r="Y1578" t="s">
        <v>5712</v>
      </c>
    </row>
    <row r="1579" spans="1:25" x14ac:dyDescent="0.25">
      <c r="A1579" t="s">
        <v>5997</v>
      </c>
      <c r="B1579" t="s">
        <v>7284</v>
      </c>
      <c r="C1579">
        <v>704</v>
      </c>
      <c r="D1579" t="s">
        <v>63</v>
      </c>
      <c r="E1579" t="s">
        <v>64</v>
      </c>
      <c r="F1579" t="s">
        <v>4256</v>
      </c>
      <c r="H1579">
        <v>93</v>
      </c>
      <c r="I1579">
        <v>1400</v>
      </c>
      <c r="J1579" t="s">
        <v>7285</v>
      </c>
      <c r="K1579" t="s">
        <v>6684</v>
      </c>
      <c r="M1579" t="s">
        <v>4401</v>
      </c>
      <c r="N1579">
        <v>70406</v>
      </c>
      <c r="O1579" t="s">
        <v>70</v>
      </c>
      <c r="Q1579" t="s">
        <v>5974</v>
      </c>
      <c r="R1579" t="s">
        <v>7286</v>
      </c>
      <c r="S1579" t="s">
        <v>1312</v>
      </c>
      <c r="T1579" s="6">
        <v>5700000000</v>
      </c>
      <c r="W1579" t="str">
        <f t="shared" si="25"/>
        <v>DENA EF7 TC-MT1400</v>
      </c>
      <c r="X1579" t="e">
        <f>VLOOKUP(W1579,Sheet10!D:F,2,0)*10000000</f>
        <v>#N/A</v>
      </c>
      <c r="Y1579" t="s">
        <v>5712</v>
      </c>
    </row>
    <row r="1580" spans="1:25" x14ac:dyDescent="0.25">
      <c r="A1580" t="s">
        <v>6237</v>
      </c>
      <c r="B1580" t="s">
        <v>7287</v>
      </c>
      <c r="C1580">
        <v>606</v>
      </c>
      <c r="D1580" t="s">
        <v>63</v>
      </c>
      <c r="E1580" t="s">
        <v>64</v>
      </c>
      <c r="F1580" t="s">
        <v>4256</v>
      </c>
      <c r="H1580">
        <v>92</v>
      </c>
      <c r="I1580">
        <v>1400</v>
      </c>
      <c r="J1580" t="s">
        <v>7288</v>
      </c>
      <c r="K1580" t="s">
        <v>6617</v>
      </c>
      <c r="M1580" t="s">
        <v>4487</v>
      </c>
      <c r="N1580">
        <v>60601</v>
      </c>
      <c r="O1580" t="s">
        <v>4488</v>
      </c>
      <c r="Q1580" t="s">
        <v>6241</v>
      </c>
      <c r="R1580" t="s">
        <v>7289</v>
      </c>
      <c r="S1580" t="s">
        <v>3221</v>
      </c>
      <c r="T1580" s="6">
        <v>6200000000</v>
      </c>
      <c r="W1580" t="str">
        <f t="shared" si="25"/>
        <v>207i TU5P A1400</v>
      </c>
      <c r="X1580">
        <f>VLOOKUP(W1580,Sheet10!D:F,2,0)*10000000</f>
        <v>7000000000</v>
      </c>
      <c r="Y1580" t="s">
        <v>5712</v>
      </c>
    </row>
    <row r="1581" spans="1:25" x14ac:dyDescent="0.25">
      <c r="A1581" t="s">
        <v>5997</v>
      </c>
      <c r="B1581" t="s">
        <v>7290</v>
      </c>
      <c r="C1581">
        <v>704</v>
      </c>
      <c r="D1581" t="s">
        <v>63</v>
      </c>
      <c r="E1581" t="s">
        <v>64</v>
      </c>
      <c r="F1581" t="s">
        <v>4256</v>
      </c>
      <c r="H1581">
        <v>90</v>
      </c>
      <c r="I1581">
        <v>1400</v>
      </c>
      <c r="J1581" t="s">
        <v>7291</v>
      </c>
      <c r="K1581" t="s">
        <v>7292</v>
      </c>
      <c r="M1581" t="s">
        <v>4401</v>
      </c>
      <c r="N1581">
        <v>70406</v>
      </c>
      <c r="O1581" t="s">
        <v>70</v>
      </c>
      <c r="Q1581" t="s">
        <v>5974</v>
      </c>
      <c r="R1581" t="s">
        <v>7293</v>
      </c>
      <c r="S1581" t="s">
        <v>1401</v>
      </c>
      <c r="T1581" s="6">
        <v>5700000000</v>
      </c>
      <c r="W1581" t="str">
        <f t="shared" si="25"/>
        <v>DENA EF7 TC-MT1400</v>
      </c>
      <c r="X1581" t="e">
        <f>VLOOKUP(W1581,Sheet10!D:F,2,0)*10000000</f>
        <v>#N/A</v>
      </c>
      <c r="Y1581" t="s">
        <v>5712</v>
      </c>
    </row>
    <row r="1582" spans="1:25" x14ac:dyDescent="0.25">
      <c r="A1582" t="s">
        <v>6029</v>
      </c>
      <c r="B1582" t="s">
        <v>7294</v>
      </c>
      <c r="C1582">
        <v>704</v>
      </c>
      <c r="D1582" t="s">
        <v>240</v>
      </c>
      <c r="E1582" t="s">
        <v>64</v>
      </c>
      <c r="F1582" t="s">
        <v>420</v>
      </c>
      <c r="H1582">
        <v>89</v>
      </c>
      <c r="I1582">
        <v>1401</v>
      </c>
      <c r="J1582" t="s">
        <v>7295</v>
      </c>
      <c r="K1582" t="s">
        <v>7296</v>
      </c>
      <c r="M1582" t="s">
        <v>4401</v>
      </c>
      <c r="N1582">
        <v>70406</v>
      </c>
      <c r="O1582" t="s">
        <v>70</v>
      </c>
      <c r="Q1582" t="s">
        <v>5974</v>
      </c>
      <c r="R1582" t="s">
        <v>7297</v>
      </c>
      <c r="S1582" t="s">
        <v>1000</v>
      </c>
      <c r="T1582" s="6">
        <v>5900000000</v>
      </c>
      <c r="W1582" t="str">
        <f t="shared" si="25"/>
        <v>DENA EF7 TC-MT1401</v>
      </c>
      <c r="X1582">
        <f>VLOOKUP(W1582,Sheet10!D:F,2,0)*10000000</f>
        <v>6750000000</v>
      </c>
      <c r="Y1582" t="s">
        <v>5712</v>
      </c>
    </row>
    <row r="1583" spans="1:25" x14ac:dyDescent="0.25">
      <c r="A1583" t="s">
        <v>6237</v>
      </c>
      <c r="B1583" t="s">
        <v>7298</v>
      </c>
      <c r="C1583">
        <v>606</v>
      </c>
      <c r="D1583" t="s">
        <v>63</v>
      </c>
      <c r="E1583" t="s">
        <v>64</v>
      </c>
      <c r="F1583" t="s">
        <v>4256</v>
      </c>
      <c r="H1583">
        <v>89</v>
      </c>
      <c r="I1583">
        <v>1400</v>
      </c>
      <c r="J1583" t="s">
        <v>7299</v>
      </c>
      <c r="K1583" t="s">
        <v>7300</v>
      </c>
      <c r="M1583" t="s">
        <v>4487</v>
      </c>
      <c r="N1583">
        <v>60601</v>
      </c>
      <c r="O1583" t="s">
        <v>4488</v>
      </c>
      <c r="Q1583" t="s">
        <v>6241</v>
      </c>
      <c r="R1583" t="s">
        <v>7301</v>
      </c>
      <c r="S1583" t="s">
        <v>2987</v>
      </c>
      <c r="T1583" s="6">
        <v>6200000000</v>
      </c>
      <c r="W1583" t="str">
        <f t="shared" si="25"/>
        <v>207i TU5P A1400</v>
      </c>
      <c r="X1583">
        <f>VLOOKUP(W1583,Sheet10!D:F,2,0)*10000000</f>
        <v>7000000000</v>
      </c>
      <c r="Y1583" t="s">
        <v>5712</v>
      </c>
    </row>
    <row r="1584" spans="1:25" x14ac:dyDescent="0.25">
      <c r="A1584" t="s">
        <v>6237</v>
      </c>
      <c r="B1584" t="s">
        <v>7302</v>
      </c>
      <c r="C1584">
        <v>606</v>
      </c>
      <c r="D1584" t="s">
        <v>63</v>
      </c>
      <c r="E1584" t="s">
        <v>64</v>
      </c>
      <c r="F1584" t="s">
        <v>4256</v>
      </c>
      <c r="H1584">
        <v>87</v>
      </c>
      <c r="I1584">
        <v>1400</v>
      </c>
      <c r="J1584" t="s">
        <v>7303</v>
      </c>
      <c r="K1584" t="s">
        <v>6617</v>
      </c>
      <c r="M1584" t="s">
        <v>4487</v>
      </c>
      <c r="N1584">
        <v>60601</v>
      </c>
      <c r="O1584" t="s">
        <v>4488</v>
      </c>
      <c r="Q1584" t="s">
        <v>6241</v>
      </c>
      <c r="R1584" t="s">
        <v>7304</v>
      </c>
      <c r="S1584" t="s">
        <v>4594</v>
      </c>
      <c r="T1584" s="6">
        <v>6200000000</v>
      </c>
      <c r="W1584" t="str">
        <f t="shared" si="25"/>
        <v>207i TU5P A1400</v>
      </c>
      <c r="X1584">
        <f>VLOOKUP(W1584,Sheet10!D:F,2,0)*10000000</f>
        <v>7000000000</v>
      </c>
      <c r="Y1584" t="s">
        <v>5712</v>
      </c>
    </row>
    <row r="1585" spans="1:25" x14ac:dyDescent="0.25">
      <c r="A1585" t="s">
        <v>6237</v>
      </c>
      <c r="B1585" t="s">
        <v>7305</v>
      </c>
      <c r="C1585">
        <v>606</v>
      </c>
      <c r="D1585" t="s">
        <v>63</v>
      </c>
      <c r="E1585" t="s">
        <v>64</v>
      </c>
      <c r="F1585" t="s">
        <v>4256</v>
      </c>
      <c r="H1585">
        <v>87</v>
      </c>
      <c r="I1585">
        <v>1400</v>
      </c>
      <c r="J1585" t="s">
        <v>7306</v>
      </c>
      <c r="K1585" t="s">
        <v>7307</v>
      </c>
      <c r="M1585" t="s">
        <v>4487</v>
      </c>
      <c r="N1585">
        <v>60601</v>
      </c>
      <c r="O1585" t="s">
        <v>4488</v>
      </c>
      <c r="Q1585" t="s">
        <v>6241</v>
      </c>
      <c r="R1585" t="s">
        <v>7308</v>
      </c>
      <c r="S1585" t="s">
        <v>3149</v>
      </c>
      <c r="T1585" s="6">
        <v>6200000000</v>
      </c>
      <c r="W1585" t="str">
        <f t="shared" si="25"/>
        <v>207i TU5P A1400</v>
      </c>
      <c r="X1585">
        <f>VLOOKUP(W1585,Sheet10!D:F,2,0)*10000000</f>
        <v>7000000000</v>
      </c>
      <c r="Y1585" t="s">
        <v>5712</v>
      </c>
    </row>
    <row r="1586" spans="1:25" x14ac:dyDescent="0.25">
      <c r="A1586" t="s">
        <v>7309</v>
      </c>
      <c r="B1586" t="s">
        <v>7310</v>
      </c>
      <c r="C1586">
        <v>703</v>
      </c>
      <c r="D1586" t="s">
        <v>63</v>
      </c>
      <c r="E1586" t="s">
        <v>64</v>
      </c>
      <c r="F1586" t="s">
        <v>7311</v>
      </c>
      <c r="H1586">
        <v>999999</v>
      </c>
      <c r="I1586">
        <v>1394</v>
      </c>
      <c r="J1586" t="s">
        <v>7312</v>
      </c>
      <c r="K1586" t="s">
        <v>7313</v>
      </c>
      <c r="M1586" t="s">
        <v>2946</v>
      </c>
      <c r="N1586">
        <v>70301</v>
      </c>
      <c r="O1586" t="s">
        <v>70</v>
      </c>
      <c r="Q1586" t="s">
        <v>7314</v>
      </c>
      <c r="R1586" t="s">
        <v>7315</v>
      </c>
      <c r="S1586" t="s">
        <v>4068</v>
      </c>
      <c r="T1586" s="6">
        <v>400000000</v>
      </c>
      <c r="W1586" t="str">
        <f t="shared" si="25"/>
        <v>DENA+EF7-MT1394</v>
      </c>
      <c r="X1586" t="e">
        <f>VLOOKUP(W1586,Sheet10!D:F,2,0)*10000000</f>
        <v>#N/A</v>
      </c>
      <c r="Y1586" t="s">
        <v>5712</v>
      </c>
    </row>
    <row r="1587" spans="1:25" x14ac:dyDescent="0.25">
      <c r="A1587" t="s">
        <v>7316</v>
      </c>
      <c r="B1587" t="s">
        <v>7317</v>
      </c>
      <c r="C1587">
        <v>706</v>
      </c>
      <c r="D1587" t="s">
        <v>63</v>
      </c>
      <c r="E1587" t="s">
        <v>64</v>
      </c>
      <c r="F1587" t="s">
        <v>7311</v>
      </c>
      <c r="H1587">
        <v>999999</v>
      </c>
      <c r="I1587">
        <v>1397</v>
      </c>
      <c r="J1587" t="s">
        <v>7318</v>
      </c>
      <c r="K1587" t="s">
        <v>7319</v>
      </c>
      <c r="N1587">
        <v>70601</v>
      </c>
      <c r="O1587" t="s">
        <v>70</v>
      </c>
      <c r="Q1587" t="s">
        <v>7320</v>
      </c>
      <c r="R1587" t="s">
        <v>7321</v>
      </c>
      <c r="S1587" t="s">
        <v>4171</v>
      </c>
      <c r="T1587" s="6">
        <v>800000000</v>
      </c>
      <c r="W1587" t="str">
        <f t="shared" si="25"/>
        <v>1397</v>
      </c>
      <c r="X1587" t="e">
        <f>VLOOKUP(W1587,Sheet10!D:F,2,0)*10000000</f>
        <v>#N/A</v>
      </c>
      <c r="Y1587" t="s">
        <v>5712</v>
      </c>
    </row>
    <row r="1588" spans="1:25" x14ac:dyDescent="0.25">
      <c r="A1588" t="s">
        <v>7322</v>
      </c>
      <c r="B1588" t="s">
        <v>7323</v>
      </c>
      <c r="C1588">
        <v>707</v>
      </c>
      <c r="D1588" t="s">
        <v>63</v>
      </c>
      <c r="E1588" t="s">
        <v>64</v>
      </c>
      <c r="F1588" t="s">
        <v>7311</v>
      </c>
      <c r="H1588">
        <v>999999</v>
      </c>
      <c r="I1588">
        <v>1397</v>
      </c>
      <c r="J1588" t="s">
        <v>7324</v>
      </c>
      <c r="K1588" t="s">
        <v>7325</v>
      </c>
      <c r="M1588" t="s">
        <v>3450</v>
      </c>
      <c r="N1588">
        <v>70701</v>
      </c>
      <c r="O1588" t="s">
        <v>70</v>
      </c>
      <c r="Q1588" t="s">
        <v>7326</v>
      </c>
      <c r="R1588" t="s">
        <v>7327</v>
      </c>
      <c r="S1588" t="s">
        <v>4105</v>
      </c>
      <c r="T1588" s="6">
        <v>750000000</v>
      </c>
      <c r="W1588" t="str">
        <f t="shared" si="25"/>
        <v>DENA+EF7TC A1397</v>
      </c>
      <c r="X1588" t="e">
        <f>VLOOKUP(W1588,Sheet10!D:F,2,0)*10000000</f>
        <v>#N/A</v>
      </c>
      <c r="Y1588" t="s">
        <v>5712</v>
      </c>
    </row>
    <row r="1589" spans="1:25" x14ac:dyDescent="0.25">
      <c r="A1589" t="s">
        <v>7328</v>
      </c>
      <c r="B1589" t="s">
        <v>7329</v>
      </c>
      <c r="C1589">
        <v>701</v>
      </c>
      <c r="D1589" t="s">
        <v>63</v>
      </c>
      <c r="E1589" t="s">
        <v>64</v>
      </c>
      <c r="F1589" t="s">
        <v>7311</v>
      </c>
      <c r="H1589">
        <v>999999</v>
      </c>
      <c r="I1589">
        <v>1396</v>
      </c>
      <c r="J1589" t="s">
        <v>7330</v>
      </c>
      <c r="K1589" t="s">
        <v>7331</v>
      </c>
      <c r="M1589" t="s">
        <v>408</v>
      </c>
      <c r="N1589">
        <v>70102</v>
      </c>
      <c r="O1589" t="s">
        <v>70</v>
      </c>
      <c r="Q1589" t="s">
        <v>7332</v>
      </c>
      <c r="R1589" t="s">
        <v>7333</v>
      </c>
      <c r="S1589" t="s">
        <v>4156</v>
      </c>
      <c r="T1589" s="6">
        <v>680000000</v>
      </c>
      <c r="W1589" t="str">
        <f t="shared" si="25"/>
        <v>DENA EF71396</v>
      </c>
      <c r="X1589" t="e">
        <f>VLOOKUP(W1589,Sheet10!D:F,2,0)*10000000</f>
        <v>#N/A</v>
      </c>
      <c r="Y1589" t="s">
        <v>5712</v>
      </c>
    </row>
    <row r="1590" spans="1:25" x14ac:dyDescent="0.25">
      <c r="A1590" t="s">
        <v>7334</v>
      </c>
      <c r="B1590" t="s">
        <v>7335</v>
      </c>
      <c r="C1590">
        <v>601</v>
      </c>
      <c r="D1590" t="s">
        <v>63</v>
      </c>
      <c r="E1590" t="s">
        <v>64</v>
      </c>
      <c r="F1590" t="s">
        <v>7311</v>
      </c>
      <c r="H1590">
        <v>999999</v>
      </c>
      <c r="I1590">
        <v>1396</v>
      </c>
      <c r="J1590" t="s">
        <v>7336</v>
      </c>
      <c r="K1590" t="s">
        <v>7337</v>
      </c>
      <c r="M1590" t="s">
        <v>5891</v>
      </c>
      <c r="N1590">
        <v>60102</v>
      </c>
      <c r="O1590" t="s">
        <v>303</v>
      </c>
      <c r="Q1590" t="s">
        <v>7338</v>
      </c>
      <c r="R1590" t="s">
        <v>7339</v>
      </c>
      <c r="S1590" t="s">
        <v>3812</v>
      </c>
      <c r="T1590" s="6">
        <v>600000000</v>
      </c>
      <c r="W1590" t="str">
        <f t="shared" si="25"/>
        <v>207i-AT1396</v>
      </c>
      <c r="X1590" t="e">
        <f>VLOOKUP(W1590,Sheet10!D:F,2,0)*10000000</f>
        <v>#N/A</v>
      </c>
      <c r="Y1590" t="s">
        <v>5712</v>
      </c>
    </row>
    <row r="1591" spans="1:25" x14ac:dyDescent="0.25">
      <c r="A1591" t="s">
        <v>2476</v>
      </c>
      <c r="B1591" t="s">
        <v>7340</v>
      </c>
      <c r="C1591">
        <v>575</v>
      </c>
      <c r="D1591" t="s">
        <v>63</v>
      </c>
      <c r="E1591" t="s">
        <v>64</v>
      </c>
      <c r="F1591" t="s">
        <v>318</v>
      </c>
      <c r="H1591">
        <v>5964</v>
      </c>
      <c r="I1591">
        <v>1400</v>
      </c>
      <c r="J1591" t="s">
        <v>7341</v>
      </c>
      <c r="K1591" t="s">
        <v>7342</v>
      </c>
      <c r="M1591" t="s">
        <v>367</v>
      </c>
      <c r="N1591">
        <v>57519</v>
      </c>
      <c r="O1591" t="s">
        <v>70</v>
      </c>
      <c r="Q1591" t="s">
        <v>2420</v>
      </c>
      <c r="R1591" t="s">
        <v>7343</v>
      </c>
      <c r="S1591" t="s">
        <v>953</v>
      </c>
      <c r="T1591" s="6">
        <v>3550000000</v>
      </c>
      <c r="W1591" t="str">
        <f t="shared" si="25"/>
        <v>SOREN EF71400</v>
      </c>
      <c r="X1591">
        <f>VLOOKUP(W1591,Sheet10!D:F,2,0)*10000000</f>
        <v>4350000000</v>
      </c>
      <c r="Y1591" t="s">
        <v>5712</v>
      </c>
    </row>
    <row r="1592" spans="1:25" x14ac:dyDescent="0.25">
      <c r="A1592" t="s">
        <v>2476</v>
      </c>
      <c r="B1592" t="s">
        <v>7344</v>
      </c>
      <c r="C1592">
        <v>575</v>
      </c>
      <c r="D1592" t="s">
        <v>63</v>
      </c>
      <c r="E1592" t="s">
        <v>64</v>
      </c>
      <c r="F1592" t="s">
        <v>362</v>
      </c>
      <c r="H1592">
        <v>5530</v>
      </c>
      <c r="I1592">
        <v>1400</v>
      </c>
      <c r="J1592" t="s">
        <v>7345</v>
      </c>
      <c r="K1592" t="s">
        <v>7346</v>
      </c>
      <c r="M1592" t="s">
        <v>367</v>
      </c>
      <c r="N1592">
        <v>57519</v>
      </c>
      <c r="O1592" t="s">
        <v>70</v>
      </c>
      <c r="Q1592" t="s">
        <v>2420</v>
      </c>
      <c r="R1592" t="s">
        <v>7347</v>
      </c>
      <c r="S1592" t="s">
        <v>797</v>
      </c>
      <c r="T1592" s="6">
        <v>3570000000</v>
      </c>
      <c r="W1592" t="str">
        <f t="shared" si="25"/>
        <v>SOREN EF71400</v>
      </c>
      <c r="X1592">
        <f>VLOOKUP(W1592,Sheet10!D:F,2,0)*10000000</f>
        <v>4350000000</v>
      </c>
      <c r="Y1592" t="s">
        <v>5712</v>
      </c>
    </row>
    <row r="1593" spans="1:25" x14ac:dyDescent="0.25">
      <c r="A1593" t="s">
        <v>6360</v>
      </c>
      <c r="B1593" t="s">
        <v>7348</v>
      </c>
      <c r="C1593">
        <v>575</v>
      </c>
      <c r="D1593" t="s">
        <v>4479</v>
      </c>
      <c r="E1593" t="s">
        <v>64</v>
      </c>
      <c r="F1593" t="s">
        <v>420</v>
      </c>
      <c r="H1593">
        <v>4962</v>
      </c>
      <c r="I1593">
        <v>1401</v>
      </c>
      <c r="J1593" t="s">
        <v>7349</v>
      </c>
      <c r="K1593" t="s">
        <v>7350</v>
      </c>
      <c r="M1593" t="s">
        <v>367</v>
      </c>
      <c r="N1593">
        <v>57523</v>
      </c>
      <c r="O1593" t="s">
        <v>70</v>
      </c>
      <c r="Q1593" t="s">
        <v>2648</v>
      </c>
      <c r="R1593" t="s">
        <v>7351</v>
      </c>
      <c r="S1593" t="s">
        <v>2050</v>
      </c>
      <c r="T1593" s="6">
        <v>4120000000</v>
      </c>
      <c r="W1593" t="str">
        <f t="shared" si="25"/>
        <v>SOREN EF71401</v>
      </c>
      <c r="X1593">
        <f>VLOOKUP(W1593,Sheet10!D:F,2,0)*10000000</f>
        <v>4650000000</v>
      </c>
      <c r="Y1593" t="s">
        <v>5712</v>
      </c>
    </row>
    <row r="1594" spans="1:25" x14ac:dyDescent="0.25">
      <c r="A1594" t="s">
        <v>4318</v>
      </c>
      <c r="B1594" t="s">
        <v>7352</v>
      </c>
      <c r="C1594">
        <v>707</v>
      </c>
      <c r="D1594" t="s">
        <v>240</v>
      </c>
      <c r="E1594" t="s">
        <v>64</v>
      </c>
      <c r="F1594" t="s">
        <v>3186</v>
      </c>
      <c r="H1594">
        <v>3145</v>
      </c>
      <c r="I1594">
        <v>1401</v>
      </c>
      <c r="J1594" t="s">
        <v>7353</v>
      </c>
      <c r="K1594" t="s">
        <v>7354</v>
      </c>
      <c r="M1594" t="s">
        <v>3450</v>
      </c>
      <c r="N1594">
        <v>70702</v>
      </c>
      <c r="O1594" t="s">
        <v>70</v>
      </c>
      <c r="Q1594" t="s">
        <v>3451</v>
      </c>
      <c r="R1594" t="s">
        <v>7355</v>
      </c>
      <c r="S1594" t="s">
        <v>826</v>
      </c>
      <c r="T1594" s="6">
        <v>6270000000</v>
      </c>
      <c r="W1594" t="str">
        <f t="shared" si="25"/>
        <v>DENA+EF7TC A1401</v>
      </c>
      <c r="X1594">
        <f>VLOOKUP(W1594,Sheet10!D:F,2,0)*10000000</f>
        <v>7250000000</v>
      </c>
      <c r="Y1594" t="s">
        <v>5712</v>
      </c>
    </row>
    <row r="1595" spans="1:25" x14ac:dyDescent="0.25">
      <c r="A1595" t="s">
        <v>5976</v>
      </c>
      <c r="B1595" t="s">
        <v>7356</v>
      </c>
      <c r="C1595">
        <v>704</v>
      </c>
      <c r="D1595" t="s">
        <v>259</v>
      </c>
      <c r="E1595" t="s">
        <v>64</v>
      </c>
      <c r="F1595" t="s">
        <v>4256</v>
      </c>
      <c r="H1595">
        <v>3108</v>
      </c>
      <c r="I1595">
        <v>1400</v>
      </c>
      <c r="J1595" t="s">
        <v>7357</v>
      </c>
      <c r="K1595" t="s">
        <v>7358</v>
      </c>
      <c r="M1595" t="s">
        <v>4401</v>
      </c>
      <c r="N1595">
        <v>70406</v>
      </c>
      <c r="O1595" t="s">
        <v>70</v>
      </c>
      <c r="Q1595" t="s">
        <v>5974</v>
      </c>
      <c r="R1595" t="s">
        <v>7359</v>
      </c>
      <c r="S1595" t="s">
        <v>2178</v>
      </c>
      <c r="T1595" s="6">
        <v>5650000000</v>
      </c>
      <c r="W1595" t="str">
        <f t="shared" si="25"/>
        <v>DENA EF7 TC-MT1400</v>
      </c>
      <c r="X1595" t="e">
        <f>VLOOKUP(W1595,Sheet10!D:F,2,0)*10000000</f>
        <v>#N/A</v>
      </c>
      <c r="Y1595" t="s">
        <v>5712</v>
      </c>
    </row>
    <row r="1596" spans="1:25" x14ac:dyDescent="0.25">
      <c r="A1596" t="s">
        <v>5976</v>
      </c>
      <c r="B1596" t="s">
        <v>7360</v>
      </c>
      <c r="C1596">
        <v>704</v>
      </c>
      <c r="D1596" t="s">
        <v>259</v>
      </c>
      <c r="E1596" t="s">
        <v>64</v>
      </c>
      <c r="F1596" t="s">
        <v>4256</v>
      </c>
      <c r="H1596">
        <v>3067</v>
      </c>
      <c r="I1596">
        <v>1400</v>
      </c>
      <c r="J1596" t="s">
        <v>7361</v>
      </c>
      <c r="K1596" t="s">
        <v>7362</v>
      </c>
      <c r="M1596" t="s">
        <v>4401</v>
      </c>
      <c r="N1596">
        <v>70406</v>
      </c>
      <c r="O1596" t="s">
        <v>70</v>
      </c>
      <c r="Q1596" t="s">
        <v>5974</v>
      </c>
      <c r="R1596" t="s">
        <v>7363</v>
      </c>
      <c r="S1596" t="s">
        <v>698</v>
      </c>
      <c r="T1596" s="6">
        <v>5600000000</v>
      </c>
      <c r="W1596" t="str">
        <f t="shared" si="25"/>
        <v>DENA EF7 TC-MT1400</v>
      </c>
      <c r="X1596" t="e">
        <f>VLOOKUP(W1596,Sheet10!D:F,2,0)*10000000</f>
        <v>#N/A</v>
      </c>
      <c r="Y1596" t="s">
        <v>5712</v>
      </c>
    </row>
    <row r="1597" spans="1:25" x14ac:dyDescent="0.25">
      <c r="A1597" t="s">
        <v>2416</v>
      </c>
      <c r="B1597" t="s">
        <v>7364</v>
      </c>
      <c r="C1597">
        <v>575</v>
      </c>
      <c r="D1597" t="s">
        <v>259</v>
      </c>
      <c r="E1597" t="s">
        <v>64</v>
      </c>
      <c r="F1597" t="s">
        <v>318</v>
      </c>
      <c r="H1597">
        <v>2899</v>
      </c>
      <c r="I1597">
        <v>1400</v>
      </c>
      <c r="J1597" t="s">
        <v>7365</v>
      </c>
      <c r="K1597" t="s">
        <v>7366</v>
      </c>
      <c r="M1597" t="s">
        <v>367</v>
      </c>
      <c r="N1597">
        <v>57519</v>
      </c>
      <c r="O1597" t="s">
        <v>70</v>
      </c>
      <c r="Q1597" t="s">
        <v>2420</v>
      </c>
      <c r="R1597" t="s">
        <v>7367</v>
      </c>
      <c r="S1597" t="s">
        <v>143</v>
      </c>
      <c r="T1597" s="6">
        <v>3600000000</v>
      </c>
      <c r="W1597" t="str">
        <f t="shared" si="25"/>
        <v>SOREN EF71400</v>
      </c>
      <c r="X1597">
        <f>VLOOKUP(W1597,Sheet10!D:F,2,0)*10000000</f>
        <v>4350000000</v>
      </c>
      <c r="Y1597" t="s">
        <v>5712</v>
      </c>
    </row>
    <row r="1598" spans="1:25" x14ac:dyDescent="0.25">
      <c r="A1598" t="s">
        <v>3139</v>
      </c>
      <c r="B1598" t="s">
        <v>7368</v>
      </c>
      <c r="C1598">
        <v>575</v>
      </c>
      <c r="D1598" t="s">
        <v>77</v>
      </c>
      <c r="E1598" t="s">
        <v>64</v>
      </c>
      <c r="F1598" t="s">
        <v>420</v>
      </c>
      <c r="H1598">
        <v>2798</v>
      </c>
      <c r="I1598">
        <v>1401</v>
      </c>
      <c r="J1598" t="s">
        <v>7369</v>
      </c>
      <c r="K1598" t="s">
        <v>7370</v>
      </c>
      <c r="M1598" t="s">
        <v>367</v>
      </c>
      <c r="N1598">
        <v>57523</v>
      </c>
      <c r="O1598" t="s">
        <v>70</v>
      </c>
      <c r="Q1598" t="s">
        <v>2648</v>
      </c>
      <c r="R1598" t="s">
        <v>7371</v>
      </c>
      <c r="S1598" t="s">
        <v>1998</v>
      </c>
      <c r="T1598" s="6">
        <v>4050000000</v>
      </c>
      <c r="W1598" t="str">
        <f t="shared" si="25"/>
        <v>SOREN EF71401</v>
      </c>
      <c r="X1598">
        <f>VLOOKUP(W1598,Sheet10!D:F,2,0)*10000000</f>
        <v>4650000000</v>
      </c>
      <c r="Y1598" t="s">
        <v>5712</v>
      </c>
    </row>
    <row r="1599" spans="1:25" x14ac:dyDescent="0.25">
      <c r="A1599" t="s">
        <v>191</v>
      </c>
      <c r="B1599" t="s">
        <v>7372</v>
      </c>
      <c r="C1599">
        <v>285</v>
      </c>
      <c r="D1599" t="s">
        <v>63</v>
      </c>
      <c r="E1599" t="s">
        <v>64</v>
      </c>
      <c r="F1599" t="s">
        <v>318</v>
      </c>
      <c r="H1599">
        <v>2774</v>
      </c>
      <c r="I1599">
        <v>1400</v>
      </c>
      <c r="J1599" t="s">
        <v>7373</v>
      </c>
      <c r="K1599" t="s">
        <v>7374</v>
      </c>
      <c r="M1599" t="s">
        <v>198</v>
      </c>
      <c r="N1599">
        <v>28520</v>
      </c>
      <c r="O1599" t="s">
        <v>70</v>
      </c>
      <c r="Q1599" t="s">
        <v>199</v>
      </c>
      <c r="R1599" t="s">
        <v>7375</v>
      </c>
      <c r="S1599" t="s">
        <v>2533</v>
      </c>
      <c r="T1599" s="6">
        <v>4150000000</v>
      </c>
      <c r="W1599" t="str">
        <f t="shared" si="25"/>
        <v>PARS TU51400</v>
      </c>
      <c r="X1599">
        <f>VLOOKUP(W1599,Sheet10!D:F,2,0)*10000000</f>
        <v>5100000000</v>
      </c>
      <c r="Y1599" t="s">
        <v>5712</v>
      </c>
    </row>
    <row r="1600" spans="1:25" x14ac:dyDescent="0.25">
      <c r="A1600" t="s">
        <v>3928</v>
      </c>
      <c r="B1600" t="s">
        <v>7376</v>
      </c>
      <c r="C1600">
        <v>575</v>
      </c>
      <c r="D1600" t="s">
        <v>63</v>
      </c>
      <c r="E1600" t="s">
        <v>64</v>
      </c>
      <c r="F1600" t="s">
        <v>2696</v>
      </c>
      <c r="H1600">
        <v>2717</v>
      </c>
      <c r="I1600">
        <v>1401</v>
      </c>
      <c r="J1600" t="s">
        <v>7377</v>
      </c>
      <c r="K1600" t="s">
        <v>7378</v>
      </c>
      <c r="M1600" t="s">
        <v>367</v>
      </c>
      <c r="N1600">
        <v>57522</v>
      </c>
      <c r="O1600" t="s">
        <v>70</v>
      </c>
      <c r="Q1600" t="s">
        <v>3932</v>
      </c>
      <c r="R1600" t="s">
        <v>7379</v>
      </c>
      <c r="S1600" t="s">
        <v>1897</v>
      </c>
      <c r="T1600" s="6">
        <v>4200000000</v>
      </c>
      <c r="W1600" t="str">
        <f t="shared" si="25"/>
        <v>SOREN EF71401</v>
      </c>
      <c r="X1600">
        <f>VLOOKUP(W1600,Sheet10!D:F,2,0)*10000000</f>
        <v>4650000000</v>
      </c>
      <c r="Y1600" t="s">
        <v>5712</v>
      </c>
    </row>
    <row r="1601" spans="1:25" x14ac:dyDescent="0.25">
      <c r="A1601" t="s">
        <v>2416</v>
      </c>
      <c r="B1601" t="s">
        <v>7380</v>
      </c>
      <c r="C1601">
        <v>575</v>
      </c>
      <c r="D1601" t="s">
        <v>259</v>
      </c>
      <c r="E1601" t="s">
        <v>64</v>
      </c>
      <c r="F1601" t="s">
        <v>362</v>
      </c>
      <c r="H1601">
        <v>2367</v>
      </c>
      <c r="I1601">
        <v>1400</v>
      </c>
      <c r="J1601" t="s">
        <v>7381</v>
      </c>
      <c r="K1601" t="s">
        <v>7382</v>
      </c>
      <c r="M1601" t="s">
        <v>367</v>
      </c>
      <c r="N1601">
        <v>57519</v>
      </c>
      <c r="O1601" t="s">
        <v>70</v>
      </c>
      <c r="Q1601" t="s">
        <v>2420</v>
      </c>
      <c r="R1601" t="s">
        <v>7383</v>
      </c>
      <c r="S1601" t="s">
        <v>821</v>
      </c>
      <c r="T1601" s="6">
        <v>3630000000</v>
      </c>
      <c r="W1601" t="str">
        <f t="shared" si="25"/>
        <v>SOREN EF71400</v>
      </c>
      <c r="X1601">
        <f>VLOOKUP(W1601,Sheet10!D:F,2,0)*10000000</f>
        <v>4350000000</v>
      </c>
      <c r="Y1601" t="s">
        <v>5712</v>
      </c>
    </row>
    <row r="1602" spans="1:25" x14ac:dyDescent="0.25">
      <c r="A1602" t="s">
        <v>2861</v>
      </c>
      <c r="B1602" t="s">
        <v>7384</v>
      </c>
      <c r="C1602">
        <v>575</v>
      </c>
      <c r="D1602" t="s">
        <v>2461</v>
      </c>
      <c r="E1602" t="s">
        <v>64</v>
      </c>
      <c r="F1602" t="s">
        <v>420</v>
      </c>
      <c r="H1602">
        <v>2131</v>
      </c>
      <c r="I1602">
        <v>1401</v>
      </c>
      <c r="J1602" t="s">
        <v>7385</v>
      </c>
      <c r="K1602" t="s">
        <v>7386</v>
      </c>
      <c r="M1602" t="s">
        <v>367</v>
      </c>
      <c r="N1602">
        <v>57519</v>
      </c>
      <c r="O1602" t="s">
        <v>70</v>
      </c>
      <c r="Q1602" t="s">
        <v>2420</v>
      </c>
      <c r="R1602" t="s">
        <v>7387</v>
      </c>
      <c r="S1602" t="s">
        <v>444</v>
      </c>
      <c r="T1602" s="6">
        <v>3850000000</v>
      </c>
      <c r="W1602" t="str">
        <f t="shared" si="25"/>
        <v>SOREN EF71401</v>
      </c>
      <c r="X1602">
        <f>VLOOKUP(W1602,Sheet10!D:F,2,0)*10000000</f>
        <v>4650000000</v>
      </c>
      <c r="Y1602" t="s">
        <v>5712</v>
      </c>
    </row>
    <row r="1603" spans="1:25" x14ac:dyDescent="0.25">
      <c r="A1603" t="s">
        <v>7388</v>
      </c>
      <c r="B1603" t="s">
        <v>7389</v>
      </c>
      <c r="C1603">
        <v>521</v>
      </c>
      <c r="D1603" t="s">
        <v>4345</v>
      </c>
      <c r="E1603" t="s">
        <v>64</v>
      </c>
      <c r="F1603" t="s">
        <v>362</v>
      </c>
      <c r="H1603">
        <v>1992</v>
      </c>
      <c r="I1603">
        <v>1400</v>
      </c>
      <c r="J1603" t="s">
        <v>7390</v>
      </c>
      <c r="K1603" t="s">
        <v>7391</v>
      </c>
      <c r="M1603" t="s">
        <v>5589</v>
      </c>
      <c r="N1603">
        <v>52201</v>
      </c>
      <c r="O1603" t="s">
        <v>303</v>
      </c>
      <c r="Q1603" t="s">
        <v>5590</v>
      </c>
      <c r="R1603" t="s">
        <v>7392</v>
      </c>
      <c r="S1603" t="s">
        <v>3092</v>
      </c>
      <c r="T1603" s="6">
        <v>9150000000</v>
      </c>
      <c r="W1603" t="str">
        <f t="shared" si="25"/>
        <v>S5-T-AT1400</v>
      </c>
      <c r="X1603" t="e">
        <f>VLOOKUP(W1603,Sheet10!D:F,2,0)*10000000</f>
        <v>#N/A</v>
      </c>
      <c r="Y1603" t="s">
        <v>5712</v>
      </c>
    </row>
    <row r="1604" spans="1:25" x14ac:dyDescent="0.25">
      <c r="A1604" t="s">
        <v>4366</v>
      </c>
      <c r="B1604" t="s">
        <v>7393</v>
      </c>
      <c r="C1604">
        <v>575</v>
      </c>
      <c r="D1604" t="s">
        <v>63</v>
      </c>
      <c r="E1604" t="s">
        <v>64</v>
      </c>
      <c r="F1604" t="s">
        <v>318</v>
      </c>
      <c r="H1604">
        <v>1881</v>
      </c>
      <c r="I1604">
        <v>1401</v>
      </c>
      <c r="J1604" t="s">
        <v>7394</v>
      </c>
      <c r="K1604" t="s">
        <v>7395</v>
      </c>
      <c r="M1604" t="s">
        <v>367</v>
      </c>
      <c r="N1604">
        <v>57523</v>
      </c>
      <c r="O1604" t="s">
        <v>70</v>
      </c>
      <c r="Q1604" t="s">
        <v>2648</v>
      </c>
      <c r="R1604" t="s">
        <v>7396</v>
      </c>
      <c r="S1604" t="s">
        <v>1987</v>
      </c>
      <c r="T1604" s="6">
        <v>4050000000</v>
      </c>
      <c r="W1604" t="str">
        <f t="shared" si="25"/>
        <v>SOREN EF71401</v>
      </c>
      <c r="X1604">
        <f>VLOOKUP(W1604,Sheet10!D:F,2,0)*10000000</f>
        <v>4650000000</v>
      </c>
      <c r="Y1604" t="s">
        <v>5712</v>
      </c>
    </row>
    <row r="1605" spans="1:25" x14ac:dyDescent="0.25">
      <c r="A1605" t="s">
        <v>5216</v>
      </c>
      <c r="B1605" t="s">
        <v>7397</v>
      </c>
      <c r="C1605">
        <v>323</v>
      </c>
      <c r="D1605" t="s">
        <v>63</v>
      </c>
      <c r="E1605" t="s">
        <v>64</v>
      </c>
      <c r="F1605" t="s">
        <v>3186</v>
      </c>
      <c r="H1605">
        <v>1534</v>
      </c>
      <c r="I1605">
        <v>1400</v>
      </c>
      <c r="J1605" t="s">
        <v>7398</v>
      </c>
      <c r="K1605" t="s">
        <v>7399</v>
      </c>
      <c r="M1605" t="s">
        <v>5192</v>
      </c>
      <c r="N1605">
        <v>32301</v>
      </c>
      <c r="O1605" t="s">
        <v>70</v>
      </c>
      <c r="Q1605" t="s">
        <v>5193</v>
      </c>
      <c r="R1605" t="s">
        <v>7400</v>
      </c>
      <c r="S1605" t="s">
        <v>2231</v>
      </c>
      <c r="T1605" s="6">
        <v>5800000000</v>
      </c>
      <c r="W1605" t="str">
        <f t="shared" si="25"/>
        <v>TARA TU5PA1400</v>
      </c>
      <c r="X1605">
        <f>VLOOKUP(W1605,Sheet10!D:F,2,0)*10000000</f>
        <v>7200000000</v>
      </c>
      <c r="Y1605" t="s">
        <v>5712</v>
      </c>
    </row>
    <row r="1606" spans="1:25" x14ac:dyDescent="0.25">
      <c r="A1606" t="s">
        <v>2487</v>
      </c>
      <c r="B1606" t="s">
        <v>7401</v>
      </c>
      <c r="C1606">
        <v>575</v>
      </c>
      <c r="D1606" t="s">
        <v>77</v>
      </c>
      <c r="E1606" t="s">
        <v>64</v>
      </c>
      <c r="F1606" t="s">
        <v>318</v>
      </c>
      <c r="H1606">
        <v>1396</v>
      </c>
      <c r="I1606">
        <v>1401</v>
      </c>
      <c r="J1606" t="s">
        <v>7402</v>
      </c>
      <c r="K1606" t="s">
        <v>7403</v>
      </c>
      <c r="M1606" t="s">
        <v>367</v>
      </c>
      <c r="N1606">
        <v>57519</v>
      </c>
      <c r="O1606" t="s">
        <v>70</v>
      </c>
      <c r="Q1606" t="s">
        <v>2420</v>
      </c>
      <c r="R1606" t="s">
        <v>7404</v>
      </c>
      <c r="S1606" t="s">
        <v>1356</v>
      </c>
      <c r="T1606" s="6">
        <v>3850000000</v>
      </c>
      <c r="W1606" t="str">
        <f t="shared" si="25"/>
        <v>SOREN EF71401</v>
      </c>
      <c r="X1606">
        <f>VLOOKUP(W1606,Sheet10!D:F,2,0)*10000000</f>
        <v>4650000000</v>
      </c>
      <c r="Y1606" t="s">
        <v>5712</v>
      </c>
    </row>
    <row r="1607" spans="1:25" x14ac:dyDescent="0.25">
      <c r="A1607" t="s">
        <v>5585</v>
      </c>
      <c r="B1607" t="s">
        <v>7405</v>
      </c>
      <c r="C1607">
        <v>522</v>
      </c>
      <c r="D1607" t="s">
        <v>77</v>
      </c>
      <c r="E1607" t="s">
        <v>64</v>
      </c>
      <c r="F1607" t="s">
        <v>3186</v>
      </c>
      <c r="H1607">
        <v>1240</v>
      </c>
      <c r="I1607">
        <v>1401</v>
      </c>
      <c r="J1607" t="s">
        <v>7406</v>
      </c>
      <c r="K1607" t="s">
        <v>7407</v>
      </c>
      <c r="M1607" t="s">
        <v>5589</v>
      </c>
      <c r="N1607">
        <v>52201</v>
      </c>
      <c r="O1607" t="s">
        <v>4488</v>
      </c>
      <c r="Q1607" t="s">
        <v>5590</v>
      </c>
      <c r="R1607" t="s">
        <v>7408</v>
      </c>
      <c r="S1607" t="s">
        <v>2860</v>
      </c>
      <c r="T1607" s="6">
        <v>10000000000</v>
      </c>
      <c r="W1607" t="str">
        <f t="shared" si="25"/>
        <v>S5-T-AT1401</v>
      </c>
      <c r="X1607">
        <f>VLOOKUP(W1607,Sheet10!D:F,2,0)*10000000</f>
        <v>11100000000</v>
      </c>
      <c r="Y1607" t="s">
        <v>5712</v>
      </c>
    </row>
    <row r="1608" spans="1:25" x14ac:dyDescent="0.25">
      <c r="A1608" t="s">
        <v>6308</v>
      </c>
      <c r="B1608" t="s">
        <v>7409</v>
      </c>
      <c r="C1608">
        <v>518</v>
      </c>
      <c r="D1608" t="s">
        <v>63</v>
      </c>
      <c r="E1608" t="s">
        <v>64</v>
      </c>
      <c r="F1608" t="s">
        <v>3186</v>
      </c>
      <c r="H1608">
        <v>1155</v>
      </c>
      <c r="I1608">
        <v>1401</v>
      </c>
      <c r="J1608" t="s">
        <v>7410</v>
      </c>
      <c r="K1608" t="s">
        <v>7411</v>
      </c>
      <c r="M1608" t="s">
        <v>5609</v>
      </c>
      <c r="N1608">
        <v>51802</v>
      </c>
      <c r="O1608" t="s">
        <v>303</v>
      </c>
      <c r="Q1608" t="s">
        <v>5610</v>
      </c>
      <c r="R1608" t="s">
        <v>7412</v>
      </c>
      <c r="S1608" t="s">
        <v>5106</v>
      </c>
      <c r="T1608" s="6">
        <v>11200000000</v>
      </c>
      <c r="W1608" t="str">
        <f t="shared" si="25"/>
        <v>S7-T-AT1401</v>
      </c>
      <c r="X1608">
        <f>VLOOKUP(W1608,Sheet10!D:F,2,0)*10000000</f>
        <v>13450000000</v>
      </c>
      <c r="Y1608" t="s">
        <v>5712</v>
      </c>
    </row>
    <row r="1609" spans="1:25" x14ac:dyDescent="0.25">
      <c r="A1609" t="s">
        <v>7413</v>
      </c>
      <c r="B1609" t="s">
        <v>7414</v>
      </c>
      <c r="C1609">
        <v>268</v>
      </c>
      <c r="D1609" t="s">
        <v>63</v>
      </c>
      <c r="E1609" t="s">
        <v>64</v>
      </c>
      <c r="F1609" t="s">
        <v>318</v>
      </c>
      <c r="H1609">
        <v>1000</v>
      </c>
      <c r="I1609">
        <v>1398</v>
      </c>
      <c r="J1609" t="s">
        <v>7415</v>
      </c>
      <c r="K1609" t="s">
        <v>7416</v>
      </c>
      <c r="M1609" t="s">
        <v>2472</v>
      </c>
      <c r="N1609">
        <v>26818</v>
      </c>
      <c r="O1609" t="s">
        <v>303</v>
      </c>
      <c r="Q1609" t="s">
        <v>7417</v>
      </c>
      <c r="R1609" t="s">
        <v>7418</v>
      </c>
      <c r="S1609" t="s">
        <v>3624</v>
      </c>
      <c r="T1609" s="6">
        <v>3400000000</v>
      </c>
      <c r="W1609" t="str">
        <f t="shared" si="25"/>
        <v>206TU51398</v>
      </c>
      <c r="X1609" t="e">
        <f>VLOOKUP(W1609,Sheet10!D:F,2,0)*10000000</f>
        <v>#N/A</v>
      </c>
      <c r="Y1609" t="s">
        <v>5712</v>
      </c>
    </row>
    <row r="1610" spans="1:25" x14ac:dyDescent="0.25">
      <c r="A1610" t="s">
        <v>6920</v>
      </c>
      <c r="B1610" t="s">
        <v>7419</v>
      </c>
      <c r="C1610">
        <v>323</v>
      </c>
      <c r="D1610" t="s">
        <v>6922</v>
      </c>
      <c r="E1610" t="s">
        <v>64</v>
      </c>
      <c r="F1610" t="s">
        <v>3186</v>
      </c>
      <c r="H1610">
        <v>943</v>
      </c>
      <c r="I1610">
        <v>1400</v>
      </c>
      <c r="J1610" t="s">
        <v>7420</v>
      </c>
      <c r="K1610" t="s">
        <v>7421</v>
      </c>
      <c r="M1610" t="s">
        <v>5192</v>
      </c>
      <c r="N1610">
        <v>32301</v>
      </c>
      <c r="O1610" t="s">
        <v>70</v>
      </c>
      <c r="Q1610" t="s">
        <v>5193</v>
      </c>
      <c r="R1610" t="s">
        <v>7422</v>
      </c>
      <c r="S1610" t="s">
        <v>3379</v>
      </c>
      <c r="T1610" s="6">
        <v>6000000000</v>
      </c>
      <c r="W1610" t="str">
        <f t="shared" si="25"/>
        <v>TARA TU5PA1400</v>
      </c>
      <c r="X1610">
        <f>VLOOKUP(W1610,Sheet10!D:F,2,0)*10000000</f>
        <v>7200000000</v>
      </c>
      <c r="Y1610" t="s">
        <v>5712</v>
      </c>
    </row>
    <row r="1611" spans="1:25" x14ac:dyDescent="0.25">
      <c r="A1611" t="s">
        <v>2476</v>
      </c>
      <c r="B1611" t="s">
        <v>7423</v>
      </c>
      <c r="C1611">
        <v>575</v>
      </c>
      <c r="D1611" t="s">
        <v>63</v>
      </c>
      <c r="E1611" t="s">
        <v>64</v>
      </c>
      <c r="F1611" t="s">
        <v>420</v>
      </c>
      <c r="H1611">
        <v>867</v>
      </c>
      <c r="I1611">
        <v>1401</v>
      </c>
      <c r="J1611" t="s">
        <v>7424</v>
      </c>
      <c r="K1611" t="s">
        <v>7425</v>
      </c>
      <c r="M1611" t="s">
        <v>367</v>
      </c>
      <c r="N1611">
        <v>57519</v>
      </c>
      <c r="O1611" t="s">
        <v>70</v>
      </c>
      <c r="Q1611" t="s">
        <v>2420</v>
      </c>
      <c r="R1611" t="s">
        <v>7426</v>
      </c>
      <c r="S1611" t="s">
        <v>595</v>
      </c>
      <c r="T1611" s="6">
        <v>3850000000</v>
      </c>
      <c r="W1611" t="str">
        <f t="shared" si="25"/>
        <v>SOREN EF71401</v>
      </c>
      <c r="X1611">
        <f>VLOOKUP(W1611,Sheet10!D:F,2,0)*10000000</f>
        <v>4650000000</v>
      </c>
      <c r="Y1611" t="s">
        <v>5712</v>
      </c>
    </row>
    <row r="1612" spans="1:25" x14ac:dyDescent="0.25">
      <c r="A1612" t="s">
        <v>5206</v>
      </c>
      <c r="B1612" t="s">
        <v>7427</v>
      </c>
      <c r="C1612">
        <v>323</v>
      </c>
      <c r="D1612" t="s">
        <v>240</v>
      </c>
      <c r="E1612" t="s">
        <v>64</v>
      </c>
      <c r="F1612" t="s">
        <v>318</v>
      </c>
      <c r="H1612">
        <v>643</v>
      </c>
      <c r="I1612">
        <v>1400</v>
      </c>
      <c r="J1612" t="s">
        <v>7428</v>
      </c>
      <c r="K1612" t="s">
        <v>7429</v>
      </c>
      <c r="M1612" t="s">
        <v>5192</v>
      </c>
      <c r="N1612">
        <v>32301</v>
      </c>
      <c r="O1612" t="s">
        <v>70</v>
      </c>
      <c r="Q1612" t="s">
        <v>5193</v>
      </c>
      <c r="R1612" t="s">
        <v>7430</v>
      </c>
      <c r="S1612" t="s">
        <v>4545</v>
      </c>
      <c r="T1612" s="6">
        <v>6050000000</v>
      </c>
      <c r="W1612" t="str">
        <f t="shared" si="25"/>
        <v>TARA TU5PA1400</v>
      </c>
      <c r="X1612">
        <f>VLOOKUP(W1612,Sheet10!D:F,2,0)*10000000</f>
        <v>7200000000</v>
      </c>
      <c r="Y1612" t="s">
        <v>5712</v>
      </c>
    </row>
    <row r="1613" spans="1:25" x14ac:dyDescent="0.25">
      <c r="A1613" t="s">
        <v>3689</v>
      </c>
      <c r="B1613" t="s">
        <v>7431</v>
      </c>
      <c r="C1613">
        <v>575</v>
      </c>
      <c r="D1613" t="s">
        <v>2461</v>
      </c>
      <c r="E1613" t="s">
        <v>64</v>
      </c>
      <c r="F1613" t="s">
        <v>420</v>
      </c>
      <c r="H1613">
        <v>620</v>
      </c>
      <c r="I1613">
        <v>1400</v>
      </c>
      <c r="J1613" t="s">
        <v>7432</v>
      </c>
      <c r="K1613" t="s">
        <v>7433</v>
      </c>
      <c r="M1613" t="s">
        <v>367</v>
      </c>
      <c r="N1613">
        <v>57523</v>
      </c>
      <c r="O1613" t="s">
        <v>70</v>
      </c>
      <c r="Q1613" t="s">
        <v>2648</v>
      </c>
      <c r="R1613" t="s">
        <v>7434</v>
      </c>
      <c r="S1613" t="s">
        <v>1948</v>
      </c>
      <c r="T1613" s="6">
        <v>3800000000</v>
      </c>
      <c r="W1613" t="str">
        <f t="shared" si="25"/>
        <v>SOREN EF71400</v>
      </c>
      <c r="X1613">
        <f>VLOOKUP(W1613,Sheet10!D:F,2,0)*10000000</f>
        <v>4350000000</v>
      </c>
      <c r="Y1613" t="s">
        <v>5712</v>
      </c>
    </row>
    <row r="1614" spans="1:25" x14ac:dyDescent="0.25">
      <c r="A1614" t="s">
        <v>7435</v>
      </c>
      <c r="B1614">
        <v>82229876</v>
      </c>
      <c r="C1614">
        <v>290</v>
      </c>
      <c r="D1614" t="s">
        <v>178</v>
      </c>
      <c r="E1614" t="s">
        <v>64</v>
      </c>
      <c r="F1614" t="s">
        <v>7311</v>
      </c>
      <c r="H1614">
        <v>999999</v>
      </c>
      <c r="I1614">
        <v>1385</v>
      </c>
      <c r="J1614">
        <v>32908235156</v>
      </c>
      <c r="K1614" t="s">
        <v>7436</v>
      </c>
      <c r="M1614" t="s">
        <v>7437</v>
      </c>
      <c r="N1614">
        <v>0</v>
      </c>
      <c r="O1614" t="s">
        <v>70</v>
      </c>
      <c r="Q1614" t="s">
        <v>7438</v>
      </c>
      <c r="R1614" t="s">
        <v>7439</v>
      </c>
      <c r="S1614" t="s">
        <v>3837</v>
      </c>
      <c r="T1614" s="6">
        <v>350000000</v>
      </c>
      <c r="W1614" t="str">
        <f t="shared" ref="W1614:W1677" si="26">M1614&amp;I1614</f>
        <v>X71385</v>
      </c>
      <c r="X1614" t="e">
        <f>VLOOKUP(W1614,Sheet10!D:F,2,0)*10000000</f>
        <v>#N/A</v>
      </c>
      <c r="Y1614" t="s">
        <v>5712</v>
      </c>
    </row>
    <row r="1615" spans="1:25" x14ac:dyDescent="0.25">
      <c r="A1615" t="s">
        <v>7309</v>
      </c>
      <c r="B1615" t="s">
        <v>7440</v>
      </c>
      <c r="C1615">
        <v>703</v>
      </c>
      <c r="D1615" t="s">
        <v>63</v>
      </c>
      <c r="E1615" t="s">
        <v>64</v>
      </c>
      <c r="F1615" t="s">
        <v>7311</v>
      </c>
      <c r="H1615">
        <v>999999</v>
      </c>
      <c r="I1615">
        <v>1394</v>
      </c>
      <c r="J1615" t="s">
        <v>7441</v>
      </c>
      <c r="K1615" t="s">
        <v>7442</v>
      </c>
      <c r="M1615" t="s">
        <v>2946</v>
      </c>
      <c r="N1615">
        <v>70301</v>
      </c>
      <c r="O1615" t="s">
        <v>70</v>
      </c>
      <c r="Q1615" t="s">
        <v>7314</v>
      </c>
      <c r="R1615" t="s">
        <v>7443</v>
      </c>
      <c r="S1615" t="s">
        <v>4091</v>
      </c>
      <c r="T1615" s="6">
        <v>550000000</v>
      </c>
      <c r="W1615" t="str">
        <f t="shared" si="26"/>
        <v>DENA+EF7-MT1394</v>
      </c>
      <c r="X1615" t="e">
        <f>VLOOKUP(W1615,Sheet10!D:F,2,0)*10000000</f>
        <v>#N/A</v>
      </c>
      <c r="Y1615" t="s">
        <v>5712</v>
      </c>
    </row>
    <row r="1616" spans="1:25" x14ac:dyDescent="0.25">
      <c r="A1616" t="s">
        <v>7316</v>
      </c>
      <c r="B1616" t="s">
        <v>7444</v>
      </c>
      <c r="C1616">
        <v>706</v>
      </c>
      <c r="D1616" t="s">
        <v>63</v>
      </c>
      <c r="E1616" t="s">
        <v>64</v>
      </c>
      <c r="F1616" t="s">
        <v>7311</v>
      </c>
      <c r="H1616">
        <v>999999</v>
      </c>
      <c r="I1616">
        <v>1397</v>
      </c>
      <c r="J1616" t="s">
        <v>7445</v>
      </c>
      <c r="K1616" t="s">
        <v>7446</v>
      </c>
      <c r="N1616">
        <v>70601</v>
      </c>
      <c r="O1616" t="s">
        <v>70</v>
      </c>
      <c r="Q1616" t="s">
        <v>7320</v>
      </c>
      <c r="R1616" t="s">
        <v>7447</v>
      </c>
      <c r="S1616" t="s">
        <v>4142</v>
      </c>
      <c r="T1616" s="6">
        <v>820000000</v>
      </c>
      <c r="W1616" t="str">
        <f t="shared" si="26"/>
        <v>1397</v>
      </c>
      <c r="X1616" t="e">
        <f>VLOOKUP(W1616,Sheet10!D:F,2,0)*10000000</f>
        <v>#N/A</v>
      </c>
      <c r="Y1616" t="s">
        <v>5712</v>
      </c>
    </row>
    <row r="1617" spans="1:25" x14ac:dyDescent="0.25">
      <c r="A1617" t="s">
        <v>7322</v>
      </c>
      <c r="B1617" t="s">
        <v>7448</v>
      </c>
      <c r="C1617">
        <v>707</v>
      </c>
      <c r="D1617" t="s">
        <v>63</v>
      </c>
      <c r="E1617" t="s">
        <v>64</v>
      </c>
      <c r="F1617" t="s">
        <v>7311</v>
      </c>
      <c r="H1617">
        <v>999999</v>
      </c>
      <c r="I1617">
        <v>1397</v>
      </c>
      <c r="J1617" t="s">
        <v>7449</v>
      </c>
      <c r="K1617" t="s">
        <v>7450</v>
      </c>
      <c r="M1617" t="s">
        <v>3450</v>
      </c>
      <c r="N1617">
        <v>70701</v>
      </c>
      <c r="O1617" t="s">
        <v>70</v>
      </c>
      <c r="Q1617" t="s">
        <v>7326</v>
      </c>
      <c r="R1617" t="s">
        <v>7451</v>
      </c>
      <c r="S1617" t="s">
        <v>3993</v>
      </c>
      <c r="T1617" s="6">
        <v>700000000</v>
      </c>
      <c r="W1617" t="str">
        <f t="shared" si="26"/>
        <v>DENA+EF7TC A1397</v>
      </c>
      <c r="X1617" t="e">
        <f>VLOOKUP(W1617,Sheet10!D:F,2,0)*10000000</f>
        <v>#N/A</v>
      </c>
      <c r="Y1617" t="s">
        <v>5712</v>
      </c>
    </row>
    <row r="1618" spans="1:25" x14ac:dyDescent="0.25">
      <c r="A1618" t="s">
        <v>7328</v>
      </c>
      <c r="B1618" t="s">
        <v>7452</v>
      </c>
      <c r="C1618">
        <v>701</v>
      </c>
      <c r="D1618" t="s">
        <v>63</v>
      </c>
      <c r="E1618" t="s">
        <v>64</v>
      </c>
      <c r="F1618" t="s">
        <v>7311</v>
      </c>
      <c r="H1618">
        <v>999999</v>
      </c>
      <c r="I1618">
        <v>1396</v>
      </c>
      <c r="J1618" t="s">
        <v>7453</v>
      </c>
      <c r="K1618" t="s">
        <v>7454</v>
      </c>
      <c r="M1618" t="s">
        <v>408</v>
      </c>
      <c r="N1618">
        <v>70102</v>
      </c>
      <c r="O1618" t="s">
        <v>70</v>
      </c>
      <c r="Q1618" t="s">
        <v>7332</v>
      </c>
      <c r="R1618" t="s">
        <v>7455</v>
      </c>
      <c r="S1618" t="s">
        <v>4031</v>
      </c>
      <c r="T1618" s="6">
        <v>730000000</v>
      </c>
      <c r="W1618" t="str">
        <f t="shared" si="26"/>
        <v>DENA EF71396</v>
      </c>
      <c r="X1618" t="e">
        <f>VLOOKUP(W1618,Sheet10!D:F,2,0)*10000000</f>
        <v>#N/A</v>
      </c>
      <c r="Y1618" t="s">
        <v>5712</v>
      </c>
    </row>
    <row r="1619" spans="1:25" x14ac:dyDescent="0.25">
      <c r="A1619" t="s">
        <v>7334</v>
      </c>
      <c r="B1619" t="s">
        <v>7456</v>
      </c>
      <c r="C1619">
        <v>601</v>
      </c>
      <c r="D1619" t="s">
        <v>63</v>
      </c>
      <c r="E1619" t="s">
        <v>64</v>
      </c>
      <c r="F1619" t="s">
        <v>7311</v>
      </c>
      <c r="H1619">
        <v>999999</v>
      </c>
      <c r="I1619">
        <v>1396</v>
      </c>
      <c r="J1619" t="s">
        <v>7457</v>
      </c>
      <c r="K1619" t="s">
        <v>7458</v>
      </c>
      <c r="M1619" t="s">
        <v>5891</v>
      </c>
      <c r="N1619">
        <v>60102</v>
      </c>
      <c r="O1619" t="s">
        <v>303</v>
      </c>
      <c r="Q1619" t="s">
        <v>7338</v>
      </c>
      <c r="R1619" t="s">
        <v>7459</v>
      </c>
      <c r="S1619" t="s">
        <v>3887</v>
      </c>
      <c r="T1619" s="6">
        <v>600000000</v>
      </c>
      <c r="W1619" t="str">
        <f t="shared" si="26"/>
        <v>207i-AT1396</v>
      </c>
      <c r="X1619" t="e">
        <f>VLOOKUP(W1619,Sheet10!D:F,2,0)*10000000</f>
        <v>#N/A</v>
      </c>
      <c r="Y1619" t="s">
        <v>5712</v>
      </c>
    </row>
    <row r="1620" spans="1:25" x14ac:dyDescent="0.25">
      <c r="A1620" t="s">
        <v>2476</v>
      </c>
      <c r="B1620" t="s">
        <v>7460</v>
      </c>
      <c r="C1620">
        <v>575</v>
      </c>
      <c r="D1620" t="s">
        <v>63</v>
      </c>
      <c r="E1620" t="s">
        <v>64</v>
      </c>
      <c r="F1620" t="s">
        <v>318</v>
      </c>
      <c r="H1620">
        <v>9894</v>
      </c>
      <c r="I1620">
        <v>1400</v>
      </c>
      <c r="J1620" t="s">
        <v>7461</v>
      </c>
      <c r="K1620" t="s">
        <v>7462</v>
      </c>
      <c r="M1620" t="s">
        <v>367</v>
      </c>
      <c r="N1620">
        <v>57519</v>
      </c>
      <c r="O1620" t="s">
        <v>70</v>
      </c>
      <c r="Q1620" t="s">
        <v>2420</v>
      </c>
      <c r="R1620" t="s">
        <v>7463</v>
      </c>
      <c r="S1620" t="s">
        <v>668</v>
      </c>
      <c r="T1620" s="6">
        <v>3650000000</v>
      </c>
      <c r="W1620" t="str">
        <f t="shared" si="26"/>
        <v>SOREN EF71400</v>
      </c>
      <c r="X1620">
        <f>VLOOKUP(W1620,Sheet10!D:F,2,0)*10000000</f>
        <v>4350000000</v>
      </c>
      <c r="Y1620" t="s">
        <v>5712</v>
      </c>
    </row>
    <row r="1621" spans="1:25" x14ac:dyDescent="0.25">
      <c r="A1621" t="s">
        <v>4343</v>
      </c>
      <c r="B1621" t="s">
        <v>7464</v>
      </c>
      <c r="C1621">
        <v>322</v>
      </c>
      <c r="D1621" t="s">
        <v>4345</v>
      </c>
      <c r="E1621" t="s">
        <v>64</v>
      </c>
      <c r="F1621" t="s">
        <v>318</v>
      </c>
      <c r="H1621">
        <v>5284</v>
      </c>
      <c r="I1621">
        <v>1401</v>
      </c>
      <c r="J1621" t="s">
        <v>7465</v>
      </c>
      <c r="K1621" t="s">
        <v>7466</v>
      </c>
      <c r="M1621" t="s">
        <v>92</v>
      </c>
      <c r="N1621">
        <v>32201</v>
      </c>
      <c r="O1621" t="s">
        <v>70</v>
      </c>
      <c r="Q1621" t="s">
        <v>93</v>
      </c>
      <c r="R1621" t="s">
        <v>7467</v>
      </c>
      <c r="S1621" t="s">
        <v>4355</v>
      </c>
      <c r="T1621" s="6">
        <v>5050000000</v>
      </c>
      <c r="W1621" t="str">
        <f t="shared" si="26"/>
        <v>TARA TU5P1401</v>
      </c>
      <c r="X1621" t="e">
        <f>VLOOKUP(W1621,Sheet10!D:F,2,0)*10000000</f>
        <v>#N/A</v>
      </c>
      <c r="Y1621" t="s">
        <v>5712</v>
      </c>
    </row>
    <row r="1622" spans="1:25" x14ac:dyDescent="0.25">
      <c r="A1622" t="s">
        <v>2416</v>
      </c>
      <c r="B1622" t="s">
        <v>7468</v>
      </c>
      <c r="C1622">
        <v>575</v>
      </c>
      <c r="D1622" t="s">
        <v>259</v>
      </c>
      <c r="E1622" t="s">
        <v>64</v>
      </c>
      <c r="F1622" t="s">
        <v>318</v>
      </c>
      <c r="H1622">
        <v>4927</v>
      </c>
      <c r="I1622">
        <v>1400</v>
      </c>
      <c r="J1622" t="s">
        <v>7469</v>
      </c>
      <c r="K1622" t="s">
        <v>7470</v>
      </c>
      <c r="M1622" t="s">
        <v>367</v>
      </c>
      <c r="N1622">
        <v>57519</v>
      </c>
      <c r="O1622" t="s">
        <v>70</v>
      </c>
      <c r="Q1622" t="s">
        <v>2420</v>
      </c>
      <c r="R1622" t="s">
        <v>7471</v>
      </c>
      <c r="S1622" t="s">
        <v>1081</v>
      </c>
      <c r="T1622" s="6">
        <v>3550000000</v>
      </c>
      <c r="W1622" t="str">
        <f t="shared" si="26"/>
        <v>SOREN EF71400</v>
      </c>
      <c r="X1622">
        <f>VLOOKUP(W1622,Sheet10!D:F,2,0)*10000000</f>
        <v>4350000000</v>
      </c>
      <c r="Y1622" t="s">
        <v>5712</v>
      </c>
    </row>
    <row r="1623" spans="1:25" x14ac:dyDescent="0.25">
      <c r="A1623" t="s">
        <v>191</v>
      </c>
      <c r="B1623" t="s">
        <v>7472</v>
      </c>
      <c r="C1623">
        <v>285</v>
      </c>
      <c r="D1623" t="s">
        <v>63</v>
      </c>
      <c r="E1623" t="s">
        <v>64</v>
      </c>
      <c r="F1623" t="s">
        <v>318</v>
      </c>
      <c r="H1623">
        <v>4091</v>
      </c>
      <c r="I1623">
        <v>1401</v>
      </c>
      <c r="J1623" t="s">
        <v>7473</v>
      </c>
      <c r="K1623" t="s">
        <v>7474</v>
      </c>
      <c r="M1623" t="s">
        <v>198</v>
      </c>
      <c r="N1623">
        <v>28520</v>
      </c>
      <c r="O1623" t="s">
        <v>70</v>
      </c>
      <c r="Q1623" t="s">
        <v>199</v>
      </c>
      <c r="R1623" t="s">
        <v>7475</v>
      </c>
      <c r="S1623" t="s">
        <v>3010</v>
      </c>
      <c r="T1623" s="6">
        <v>4300000000</v>
      </c>
      <c r="W1623" t="str">
        <f t="shared" si="26"/>
        <v>PARS TU51401</v>
      </c>
      <c r="X1623">
        <f>VLOOKUP(W1623,Sheet10!D:F,2,0)*10000000</f>
        <v>5250000000</v>
      </c>
      <c r="Y1623" t="s">
        <v>5712</v>
      </c>
    </row>
    <row r="1624" spans="1:25" x14ac:dyDescent="0.25">
      <c r="A1624" t="s">
        <v>2487</v>
      </c>
      <c r="B1624" t="s">
        <v>7476</v>
      </c>
      <c r="C1624">
        <v>575</v>
      </c>
      <c r="D1624" t="s">
        <v>77</v>
      </c>
      <c r="E1624" t="s">
        <v>64</v>
      </c>
      <c r="F1624" t="s">
        <v>318</v>
      </c>
      <c r="H1624">
        <v>3670</v>
      </c>
      <c r="I1624">
        <v>1400</v>
      </c>
      <c r="J1624" t="s">
        <v>7477</v>
      </c>
      <c r="K1624" t="s">
        <v>7478</v>
      </c>
      <c r="M1624" t="s">
        <v>367</v>
      </c>
      <c r="N1624">
        <v>57519</v>
      </c>
      <c r="O1624" t="s">
        <v>70</v>
      </c>
      <c r="Q1624" t="s">
        <v>2420</v>
      </c>
      <c r="R1624" t="s">
        <v>7479</v>
      </c>
      <c r="S1624" t="s">
        <v>2655</v>
      </c>
      <c r="T1624" s="6">
        <v>3650000000</v>
      </c>
      <c r="W1624" t="str">
        <f t="shared" si="26"/>
        <v>SOREN EF71400</v>
      </c>
      <c r="X1624">
        <f>VLOOKUP(W1624,Sheet10!D:F,2,0)*10000000</f>
        <v>4350000000</v>
      </c>
      <c r="Y1624" t="s">
        <v>5712</v>
      </c>
    </row>
    <row r="1625" spans="1:25" x14ac:dyDescent="0.25">
      <c r="A1625" t="s">
        <v>5188</v>
      </c>
      <c r="B1625" t="s">
        <v>7480</v>
      </c>
      <c r="C1625">
        <v>323</v>
      </c>
      <c r="D1625" t="s">
        <v>77</v>
      </c>
      <c r="E1625" t="s">
        <v>64</v>
      </c>
      <c r="F1625" t="s">
        <v>3186</v>
      </c>
      <c r="H1625">
        <v>3262</v>
      </c>
      <c r="I1625">
        <v>1400</v>
      </c>
      <c r="J1625" t="s">
        <v>7481</v>
      </c>
      <c r="K1625" t="s">
        <v>7482</v>
      </c>
      <c r="M1625" t="s">
        <v>5192</v>
      </c>
      <c r="N1625">
        <v>32301</v>
      </c>
      <c r="O1625" t="s">
        <v>70</v>
      </c>
      <c r="Q1625" t="s">
        <v>5193</v>
      </c>
      <c r="R1625" t="s">
        <v>7483</v>
      </c>
      <c r="S1625" t="s">
        <v>3172</v>
      </c>
      <c r="T1625" s="6">
        <v>5700000000</v>
      </c>
      <c r="W1625" t="str">
        <f t="shared" si="26"/>
        <v>TARA TU5PA1400</v>
      </c>
      <c r="X1625">
        <f>VLOOKUP(W1625,Sheet10!D:F,2,0)*10000000</f>
        <v>7200000000</v>
      </c>
      <c r="Y1625" t="s">
        <v>5712</v>
      </c>
    </row>
    <row r="1626" spans="1:25" x14ac:dyDescent="0.25">
      <c r="A1626" t="s">
        <v>7484</v>
      </c>
      <c r="B1626" t="s">
        <v>7485</v>
      </c>
      <c r="C1626">
        <v>704</v>
      </c>
      <c r="D1626" t="s">
        <v>77</v>
      </c>
      <c r="E1626" t="s">
        <v>64</v>
      </c>
      <c r="F1626" t="s">
        <v>3186</v>
      </c>
      <c r="H1626">
        <v>3136</v>
      </c>
      <c r="I1626">
        <v>1401</v>
      </c>
      <c r="J1626" t="s">
        <v>7486</v>
      </c>
      <c r="K1626" t="s">
        <v>7487</v>
      </c>
      <c r="M1626" t="s">
        <v>4401</v>
      </c>
      <c r="N1626">
        <v>70408</v>
      </c>
      <c r="O1626" t="s">
        <v>70</v>
      </c>
      <c r="Q1626" t="s">
        <v>4402</v>
      </c>
      <c r="R1626" t="s">
        <v>7488</v>
      </c>
      <c r="S1626" t="s">
        <v>2173</v>
      </c>
      <c r="T1626" s="6">
        <v>5850000000</v>
      </c>
      <c r="W1626" t="str">
        <f t="shared" si="26"/>
        <v>DENA EF7 TC-MT1401</v>
      </c>
      <c r="X1626">
        <f>VLOOKUP(W1626,Sheet10!D:F,2,0)*10000000</f>
        <v>6750000000</v>
      </c>
      <c r="Y1626" t="s">
        <v>5712</v>
      </c>
    </row>
    <row r="1627" spans="1:25" x14ac:dyDescent="0.25">
      <c r="A1627" t="s">
        <v>5585</v>
      </c>
      <c r="B1627" t="s">
        <v>7489</v>
      </c>
      <c r="C1627">
        <v>522</v>
      </c>
      <c r="D1627" t="s">
        <v>77</v>
      </c>
      <c r="E1627" t="s">
        <v>64</v>
      </c>
      <c r="F1627" t="s">
        <v>3186</v>
      </c>
      <c r="H1627">
        <v>3096</v>
      </c>
      <c r="I1627">
        <v>1401</v>
      </c>
      <c r="J1627" t="s">
        <v>7490</v>
      </c>
      <c r="K1627" t="s">
        <v>7491</v>
      </c>
      <c r="M1627" t="s">
        <v>5589</v>
      </c>
      <c r="N1627">
        <v>52201</v>
      </c>
      <c r="O1627" t="s">
        <v>4488</v>
      </c>
      <c r="Q1627" t="s">
        <v>5590</v>
      </c>
      <c r="R1627" t="s">
        <v>7492</v>
      </c>
      <c r="S1627" t="s">
        <v>4382</v>
      </c>
      <c r="T1627" s="6">
        <v>10000000000</v>
      </c>
      <c r="W1627" t="str">
        <f t="shared" si="26"/>
        <v>S5-T-AT1401</v>
      </c>
      <c r="X1627">
        <f>VLOOKUP(W1627,Sheet10!D:F,2,0)*10000000</f>
        <v>11100000000</v>
      </c>
      <c r="Y1627" t="s">
        <v>5712</v>
      </c>
    </row>
    <row r="1628" spans="1:25" x14ac:dyDescent="0.25">
      <c r="A1628" t="s">
        <v>316</v>
      </c>
      <c r="B1628" t="s">
        <v>3945</v>
      </c>
      <c r="C1628">
        <v>610</v>
      </c>
      <c r="D1628" t="s">
        <v>63</v>
      </c>
      <c r="E1628" t="s">
        <v>64</v>
      </c>
      <c r="F1628" t="s">
        <v>3186</v>
      </c>
      <c r="H1628">
        <v>3043</v>
      </c>
      <c r="I1628">
        <v>1401</v>
      </c>
      <c r="J1628" t="s">
        <v>3946</v>
      </c>
      <c r="K1628" t="s">
        <v>3947</v>
      </c>
      <c r="M1628" t="s">
        <v>321</v>
      </c>
      <c r="N1628">
        <v>61015</v>
      </c>
      <c r="O1628" t="s">
        <v>70</v>
      </c>
      <c r="Q1628" t="s">
        <v>322</v>
      </c>
      <c r="R1628" t="s">
        <v>3948</v>
      </c>
      <c r="S1628" t="s">
        <v>903</v>
      </c>
      <c r="T1628" s="6">
        <v>3720000000</v>
      </c>
      <c r="W1628" t="str">
        <f t="shared" si="26"/>
        <v>TU51401</v>
      </c>
      <c r="X1628">
        <f>VLOOKUP(W1628,Sheet10!D:F,2,0)*10000000</f>
        <v>4450000000</v>
      </c>
      <c r="Y1628" t="s">
        <v>5712</v>
      </c>
    </row>
    <row r="1629" spans="1:25" x14ac:dyDescent="0.25">
      <c r="A1629" t="s">
        <v>4366</v>
      </c>
      <c r="B1629" t="s">
        <v>7493</v>
      </c>
      <c r="C1629">
        <v>575</v>
      </c>
      <c r="D1629" t="s">
        <v>63</v>
      </c>
      <c r="E1629" t="s">
        <v>64</v>
      </c>
      <c r="F1629" t="s">
        <v>420</v>
      </c>
      <c r="H1629">
        <v>2838</v>
      </c>
      <c r="I1629">
        <v>1401</v>
      </c>
      <c r="J1629" t="s">
        <v>7494</v>
      </c>
      <c r="K1629" t="s">
        <v>7495</v>
      </c>
      <c r="M1629" t="s">
        <v>367</v>
      </c>
      <c r="N1629">
        <v>57523</v>
      </c>
      <c r="O1629" t="s">
        <v>70</v>
      </c>
      <c r="Q1629" t="s">
        <v>2648</v>
      </c>
      <c r="R1629" t="s">
        <v>7496</v>
      </c>
      <c r="S1629" t="s">
        <v>2584</v>
      </c>
      <c r="T1629" s="6">
        <v>4000000000</v>
      </c>
      <c r="W1629" t="str">
        <f t="shared" si="26"/>
        <v>SOREN EF71401</v>
      </c>
      <c r="X1629">
        <f>VLOOKUP(W1629,Sheet10!D:F,2,0)*10000000</f>
        <v>4650000000</v>
      </c>
      <c r="Y1629" t="s">
        <v>5712</v>
      </c>
    </row>
    <row r="1630" spans="1:25" x14ac:dyDescent="0.25">
      <c r="A1630" t="s">
        <v>2487</v>
      </c>
      <c r="B1630" t="s">
        <v>7497</v>
      </c>
      <c r="C1630">
        <v>575</v>
      </c>
      <c r="D1630" t="s">
        <v>77</v>
      </c>
      <c r="E1630" t="s">
        <v>64</v>
      </c>
      <c r="F1630" t="s">
        <v>420</v>
      </c>
      <c r="H1630">
        <v>2776</v>
      </c>
      <c r="I1630">
        <v>1401</v>
      </c>
      <c r="J1630" t="s">
        <v>7498</v>
      </c>
      <c r="K1630" t="s">
        <v>7499</v>
      </c>
      <c r="M1630" t="s">
        <v>367</v>
      </c>
      <c r="N1630">
        <v>57519</v>
      </c>
      <c r="O1630" t="s">
        <v>70</v>
      </c>
      <c r="Q1630" t="s">
        <v>2420</v>
      </c>
      <c r="R1630" t="s">
        <v>7500</v>
      </c>
      <c r="S1630" t="s">
        <v>792</v>
      </c>
      <c r="T1630" s="6">
        <v>3800000000</v>
      </c>
      <c r="W1630" t="str">
        <f t="shared" si="26"/>
        <v>SOREN EF71401</v>
      </c>
      <c r="X1630">
        <f>VLOOKUP(W1630,Sheet10!D:F,2,0)*10000000</f>
        <v>4650000000</v>
      </c>
      <c r="Y1630" t="s">
        <v>5712</v>
      </c>
    </row>
    <row r="1631" spans="1:25" x14ac:dyDescent="0.25">
      <c r="A1631" t="s">
        <v>4366</v>
      </c>
      <c r="B1631" t="s">
        <v>7501</v>
      </c>
      <c r="C1631">
        <v>575</v>
      </c>
      <c r="D1631" t="s">
        <v>63</v>
      </c>
      <c r="E1631" t="s">
        <v>64</v>
      </c>
      <c r="F1631" t="s">
        <v>491</v>
      </c>
      <c r="H1631">
        <v>2759</v>
      </c>
      <c r="I1631">
        <v>1401</v>
      </c>
      <c r="J1631" t="s">
        <v>7502</v>
      </c>
      <c r="K1631" t="s">
        <v>7503</v>
      </c>
      <c r="M1631" t="s">
        <v>367</v>
      </c>
      <c r="N1631">
        <v>57523</v>
      </c>
      <c r="O1631" t="s">
        <v>70</v>
      </c>
      <c r="Q1631" t="s">
        <v>2648</v>
      </c>
      <c r="R1631" t="s">
        <v>7504</v>
      </c>
      <c r="S1631" t="s">
        <v>346</v>
      </c>
      <c r="T1631" s="6">
        <v>4050000000</v>
      </c>
      <c r="W1631" t="str">
        <f t="shared" si="26"/>
        <v>SOREN EF71401</v>
      </c>
      <c r="X1631">
        <f>VLOOKUP(W1631,Sheet10!D:F,2,0)*10000000</f>
        <v>4650000000</v>
      </c>
      <c r="Y1631" t="s">
        <v>5712</v>
      </c>
    </row>
    <row r="1632" spans="1:25" x14ac:dyDescent="0.25">
      <c r="A1632" t="s">
        <v>5201</v>
      </c>
      <c r="B1632" t="s">
        <v>7505</v>
      </c>
      <c r="C1632">
        <v>323</v>
      </c>
      <c r="D1632" t="s">
        <v>259</v>
      </c>
      <c r="E1632" t="s">
        <v>64</v>
      </c>
      <c r="F1632" t="s">
        <v>3186</v>
      </c>
      <c r="H1632">
        <v>2592</v>
      </c>
      <c r="I1632">
        <v>1401</v>
      </c>
      <c r="J1632" t="s">
        <v>7506</v>
      </c>
      <c r="K1632" t="s">
        <v>7507</v>
      </c>
      <c r="M1632" t="s">
        <v>5192</v>
      </c>
      <c r="N1632">
        <v>32301</v>
      </c>
      <c r="O1632" t="s">
        <v>70</v>
      </c>
      <c r="Q1632" t="s">
        <v>5193</v>
      </c>
      <c r="R1632" t="s">
        <v>7508</v>
      </c>
      <c r="S1632" t="s">
        <v>4354</v>
      </c>
      <c r="T1632" s="6">
        <v>6450000000</v>
      </c>
      <c r="W1632" t="str">
        <f t="shared" si="26"/>
        <v>TARA TU5PA1401</v>
      </c>
      <c r="X1632" t="e">
        <f>VLOOKUP(W1632,Sheet10!D:F,2,0)*10000000</f>
        <v>#N/A</v>
      </c>
      <c r="Y1632" t="s">
        <v>5712</v>
      </c>
    </row>
    <row r="1633" spans="1:25" x14ac:dyDescent="0.25">
      <c r="A1633" t="s">
        <v>5206</v>
      </c>
      <c r="B1633" t="s">
        <v>7509</v>
      </c>
      <c r="C1633">
        <v>323</v>
      </c>
      <c r="D1633" t="s">
        <v>240</v>
      </c>
      <c r="E1633" t="s">
        <v>64</v>
      </c>
      <c r="F1633" t="s">
        <v>4256</v>
      </c>
      <c r="H1633">
        <v>2149</v>
      </c>
      <c r="I1633">
        <v>1400</v>
      </c>
      <c r="J1633" t="s">
        <v>7510</v>
      </c>
      <c r="K1633" t="s">
        <v>7511</v>
      </c>
      <c r="M1633" t="s">
        <v>5192</v>
      </c>
      <c r="N1633">
        <v>32301</v>
      </c>
      <c r="O1633" t="s">
        <v>70</v>
      </c>
      <c r="Q1633" t="s">
        <v>5193</v>
      </c>
      <c r="R1633" t="s">
        <v>7512</v>
      </c>
      <c r="S1633" t="s">
        <v>2803</v>
      </c>
      <c r="T1633" s="6">
        <v>5620000000</v>
      </c>
      <c r="W1633" t="str">
        <f t="shared" si="26"/>
        <v>TARA TU5PA1400</v>
      </c>
      <c r="X1633">
        <f>VLOOKUP(W1633,Sheet10!D:F,2,0)*10000000</f>
        <v>7200000000</v>
      </c>
      <c r="Y1633" t="s">
        <v>5712</v>
      </c>
    </row>
    <row r="1634" spans="1:25" x14ac:dyDescent="0.25">
      <c r="A1634" t="s">
        <v>2476</v>
      </c>
      <c r="B1634" t="s">
        <v>7513</v>
      </c>
      <c r="C1634">
        <v>575</v>
      </c>
      <c r="D1634" t="s">
        <v>63</v>
      </c>
      <c r="E1634" t="s">
        <v>64</v>
      </c>
      <c r="F1634" t="s">
        <v>318</v>
      </c>
      <c r="H1634">
        <v>1962</v>
      </c>
      <c r="I1634">
        <v>1401</v>
      </c>
      <c r="J1634" t="s">
        <v>7514</v>
      </c>
      <c r="K1634" t="s">
        <v>7515</v>
      </c>
      <c r="M1634" t="s">
        <v>367</v>
      </c>
      <c r="N1634">
        <v>57519</v>
      </c>
      <c r="O1634" t="s">
        <v>70</v>
      </c>
      <c r="Q1634" t="s">
        <v>2420</v>
      </c>
      <c r="R1634" t="s">
        <v>7516</v>
      </c>
      <c r="S1634" t="s">
        <v>1262</v>
      </c>
      <c r="T1634" s="6">
        <v>3850000000</v>
      </c>
      <c r="W1634" t="str">
        <f t="shared" si="26"/>
        <v>SOREN EF71401</v>
      </c>
      <c r="X1634">
        <f>VLOOKUP(W1634,Sheet10!D:F,2,0)*10000000</f>
        <v>4650000000</v>
      </c>
      <c r="Y1634" t="s">
        <v>5712</v>
      </c>
    </row>
    <row r="1635" spans="1:25" x14ac:dyDescent="0.25">
      <c r="A1635" t="s">
        <v>2476</v>
      </c>
      <c r="B1635" t="s">
        <v>7517</v>
      </c>
      <c r="C1635">
        <v>575</v>
      </c>
      <c r="D1635" t="s">
        <v>63</v>
      </c>
      <c r="E1635" t="s">
        <v>64</v>
      </c>
      <c r="F1635" t="s">
        <v>318</v>
      </c>
      <c r="H1635">
        <v>1879</v>
      </c>
      <c r="I1635">
        <v>1400</v>
      </c>
      <c r="J1635" t="s">
        <v>7518</v>
      </c>
      <c r="K1635" t="s">
        <v>7519</v>
      </c>
      <c r="M1635" t="s">
        <v>367</v>
      </c>
      <c r="N1635">
        <v>57519</v>
      </c>
      <c r="O1635" t="s">
        <v>70</v>
      </c>
      <c r="Q1635" t="s">
        <v>2420</v>
      </c>
      <c r="R1635" t="s">
        <v>7520</v>
      </c>
      <c r="S1635" t="s">
        <v>767</v>
      </c>
      <c r="T1635" s="6">
        <v>3500000000</v>
      </c>
      <c r="W1635" t="str">
        <f t="shared" si="26"/>
        <v>SOREN EF71400</v>
      </c>
      <c r="X1635">
        <f>VLOOKUP(W1635,Sheet10!D:F,2,0)*10000000</f>
        <v>4350000000</v>
      </c>
      <c r="Y1635" t="s">
        <v>5712</v>
      </c>
    </row>
    <row r="1636" spans="1:25" x14ac:dyDescent="0.25">
      <c r="A1636" t="s">
        <v>191</v>
      </c>
      <c r="B1636" t="s">
        <v>7521</v>
      </c>
      <c r="C1636">
        <v>285</v>
      </c>
      <c r="D1636" t="s">
        <v>63</v>
      </c>
      <c r="E1636" t="s">
        <v>64</v>
      </c>
      <c r="F1636" t="s">
        <v>318</v>
      </c>
      <c r="H1636">
        <v>1340</v>
      </c>
      <c r="I1636">
        <v>1399</v>
      </c>
      <c r="J1636" t="s">
        <v>7522</v>
      </c>
      <c r="K1636" t="s">
        <v>7523</v>
      </c>
      <c r="M1636" t="s">
        <v>198</v>
      </c>
      <c r="N1636">
        <v>28520</v>
      </c>
      <c r="O1636" t="s">
        <v>70</v>
      </c>
      <c r="Q1636" t="s">
        <v>199</v>
      </c>
      <c r="R1636" t="s">
        <v>7524</v>
      </c>
      <c r="S1636" t="s">
        <v>2574</v>
      </c>
      <c r="T1636" s="6">
        <v>3900000000</v>
      </c>
      <c r="W1636" t="str">
        <f t="shared" si="26"/>
        <v>PARS TU51399</v>
      </c>
      <c r="X1636">
        <f>VLOOKUP(W1636,Sheet10!D:F,2,0)*10000000</f>
        <v>4950000000</v>
      </c>
      <c r="Y1636" t="s">
        <v>5712</v>
      </c>
    </row>
    <row r="1637" spans="1:25" x14ac:dyDescent="0.25">
      <c r="A1637" t="s">
        <v>3928</v>
      </c>
      <c r="B1637" t="s">
        <v>7525</v>
      </c>
      <c r="C1637">
        <v>575</v>
      </c>
      <c r="D1637" t="s">
        <v>63</v>
      </c>
      <c r="E1637" t="s">
        <v>64</v>
      </c>
      <c r="F1637" t="s">
        <v>2436</v>
      </c>
      <c r="H1637">
        <v>1175</v>
      </c>
      <c r="I1637">
        <v>1401</v>
      </c>
      <c r="J1637" t="s">
        <v>7526</v>
      </c>
      <c r="K1637" t="s">
        <v>7527</v>
      </c>
      <c r="M1637" t="s">
        <v>367</v>
      </c>
      <c r="N1637">
        <v>57522</v>
      </c>
      <c r="O1637" t="s">
        <v>70</v>
      </c>
      <c r="Q1637" t="s">
        <v>3932</v>
      </c>
      <c r="R1637" t="s">
        <v>7528</v>
      </c>
      <c r="S1637" t="s">
        <v>383</v>
      </c>
      <c r="T1637" s="6">
        <v>4250000000</v>
      </c>
      <c r="W1637" t="str">
        <f t="shared" si="26"/>
        <v>SOREN EF71401</v>
      </c>
      <c r="X1637">
        <f>VLOOKUP(W1637,Sheet10!D:F,2,0)*10000000</f>
        <v>4650000000</v>
      </c>
      <c r="Y1637" t="s">
        <v>5712</v>
      </c>
    </row>
    <row r="1638" spans="1:25" x14ac:dyDescent="0.25">
      <c r="A1638" t="s">
        <v>5216</v>
      </c>
      <c r="B1638" t="s">
        <v>7529</v>
      </c>
      <c r="C1638">
        <v>323</v>
      </c>
      <c r="D1638" t="s">
        <v>63</v>
      </c>
      <c r="E1638" t="s">
        <v>64</v>
      </c>
      <c r="F1638" t="s">
        <v>3186</v>
      </c>
      <c r="H1638">
        <v>1048</v>
      </c>
      <c r="I1638">
        <v>1400</v>
      </c>
      <c r="J1638" t="s">
        <v>7530</v>
      </c>
      <c r="K1638" t="s">
        <v>7531</v>
      </c>
      <c r="M1638" t="s">
        <v>5192</v>
      </c>
      <c r="N1638">
        <v>32301</v>
      </c>
      <c r="O1638" t="s">
        <v>70</v>
      </c>
      <c r="Q1638" t="s">
        <v>5193</v>
      </c>
      <c r="R1638" t="s">
        <v>7532</v>
      </c>
      <c r="S1638" t="s">
        <v>2080</v>
      </c>
      <c r="T1638" s="6">
        <v>5600000000</v>
      </c>
      <c r="W1638" t="str">
        <f t="shared" si="26"/>
        <v>TARA TU5PA1400</v>
      </c>
      <c r="X1638">
        <f>VLOOKUP(W1638,Sheet10!D:F,2,0)*10000000</f>
        <v>7200000000</v>
      </c>
      <c r="Y1638" t="s">
        <v>5712</v>
      </c>
    </row>
    <row r="1639" spans="1:25" x14ac:dyDescent="0.25">
      <c r="A1639" t="s">
        <v>2568</v>
      </c>
      <c r="B1639" t="s">
        <v>7533</v>
      </c>
      <c r="C1639">
        <v>351</v>
      </c>
      <c r="D1639" t="s">
        <v>63</v>
      </c>
      <c r="E1639" t="s">
        <v>64</v>
      </c>
      <c r="F1639" t="s">
        <v>318</v>
      </c>
      <c r="H1639">
        <v>1000</v>
      </c>
      <c r="I1639">
        <v>1401</v>
      </c>
      <c r="J1639" t="s">
        <v>7534</v>
      </c>
      <c r="K1639" t="s">
        <v>7535</v>
      </c>
      <c r="M1639" t="s">
        <v>400</v>
      </c>
      <c r="N1639">
        <v>35103</v>
      </c>
      <c r="O1639" t="s">
        <v>70</v>
      </c>
      <c r="Q1639" t="s">
        <v>2572</v>
      </c>
      <c r="R1639" t="s">
        <v>7536</v>
      </c>
      <c r="S1639" t="s">
        <v>3190</v>
      </c>
      <c r="T1639" s="6">
        <v>3700000000</v>
      </c>
      <c r="W1639" t="str">
        <f t="shared" si="26"/>
        <v>PARS XU7 P1401</v>
      </c>
      <c r="X1639">
        <f>VLOOKUP(W1639,Sheet10!D:F,2,0)*10000000</f>
        <v>4500000000</v>
      </c>
      <c r="Y1639" t="s">
        <v>5712</v>
      </c>
    </row>
    <row r="1640" spans="1:25" x14ac:dyDescent="0.25">
      <c r="A1640" t="s">
        <v>7537</v>
      </c>
      <c r="B1640" t="s">
        <v>7538</v>
      </c>
      <c r="C1640">
        <v>300</v>
      </c>
      <c r="D1640" t="s">
        <v>7539</v>
      </c>
      <c r="E1640" t="s">
        <v>64</v>
      </c>
      <c r="F1640" t="s">
        <v>7311</v>
      </c>
      <c r="H1640">
        <v>1000</v>
      </c>
      <c r="I1640">
        <v>1397</v>
      </c>
      <c r="J1640" t="s">
        <v>7540</v>
      </c>
      <c r="K1640" t="s">
        <v>7541</v>
      </c>
      <c r="M1640" t="s">
        <v>5691</v>
      </c>
      <c r="N1640">
        <v>30001</v>
      </c>
      <c r="O1640" t="s">
        <v>303</v>
      </c>
      <c r="Q1640" t="s">
        <v>5692</v>
      </c>
      <c r="R1640" t="s">
        <v>7542</v>
      </c>
      <c r="S1640" t="s">
        <v>7543</v>
      </c>
      <c r="T1640" s="6">
        <v>1800000000</v>
      </c>
      <c r="W1640" t="str">
        <f t="shared" si="26"/>
        <v>2008 اتوماتيك1397</v>
      </c>
      <c r="X1640" t="e">
        <f>VLOOKUP(W1640,Sheet10!D:F,2,0)*10000000</f>
        <v>#N/A</v>
      </c>
      <c r="Y1640" t="s">
        <v>5712</v>
      </c>
    </row>
    <row r="1641" spans="1:25" x14ac:dyDescent="0.25">
      <c r="A1641" t="s">
        <v>2476</v>
      </c>
      <c r="B1641" t="s">
        <v>7544</v>
      </c>
      <c r="C1641">
        <v>575</v>
      </c>
      <c r="D1641" t="s">
        <v>63</v>
      </c>
      <c r="E1641" t="s">
        <v>64</v>
      </c>
      <c r="F1641" t="s">
        <v>318</v>
      </c>
      <c r="H1641">
        <v>934</v>
      </c>
      <c r="I1641">
        <v>1401</v>
      </c>
      <c r="J1641" t="s">
        <v>7545</v>
      </c>
      <c r="K1641" t="s">
        <v>7546</v>
      </c>
      <c r="M1641" t="s">
        <v>367</v>
      </c>
      <c r="N1641">
        <v>57519</v>
      </c>
      <c r="O1641" t="s">
        <v>70</v>
      </c>
      <c r="Q1641" t="s">
        <v>2420</v>
      </c>
      <c r="R1641" t="s">
        <v>7547</v>
      </c>
      <c r="S1641" t="s">
        <v>968</v>
      </c>
      <c r="T1641" s="6">
        <v>3800000000</v>
      </c>
      <c r="W1641" t="str">
        <f t="shared" si="26"/>
        <v>SOREN EF71401</v>
      </c>
      <c r="X1641">
        <f>VLOOKUP(W1641,Sheet10!D:F,2,0)*10000000</f>
        <v>4650000000</v>
      </c>
      <c r="Y1641" t="s">
        <v>5712</v>
      </c>
    </row>
    <row r="1642" spans="1:25" x14ac:dyDescent="0.25">
      <c r="A1642" t="s">
        <v>191</v>
      </c>
      <c r="B1642" t="s">
        <v>7548</v>
      </c>
      <c r="C1642">
        <v>285</v>
      </c>
      <c r="D1642" t="s">
        <v>63</v>
      </c>
      <c r="E1642" t="s">
        <v>64</v>
      </c>
      <c r="F1642" t="s">
        <v>318</v>
      </c>
      <c r="H1642">
        <v>854</v>
      </c>
      <c r="I1642">
        <v>1401</v>
      </c>
      <c r="J1642" t="s">
        <v>7549</v>
      </c>
      <c r="K1642" t="s">
        <v>7550</v>
      </c>
      <c r="M1642" t="s">
        <v>198</v>
      </c>
      <c r="N1642">
        <v>28520</v>
      </c>
      <c r="O1642" t="s">
        <v>70</v>
      </c>
      <c r="Q1642" t="s">
        <v>199</v>
      </c>
      <c r="R1642" t="s">
        <v>7551</v>
      </c>
      <c r="S1642" t="s">
        <v>2567</v>
      </c>
      <c r="T1642" s="6">
        <v>4400000000</v>
      </c>
      <c r="W1642" t="str">
        <f t="shared" si="26"/>
        <v>PARS TU51401</v>
      </c>
      <c r="X1642">
        <f>VLOOKUP(W1642,Sheet10!D:F,2,0)*10000000</f>
        <v>5250000000</v>
      </c>
      <c r="Y1642" t="s">
        <v>5712</v>
      </c>
    </row>
    <row r="1643" spans="1:25" x14ac:dyDescent="0.25">
      <c r="A1643" t="s">
        <v>2476</v>
      </c>
      <c r="B1643" t="s">
        <v>7552</v>
      </c>
      <c r="C1643">
        <v>575</v>
      </c>
      <c r="D1643" t="s">
        <v>63</v>
      </c>
      <c r="E1643" t="s">
        <v>64</v>
      </c>
      <c r="F1643" t="s">
        <v>318</v>
      </c>
      <c r="H1643">
        <v>726</v>
      </c>
      <c r="I1643">
        <v>1401</v>
      </c>
      <c r="J1643" t="s">
        <v>7553</v>
      </c>
      <c r="K1643" t="s">
        <v>7554</v>
      </c>
      <c r="M1643" t="s">
        <v>367</v>
      </c>
      <c r="N1643">
        <v>57519</v>
      </c>
      <c r="O1643" t="s">
        <v>70</v>
      </c>
      <c r="Q1643" t="s">
        <v>2420</v>
      </c>
      <c r="R1643" t="s">
        <v>7555</v>
      </c>
      <c r="S1643" t="s">
        <v>584</v>
      </c>
      <c r="T1643" s="6">
        <v>3870000000</v>
      </c>
      <c r="W1643" t="str">
        <f t="shared" si="26"/>
        <v>SOREN EF71401</v>
      </c>
      <c r="X1643">
        <f>VLOOKUP(W1643,Sheet10!D:F,2,0)*10000000</f>
        <v>4650000000</v>
      </c>
      <c r="Y1643" t="s">
        <v>5712</v>
      </c>
    </row>
    <row r="1644" spans="1:25" x14ac:dyDescent="0.25">
      <c r="A1644" t="s">
        <v>7556</v>
      </c>
      <c r="B1644" t="s">
        <v>7557</v>
      </c>
      <c r="C1644">
        <v>575</v>
      </c>
      <c r="D1644" t="s">
        <v>259</v>
      </c>
      <c r="E1644" t="s">
        <v>64</v>
      </c>
      <c r="F1644" t="s">
        <v>2436</v>
      </c>
      <c r="H1644">
        <v>549</v>
      </c>
      <c r="I1644">
        <v>1401</v>
      </c>
      <c r="J1644" t="s">
        <v>7558</v>
      </c>
      <c r="K1644" t="s">
        <v>7559</v>
      </c>
      <c r="M1644" t="s">
        <v>367</v>
      </c>
      <c r="N1644">
        <v>57522</v>
      </c>
      <c r="O1644" t="s">
        <v>70</v>
      </c>
      <c r="Q1644" t="s">
        <v>3932</v>
      </c>
      <c r="R1644" t="s">
        <v>7560</v>
      </c>
      <c r="S1644" t="s">
        <v>1907</v>
      </c>
      <c r="T1644" s="6">
        <v>4250000000</v>
      </c>
      <c r="W1644" t="str">
        <f t="shared" si="26"/>
        <v>SOREN EF71401</v>
      </c>
      <c r="X1644">
        <f>VLOOKUP(W1644,Sheet10!D:F,2,0)*10000000</f>
        <v>4650000000</v>
      </c>
      <c r="Y1644" t="s">
        <v>5712</v>
      </c>
    </row>
    <row r="1645" spans="1:25" x14ac:dyDescent="0.25">
      <c r="A1645" t="s">
        <v>6270</v>
      </c>
      <c r="B1645" t="s">
        <v>7561</v>
      </c>
      <c r="C1645">
        <v>322</v>
      </c>
      <c r="D1645" t="s">
        <v>6272</v>
      </c>
      <c r="E1645" t="s">
        <v>64</v>
      </c>
      <c r="F1645" t="s">
        <v>362</v>
      </c>
      <c r="H1645">
        <v>38</v>
      </c>
      <c r="I1645">
        <v>1400</v>
      </c>
      <c r="J1645" t="s">
        <v>7562</v>
      </c>
      <c r="K1645" t="s">
        <v>7563</v>
      </c>
      <c r="M1645" t="s">
        <v>92</v>
      </c>
      <c r="N1645">
        <v>32201</v>
      </c>
      <c r="O1645" t="s">
        <v>70</v>
      </c>
      <c r="Q1645" t="s">
        <v>93</v>
      </c>
      <c r="R1645" t="s">
        <v>7564</v>
      </c>
      <c r="S1645" t="s">
        <v>3751</v>
      </c>
      <c r="T1645" s="6">
        <v>4850000000</v>
      </c>
      <c r="W1645" t="str">
        <f t="shared" si="26"/>
        <v>TARA TU5P1400</v>
      </c>
      <c r="X1645" t="e">
        <f>VLOOKUP(W1645,Sheet10!D:F,2,0)*10000000</f>
        <v>#N/A</v>
      </c>
      <c r="Y1645" t="s">
        <v>5712</v>
      </c>
    </row>
    <row r="1646" spans="1:25" x14ac:dyDescent="0.25">
      <c r="A1646" t="s">
        <v>191</v>
      </c>
      <c r="B1646" t="s">
        <v>7565</v>
      </c>
      <c r="C1646">
        <v>285</v>
      </c>
      <c r="D1646" t="s">
        <v>63</v>
      </c>
      <c r="E1646" t="s">
        <v>64</v>
      </c>
      <c r="F1646" t="s">
        <v>420</v>
      </c>
      <c r="H1646">
        <v>38</v>
      </c>
      <c r="I1646">
        <v>1401</v>
      </c>
      <c r="J1646" t="s">
        <v>7566</v>
      </c>
      <c r="K1646" t="s">
        <v>7567</v>
      </c>
      <c r="M1646" t="s">
        <v>198</v>
      </c>
      <c r="N1646">
        <v>28520</v>
      </c>
      <c r="O1646" t="s">
        <v>70</v>
      </c>
      <c r="Q1646" t="s">
        <v>199</v>
      </c>
      <c r="R1646" t="s">
        <v>7568</v>
      </c>
      <c r="S1646" t="s">
        <v>2830</v>
      </c>
      <c r="T1646" s="6">
        <v>4550000000</v>
      </c>
      <c r="W1646" t="str">
        <f t="shared" si="26"/>
        <v>PARS TU51401</v>
      </c>
      <c r="X1646">
        <f>VLOOKUP(W1646,Sheet10!D:F,2,0)*10000000</f>
        <v>5250000000</v>
      </c>
      <c r="Y1646" t="s">
        <v>5712</v>
      </c>
    </row>
    <row r="1647" spans="1:25" x14ac:dyDescent="0.25">
      <c r="A1647" t="s">
        <v>5216</v>
      </c>
      <c r="B1647" t="s">
        <v>7569</v>
      </c>
      <c r="C1647">
        <v>323</v>
      </c>
      <c r="D1647" t="s">
        <v>63</v>
      </c>
      <c r="E1647" t="s">
        <v>64</v>
      </c>
      <c r="F1647" t="s">
        <v>362</v>
      </c>
      <c r="H1647">
        <v>37</v>
      </c>
      <c r="I1647">
        <v>1400</v>
      </c>
      <c r="J1647" t="s">
        <v>7570</v>
      </c>
      <c r="K1647" t="s">
        <v>6004</v>
      </c>
      <c r="M1647" t="s">
        <v>5192</v>
      </c>
      <c r="N1647">
        <v>32301</v>
      </c>
      <c r="O1647" t="s">
        <v>70</v>
      </c>
      <c r="Q1647" t="s">
        <v>5193</v>
      </c>
      <c r="R1647" t="s">
        <v>7571</v>
      </c>
      <c r="S1647" t="s">
        <v>2085</v>
      </c>
      <c r="T1647" s="6">
        <v>6200000000</v>
      </c>
      <c r="W1647" t="str">
        <f t="shared" si="26"/>
        <v>TARA TU5PA1400</v>
      </c>
      <c r="X1647">
        <f>VLOOKUP(W1647,Sheet10!D:F,2,0)*10000000</f>
        <v>7200000000</v>
      </c>
      <c r="Y1647" t="s">
        <v>5712</v>
      </c>
    </row>
    <row r="1648" spans="1:25" x14ac:dyDescent="0.25">
      <c r="A1648" t="s">
        <v>3497</v>
      </c>
      <c r="B1648" t="s">
        <v>7572</v>
      </c>
      <c r="C1648">
        <v>600</v>
      </c>
      <c r="D1648" t="s">
        <v>77</v>
      </c>
      <c r="E1648" t="s">
        <v>64</v>
      </c>
      <c r="F1648" t="s">
        <v>362</v>
      </c>
      <c r="H1648">
        <v>37</v>
      </c>
      <c r="I1648">
        <v>1400</v>
      </c>
      <c r="J1648" t="s">
        <v>7573</v>
      </c>
      <c r="K1648" t="s">
        <v>7574</v>
      </c>
      <c r="M1648" t="s">
        <v>3246</v>
      </c>
      <c r="N1648">
        <v>60010</v>
      </c>
      <c r="O1648" t="s">
        <v>303</v>
      </c>
      <c r="Q1648" t="s">
        <v>3247</v>
      </c>
      <c r="R1648" t="s">
        <v>7575</v>
      </c>
      <c r="S1648" t="s">
        <v>2963</v>
      </c>
      <c r="T1648" s="6">
        <v>5100000000</v>
      </c>
      <c r="W1648" t="str">
        <f t="shared" si="26"/>
        <v>207i-MT1400</v>
      </c>
      <c r="X1648">
        <f>VLOOKUP(W1648,Sheet10!D:F,2,0)*10000000</f>
        <v>5600000000</v>
      </c>
      <c r="Y1648" t="s">
        <v>5712</v>
      </c>
    </row>
    <row r="1649" spans="1:25" x14ac:dyDescent="0.25">
      <c r="A1649" t="s">
        <v>4497</v>
      </c>
      <c r="B1649" t="s">
        <v>5422</v>
      </c>
      <c r="C1649">
        <v>606</v>
      </c>
      <c r="D1649" t="s">
        <v>77</v>
      </c>
      <c r="E1649" t="s">
        <v>64</v>
      </c>
      <c r="F1649" t="s">
        <v>491</v>
      </c>
      <c r="H1649">
        <v>37</v>
      </c>
      <c r="I1649">
        <v>1401</v>
      </c>
      <c r="J1649" t="s">
        <v>5423</v>
      </c>
      <c r="K1649" t="s">
        <v>5424</v>
      </c>
      <c r="M1649" t="s">
        <v>4487</v>
      </c>
      <c r="N1649">
        <v>60602</v>
      </c>
      <c r="O1649" t="s">
        <v>4488</v>
      </c>
      <c r="Q1649" t="s">
        <v>4489</v>
      </c>
      <c r="R1649" t="s">
        <v>5425</v>
      </c>
      <c r="S1649" t="s">
        <v>3796</v>
      </c>
      <c r="T1649" s="6">
        <v>5700000000</v>
      </c>
      <c r="W1649" t="str">
        <f t="shared" si="26"/>
        <v>207i TU5P A1401</v>
      </c>
      <c r="X1649">
        <f>VLOOKUP(W1649,Sheet10!D:F,2,0)*10000000</f>
        <v>7100000000</v>
      </c>
      <c r="Y1649" t="s">
        <v>5712</v>
      </c>
    </row>
    <row r="1650" spans="1:25" x14ac:dyDescent="0.25">
      <c r="A1650" t="s">
        <v>3446</v>
      </c>
      <c r="B1650" t="s">
        <v>7576</v>
      </c>
      <c r="C1650">
        <v>707</v>
      </c>
      <c r="D1650" t="s">
        <v>63</v>
      </c>
      <c r="E1650" t="s">
        <v>64</v>
      </c>
      <c r="F1650" t="s">
        <v>420</v>
      </c>
      <c r="H1650">
        <v>36</v>
      </c>
      <c r="I1650">
        <v>1401</v>
      </c>
      <c r="J1650" t="s">
        <v>7577</v>
      </c>
      <c r="K1650" t="s">
        <v>7578</v>
      </c>
      <c r="M1650" t="s">
        <v>3450</v>
      </c>
      <c r="N1650">
        <v>70702</v>
      </c>
      <c r="O1650" t="s">
        <v>70</v>
      </c>
      <c r="Q1650" t="s">
        <v>3451</v>
      </c>
      <c r="R1650" t="s">
        <v>7579</v>
      </c>
      <c r="S1650" t="s">
        <v>549</v>
      </c>
      <c r="T1650" s="6">
        <v>6330000000</v>
      </c>
      <c r="W1650" t="str">
        <f t="shared" si="26"/>
        <v>DENA+EF7TC A1401</v>
      </c>
      <c r="X1650">
        <f>VLOOKUP(W1650,Sheet10!D:F,2,0)*10000000</f>
        <v>7250000000</v>
      </c>
      <c r="Y1650" t="s">
        <v>5712</v>
      </c>
    </row>
    <row r="1651" spans="1:25" x14ac:dyDescent="0.25">
      <c r="A1651" t="s">
        <v>6237</v>
      </c>
      <c r="B1651" t="s">
        <v>7580</v>
      </c>
      <c r="C1651">
        <v>606</v>
      </c>
      <c r="D1651" t="s">
        <v>63</v>
      </c>
      <c r="E1651" t="s">
        <v>64</v>
      </c>
      <c r="F1651" t="s">
        <v>4256</v>
      </c>
      <c r="H1651">
        <v>36</v>
      </c>
      <c r="I1651">
        <v>1400</v>
      </c>
      <c r="J1651" t="s">
        <v>7581</v>
      </c>
      <c r="K1651" t="s">
        <v>7582</v>
      </c>
      <c r="M1651" t="s">
        <v>4487</v>
      </c>
      <c r="N1651">
        <v>60601</v>
      </c>
      <c r="O1651" t="s">
        <v>4488</v>
      </c>
      <c r="Q1651" t="s">
        <v>6241</v>
      </c>
      <c r="R1651" t="s">
        <v>7583</v>
      </c>
      <c r="S1651" t="s">
        <v>2660</v>
      </c>
      <c r="T1651" s="6">
        <v>6200000000</v>
      </c>
      <c r="W1651" t="str">
        <f t="shared" si="26"/>
        <v>207i TU5P A1400</v>
      </c>
      <c r="X1651">
        <f>VLOOKUP(W1651,Sheet10!D:F,2,0)*10000000</f>
        <v>7000000000</v>
      </c>
      <c r="Y1651" t="s">
        <v>5712</v>
      </c>
    </row>
    <row r="1652" spans="1:25" x14ac:dyDescent="0.25">
      <c r="A1652" t="s">
        <v>5954</v>
      </c>
      <c r="B1652" t="s">
        <v>7584</v>
      </c>
      <c r="C1652">
        <v>606</v>
      </c>
      <c r="D1652" t="s">
        <v>63</v>
      </c>
      <c r="E1652" t="s">
        <v>64</v>
      </c>
      <c r="F1652" t="s">
        <v>2436</v>
      </c>
      <c r="H1652">
        <v>36</v>
      </c>
      <c r="I1652">
        <v>1401</v>
      </c>
      <c r="J1652" t="s">
        <v>7585</v>
      </c>
      <c r="K1652" t="s">
        <v>7586</v>
      </c>
      <c r="M1652" t="s">
        <v>4487</v>
      </c>
      <c r="N1652">
        <v>60603</v>
      </c>
      <c r="O1652" t="s">
        <v>4488</v>
      </c>
      <c r="Q1652" t="s">
        <v>5958</v>
      </c>
      <c r="R1652" t="s">
        <v>7587</v>
      </c>
      <c r="S1652" t="s">
        <v>3422</v>
      </c>
      <c r="T1652" s="6">
        <v>5900000000</v>
      </c>
      <c r="W1652" t="str">
        <f t="shared" si="26"/>
        <v>207i TU5P A1401</v>
      </c>
      <c r="X1652">
        <f>VLOOKUP(W1652,Sheet10!D:F,2,0)*10000000</f>
        <v>7100000000</v>
      </c>
      <c r="Y1652" t="s">
        <v>5712</v>
      </c>
    </row>
    <row r="1653" spans="1:25" x14ac:dyDescent="0.25">
      <c r="A1653" t="s">
        <v>6559</v>
      </c>
      <c r="B1653" t="s">
        <v>7588</v>
      </c>
      <c r="C1653">
        <v>600</v>
      </c>
      <c r="D1653" t="s">
        <v>6561</v>
      </c>
      <c r="E1653" t="s">
        <v>64</v>
      </c>
      <c r="F1653" t="s">
        <v>318</v>
      </c>
      <c r="H1653">
        <v>36</v>
      </c>
      <c r="I1653">
        <v>1401</v>
      </c>
      <c r="J1653" t="s">
        <v>7589</v>
      </c>
      <c r="K1653" t="s">
        <v>7590</v>
      </c>
      <c r="M1653" t="s">
        <v>3246</v>
      </c>
      <c r="N1653">
        <v>60010</v>
      </c>
      <c r="O1653" t="s">
        <v>303</v>
      </c>
      <c r="Q1653" t="s">
        <v>3247</v>
      </c>
      <c r="R1653" t="s">
        <v>7591</v>
      </c>
      <c r="S1653" t="s">
        <v>2780</v>
      </c>
      <c r="T1653" s="6">
        <v>5200000000</v>
      </c>
      <c r="W1653" t="str">
        <f t="shared" si="26"/>
        <v>207i-MT1401</v>
      </c>
      <c r="X1653">
        <f>VLOOKUP(W1653,Sheet10!D:F,2,0)*10000000</f>
        <v>5800000000</v>
      </c>
      <c r="Y1653" t="s">
        <v>5712</v>
      </c>
    </row>
    <row r="1654" spans="1:25" x14ac:dyDescent="0.25">
      <c r="A1654" t="s">
        <v>3446</v>
      </c>
      <c r="B1654" t="s">
        <v>7592</v>
      </c>
      <c r="C1654">
        <v>707</v>
      </c>
      <c r="D1654" t="s">
        <v>63</v>
      </c>
      <c r="E1654" t="s">
        <v>64</v>
      </c>
      <c r="F1654" t="s">
        <v>362</v>
      </c>
      <c r="H1654">
        <v>36</v>
      </c>
      <c r="I1654">
        <v>1400</v>
      </c>
      <c r="J1654" t="s">
        <v>7593</v>
      </c>
      <c r="K1654" t="s">
        <v>7594</v>
      </c>
      <c r="M1654" t="s">
        <v>3450</v>
      </c>
      <c r="N1654">
        <v>70702</v>
      </c>
      <c r="O1654" t="s">
        <v>70</v>
      </c>
      <c r="Q1654" t="s">
        <v>3451</v>
      </c>
      <c r="R1654" t="s">
        <v>7595</v>
      </c>
      <c r="S1654" t="s">
        <v>3113</v>
      </c>
      <c r="T1654" s="6">
        <v>6000000000</v>
      </c>
      <c r="W1654" t="str">
        <f t="shared" si="26"/>
        <v>DENA+EF7TC A1400</v>
      </c>
      <c r="X1654">
        <f>VLOOKUP(W1654,Sheet10!D:F,2,0)*10000000</f>
        <v>7100000000</v>
      </c>
      <c r="Y1654" t="s">
        <v>5712</v>
      </c>
    </row>
    <row r="1655" spans="1:25" x14ac:dyDescent="0.25">
      <c r="A1655" t="s">
        <v>5976</v>
      </c>
      <c r="B1655" t="s">
        <v>7596</v>
      </c>
      <c r="C1655">
        <v>704</v>
      </c>
      <c r="D1655" t="s">
        <v>259</v>
      </c>
      <c r="E1655" t="s">
        <v>64</v>
      </c>
      <c r="F1655" t="s">
        <v>3186</v>
      </c>
      <c r="H1655">
        <v>35</v>
      </c>
      <c r="I1655">
        <v>1401</v>
      </c>
      <c r="J1655" t="s">
        <v>7597</v>
      </c>
      <c r="K1655" t="s">
        <v>5979</v>
      </c>
      <c r="M1655" t="s">
        <v>4401</v>
      </c>
      <c r="N1655">
        <v>70406</v>
      </c>
      <c r="O1655" t="s">
        <v>70</v>
      </c>
      <c r="Q1655" t="s">
        <v>5974</v>
      </c>
      <c r="R1655" t="s">
        <v>7598</v>
      </c>
      <c r="S1655" t="s">
        <v>531</v>
      </c>
      <c r="T1655" s="6">
        <v>5950000000</v>
      </c>
      <c r="W1655" t="str">
        <f t="shared" si="26"/>
        <v>DENA EF7 TC-MT1401</v>
      </c>
      <c r="X1655">
        <f>VLOOKUP(W1655,Sheet10!D:F,2,0)*10000000</f>
        <v>6750000000</v>
      </c>
      <c r="Y1655" t="s">
        <v>5712</v>
      </c>
    </row>
    <row r="1656" spans="1:25" x14ac:dyDescent="0.25">
      <c r="A1656" t="s">
        <v>6237</v>
      </c>
      <c r="B1656" t="s">
        <v>7599</v>
      </c>
      <c r="C1656">
        <v>606</v>
      </c>
      <c r="D1656" t="s">
        <v>63</v>
      </c>
      <c r="E1656" t="s">
        <v>64</v>
      </c>
      <c r="F1656" t="s">
        <v>4256</v>
      </c>
      <c r="H1656">
        <v>35</v>
      </c>
      <c r="I1656">
        <v>1400</v>
      </c>
      <c r="J1656" t="s">
        <v>7600</v>
      </c>
      <c r="K1656" t="s">
        <v>7601</v>
      </c>
      <c r="M1656" t="s">
        <v>4487</v>
      </c>
      <c r="N1656">
        <v>60601</v>
      </c>
      <c r="O1656" t="s">
        <v>4488</v>
      </c>
      <c r="Q1656" t="s">
        <v>6241</v>
      </c>
      <c r="R1656" t="s">
        <v>7602</v>
      </c>
      <c r="S1656" t="s">
        <v>2422</v>
      </c>
      <c r="T1656" s="6">
        <v>6200000000</v>
      </c>
      <c r="W1656" t="str">
        <f t="shared" si="26"/>
        <v>207i TU5P A1400</v>
      </c>
      <c r="X1656">
        <f>VLOOKUP(W1656,Sheet10!D:F,2,0)*10000000</f>
        <v>7000000000</v>
      </c>
      <c r="Y1656" t="s">
        <v>5712</v>
      </c>
    </row>
    <row r="1657" spans="1:25" x14ac:dyDescent="0.25">
      <c r="A1657" t="s">
        <v>2568</v>
      </c>
      <c r="B1657" t="s">
        <v>7603</v>
      </c>
      <c r="C1657">
        <v>351</v>
      </c>
      <c r="D1657" t="s">
        <v>63</v>
      </c>
      <c r="E1657" t="s">
        <v>64</v>
      </c>
      <c r="F1657" t="s">
        <v>318</v>
      </c>
      <c r="H1657">
        <v>35</v>
      </c>
      <c r="I1657">
        <v>1401</v>
      </c>
      <c r="J1657" t="s">
        <v>7604</v>
      </c>
      <c r="K1657" t="s">
        <v>7605</v>
      </c>
      <c r="M1657" t="s">
        <v>400</v>
      </c>
      <c r="N1657">
        <v>35103</v>
      </c>
      <c r="O1657" t="s">
        <v>70</v>
      </c>
      <c r="Q1657" t="s">
        <v>2572</v>
      </c>
      <c r="R1657" t="s">
        <v>7606</v>
      </c>
      <c r="S1657" t="s">
        <v>4415</v>
      </c>
      <c r="T1657" s="6">
        <v>3700000000</v>
      </c>
      <c r="W1657" t="str">
        <f t="shared" si="26"/>
        <v>PARS XU7 P1401</v>
      </c>
      <c r="X1657">
        <f>VLOOKUP(W1657,Sheet10!D:F,2,0)*10000000</f>
        <v>4500000000</v>
      </c>
      <c r="Y1657" t="s">
        <v>5712</v>
      </c>
    </row>
    <row r="1658" spans="1:25" x14ac:dyDescent="0.25">
      <c r="A1658" t="s">
        <v>7607</v>
      </c>
      <c r="B1658" t="s">
        <v>7608</v>
      </c>
      <c r="C1658">
        <v>707</v>
      </c>
      <c r="D1658" t="s">
        <v>7609</v>
      </c>
      <c r="E1658" t="s">
        <v>64</v>
      </c>
      <c r="F1658" t="s">
        <v>420</v>
      </c>
      <c r="H1658">
        <v>34</v>
      </c>
      <c r="I1658">
        <v>1401</v>
      </c>
      <c r="J1658" t="s">
        <v>7610</v>
      </c>
      <c r="K1658" t="s">
        <v>7611</v>
      </c>
      <c r="M1658" t="s">
        <v>3450</v>
      </c>
      <c r="N1658">
        <v>70702</v>
      </c>
      <c r="O1658" t="s">
        <v>70</v>
      </c>
      <c r="Q1658" t="s">
        <v>3451</v>
      </c>
      <c r="R1658" t="s">
        <v>7612</v>
      </c>
      <c r="S1658" t="s">
        <v>873</v>
      </c>
      <c r="T1658" s="6">
        <v>6330000000</v>
      </c>
      <c r="W1658" t="str">
        <f t="shared" si="26"/>
        <v>DENA+EF7TC A1401</v>
      </c>
      <c r="X1658">
        <f>VLOOKUP(W1658,Sheet10!D:F,2,0)*10000000</f>
        <v>7250000000</v>
      </c>
      <c r="Y1658" t="s">
        <v>5712</v>
      </c>
    </row>
    <row r="1659" spans="1:25" x14ac:dyDescent="0.25">
      <c r="A1659" t="s">
        <v>5954</v>
      </c>
      <c r="B1659" t="s">
        <v>7613</v>
      </c>
      <c r="C1659">
        <v>606</v>
      </c>
      <c r="D1659" t="s">
        <v>63</v>
      </c>
      <c r="E1659" t="s">
        <v>64</v>
      </c>
      <c r="F1659" t="s">
        <v>420</v>
      </c>
      <c r="H1659">
        <v>34</v>
      </c>
      <c r="I1659">
        <v>1401</v>
      </c>
      <c r="J1659" t="s">
        <v>7614</v>
      </c>
      <c r="K1659" t="s">
        <v>6172</v>
      </c>
      <c r="M1659" t="s">
        <v>4487</v>
      </c>
      <c r="N1659">
        <v>60603</v>
      </c>
      <c r="O1659" t="s">
        <v>4488</v>
      </c>
      <c r="Q1659" t="s">
        <v>5958</v>
      </c>
      <c r="R1659" t="s">
        <v>7615</v>
      </c>
      <c r="S1659" t="s">
        <v>2705</v>
      </c>
      <c r="T1659" s="6">
        <v>5950000000</v>
      </c>
      <c r="W1659" t="str">
        <f t="shared" si="26"/>
        <v>207i TU5P A1401</v>
      </c>
      <c r="X1659">
        <f>VLOOKUP(W1659,Sheet10!D:F,2,0)*10000000</f>
        <v>7100000000</v>
      </c>
      <c r="Y1659" t="s">
        <v>5712</v>
      </c>
    </row>
    <row r="1660" spans="1:25" x14ac:dyDescent="0.25">
      <c r="A1660" t="s">
        <v>3242</v>
      </c>
      <c r="B1660" t="s">
        <v>7616</v>
      </c>
      <c r="C1660">
        <v>600</v>
      </c>
      <c r="D1660" t="s">
        <v>63</v>
      </c>
      <c r="E1660" t="s">
        <v>64</v>
      </c>
      <c r="F1660" t="s">
        <v>362</v>
      </c>
      <c r="H1660">
        <v>34</v>
      </c>
      <c r="I1660">
        <v>1400</v>
      </c>
      <c r="J1660" t="s">
        <v>7617</v>
      </c>
      <c r="K1660" t="s">
        <v>6436</v>
      </c>
      <c r="M1660" t="s">
        <v>3246</v>
      </c>
      <c r="N1660">
        <v>60010</v>
      </c>
      <c r="O1660" t="s">
        <v>303</v>
      </c>
      <c r="Q1660" t="s">
        <v>3247</v>
      </c>
      <c r="R1660" t="s">
        <v>7618</v>
      </c>
      <c r="S1660" t="s">
        <v>4714</v>
      </c>
      <c r="T1660" s="6">
        <v>5100000000</v>
      </c>
      <c r="W1660" t="str">
        <f t="shared" si="26"/>
        <v>207i-MT1400</v>
      </c>
      <c r="X1660">
        <f>VLOOKUP(W1660,Sheet10!D:F,2,0)*10000000</f>
        <v>5600000000</v>
      </c>
      <c r="Y1660" t="s">
        <v>5712</v>
      </c>
    </row>
    <row r="1661" spans="1:25" x14ac:dyDescent="0.25">
      <c r="A1661" t="s">
        <v>325</v>
      </c>
      <c r="B1661" t="s">
        <v>3718</v>
      </c>
      <c r="C1661">
        <v>260</v>
      </c>
      <c r="D1661" t="s">
        <v>63</v>
      </c>
      <c r="E1661" t="s">
        <v>64</v>
      </c>
      <c r="F1661" t="s">
        <v>318</v>
      </c>
      <c r="H1661">
        <v>34</v>
      </c>
      <c r="I1661">
        <v>1401</v>
      </c>
      <c r="J1661" t="s">
        <v>3719</v>
      </c>
      <c r="K1661" t="s">
        <v>3720</v>
      </c>
      <c r="M1661" t="s">
        <v>329</v>
      </c>
      <c r="N1661">
        <v>26031</v>
      </c>
      <c r="O1661" t="s">
        <v>303</v>
      </c>
      <c r="Q1661" t="s">
        <v>330</v>
      </c>
      <c r="R1661" t="s">
        <v>3721</v>
      </c>
      <c r="S1661" t="s">
        <v>644</v>
      </c>
      <c r="T1661" s="6">
        <v>3700000000</v>
      </c>
      <c r="W1661" t="str">
        <f t="shared" si="26"/>
        <v>206TU31401</v>
      </c>
      <c r="X1661" t="e">
        <f>VLOOKUP(W1661,Sheet10!D:F,2,0)*10000000</f>
        <v>#N/A</v>
      </c>
      <c r="Y1661" t="s">
        <v>5712</v>
      </c>
    </row>
    <row r="1662" spans="1:25" x14ac:dyDescent="0.25">
      <c r="A1662" t="s">
        <v>5970</v>
      </c>
      <c r="B1662" t="s">
        <v>7619</v>
      </c>
      <c r="C1662">
        <v>704</v>
      </c>
      <c r="D1662" t="s">
        <v>77</v>
      </c>
      <c r="E1662" t="s">
        <v>64</v>
      </c>
      <c r="F1662" t="s">
        <v>2436</v>
      </c>
      <c r="H1662">
        <v>33</v>
      </c>
      <c r="I1662">
        <v>1401</v>
      </c>
      <c r="J1662" t="s">
        <v>7620</v>
      </c>
      <c r="K1662" t="s">
        <v>7621</v>
      </c>
      <c r="M1662" t="s">
        <v>4401</v>
      </c>
      <c r="N1662">
        <v>70406</v>
      </c>
      <c r="O1662" t="s">
        <v>70</v>
      </c>
      <c r="Q1662" t="s">
        <v>5974</v>
      </c>
      <c r="R1662" t="s">
        <v>7622</v>
      </c>
      <c r="S1662" t="s">
        <v>1371</v>
      </c>
      <c r="T1662" s="6">
        <v>5850000000</v>
      </c>
      <c r="W1662" t="str">
        <f t="shared" si="26"/>
        <v>DENA EF7 TC-MT1401</v>
      </c>
      <c r="X1662">
        <f>VLOOKUP(W1662,Sheet10!D:F,2,0)*10000000</f>
        <v>6750000000</v>
      </c>
      <c r="Y1662" t="s">
        <v>5712</v>
      </c>
    </row>
    <row r="1663" spans="1:25" x14ac:dyDescent="0.25">
      <c r="A1663" t="s">
        <v>3242</v>
      </c>
      <c r="B1663" t="s">
        <v>7623</v>
      </c>
      <c r="C1663">
        <v>600</v>
      </c>
      <c r="D1663" t="s">
        <v>63</v>
      </c>
      <c r="E1663" t="s">
        <v>64</v>
      </c>
      <c r="F1663" t="s">
        <v>491</v>
      </c>
      <c r="H1663">
        <v>33</v>
      </c>
      <c r="I1663">
        <v>1401</v>
      </c>
      <c r="J1663" t="s">
        <v>7624</v>
      </c>
      <c r="K1663" t="s">
        <v>7625</v>
      </c>
      <c r="M1663" t="s">
        <v>3246</v>
      </c>
      <c r="N1663">
        <v>60010</v>
      </c>
      <c r="O1663" t="s">
        <v>303</v>
      </c>
      <c r="Q1663" t="s">
        <v>3247</v>
      </c>
      <c r="R1663" t="s">
        <v>7626</v>
      </c>
      <c r="S1663" t="s">
        <v>3683</v>
      </c>
      <c r="T1663" s="6">
        <v>5250000000</v>
      </c>
      <c r="W1663" t="str">
        <f t="shared" si="26"/>
        <v>207i-MT1401</v>
      </c>
      <c r="X1663">
        <f>VLOOKUP(W1663,Sheet10!D:F,2,0)*10000000</f>
        <v>5800000000</v>
      </c>
      <c r="Y1663" t="s">
        <v>5712</v>
      </c>
    </row>
    <row r="1664" spans="1:25" x14ac:dyDescent="0.25">
      <c r="A1664" t="s">
        <v>316</v>
      </c>
      <c r="B1664" t="s">
        <v>3695</v>
      </c>
      <c r="C1664">
        <v>610</v>
      </c>
      <c r="D1664" t="s">
        <v>63</v>
      </c>
      <c r="E1664" t="s">
        <v>64</v>
      </c>
      <c r="F1664" t="s">
        <v>491</v>
      </c>
      <c r="H1664">
        <v>32</v>
      </c>
      <c r="I1664">
        <v>1401</v>
      </c>
      <c r="J1664" t="s">
        <v>3696</v>
      </c>
      <c r="K1664" t="s">
        <v>3697</v>
      </c>
      <c r="M1664" t="s">
        <v>321</v>
      </c>
      <c r="N1664">
        <v>61015</v>
      </c>
      <c r="O1664" t="s">
        <v>70</v>
      </c>
      <c r="Q1664" t="s">
        <v>322</v>
      </c>
      <c r="R1664" t="s">
        <v>3698</v>
      </c>
      <c r="S1664" t="s">
        <v>913</v>
      </c>
      <c r="T1664" s="6">
        <v>3680000000</v>
      </c>
      <c r="W1664" t="str">
        <f t="shared" si="26"/>
        <v>TU51401</v>
      </c>
      <c r="X1664">
        <f>VLOOKUP(W1664,Sheet10!D:F,2,0)*10000000</f>
        <v>4450000000</v>
      </c>
      <c r="Y1664" t="s">
        <v>5712</v>
      </c>
    </row>
    <row r="1665" spans="1:25" x14ac:dyDescent="0.25">
      <c r="A1665" t="s">
        <v>3411</v>
      </c>
      <c r="B1665" t="s">
        <v>7627</v>
      </c>
      <c r="C1665">
        <v>600</v>
      </c>
      <c r="D1665" t="s">
        <v>63</v>
      </c>
      <c r="E1665" t="s">
        <v>64</v>
      </c>
      <c r="F1665" t="s">
        <v>420</v>
      </c>
      <c r="H1665">
        <v>32</v>
      </c>
      <c r="I1665">
        <v>1401</v>
      </c>
      <c r="J1665" t="s">
        <v>7628</v>
      </c>
      <c r="K1665" t="s">
        <v>7629</v>
      </c>
      <c r="M1665" t="s">
        <v>3246</v>
      </c>
      <c r="N1665">
        <v>60006</v>
      </c>
      <c r="O1665" t="s">
        <v>303</v>
      </c>
      <c r="Q1665" t="s">
        <v>3415</v>
      </c>
      <c r="R1665" t="s">
        <v>7630</v>
      </c>
      <c r="S1665" t="s">
        <v>95</v>
      </c>
      <c r="T1665" s="6">
        <v>4950000000</v>
      </c>
      <c r="W1665" t="str">
        <f t="shared" si="26"/>
        <v>207i-MT1401</v>
      </c>
      <c r="X1665">
        <f>VLOOKUP(W1665,Sheet10!D:F,2,0)*10000000</f>
        <v>5800000000</v>
      </c>
      <c r="Y1665" t="s">
        <v>5712</v>
      </c>
    </row>
    <row r="1666" spans="1:25" x14ac:dyDescent="0.25">
      <c r="A1666" t="s">
        <v>316</v>
      </c>
      <c r="B1666" t="s">
        <v>7631</v>
      </c>
      <c r="C1666">
        <v>610</v>
      </c>
      <c r="D1666" t="s">
        <v>63</v>
      </c>
      <c r="E1666" t="s">
        <v>64</v>
      </c>
      <c r="F1666" t="s">
        <v>318</v>
      </c>
      <c r="H1666">
        <v>31</v>
      </c>
      <c r="I1666">
        <v>1401</v>
      </c>
      <c r="J1666" t="s">
        <v>7632</v>
      </c>
      <c r="K1666" t="s">
        <v>7633</v>
      </c>
      <c r="M1666" t="s">
        <v>321</v>
      </c>
      <c r="N1666">
        <v>61015</v>
      </c>
      <c r="O1666" t="s">
        <v>70</v>
      </c>
      <c r="Q1666" t="s">
        <v>322</v>
      </c>
      <c r="R1666" t="s">
        <v>7634</v>
      </c>
      <c r="S1666" t="s">
        <v>1051</v>
      </c>
      <c r="T1666" s="6">
        <v>3650000000</v>
      </c>
      <c r="W1666" t="str">
        <f t="shared" si="26"/>
        <v>TU51401</v>
      </c>
      <c r="X1666">
        <f>VLOOKUP(W1666,Sheet10!D:F,2,0)*10000000</f>
        <v>4450000000</v>
      </c>
      <c r="Y1666" t="s">
        <v>5712</v>
      </c>
    </row>
    <row r="1667" spans="1:25" x14ac:dyDescent="0.25">
      <c r="A1667" t="s">
        <v>5854</v>
      </c>
      <c r="B1667" t="s">
        <v>7635</v>
      </c>
      <c r="C1667">
        <v>322</v>
      </c>
      <c r="D1667" t="s">
        <v>240</v>
      </c>
      <c r="E1667" t="s">
        <v>64</v>
      </c>
      <c r="F1667" t="s">
        <v>420</v>
      </c>
      <c r="H1667">
        <v>31</v>
      </c>
      <c r="I1667">
        <v>1401</v>
      </c>
      <c r="J1667" t="s">
        <v>7636</v>
      </c>
      <c r="K1667" t="s">
        <v>7637</v>
      </c>
      <c r="M1667" t="s">
        <v>92</v>
      </c>
      <c r="N1667">
        <v>32201</v>
      </c>
      <c r="O1667" t="s">
        <v>70</v>
      </c>
      <c r="Q1667" t="s">
        <v>93</v>
      </c>
      <c r="R1667" t="s">
        <v>7638</v>
      </c>
      <c r="S1667" t="s">
        <v>4828</v>
      </c>
      <c r="T1667" s="6">
        <v>5150000000</v>
      </c>
      <c r="W1667" t="str">
        <f t="shared" si="26"/>
        <v>TARA TU5P1401</v>
      </c>
      <c r="X1667" t="e">
        <f>VLOOKUP(W1667,Sheet10!D:F,2,0)*10000000</f>
        <v>#N/A</v>
      </c>
      <c r="Y1667" t="s">
        <v>5712</v>
      </c>
    </row>
    <row r="1668" spans="1:25" x14ac:dyDescent="0.25">
      <c r="A1668" t="s">
        <v>5976</v>
      </c>
      <c r="B1668" t="s">
        <v>7639</v>
      </c>
      <c r="C1668">
        <v>704</v>
      </c>
      <c r="D1668" t="s">
        <v>259</v>
      </c>
      <c r="E1668" t="s">
        <v>64</v>
      </c>
      <c r="F1668" t="s">
        <v>4256</v>
      </c>
      <c r="H1668">
        <v>30</v>
      </c>
      <c r="I1668">
        <v>1400</v>
      </c>
      <c r="J1668" t="s">
        <v>7640</v>
      </c>
      <c r="K1668" t="s">
        <v>7641</v>
      </c>
      <c r="M1668" t="s">
        <v>4401</v>
      </c>
      <c r="N1668">
        <v>70406</v>
      </c>
      <c r="O1668" t="s">
        <v>70</v>
      </c>
      <c r="Q1668" t="s">
        <v>5974</v>
      </c>
      <c r="R1668" t="s">
        <v>7642</v>
      </c>
      <c r="S1668" t="s">
        <v>732</v>
      </c>
      <c r="T1668" s="6">
        <v>5650000000</v>
      </c>
      <c r="W1668" t="str">
        <f t="shared" si="26"/>
        <v>DENA EF7 TC-MT1400</v>
      </c>
      <c r="X1668" t="e">
        <f>VLOOKUP(W1668,Sheet10!D:F,2,0)*10000000</f>
        <v>#N/A</v>
      </c>
      <c r="Y1668" t="s">
        <v>5712</v>
      </c>
    </row>
    <row r="1669" spans="1:25" x14ac:dyDescent="0.25">
      <c r="A1669" t="s">
        <v>5954</v>
      </c>
      <c r="B1669" t="s">
        <v>7643</v>
      </c>
      <c r="C1669">
        <v>606</v>
      </c>
      <c r="D1669" t="s">
        <v>63</v>
      </c>
      <c r="E1669" t="s">
        <v>64</v>
      </c>
      <c r="F1669" t="s">
        <v>491</v>
      </c>
      <c r="H1669">
        <v>30</v>
      </c>
      <c r="I1669">
        <v>1401</v>
      </c>
      <c r="J1669" t="s">
        <v>7644</v>
      </c>
      <c r="K1669" t="s">
        <v>7645</v>
      </c>
      <c r="M1669" t="s">
        <v>4487</v>
      </c>
      <c r="N1669">
        <v>60603</v>
      </c>
      <c r="O1669" t="s">
        <v>4488</v>
      </c>
      <c r="Q1669" t="s">
        <v>5958</v>
      </c>
      <c r="R1669" t="s">
        <v>7646</v>
      </c>
      <c r="S1669" t="s">
        <v>4446</v>
      </c>
      <c r="T1669" s="6">
        <v>5850000000</v>
      </c>
      <c r="W1669" t="str">
        <f t="shared" si="26"/>
        <v>207i TU5P A1401</v>
      </c>
      <c r="X1669">
        <f>VLOOKUP(W1669,Sheet10!D:F,2,0)*10000000</f>
        <v>7100000000</v>
      </c>
      <c r="Y1669" t="s">
        <v>5712</v>
      </c>
    </row>
    <row r="1670" spans="1:25" x14ac:dyDescent="0.25">
      <c r="A1670" t="s">
        <v>3521</v>
      </c>
      <c r="B1670" t="s">
        <v>7647</v>
      </c>
      <c r="C1670">
        <v>707</v>
      </c>
      <c r="D1670" t="s">
        <v>77</v>
      </c>
      <c r="E1670" t="s">
        <v>64</v>
      </c>
      <c r="F1670" t="s">
        <v>420</v>
      </c>
      <c r="H1670">
        <v>29</v>
      </c>
      <c r="I1670">
        <v>1401</v>
      </c>
      <c r="J1670" t="s">
        <v>7648</v>
      </c>
      <c r="K1670" t="s">
        <v>7649</v>
      </c>
      <c r="M1670" t="s">
        <v>3450</v>
      </c>
      <c r="N1670">
        <v>70702</v>
      </c>
      <c r="O1670" t="s">
        <v>70</v>
      </c>
      <c r="Q1670" t="s">
        <v>3451</v>
      </c>
      <c r="R1670" t="s">
        <v>7650</v>
      </c>
      <c r="S1670" t="s">
        <v>918</v>
      </c>
      <c r="T1670" s="6">
        <v>6330000000</v>
      </c>
      <c r="W1670" t="str">
        <f t="shared" si="26"/>
        <v>DENA+EF7TC A1401</v>
      </c>
      <c r="X1670">
        <f>VLOOKUP(W1670,Sheet10!D:F,2,0)*10000000</f>
        <v>7250000000</v>
      </c>
      <c r="Y1670" t="s">
        <v>5712</v>
      </c>
    </row>
    <row r="1671" spans="1:25" x14ac:dyDescent="0.25">
      <c r="A1671" t="s">
        <v>3139</v>
      </c>
      <c r="B1671" t="s">
        <v>7651</v>
      </c>
      <c r="C1671">
        <v>575</v>
      </c>
      <c r="D1671" t="s">
        <v>77</v>
      </c>
      <c r="E1671" t="s">
        <v>64</v>
      </c>
      <c r="F1671" t="s">
        <v>420</v>
      </c>
      <c r="H1671">
        <v>29</v>
      </c>
      <c r="I1671">
        <v>1401</v>
      </c>
      <c r="J1671" t="s">
        <v>7652</v>
      </c>
      <c r="K1671" t="s">
        <v>7653</v>
      </c>
      <c r="M1671" t="s">
        <v>367</v>
      </c>
      <c r="N1671">
        <v>57523</v>
      </c>
      <c r="O1671" t="s">
        <v>70</v>
      </c>
      <c r="Q1671" t="s">
        <v>2648</v>
      </c>
      <c r="R1671" t="s">
        <v>7654</v>
      </c>
      <c r="S1671" t="s">
        <v>2065</v>
      </c>
      <c r="T1671" s="6">
        <v>4150000000</v>
      </c>
      <c r="W1671" t="str">
        <f t="shared" si="26"/>
        <v>SOREN EF71401</v>
      </c>
      <c r="X1671">
        <f>VLOOKUP(W1671,Sheet10!D:F,2,0)*10000000</f>
        <v>4650000000</v>
      </c>
      <c r="Y1671" t="s">
        <v>5712</v>
      </c>
    </row>
    <row r="1672" spans="1:25" x14ac:dyDescent="0.25">
      <c r="A1672" t="s">
        <v>6308</v>
      </c>
      <c r="B1672" t="s">
        <v>7655</v>
      </c>
      <c r="C1672">
        <v>518</v>
      </c>
      <c r="D1672" t="s">
        <v>63</v>
      </c>
      <c r="E1672" t="s">
        <v>64</v>
      </c>
      <c r="F1672" t="s">
        <v>420</v>
      </c>
      <c r="H1672">
        <v>29</v>
      </c>
      <c r="I1672">
        <v>1401</v>
      </c>
      <c r="J1672" t="s">
        <v>7656</v>
      </c>
      <c r="K1672" t="s">
        <v>7657</v>
      </c>
      <c r="M1672" t="s">
        <v>5609</v>
      </c>
      <c r="N1672">
        <v>51802</v>
      </c>
      <c r="O1672" t="s">
        <v>303</v>
      </c>
      <c r="Q1672" t="s">
        <v>5610</v>
      </c>
      <c r="R1672" t="s">
        <v>7658</v>
      </c>
      <c r="S1672" t="s">
        <v>5146</v>
      </c>
      <c r="T1672" s="6">
        <v>11100000000</v>
      </c>
      <c r="W1672" t="str">
        <f t="shared" si="26"/>
        <v>S7-T-AT1401</v>
      </c>
      <c r="X1672">
        <f>VLOOKUP(W1672,Sheet10!D:F,2,0)*10000000</f>
        <v>13450000000</v>
      </c>
      <c r="Y1672" t="s">
        <v>5712</v>
      </c>
    </row>
    <row r="1673" spans="1:25" x14ac:dyDescent="0.25">
      <c r="A1673" t="s">
        <v>5585</v>
      </c>
      <c r="B1673" t="s">
        <v>7659</v>
      </c>
      <c r="C1673">
        <v>522</v>
      </c>
      <c r="D1673" t="s">
        <v>77</v>
      </c>
      <c r="E1673" t="s">
        <v>64</v>
      </c>
      <c r="F1673" t="s">
        <v>491</v>
      </c>
      <c r="H1673">
        <v>29</v>
      </c>
      <c r="I1673">
        <v>1401</v>
      </c>
      <c r="J1673" t="s">
        <v>7660</v>
      </c>
      <c r="K1673" t="s">
        <v>7661</v>
      </c>
      <c r="M1673" t="s">
        <v>5589</v>
      </c>
      <c r="N1673">
        <v>52201</v>
      </c>
      <c r="O1673" t="s">
        <v>4488</v>
      </c>
      <c r="Q1673" t="s">
        <v>5590</v>
      </c>
      <c r="R1673" t="s">
        <v>7662</v>
      </c>
      <c r="S1673" t="s">
        <v>2897</v>
      </c>
      <c r="T1673" s="6">
        <v>9850000000</v>
      </c>
      <c r="W1673" t="str">
        <f t="shared" si="26"/>
        <v>S5-T-AT1401</v>
      </c>
      <c r="X1673">
        <f>VLOOKUP(W1673,Sheet10!D:F,2,0)*10000000</f>
        <v>11100000000</v>
      </c>
      <c r="Y1673" t="s">
        <v>5712</v>
      </c>
    </row>
    <row r="1674" spans="1:25" x14ac:dyDescent="0.25">
      <c r="A1674" t="s">
        <v>4483</v>
      </c>
      <c r="B1674" t="s">
        <v>7663</v>
      </c>
      <c r="C1674">
        <v>606</v>
      </c>
      <c r="D1674" t="s">
        <v>63</v>
      </c>
      <c r="E1674" t="s">
        <v>64</v>
      </c>
      <c r="F1674" t="s">
        <v>420</v>
      </c>
      <c r="H1674">
        <v>29</v>
      </c>
      <c r="I1674">
        <v>1401</v>
      </c>
      <c r="J1674" t="s">
        <v>7664</v>
      </c>
      <c r="K1674" t="s">
        <v>7665</v>
      </c>
      <c r="M1674" t="s">
        <v>4487</v>
      </c>
      <c r="N1674">
        <v>60602</v>
      </c>
      <c r="O1674" t="s">
        <v>4488</v>
      </c>
      <c r="Q1674" t="s">
        <v>4489</v>
      </c>
      <c r="R1674" t="s">
        <v>7666</v>
      </c>
      <c r="S1674" t="s">
        <v>3912</v>
      </c>
      <c r="T1674" s="6">
        <v>5650000000</v>
      </c>
      <c r="W1674" t="str">
        <f t="shared" si="26"/>
        <v>207i TU5P A1401</v>
      </c>
      <c r="X1674">
        <f>VLOOKUP(W1674,Sheet10!D:F,2,0)*10000000</f>
        <v>7100000000</v>
      </c>
      <c r="Y1674" t="s">
        <v>5712</v>
      </c>
    </row>
    <row r="1675" spans="1:25" x14ac:dyDescent="0.25">
      <c r="A1675" t="s">
        <v>316</v>
      </c>
      <c r="B1675" t="s">
        <v>7667</v>
      </c>
      <c r="C1675">
        <v>610</v>
      </c>
      <c r="D1675" t="s">
        <v>63</v>
      </c>
      <c r="E1675" t="s">
        <v>64</v>
      </c>
      <c r="F1675" t="s">
        <v>2436</v>
      </c>
      <c r="H1675">
        <v>28</v>
      </c>
      <c r="I1675">
        <v>1401</v>
      </c>
      <c r="J1675" t="s">
        <v>7668</v>
      </c>
      <c r="K1675" t="s">
        <v>7669</v>
      </c>
      <c r="M1675" t="s">
        <v>321</v>
      </c>
      <c r="N1675">
        <v>61015</v>
      </c>
      <c r="O1675" t="s">
        <v>70</v>
      </c>
      <c r="Q1675" t="s">
        <v>322</v>
      </c>
      <c r="R1675" t="s">
        <v>7670</v>
      </c>
      <c r="S1675" t="s">
        <v>1190</v>
      </c>
      <c r="T1675" s="6">
        <v>3650000000</v>
      </c>
      <c r="W1675" t="str">
        <f t="shared" si="26"/>
        <v>TU51401</v>
      </c>
      <c r="X1675">
        <f>VLOOKUP(W1675,Sheet10!D:F,2,0)*10000000</f>
        <v>4450000000</v>
      </c>
      <c r="Y1675" t="s">
        <v>5712</v>
      </c>
    </row>
    <row r="1676" spans="1:25" x14ac:dyDescent="0.25">
      <c r="A1676" t="s">
        <v>2476</v>
      </c>
      <c r="B1676" t="s">
        <v>7671</v>
      </c>
      <c r="C1676">
        <v>575</v>
      </c>
      <c r="D1676" t="s">
        <v>63</v>
      </c>
      <c r="E1676" t="s">
        <v>64</v>
      </c>
      <c r="F1676" t="s">
        <v>491</v>
      </c>
      <c r="H1676">
        <v>28</v>
      </c>
      <c r="I1676">
        <v>1401</v>
      </c>
      <c r="J1676" t="s">
        <v>7672</v>
      </c>
      <c r="K1676" t="s">
        <v>7673</v>
      </c>
      <c r="M1676" t="s">
        <v>367</v>
      </c>
      <c r="N1676">
        <v>57519</v>
      </c>
      <c r="O1676" t="s">
        <v>70</v>
      </c>
      <c r="Q1676" t="s">
        <v>2420</v>
      </c>
      <c r="R1676" t="s">
        <v>7674</v>
      </c>
      <c r="S1676" t="s">
        <v>1111</v>
      </c>
      <c r="T1676" s="6">
        <v>3830000000</v>
      </c>
      <c r="W1676" t="str">
        <f t="shared" si="26"/>
        <v>SOREN EF71401</v>
      </c>
      <c r="X1676">
        <f>VLOOKUP(W1676,Sheet10!D:F,2,0)*10000000</f>
        <v>4650000000</v>
      </c>
      <c r="Y1676" t="s">
        <v>5712</v>
      </c>
    </row>
    <row r="1677" spans="1:25" x14ac:dyDescent="0.25">
      <c r="A1677" t="s">
        <v>4497</v>
      </c>
      <c r="B1677" t="s">
        <v>5377</v>
      </c>
      <c r="C1677">
        <v>606</v>
      </c>
      <c r="D1677" t="s">
        <v>77</v>
      </c>
      <c r="E1677" t="s">
        <v>64</v>
      </c>
      <c r="F1677" t="s">
        <v>318</v>
      </c>
      <c r="H1677">
        <v>28</v>
      </c>
      <c r="I1677">
        <v>1401</v>
      </c>
      <c r="J1677" t="s">
        <v>5378</v>
      </c>
      <c r="K1677" t="s">
        <v>5379</v>
      </c>
      <c r="M1677" t="s">
        <v>4487</v>
      </c>
      <c r="N1677">
        <v>60602</v>
      </c>
      <c r="O1677" t="s">
        <v>4488</v>
      </c>
      <c r="Q1677" t="s">
        <v>4489</v>
      </c>
      <c r="R1677" t="s">
        <v>5380</v>
      </c>
      <c r="S1677" t="s">
        <v>4809</v>
      </c>
      <c r="T1677" s="6">
        <v>5600000000</v>
      </c>
      <c r="W1677" t="str">
        <f t="shared" si="26"/>
        <v>207i TU5P A1401</v>
      </c>
      <c r="X1677">
        <f>VLOOKUP(W1677,Sheet10!D:F,2,0)*10000000</f>
        <v>7100000000</v>
      </c>
      <c r="Y1677" t="s">
        <v>5712</v>
      </c>
    </row>
    <row r="1678" spans="1:25" x14ac:dyDescent="0.25">
      <c r="A1678" t="s">
        <v>6237</v>
      </c>
      <c r="B1678" t="s">
        <v>7675</v>
      </c>
      <c r="C1678">
        <v>606</v>
      </c>
      <c r="D1678" t="s">
        <v>63</v>
      </c>
      <c r="E1678" t="s">
        <v>64</v>
      </c>
      <c r="F1678" t="s">
        <v>491</v>
      </c>
      <c r="H1678">
        <v>28</v>
      </c>
      <c r="I1678">
        <v>1401</v>
      </c>
      <c r="J1678" t="s">
        <v>7676</v>
      </c>
      <c r="K1678" t="s">
        <v>7677</v>
      </c>
      <c r="M1678" t="s">
        <v>4487</v>
      </c>
      <c r="N1678">
        <v>60601</v>
      </c>
      <c r="O1678" t="s">
        <v>4488</v>
      </c>
      <c r="Q1678" t="s">
        <v>6241</v>
      </c>
      <c r="R1678" t="s">
        <v>7678</v>
      </c>
      <c r="S1678" t="s">
        <v>1386</v>
      </c>
      <c r="T1678" s="6">
        <v>6300000000</v>
      </c>
      <c r="W1678" t="str">
        <f t="shared" ref="W1678:W1740" si="27">M1678&amp;I1678</f>
        <v>207i TU5P A1401</v>
      </c>
      <c r="X1678">
        <f>VLOOKUP(W1678,Sheet10!D:F,2,0)*10000000</f>
        <v>7100000000</v>
      </c>
      <c r="Y1678" t="s">
        <v>5712</v>
      </c>
    </row>
    <row r="1679" spans="1:25" x14ac:dyDescent="0.25">
      <c r="A1679" t="s">
        <v>6029</v>
      </c>
      <c r="B1679" t="s">
        <v>7679</v>
      </c>
      <c r="C1679">
        <v>704</v>
      </c>
      <c r="D1679" t="s">
        <v>240</v>
      </c>
      <c r="E1679" t="s">
        <v>64</v>
      </c>
      <c r="F1679" t="s">
        <v>420</v>
      </c>
      <c r="H1679">
        <v>27</v>
      </c>
      <c r="I1679">
        <v>1401</v>
      </c>
      <c r="J1679" t="s">
        <v>7680</v>
      </c>
      <c r="K1679" t="s">
        <v>7681</v>
      </c>
      <c r="M1679" t="s">
        <v>4401</v>
      </c>
      <c r="N1679">
        <v>70406</v>
      </c>
      <c r="O1679" t="s">
        <v>70</v>
      </c>
      <c r="Q1679" t="s">
        <v>5974</v>
      </c>
      <c r="R1679" t="s">
        <v>7682</v>
      </c>
      <c r="S1679" t="s">
        <v>1217</v>
      </c>
      <c r="T1679" s="6">
        <v>5900000000</v>
      </c>
      <c r="W1679" t="str">
        <f t="shared" si="27"/>
        <v>DENA EF7 TC-MT1401</v>
      </c>
      <c r="X1679">
        <f>VLOOKUP(W1679,Sheet10!D:F,2,0)*10000000</f>
        <v>6750000000</v>
      </c>
      <c r="Y1679" t="s">
        <v>5712</v>
      </c>
    </row>
    <row r="1680" spans="1:25" x14ac:dyDescent="0.25">
      <c r="A1680" t="s">
        <v>6360</v>
      </c>
      <c r="B1680" t="s">
        <v>7683</v>
      </c>
      <c r="C1680">
        <v>575</v>
      </c>
      <c r="D1680" t="s">
        <v>4479</v>
      </c>
      <c r="E1680" t="s">
        <v>64</v>
      </c>
      <c r="F1680" t="s">
        <v>420</v>
      </c>
      <c r="H1680">
        <v>27</v>
      </c>
      <c r="I1680">
        <v>1401</v>
      </c>
      <c r="J1680" t="s">
        <v>7684</v>
      </c>
      <c r="K1680" t="s">
        <v>7685</v>
      </c>
      <c r="M1680" t="s">
        <v>367</v>
      </c>
      <c r="N1680">
        <v>57523</v>
      </c>
      <c r="O1680" t="s">
        <v>70</v>
      </c>
      <c r="Q1680" t="s">
        <v>2648</v>
      </c>
      <c r="R1680" t="s">
        <v>7686</v>
      </c>
      <c r="S1680" t="s">
        <v>1992</v>
      </c>
      <c r="T1680" s="6">
        <v>4100000000</v>
      </c>
      <c r="W1680" t="str">
        <f t="shared" si="27"/>
        <v>SOREN EF71401</v>
      </c>
      <c r="X1680">
        <f>VLOOKUP(W1680,Sheet10!D:F,2,0)*10000000</f>
        <v>4650000000</v>
      </c>
      <c r="Y1680" t="s">
        <v>5712</v>
      </c>
    </row>
    <row r="1681" spans="1:25" x14ac:dyDescent="0.25">
      <c r="A1681" t="s">
        <v>6288</v>
      </c>
      <c r="B1681" t="s">
        <v>7687</v>
      </c>
      <c r="C1681">
        <v>600</v>
      </c>
      <c r="D1681" t="s">
        <v>240</v>
      </c>
      <c r="E1681" t="s">
        <v>64</v>
      </c>
      <c r="F1681" t="s">
        <v>491</v>
      </c>
      <c r="H1681">
        <v>27</v>
      </c>
      <c r="I1681">
        <v>1401</v>
      </c>
      <c r="J1681" t="s">
        <v>7688</v>
      </c>
      <c r="K1681" t="s">
        <v>7689</v>
      </c>
      <c r="M1681" t="s">
        <v>3246</v>
      </c>
      <c r="N1681">
        <v>60010</v>
      </c>
      <c r="O1681" t="s">
        <v>303</v>
      </c>
      <c r="Q1681" t="s">
        <v>3247</v>
      </c>
      <c r="R1681" t="s">
        <v>7690</v>
      </c>
      <c r="S1681" t="s">
        <v>3711</v>
      </c>
      <c r="T1681" s="6">
        <v>5250000000</v>
      </c>
      <c r="W1681" t="str">
        <f t="shared" si="27"/>
        <v>207i-MT1401</v>
      </c>
      <c r="X1681">
        <f>VLOOKUP(W1681,Sheet10!D:F,2,0)*10000000</f>
        <v>5800000000</v>
      </c>
      <c r="Y1681" t="s">
        <v>5712</v>
      </c>
    </row>
    <row r="1682" spans="1:25" x14ac:dyDescent="0.25">
      <c r="A1682" t="s">
        <v>3356</v>
      </c>
      <c r="B1682" t="s">
        <v>7691</v>
      </c>
      <c r="C1682">
        <v>285</v>
      </c>
      <c r="D1682" t="s">
        <v>259</v>
      </c>
      <c r="E1682" t="s">
        <v>64</v>
      </c>
      <c r="F1682" t="s">
        <v>318</v>
      </c>
      <c r="H1682">
        <v>27</v>
      </c>
      <c r="I1682">
        <v>1401</v>
      </c>
      <c r="J1682" t="s">
        <v>7692</v>
      </c>
      <c r="K1682" t="s">
        <v>7693</v>
      </c>
      <c r="M1682" t="s">
        <v>198</v>
      </c>
      <c r="N1682">
        <v>28520</v>
      </c>
      <c r="O1682" t="s">
        <v>70</v>
      </c>
      <c r="Q1682" t="s">
        <v>199</v>
      </c>
      <c r="R1682" t="s">
        <v>7694</v>
      </c>
      <c r="S1682" t="s">
        <v>3159</v>
      </c>
      <c r="T1682" s="6">
        <v>4250000000</v>
      </c>
      <c r="W1682" t="str">
        <f t="shared" si="27"/>
        <v>PARS TU51401</v>
      </c>
      <c r="X1682">
        <f>VLOOKUP(W1682,Sheet10!D:F,2,0)*10000000</f>
        <v>5250000000</v>
      </c>
      <c r="Y1682" t="s">
        <v>5712</v>
      </c>
    </row>
    <row r="1683" spans="1:25" x14ac:dyDescent="0.25">
      <c r="A1683" t="s">
        <v>5976</v>
      </c>
      <c r="B1683" t="s">
        <v>7695</v>
      </c>
      <c r="C1683">
        <v>704</v>
      </c>
      <c r="D1683" t="s">
        <v>259</v>
      </c>
      <c r="E1683" t="s">
        <v>64</v>
      </c>
      <c r="F1683" t="s">
        <v>4256</v>
      </c>
      <c r="H1683">
        <v>26</v>
      </c>
      <c r="I1683">
        <v>1401</v>
      </c>
      <c r="J1683" t="s">
        <v>7696</v>
      </c>
      <c r="K1683" t="s">
        <v>7231</v>
      </c>
      <c r="M1683" t="s">
        <v>4401</v>
      </c>
      <c r="N1683">
        <v>70406</v>
      </c>
      <c r="O1683" t="s">
        <v>70</v>
      </c>
      <c r="Q1683" t="s">
        <v>5974</v>
      </c>
      <c r="R1683" t="s">
        <v>7697</v>
      </c>
      <c r="S1683" t="s">
        <v>1222</v>
      </c>
      <c r="T1683" s="6">
        <v>5900000000</v>
      </c>
      <c r="W1683" t="str">
        <f t="shared" si="27"/>
        <v>DENA EF7 TC-MT1401</v>
      </c>
      <c r="X1683">
        <f>VLOOKUP(W1683,Sheet10!D:F,2,0)*10000000</f>
        <v>6750000000</v>
      </c>
      <c r="Y1683" t="s">
        <v>5712</v>
      </c>
    </row>
    <row r="1684" spans="1:25" x14ac:dyDescent="0.25">
      <c r="A1684" t="s">
        <v>3689</v>
      </c>
      <c r="B1684" t="s">
        <v>7698</v>
      </c>
      <c r="C1684">
        <v>575</v>
      </c>
      <c r="D1684" t="s">
        <v>2461</v>
      </c>
      <c r="E1684" t="s">
        <v>64</v>
      </c>
      <c r="F1684" t="s">
        <v>420</v>
      </c>
      <c r="H1684">
        <v>26</v>
      </c>
      <c r="I1684">
        <v>1401</v>
      </c>
      <c r="J1684" t="s">
        <v>7699</v>
      </c>
      <c r="K1684" t="s">
        <v>7700</v>
      </c>
      <c r="M1684" t="s">
        <v>367</v>
      </c>
      <c r="N1684">
        <v>57523</v>
      </c>
      <c r="O1684" t="s">
        <v>70</v>
      </c>
      <c r="Q1684" t="s">
        <v>2648</v>
      </c>
      <c r="R1684" t="s">
        <v>7701</v>
      </c>
      <c r="S1684" t="s">
        <v>483</v>
      </c>
      <c r="T1684" s="6">
        <v>4150000000</v>
      </c>
      <c r="W1684" t="str">
        <f t="shared" si="27"/>
        <v>SOREN EF71401</v>
      </c>
      <c r="X1684">
        <f>VLOOKUP(W1684,Sheet10!D:F,2,0)*10000000</f>
        <v>4650000000</v>
      </c>
      <c r="Y1684" t="s">
        <v>5712</v>
      </c>
    </row>
    <row r="1685" spans="1:25" x14ac:dyDescent="0.25">
      <c r="A1685" t="s">
        <v>3411</v>
      </c>
      <c r="B1685" t="s">
        <v>7702</v>
      </c>
      <c r="C1685">
        <v>600</v>
      </c>
      <c r="D1685" t="s">
        <v>63</v>
      </c>
      <c r="E1685" t="s">
        <v>64</v>
      </c>
      <c r="F1685" t="s">
        <v>2696</v>
      </c>
      <c r="H1685">
        <v>26</v>
      </c>
      <c r="I1685">
        <v>1401</v>
      </c>
      <c r="J1685" t="s">
        <v>7703</v>
      </c>
      <c r="K1685" t="s">
        <v>7704</v>
      </c>
      <c r="M1685" t="s">
        <v>3246</v>
      </c>
      <c r="N1685">
        <v>60006</v>
      </c>
      <c r="O1685" t="s">
        <v>303</v>
      </c>
      <c r="Q1685" t="s">
        <v>3415</v>
      </c>
      <c r="R1685" t="s">
        <v>7705</v>
      </c>
      <c r="S1685" t="s">
        <v>3337</v>
      </c>
      <c r="T1685" s="6">
        <v>4900000000</v>
      </c>
      <c r="W1685" t="str">
        <f t="shared" si="27"/>
        <v>207i-MT1401</v>
      </c>
      <c r="X1685">
        <f>VLOOKUP(W1685,Sheet10!D:F,2,0)*10000000</f>
        <v>5800000000</v>
      </c>
      <c r="Y1685" t="s">
        <v>5712</v>
      </c>
    </row>
    <row r="1686" spans="1:25" x14ac:dyDescent="0.25">
      <c r="A1686" t="s">
        <v>4366</v>
      </c>
      <c r="B1686" t="s">
        <v>7706</v>
      </c>
      <c r="C1686">
        <v>575</v>
      </c>
      <c r="D1686" t="s">
        <v>63</v>
      </c>
      <c r="E1686" t="s">
        <v>64</v>
      </c>
      <c r="F1686" t="s">
        <v>420</v>
      </c>
      <c r="H1686">
        <v>25</v>
      </c>
      <c r="I1686">
        <v>1401</v>
      </c>
      <c r="J1686" t="s">
        <v>7707</v>
      </c>
      <c r="K1686" t="s">
        <v>7708</v>
      </c>
      <c r="M1686" t="s">
        <v>367</v>
      </c>
      <c r="N1686">
        <v>57523</v>
      </c>
      <c r="O1686" t="s">
        <v>70</v>
      </c>
      <c r="Q1686" t="s">
        <v>2648</v>
      </c>
      <c r="R1686" t="s">
        <v>7709</v>
      </c>
      <c r="S1686" t="s">
        <v>831</v>
      </c>
      <c r="T1686" s="6">
        <v>4150000000</v>
      </c>
      <c r="W1686" t="str">
        <f t="shared" si="27"/>
        <v>SOREN EF71401</v>
      </c>
      <c r="X1686">
        <f>VLOOKUP(W1686,Sheet10!D:F,2,0)*10000000</f>
        <v>4650000000</v>
      </c>
      <c r="Y1686" t="s">
        <v>5712</v>
      </c>
    </row>
    <row r="1687" spans="1:25" x14ac:dyDescent="0.25">
      <c r="A1687" t="s">
        <v>4366</v>
      </c>
      <c r="B1687" t="s">
        <v>7710</v>
      </c>
      <c r="C1687">
        <v>575</v>
      </c>
      <c r="D1687" t="s">
        <v>63</v>
      </c>
      <c r="E1687" t="s">
        <v>64</v>
      </c>
      <c r="F1687" t="s">
        <v>491</v>
      </c>
      <c r="H1687">
        <v>25</v>
      </c>
      <c r="I1687">
        <v>1401</v>
      </c>
      <c r="J1687" t="s">
        <v>7711</v>
      </c>
      <c r="K1687" t="s">
        <v>7712</v>
      </c>
      <c r="M1687" t="s">
        <v>367</v>
      </c>
      <c r="N1687">
        <v>57523</v>
      </c>
      <c r="O1687" t="s">
        <v>70</v>
      </c>
      <c r="Q1687" t="s">
        <v>2648</v>
      </c>
      <c r="R1687" t="s">
        <v>7713</v>
      </c>
      <c r="S1687" t="s">
        <v>2024</v>
      </c>
      <c r="T1687" s="6">
        <v>4100000000</v>
      </c>
      <c r="W1687" t="str">
        <f t="shared" si="27"/>
        <v>SOREN EF71401</v>
      </c>
      <c r="X1687">
        <f>VLOOKUP(W1687,Sheet10!D:F,2,0)*10000000</f>
        <v>4650000000</v>
      </c>
      <c r="Y1687" t="s">
        <v>5712</v>
      </c>
    </row>
    <row r="1688" spans="1:25" x14ac:dyDescent="0.25">
      <c r="A1688" t="s">
        <v>5954</v>
      </c>
      <c r="B1688" t="s">
        <v>7714</v>
      </c>
      <c r="C1688">
        <v>606</v>
      </c>
      <c r="D1688" t="s">
        <v>63</v>
      </c>
      <c r="E1688" t="s">
        <v>64</v>
      </c>
      <c r="F1688" t="s">
        <v>420</v>
      </c>
      <c r="H1688">
        <v>25</v>
      </c>
      <c r="I1688">
        <v>1401</v>
      </c>
      <c r="J1688" t="s">
        <v>7715</v>
      </c>
      <c r="K1688" t="s">
        <v>6172</v>
      </c>
      <c r="M1688" t="s">
        <v>4487</v>
      </c>
      <c r="N1688">
        <v>60603</v>
      </c>
      <c r="O1688" t="s">
        <v>4488</v>
      </c>
      <c r="Q1688" t="s">
        <v>5958</v>
      </c>
      <c r="R1688" t="s">
        <v>7716</v>
      </c>
      <c r="S1688" t="s">
        <v>3445</v>
      </c>
      <c r="T1688" s="6">
        <v>5950000000</v>
      </c>
      <c r="W1688" t="str">
        <f t="shared" si="27"/>
        <v>207i TU5P A1401</v>
      </c>
      <c r="X1688">
        <f>VLOOKUP(W1688,Sheet10!D:F,2,0)*10000000</f>
        <v>7100000000</v>
      </c>
      <c r="Y1688" t="s">
        <v>5712</v>
      </c>
    </row>
    <row r="1689" spans="1:25" x14ac:dyDescent="0.25">
      <c r="A1689" t="s">
        <v>5954</v>
      </c>
      <c r="B1689" t="s">
        <v>7717</v>
      </c>
      <c r="C1689">
        <v>606</v>
      </c>
      <c r="D1689" t="s">
        <v>63</v>
      </c>
      <c r="E1689" t="s">
        <v>64</v>
      </c>
      <c r="F1689" t="s">
        <v>420</v>
      </c>
      <c r="H1689">
        <v>25</v>
      </c>
      <c r="I1689">
        <v>1401</v>
      </c>
      <c r="J1689" t="s">
        <v>7718</v>
      </c>
      <c r="K1689" t="s">
        <v>6172</v>
      </c>
      <c r="M1689" t="s">
        <v>4487</v>
      </c>
      <c r="N1689">
        <v>60603</v>
      </c>
      <c r="O1689" t="s">
        <v>4488</v>
      </c>
      <c r="Q1689" t="s">
        <v>5958</v>
      </c>
      <c r="R1689" t="s">
        <v>7719</v>
      </c>
      <c r="S1689" t="s">
        <v>4961</v>
      </c>
      <c r="T1689" s="6">
        <v>5950000000</v>
      </c>
      <c r="W1689" t="str">
        <f t="shared" si="27"/>
        <v>207i TU5P A1401</v>
      </c>
      <c r="X1689">
        <f>VLOOKUP(W1689,Sheet10!D:F,2,0)*10000000</f>
        <v>7100000000</v>
      </c>
      <c r="Y1689" t="s">
        <v>5712</v>
      </c>
    </row>
    <row r="1690" spans="1:25" x14ac:dyDescent="0.25">
      <c r="A1690" t="s">
        <v>7720</v>
      </c>
      <c r="B1690" t="s">
        <v>7721</v>
      </c>
      <c r="C1690">
        <v>351</v>
      </c>
      <c r="D1690" t="s">
        <v>63</v>
      </c>
      <c r="E1690" t="s">
        <v>64</v>
      </c>
      <c r="F1690" t="s">
        <v>318</v>
      </c>
      <c r="H1690">
        <v>25</v>
      </c>
      <c r="I1690">
        <v>1401</v>
      </c>
      <c r="J1690" t="s">
        <v>7722</v>
      </c>
      <c r="K1690" t="s">
        <v>7723</v>
      </c>
      <c r="M1690" t="s">
        <v>400</v>
      </c>
      <c r="N1690">
        <v>35102</v>
      </c>
      <c r="O1690" t="s">
        <v>70</v>
      </c>
      <c r="Q1690" t="s">
        <v>7724</v>
      </c>
      <c r="R1690" t="s">
        <v>7725</v>
      </c>
      <c r="S1690" t="s">
        <v>3290</v>
      </c>
      <c r="T1690" s="6">
        <v>3930000000</v>
      </c>
      <c r="W1690" t="str">
        <f t="shared" si="27"/>
        <v>PARS XU7 P1401</v>
      </c>
      <c r="X1690">
        <f>VLOOKUP(W1690,Sheet10!D:F,2,0)*10000000</f>
        <v>4500000000</v>
      </c>
      <c r="Y1690" t="s">
        <v>5712</v>
      </c>
    </row>
    <row r="1691" spans="1:25" x14ac:dyDescent="0.25">
      <c r="A1691" t="s">
        <v>7726</v>
      </c>
      <c r="B1691" t="s">
        <v>7727</v>
      </c>
      <c r="C1691">
        <v>704</v>
      </c>
      <c r="D1691" t="s">
        <v>178</v>
      </c>
      <c r="E1691" t="s">
        <v>64</v>
      </c>
      <c r="F1691" t="s">
        <v>491</v>
      </c>
      <c r="H1691">
        <v>24</v>
      </c>
      <c r="I1691">
        <v>1401</v>
      </c>
      <c r="J1691" t="s">
        <v>7728</v>
      </c>
      <c r="K1691" t="s">
        <v>7729</v>
      </c>
      <c r="M1691" t="s">
        <v>4401</v>
      </c>
      <c r="N1691">
        <v>70406</v>
      </c>
      <c r="O1691" t="s">
        <v>70</v>
      </c>
      <c r="Q1691" t="s">
        <v>5974</v>
      </c>
      <c r="R1691" t="s">
        <v>7730</v>
      </c>
      <c r="S1691" t="s">
        <v>1091</v>
      </c>
      <c r="T1691" s="6">
        <v>5900000000</v>
      </c>
      <c r="W1691" t="str">
        <f t="shared" si="27"/>
        <v>DENA EF7 TC-MT1401</v>
      </c>
      <c r="X1691">
        <f>VLOOKUP(W1691,Sheet10!D:F,2,0)*10000000</f>
        <v>6750000000</v>
      </c>
      <c r="Y1691" t="s">
        <v>5712</v>
      </c>
    </row>
    <row r="1692" spans="1:25" x14ac:dyDescent="0.25">
      <c r="A1692" t="s">
        <v>6237</v>
      </c>
      <c r="B1692" t="s">
        <v>7731</v>
      </c>
      <c r="C1692">
        <v>606</v>
      </c>
      <c r="D1692" t="s">
        <v>63</v>
      </c>
      <c r="E1692" t="s">
        <v>64</v>
      </c>
      <c r="F1692" t="s">
        <v>362</v>
      </c>
      <c r="H1692">
        <v>24</v>
      </c>
      <c r="I1692">
        <v>1400</v>
      </c>
      <c r="J1692" t="s">
        <v>7732</v>
      </c>
      <c r="K1692" t="s">
        <v>6004</v>
      </c>
      <c r="M1692" t="s">
        <v>4487</v>
      </c>
      <c r="N1692">
        <v>60601</v>
      </c>
      <c r="O1692" t="s">
        <v>4488</v>
      </c>
      <c r="Q1692" t="s">
        <v>6241</v>
      </c>
      <c r="R1692" t="s">
        <v>7733</v>
      </c>
      <c r="S1692" t="s">
        <v>4309</v>
      </c>
      <c r="T1692" s="6">
        <v>6200000000</v>
      </c>
      <c r="W1692" t="str">
        <f t="shared" si="27"/>
        <v>207i TU5P A1400</v>
      </c>
      <c r="X1692">
        <f>VLOOKUP(W1692,Sheet10!D:F,2,0)*10000000</f>
        <v>7000000000</v>
      </c>
      <c r="Y1692" t="s">
        <v>5712</v>
      </c>
    </row>
    <row r="1693" spans="1:25" x14ac:dyDescent="0.25">
      <c r="A1693" t="s">
        <v>6308</v>
      </c>
      <c r="B1693" t="s">
        <v>7734</v>
      </c>
      <c r="C1693">
        <v>518</v>
      </c>
      <c r="D1693" t="s">
        <v>63</v>
      </c>
      <c r="E1693" t="s">
        <v>64</v>
      </c>
      <c r="F1693" t="s">
        <v>420</v>
      </c>
      <c r="H1693">
        <v>38</v>
      </c>
      <c r="I1693">
        <v>1401</v>
      </c>
      <c r="J1693" t="s">
        <v>7735</v>
      </c>
      <c r="K1693" t="s">
        <v>7736</v>
      </c>
      <c r="M1693" t="s">
        <v>5609</v>
      </c>
      <c r="N1693">
        <v>51802</v>
      </c>
      <c r="O1693" t="s">
        <v>303</v>
      </c>
      <c r="Q1693" t="s">
        <v>5610</v>
      </c>
      <c r="R1693" t="s">
        <v>7737</v>
      </c>
      <c r="S1693" t="s">
        <v>4971</v>
      </c>
      <c r="T1693" s="6">
        <v>11400000000</v>
      </c>
      <c r="W1693" t="str">
        <f t="shared" si="27"/>
        <v>S7-T-AT1401</v>
      </c>
      <c r="X1693">
        <f>VLOOKUP(W1693,Sheet10!D:F,2,0)*10000000</f>
        <v>13450000000</v>
      </c>
      <c r="Y1693" t="s">
        <v>5712</v>
      </c>
    </row>
    <row r="1694" spans="1:25" x14ac:dyDescent="0.25">
      <c r="A1694" t="s">
        <v>5976</v>
      </c>
      <c r="B1694" t="s">
        <v>7738</v>
      </c>
      <c r="C1694">
        <v>704</v>
      </c>
      <c r="D1694" t="s">
        <v>259</v>
      </c>
      <c r="E1694" t="s">
        <v>64</v>
      </c>
      <c r="F1694" t="s">
        <v>4256</v>
      </c>
      <c r="H1694">
        <v>37</v>
      </c>
      <c r="I1694">
        <v>1400</v>
      </c>
      <c r="J1694" t="s">
        <v>7739</v>
      </c>
      <c r="K1694" t="s">
        <v>7740</v>
      </c>
      <c r="M1694" t="s">
        <v>4401</v>
      </c>
      <c r="N1694">
        <v>70406</v>
      </c>
      <c r="O1694" t="s">
        <v>70</v>
      </c>
      <c r="Q1694" t="s">
        <v>5974</v>
      </c>
      <c r="R1694" t="s">
        <v>7741</v>
      </c>
      <c r="S1694" t="s">
        <v>747</v>
      </c>
      <c r="T1694" s="6">
        <v>5700000000</v>
      </c>
      <c r="W1694" t="str">
        <f t="shared" si="27"/>
        <v>DENA EF7 TC-MT1400</v>
      </c>
      <c r="X1694" t="e">
        <f>VLOOKUP(W1694,Sheet10!D:F,2,0)*10000000</f>
        <v>#N/A</v>
      </c>
      <c r="Y1694" t="s">
        <v>5712</v>
      </c>
    </row>
    <row r="1695" spans="1:25" x14ac:dyDescent="0.25">
      <c r="A1695" t="s">
        <v>5954</v>
      </c>
      <c r="B1695" t="s">
        <v>7742</v>
      </c>
      <c r="C1695">
        <v>606</v>
      </c>
      <c r="D1695" t="s">
        <v>63</v>
      </c>
      <c r="E1695" t="s">
        <v>64</v>
      </c>
      <c r="F1695" t="s">
        <v>420</v>
      </c>
      <c r="H1695">
        <v>37</v>
      </c>
      <c r="I1695">
        <v>1401</v>
      </c>
      <c r="J1695" t="s">
        <v>7743</v>
      </c>
      <c r="K1695" t="s">
        <v>7744</v>
      </c>
      <c r="M1695" t="s">
        <v>4487</v>
      </c>
      <c r="N1695">
        <v>60603</v>
      </c>
      <c r="O1695" t="s">
        <v>4488</v>
      </c>
      <c r="Q1695" t="s">
        <v>5958</v>
      </c>
      <c r="R1695" t="s">
        <v>7745</v>
      </c>
      <c r="S1695" t="s">
        <v>3457</v>
      </c>
      <c r="T1695" s="6">
        <v>5900000000</v>
      </c>
      <c r="W1695" t="str">
        <f t="shared" si="27"/>
        <v>207i TU5P A1401</v>
      </c>
      <c r="X1695">
        <f>VLOOKUP(W1695,Sheet10!D:F,2,0)*10000000</f>
        <v>7100000000</v>
      </c>
      <c r="Y1695" t="s">
        <v>5712</v>
      </c>
    </row>
    <row r="1696" spans="1:25" x14ac:dyDescent="0.25">
      <c r="A1696" t="s">
        <v>4497</v>
      </c>
      <c r="B1696" t="s">
        <v>5452</v>
      </c>
      <c r="C1696">
        <v>606</v>
      </c>
      <c r="D1696" t="s">
        <v>77</v>
      </c>
      <c r="E1696" t="s">
        <v>64</v>
      </c>
      <c r="F1696" t="s">
        <v>420</v>
      </c>
      <c r="H1696">
        <v>37</v>
      </c>
      <c r="I1696">
        <v>1401</v>
      </c>
      <c r="J1696" t="s">
        <v>5453</v>
      </c>
      <c r="K1696" t="s">
        <v>5454</v>
      </c>
      <c r="M1696" t="s">
        <v>4487</v>
      </c>
      <c r="N1696">
        <v>60602</v>
      </c>
      <c r="O1696" t="s">
        <v>4488</v>
      </c>
      <c r="Q1696" t="s">
        <v>4489</v>
      </c>
      <c r="R1696" t="s">
        <v>5455</v>
      </c>
      <c r="S1696" t="s">
        <v>3487</v>
      </c>
      <c r="T1696" s="6">
        <v>5700000000</v>
      </c>
      <c r="W1696" t="str">
        <f t="shared" si="27"/>
        <v>207i TU5P A1401</v>
      </c>
      <c r="X1696">
        <f>VLOOKUP(W1696,Sheet10!D:F,2,0)*10000000</f>
        <v>7100000000</v>
      </c>
      <c r="Y1696" t="s">
        <v>5712</v>
      </c>
    </row>
    <row r="1697" spans="1:25" x14ac:dyDescent="0.25">
      <c r="A1697" t="s">
        <v>5976</v>
      </c>
      <c r="B1697" t="s">
        <v>7746</v>
      </c>
      <c r="C1697">
        <v>704</v>
      </c>
      <c r="D1697" t="s">
        <v>259</v>
      </c>
      <c r="E1697" t="s">
        <v>64</v>
      </c>
      <c r="F1697" t="s">
        <v>3186</v>
      </c>
      <c r="H1697">
        <v>36</v>
      </c>
      <c r="I1697">
        <v>1401</v>
      </c>
      <c r="J1697" t="s">
        <v>7747</v>
      </c>
      <c r="K1697" t="s">
        <v>5979</v>
      </c>
      <c r="M1697" t="s">
        <v>4401</v>
      </c>
      <c r="N1697">
        <v>70406</v>
      </c>
      <c r="O1697" t="s">
        <v>70</v>
      </c>
      <c r="Q1697" t="s">
        <v>5974</v>
      </c>
      <c r="R1697" t="s">
        <v>7748</v>
      </c>
      <c r="S1697" t="s">
        <v>1106</v>
      </c>
      <c r="T1697" s="6">
        <v>5950000000</v>
      </c>
      <c r="W1697" t="str">
        <f t="shared" si="27"/>
        <v>DENA EF7 TC-MT1401</v>
      </c>
      <c r="X1697">
        <f>VLOOKUP(W1697,Sheet10!D:F,2,0)*10000000</f>
        <v>6750000000</v>
      </c>
      <c r="Y1697" t="s">
        <v>5712</v>
      </c>
    </row>
    <row r="1698" spans="1:25" x14ac:dyDescent="0.25">
      <c r="A1698" t="s">
        <v>2476</v>
      </c>
      <c r="B1698" t="s">
        <v>7749</v>
      </c>
      <c r="C1698">
        <v>575</v>
      </c>
      <c r="D1698" t="s">
        <v>63</v>
      </c>
      <c r="E1698" t="s">
        <v>64</v>
      </c>
      <c r="F1698" t="s">
        <v>491</v>
      </c>
      <c r="H1698">
        <v>36</v>
      </c>
      <c r="I1698">
        <v>1401</v>
      </c>
      <c r="J1698" t="s">
        <v>7750</v>
      </c>
      <c r="K1698" t="s">
        <v>7751</v>
      </c>
      <c r="M1698" t="s">
        <v>367</v>
      </c>
      <c r="N1698">
        <v>57519</v>
      </c>
      <c r="O1698" t="s">
        <v>70</v>
      </c>
      <c r="Q1698" t="s">
        <v>2420</v>
      </c>
      <c r="R1698" t="s">
        <v>7752</v>
      </c>
      <c r="S1698" t="s">
        <v>842</v>
      </c>
      <c r="T1698" s="6">
        <v>3850000000</v>
      </c>
      <c r="W1698" t="str">
        <f t="shared" si="27"/>
        <v>SOREN EF71401</v>
      </c>
      <c r="X1698">
        <f>VLOOKUP(W1698,Sheet10!D:F,2,0)*10000000</f>
        <v>4650000000</v>
      </c>
      <c r="Y1698" t="s">
        <v>5712</v>
      </c>
    </row>
    <row r="1699" spans="1:25" x14ac:dyDescent="0.25">
      <c r="A1699" t="s">
        <v>5954</v>
      </c>
      <c r="B1699" t="s">
        <v>7753</v>
      </c>
      <c r="C1699">
        <v>606</v>
      </c>
      <c r="D1699" t="s">
        <v>63</v>
      </c>
      <c r="E1699" t="s">
        <v>64</v>
      </c>
      <c r="F1699" t="s">
        <v>2436</v>
      </c>
      <c r="H1699">
        <v>36</v>
      </c>
      <c r="I1699">
        <v>1401</v>
      </c>
      <c r="J1699" t="s">
        <v>7754</v>
      </c>
      <c r="K1699" t="s">
        <v>7755</v>
      </c>
      <c r="M1699" t="s">
        <v>4487</v>
      </c>
      <c r="N1699">
        <v>60603</v>
      </c>
      <c r="O1699" t="s">
        <v>4488</v>
      </c>
      <c r="Q1699" t="s">
        <v>5958</v>
      </c>
      <c r="R1699" t="s">
        <v>7756</v>
      </c>
      <c r="S1699" t="s">
        <v>2756</v>
      </c>
      <c r="T1699" s="6">
        <v>5950000000</v>
      </c>
      <c r="W1699" t="str">
        <f t="shared" si="27"/>
        <v>207i TU5P A1401</v>
      </c>
      <c r="X1699">
        <f>VLOOKUP(W1699,Sheet10!D:F,2,0)*10000000</f>
        <v>7100000000</v>
      </c>
      <c r="Y1699" t="s">
        <v>5712</v>
      </c>
    </row>
    <row r="1700" spans="1:25" x14ac:dyDescent="0.25">
      <c r="A1700" t="s">
        <v>3242</v>
      </c>
      <c r="B1700" t="s">
        <v>7757</v>
      </c>
      <c r="C1700">
        <v>600</v>
      </c>
      <c r="D1700" t="s">
        <v>63</v>
      </c>
      <c r="E1700" t="s">
        <v>64</v>
      </c>
      <c r="F1700" t="s">
        <v>491</v>
      </c>
      <c r="H1700">
        <v>36</v>
      </c>
      <c r="I1700">
        <v>1401</v>
      </c>
      <c r="J1700" t="s">
        <v>7758</v>
      </c>
      <c r="K1700" t="s">
        <v>7759</v>
      </c>
      <c r="M1700" t="s">
        <v>3246</v>
      </c>
      <c r="N1700">
        <v>60010</v>
      </c>
      <c r="O1700" t="s">
        <v>303</v>
      </c>
      <c r="Q1700" t="s">
        <v>3247</v>
      </c>
      <c r="R1700" t="s">
        <v>7760</v>
      </c>
      <c r="S1700" t="s">
        <v>5447</v>
      </c>
      <c r="T1700" s="6">
        <v>5250000000</v>
      </c>
      <c r="W1700" t="str">
        <f t="shared" si="27"/>
        <v>207i-MT1401</v>
      </c>
      <c r="X1700">
        <f>VLOOKUP(W1700,Sheet10!D:F,2,0)*10000000</f>
        <v>5800000000</v>
      </c>
      <c r="Y1700" t="s">
        <v>5712</v>
      </c>
    </row>
    <row r="1701" spans="1:25" x14ac:dyDescent="0.25">
      <c r="A1701" t="s">
        <v>6308</v>
      </c>
      <c r="B1701" t="s">
        <v>7761</v>
      </c>
      <c r="C1701">
        <v>518</v>
      </c>
      <c r="D1701" t="s">
        <v>63</v>
      </c>
      <c r="E1701" t="s">
        <v>64</v>
      </c>
      <c r="F1701" t="s">
        <v>491</v>
      </c>
      <c r="H1701">
        <v>36</v>
      </c>
      <c r="I1701">
        <v>1401</v>
      </c>
      <c r="J1701" t="s">
        <v>7762</v>
      </c>
      <c r="K1701" t="s">
        <v>7763</v>
      </c>
      <c r="M1701" t="s">
        <v>5609</v>
      </c>
      <c r="N1701">
        <v>51802</v>
      </c>
      <c r="O1701" t="s">
        <v>303</v>
      </c>
      <c r="Q1701" t="s">
        <v>5610</v>
      </c>
      <c r="R1701" t="s">
        <v>7764</v>
      </c>
      <c r="S1701" t="s">
        <v>4376</v>
      </c>
      <c r="T1701" s="6">
        <v>11300000000</v>
      </c>
      <c r="W1701" t="str">
        <f t="shared" si="27"/>
        <v>S7-T-AT1401</v>
      </c>
      <c r="X1701">
        <f>VLOOKUP(W1701,Sheet10!D:F,2,0)*10000000</f>
        <v>13450000000</v>
      </c>
      <c r="Y1701" t="s">
        <v>5712</v>
      </c>
    </row>
    <row r="1702" spans="1:25" x14ac:dyDescent="0.25">
      <c r="A1702" t="s">
        <v>5970</v>
      </c>
      <c r="B1702" t="s">
        <v>7765</v>
      </c>
      <c r="C1702">
        <v>704</v>
      </c>
      <c r="D1702" t="s">
        <v>77</v>
      </c>
      <c r="E1702" t="s">
        <v>64</v>
      </c>
      <c r="F1702" t="s">
        <v>420</v>
      </c>
      <c r="H1702">
        <v>35</v>
      </c>
      <c r="I1702">
        <v>1401</v>
      </c>
      <c r="J1702" t="s">
        <v>7766</v>
      </c>
      <c r="K1702" t="s">
        <v>7767</v>
      </c>
      <c r="M1702" t="s">
        <v>4401</v>
      </c>
      <c r="N1702">
        <v>70406</v>
      </c>
      <c r="O1702" t="s">
        <v>70</v>
      </c>
      <c r="Q1702" t="s">
        <v>5974</v>
      </c>
      <c r="R1702" t="s">
        <v>7768</v>
      </c>
      <c r="S1702" t="s">
        <v>1329</v>
      </c>
      <c r="T1702" s="6">
        <v>5900000000</v>
      </c>
      <c r="W1702" t="str">
        <f t="shared" si="27"/>
        <v>DENA EF7 TC-MT1401</v>
      </c>
      <c r="X1702">
        <f>VLOOKUP(W1702,Sheet10!D:F,2,0)*10000000</f>
        <v>6750000000</v>
      </c>
      <c r="Y1702" t="s">
        <v>5712</v>
      </c>
    </row>
    <row r="1703" spans="1:25" x14ac:dyDescent="0.25">
      <c r="A1703" t="s">
        <v>2416</v>
      </c>
      <c r="B1703" t="s">
        <v>7769</v>
      </c>
      <c r="C1703">
        <v>575</v>
      </c>
      <c r="D1703" t="s">
        <v>259</v>
      </c>
      <c r="E1703" t="s">
        <v>64</v>
      </c>
      <c r="F1703" t="s">
        <v>362</v>
      </c>
      <c r="H1703">
        <v>35</v>
      </c>
      <c r="I1703">
        <v>1400</v>
      </c>
      <c r="J1703" t="s">
        <v>7770</v>
      </c>
      <c r="K1703" t="s">
        <v>7771</v>
      </c>
      <c r="M1703" t="s">
        <v>367</v>
      </c>
      <c r="N1703">
        <v>57519</v>
      </c>
      <c r="O1703" t="s">
        <v>70</v>
      </c>
      <c r="Q1703" t="s">
        <v>2420</v>
      </c>
      <c r="R1703" t="s">
        <v>7772</v>
      </c>
      <c r="S1703" t="s">
        <v>1928</v>
      </c>
      <c r="T1703" s="6">
        <v>3700000000</v>
      </c>
      <c r="W1703" t="str">
        <f t="shared" si="27"/>
        <v>SOREN EF71400</v>
      </c>
      <c r="X1703">
        <f>VLOOKUP(W1703,Sheet10!D:F,2,0)*10000000</f>
        <v>4350000000</v>
      </c>
      <c r="Y1703" t="s">
        <v>5712</v>
      </c>
    </row>
    <row r="1704" spans="1:25" x14ac:dyDescent="0.25">
      <c r="A1704" t="s">
        <v>3411</v>
      </c>
      <c r="B1704" t="s">
        <v>7773</v>
      </c>
      <c r="C1704">
        <v>600</v>
      </c>
      <c r="D1704" t="s">
        <v>63</v>
      </c>
      <c r="E1704" t="s">
        <v>64</v>
      </c>
      <c r="F1704" t="s">
        <v>420</v>
      </c>
      <c r="H1704">
        <v>35</v>
      </c>
      <c r="I1704">
        <v>1401</v>
      </c>
      <c r="J1704" t="s">
        <v>7774</v>
      </c>
      <c r="K1704" t="s">
        <v>7775</v>
      </c>
      <c r="M1704" t="s">
        <v>3246</v>
      </c>
      <c r="N1704">
        <v>60006</v>
      </c>
      <c r="O1704" t="s">
        <v>303</v>
      </c>
      <c r="Q1704" t="s">
        <v>3415</v>
      </c>
      <c r="R1704" t="s">
        <v>7776</v>
      </c>
      <c r="S1704" t="s">
        <v>159</v>
      </c>
      <c r="T1704" s="6">
        <v>4950000000</v>
      </c>
      <c r="W1704" t="str">
        <f t="shared" si="27"/>
        <v>207i-MT1401</v>
      </c>
      <c r="X1704">
        <f>VLOOKUP(W1704,Sheet10!D:F,2,0)*10000000</f>
        <v>5800000000</v>
      </c>
      <c r="Y1704" t="s">
        <v>5712</v>
      </c>
    </row>
    <row r="1705" spans="1:25" x14ac:dyDescent="0.25">
      <c r="A1705" t="s">
        <v>3521</v>
      </c>
      <c r="B1705" t="s">
        <v>7777</v>
      </c>
      <c r="C1705">
        <v>707</v>
      </c>
      <c r="D1705" t="s">
        <v>77</v>
      </c>
      <c r="E1705" t="s">
        <v>64</v>
      </c>
      <c r="F1705" t="s">
        <v>2696</v>
      </c>
      <c r="H1705">
        <v>34</v>
      </c>
      <c r="I1705">
        <v>1401</v>
      </c>
      <c r="J1705" t="s">
        <v>7778</v>
      </c>
      <c r="K1705" t="s">
        <v>7779</v>
      </c>
      <c r="M1705" t="s">
        <v>3450</v>
      </c>
      <c r="N1705">
        <v>70702</v>
      </c>
      <c r="O1705" t="s">
        <v>70</v>
      </c>
      <c r="Q1705" t="s">
        <v>3451</v>
      </c>
      <c r="R1705" t="s">
        <v>7780</v>
      </c>
      <c r="S1705" t="s">
        <v>948</v>
      </c>
      <c r="T1705" s="6">
        <v>6300000000</v>
      </c>
      <c r="W1705" t="str">
        <f t="shared" si="27"/>
        <v>DENA+EF7TC A1401</v>
      </c>
      <c r="X1705">
        <f>VLOOKUP(W1705,Sheet10!D:F,2,0)*10000000</f>
        <v>7250000000</v>
      </c>
      <c r="Y1705" t="s">
        <v>5712</v>
      </c>
    </row>
    <row r="1706" spans="1:25" x14ac:dyDescent="0.25">
      <c r="A1706" t="s">
        <v>6360</v>
      </c>
      <c r="B1706" t="s">
        <v>7781</v>
      </c>
      <c r="C1706">
        <v>575</v>
      </c>
      <c r="D1706" t="s">
        <v>4479</v>
      </c>
      <c r="E1706" t="s">
        <v>64</v>
      </c>
      <c r="F1706" t="s">
        <v>420</v>
      </c>
      <c r="H1706">
        <v>34</v>
      </c>
      <c r="I1706">
        <v>1401</v>
      </c>
      <c r="J1706" t="s">
        <v>7782</v>
      </c>
      <c r="K1706" t="s">
        <v>7783</v>
      </c>
      <c r="M1706" t="s">
        <v>367</v>
      </c>
      <c r="N1706">
        <v>57523</v>
      </c>
      <c r="O1706" t="s">
        <v>70</v>
      </c>
      <c r="Q1706" t="s">
        <v>2648</v>
      </c>
      <c r="R1706" t="s">
        <v>7784</v>
      </c>
      <c r="S1706" t="s">
        <v>1323</v>
      </c>
      <c r="T1706" s="6">
        <v>4150000000</v>
      </c>
      <c r="W1706" t="str">
        <f t="shared" si="27"/>
        <v>SOREN EF71401</v>
      </c>
      <c r="X1706">
        <f>VLOOKUP(W1706,Sheet10!D:F,2,0)*10000000</f>
        <v>4650000000</v>
      </c>
      <c r="Y1706" t="s">
        <v>5712</v>
      </c>
    </row>
    <row r="1707" spans="1:25" x14ac:dyDescent="0.25">
      <c r="A1707" t="s">
        <v>3497</v>
      </c>
      <c r="B1707" t="s">
        <v>7785</v>
      </c>
      <c r="C1707">
        <v>600</v>
      </c>
      <c r="D1707" t="s">
        <v>77</v>
      </c>
      <c r="E1707" t="s">
        <v>64</v>
      </c>
      <c r="F1707" t="s">
        <v>318</v>
      </c>
      <c r="H1707">
        <v>34</v>
      </c>
      <c r="I1707">
        <v>1401</v>
      </c>
      <c r="J1707" t="s">
        <v>7786</v>
      </c>
      <c r="K1707" t="s">
        <v>7787</v>
      </c>
      <c r="M1707" t="s">
        <v>3246</v>
      </c>
      <c r="N1707">
        <v>60010</v>
      </c>
      <c r="O1707" t="s">
        <v>303</v>
      </c>
      <c r="Q1707" t="s">
        <v>3247</v>
      </c>
      <c r="R1707" t="s">
        <v>7788</v>
      </c>
      <c r="S1707" t="s">
        <v>4342</v>
      </c>
      <c r="T1707" s="6">
        <v>5250000000</v>
      </c>
      <c r="W1707" t="str">
        <f t="shared" si="27"/>
        <v>207i-MT1401</v>
      </c>
      <c r="X1707">
        <f>VLOOKUP(W1707,Sheet10!D:F,2,0)*10000000</f>
        <v>5800000000</v>
      </c>
      <c r="Y1707" t="s">
        <v>5712</v>
      </c>
    </row>
    <row r="1708" spans="1:25" x14ac:dyDescent="0.25">
      <c r="A1708" t="s">
        <v>5661</v>
      </c>
      <c r="B1708" t="s">
        <v>7789</v>
      </c>
      <c r="C1708">
        <v>522</v>
      </c>
      <c r="D1708" t="s">
        <v>63</v>
      </c>
      <c r="E1708" t="s">
        <v>64</v>
      </c>
      <c r="F1708" t="s">
        <v>420</v>
      </c>
      <c r="H1708">
        <v>34</v>
      </c>
      <c r="I1708">
        <v>1401</v>
      </c>
      <c r="J1708" t="s">
        <v>7790</v>
      </c>
      <c r="K1708" t="s">
        <v>7791</v>
      </c>
      <c r="M1708" t="s">
        <v>5589</v>
      </c>
      <c r="N1708">
        <v>52201</v>
      </c>
      <c r="O1708" t="s">
        <v>4488</v>
      </c>
      <c r="Q1708" t="s">
        <v>5590</v>
      </c>
      <c r="R1708" t="s">
        <v>7792</v>
      </c>
      <c r="S1708" t="s">
        <v>2594</v>
      </c>
      <c r="T1708" s="6">
        <v>10000000000</v>
      </c>
      <c r="W1708" t="str">
        <f t="shared" si="27"/>
        <v>S5-T-AT1401</v>
      </c>
      <c r="X1708">
        <f>VLOOKUP(W1708,Sheet10!D:F,2,0)*10000000</f>
        <v>11100000000</v>
      </c>
      <c r="Y1708" t="s">
        <v>5712</v>
      </c>
    </row>
    <row r="1709" spans="1:25" x14ac:dyDescent="0.25">
      <c r="A1709" t="s">
        <v>5970</v>
      </c>
      <c r="B1709" t="s">
        <v>7793</v>
      </c>
      <c r="C1709">
        <v>704</v>
      </c>
      <c r="D1709" t="s">
        <v>77</v>
      </c>
      <c r="E1709" t="s">
        <v>64</v>
      </c>
      <c r="F1709" t="s">
        <v>420</v>
      </c>
      <c r="H1709">
        <v>33</v>
      </c>
      <c r="I1709">
        <v>1401</v>
      </c>
      <c r="J1709" t="s">
        <v>7794</v>
      </c>
      <c r="K1709" t="s">
        <v>7795</v>
      </c>
      <c r="M1709" t="s">
        <v>4401</v>
      </c>
      <c r="N1709">
        <v>70406</v>
      </c>
      <c r="O1709" t="s">
        <v>70</v>
      </c>
      <c r="Q1709" t="s">
        <v>5974</v>
      </c>
      <c r="R1709" t="s">
        <v>7796</v>
      </c>
      <c r="S1709" t="s">
        <v>602</v>
      </c>
      <c r="T1709" s="6">
        <v>5900000000</v>
      </c>
      <c r="W1709" t="str">
        <f t="shared" si="27"/>
        <v>DENA EF7 TC-MT1401</v>
      </c>
      <c r="X1709">
        <f>VLOOKUP(W1709,Sheet10!D:F,2,0)*10000000</f>
        <v>6750000000</v>
      </c>
      <c r="Y1709" t="s">
        <v>5712</v>
      </c>
    </row>
    <row r="1710" spans="1:25" x14ac:dyDescent="0.25">
      <c r="A1710" t="s">
        <v>316</v>
      </c>
      <c r="B1710" t="s">
        <v>7797</v>
      </c>
      <c r="C1710">
        <v>610</v>
      </c>
      <c r="D1710" t="s">
        <v>63</v>
      </c>
      <c r="E1710" t="s">
        <v>64</v>
      </c>
      <c r="F1710" t="s">
        <v>2436</v>
      </c>
      <c r="H1710">
        <v>33</v>
      </c>
      <c r="I1710">
        <v>1401</v>
      </c>
      <c r="J1710" t="s">
        <v>7798</v>
      </c>
      <c r="K1710" t="s">
        <v>7799</v>
      </c>
      <c r="M1710" t="s">
        <v>321</v>
      </c>
      <c r="N1710">
        <v>61015</v>
      </c>
      <c r="O1710" t="s">
        <v>70</v>
      </c>
      <c r="Q1710" t="s">
        <v>322</v>
      </c>
      <c r="R1710" t="s">
        <v>7800</v>
      </c>
      <c r="S1710" t="s">
        <v>858</v>
      </c>
      <c r="T1710" s="6">
        <v>3700000000</v>
      </c>
      <c r="W1710" t="str">
        <f t="shared" si="27"/>
        <v>TU51401</v>
      </c>
      <c r="X1710">
        <f>VLOOKUP(W1710,Sheet10!D:F,2,0)*10000000</f>
        <v>4450000000</v>
      </c>
      <c r="Y1710" t="s">
        <v>5712</v>
      </c>
    </row>
    <row r="1711" spans="1:25" x14ac:dyDescent="0.25">
      <c r="A1711" t="s">
        <v>3242</v>
      </c>
      <c r="B1711" t="s">
        <v>7801</v>
      </c>
      <c r="C1711">
        <v>600</v>
      </c>
      <c r="D1711" t="s">
        <v>63</v>
      </c>
      <c r="E1711" t="s">
        <v>64</v>
      </c>
      <c r="F1711" t="s">
        <v>420</v>
      </c>
      <c r="H1711">
        <v>33</v>
      </c>
      <c r="I1711">
        <v>1401</v>
      </c>
      <c r="J1711" t="s">
        <v>7802</v>
      </c>
      <c r="K1711" t="s">
        <v>7803</v>
      </c>
      <c r="M1711" t="s">
        <v>3246</v>
      </c>
      <c r="N1711">
        <v>60010</v>
      </c>
      <c r="O1711" t="s">
        <v>303</v>
      </c>
      <c r="Q1711" t="s">
        <v>3247</v>
      </c>
      <c r="R1711" t="s">
        <v>7804</v>
      </c>
      <c r="S1711" t="s">
        <v>73</v>
      </c>
      <c r="T1711" s="6">
        <v>5300000000</v>
      </c>
      <c r="W1711" t="str">
        <f t="shared" si="27"/>
        <v>207i-MT1401</v>
      </c>
      <c r="X1711">
        <f>VLOOKUP(W1711,Sheet10!D:F,2,0)*10000000</f>
        <v>5800000000</v>
      </c>
      <c r="Y1711" t="s">
        <v>5712</v>
      </c>
    </row>
    <row r="1712" spans="1:25" x14ac:dyDescent="0.25">
      <c r="A1712" t="s">
        <v>6237</v>
      </c>
      <c r="B1712" t="s">
        <v>7805</v>
      </c>
      <c r="C1712">
        <v>606</v>
      </c>
      <c r="D1712" t="s">
        <v>63</v>
      </c>
      <c r="E1712" t="s">
        <v>64</v>
      </c>
      <c r="F1712" t="s">
        <v>4256</v>
      </c>
      <c r="H1712">
        <v>32</v>
      </c>
      <c r="I1712">
        <v>1400</v>
      </c>
      <c r="J1712" t="s">
        <v>7806</v>
      </c>
      <c r="K1712" t="s">
        <v>7807</v>
      </c>
      <c r="M1712" t="s">
        <v>4487</v>
      </c>
      <c r="N1712">
        <v>60601</v>
      </c>
      <c r="O1712" t="s">
        <v>4488</v>
      </c>
      <c r="Q1712" t="s">
        <v>6241</v>
      </c>
      <c r="R1712" t="s">
        <v>7808</v>
      </c>
      <c r="S1712" t="s">
        <v>4589</v>
      </c>
      <c r="T1712" s="6">
        <v>6200000000</v>
      </c>
      <c r="W1712" t="str">
        <f t="shared" si="27"/>
        <v>207i TU5P A1400</v>
      </c>
      <c r="X1712">
        <f>VLOOKUP(W1712,Sheet10!D:F,2,0)*10000000</f>
        <v>7000000000</v>
      </c>
      <c r="Y1712" t="s">
        <v>5712</v>
      </c>
    </row>
    <row r="1713" spans="1:25" x14ac:dyDescent="0.25">
      <c r="A1713" t="s">
        <v>5577</v>
      </c>
      <c r="B1713" t="s">
        <v>5578</v>
      </c>
      <c r="C1713">
        <v>323</v>
      </c>
      <c r="D1713" t="s">
        <v>5579</v>
      </c>
      <c r="E1713" t="s">
        <v>64</v>
      </c>
      <c r="F1713" t="s">
        <v>362</v>
      </c>
      <c r="H1713">
        <v>31</v>
      </c>
      <c r="I1713">
        <v>1400</v>
      </c>
      <c r="J1713" t="s">
        <v>5580</v>
      </c>
      <c r="K1713" t="s">
        <v>5581</v>
      </c>
      <c r="M1713" t="s">
        <v>5192</v>
      </c>
      <c r="N1713">
        <v>32301</v>
      </c>
      <c r="O1713" t="s">
        <v>70</v>
      </c>
      <c r="Q1713" t="s">
        <v>5193</v>
      </c>
      <c r="R1713" t="s">
        <v>5582</v>
      </c>
      <c r="S1713" t="s">
        <v>4308</v>
      </c>
      <c r="T1713" s="6">
        <v>6200000000</v>
      </c>
      <c r="W1713" t="str">
        <f t="shared" si="27"/>
        <v>TARA TU5PA1400</v>
      </c>
      <c r="X1713">
        <f>VLOOKUP(W1713,Sheet10!D:F,2,0)*10000000</f>
        <v>7200000000</v>
      </c>
      <c r="Y1713" t="s">
        <v>5712</v>
      </c>
    </row>
    <row r="1714" spans="1:25" x14ac:dyDescent="0.25">
      <c r="A1714" t="s">
        <v>4483</v>
      </c>
      <c r="B1714" t="s">
        <v>7809</v>
      </c>
      <c r="C1714">
        <v>606</v>
      </c>
      <c r="D1714" t="s">
        <v>63</v>
      </c>
      <c r="E1714" t="s">
        <v>64</v>
      </c>
      <c r="F1714" t="s">
        <v>362</v>
      </c>
      <c r="H1714">
        <v>31</v>
      </c>
      <c r="I1714">
        <v>1400</v>
      </c>
      <c r="J1714" t="s">
        <v>7810</v>
      </c>
      <c r="K1714" t="s">
        <v>6004</v>
      </c>
      <c r="M1714" t="s">
        <v>4487</v>
      </c>
      <c r="N1714">
        <v>60602</v>
      </c>
      <c r="O1714" t="s">
        <v>4488</v>
      </c>
      <c r="Q1714" t="s">
        <v>4489</v>
      </c>
      <c r="R1714" t="s">
        <v>7811</v>
      </c>
      <c r="S1714" t="s">
        <v>3968</v>
      </c>
      <c r="T1714" s="6">
        <v>5450000000</v>
      </c>
      <c r="W1714" t="str">
        <f t="shared" si="27"/>
        <v>207i TU5P A1400</v>
      </c>
      <c r="X1714">
        <f>VLOOKUP(W1714,Sheet10!D:F,2,0)*10000000</f>
        <v>7000000000</v>
      </c>
      <c r="Y1714" t="s">
        <v>5712</v>
      </c>
    </row>
    <row r="1715" spans="1:25" x14ac:dyDescent="0.25">
      <c r="A1715" t="s">
        <v>5970</v>
      </c>
      <c r="B1715" t="s">
        <v>7812</v>
      </c>
      <c r="C1715">
        <v>704</v>
      </c>
      <c r="D1715" t="s">
        <v>77</v>
      </c>
      <c r="E1715" t="s">
        <v>64</v>
      </c>
      <c r="F1715" t="s">
        <v>420</v>
      </c>
      <c r="H1715">
        <v>30</v>
      </c>
      <c r="I1715">
        <v>1401</v>
      </c>
      <c r="J1715" t="s">
        <v>7813</v>
      </c>
      <c r="K1715" t="s">
        <v>7814</v>
      </c>
      <c r="M1715" t="s">
        <v>4401</v>
      </c>
      <c r="N1715">
        <v>70406</v>
      </c>
      <c r="O1715" t="s">
        <v>70</v>
      </c>
      <c r="Q1715" t="s">
        <v>5974</v>
      </c>
      <c r="R1715" t="s">
        <v>7815</v>
      </c>
      <c r="S1715" t="s">
        <v>1200</v>
      </c>
      <c r="T1715" s="6">
        <v>5900000000</v>
      </c>
      <c r="W1715" t="str">
        <f t="shared" si="27"/>
        <v>DENA EF7 TC-MT1401</v>
      </c>
      <c r="X1715">
        <f>VLOOKUP(W1715,Sheet10!D:F,2,0)*10000000</f>
        <v>6750000000</v>
      </c>
      <c r="Y1715" t="s">
        <v>5712</v>
      </c>
    </row>
    <row r="1716" spans="1:25" x14ac:dyDescent="0.25">
      <c r="A1716" t="s">
        <v>3242</v>
      </c>
      <c r="B1716" t="s">
        <v>7816</v>
      </c>
      <c r="C1716">
        <v>600</v>
      </c>
      <c r="D1716" t="s">
        <v>63</v>
      </c>
      <c r="E1716" t="s">
        <v>64</v>
      </c>
      <c r="F1716" t="s">
        <v>2696</v>
      </c>
      <c r="H1716">
        <v>30</v>
      </c>
      <c r="I1716">
        <v>1401</v>
      </c>
      <c r="J1716" t="s">
        <v>7817</v>
      </c>
      <c r="K1716" t="s">
        <v>7818</v>
      </c>
      <c r="M1716" t="s">
        <v>3246</v>
      </c>
      <c r="N1716">
        <v>60010</v>
      </c>
      <c r="O1716" t="s">
        <v>303</v>
      </c>
      <c r="Q1716" t="s">
        <v>3247</v>
      </c>
      <c r="R1716" t="s">
        <v>7819</v>
      </c>
      <c r="S1716" t="s">
        <v>5442</v>
      </c>
      <c r="T1716" s="6">
        <v>5250000000</v>
      </c>
      <c r="W1716" t="str">
        <f t="shared" si="27"/>
        <v>207i-MT1401</v>
      </c>
      <c r="X1716">
        <f>VLOOKUP(W1716,Sheet10!D:F,2,0)*10000000</f>
        <v>5800000000</v>
      </c>
      <c r="Y1716" t="s">
        <v>5712</v>
      </c>
    </row>
    <row r="1717" spans="1:25" x14ac:dyDescent="0.25">
      <c r="A1717" t="s">
        <v>2476</v>
      </c>
      <c r="B1717" t="s">
        <v>7820</v>
      </c>
      <c r="C1717">
        <v>575</v>
      </c>
      <c r="D1717" t="s">
        <v>63</v>
      </c>
      <c r="E1717" t="s">
        <v>64</v>
      </c>
      <c r="F1717" t="s">
        <v>318</v>
      </c>
      <c r="H1717">
        <v>29</v>
      </c>
      <c r="I1717">
        <v>1401</v>
      </c>
      <c r="J1717" t="s">
        <v>7821</v>
      </c>
      <c r="K1717" t="s">
        <v>7822</v>
      </c>
      <c r="M1717" t="s">
        <v>367</v>
      </c>
      <c r="N1717">
        <v>57519</v>
      </c>
      <c r="O1717" t="s">
        <v>70</v>
      </c>
      <c r="Q1717" t="s">
        <v>2420</v>
      </c>
      <c r="R1717" t="s">
        <v>7823</v>
      </c>
      <c r="S1717" t="s">
        <v>1138</v>
      </c>
      <c r="T1717" s="6">
        <v>3850000000</v>
      </c>
      <c r="W1717" t="str">
        <f t="shared" si="27"/>
        <v>SOREN EF71401</v>
      </c>
      <c r="X1717">
        <f>VLOOKUP(W1717,Sheet10!D:F,2,0)*10000000</f>
        <v>4650000000</v>
      </c>
      <c r="Y1717" t="s">
        <v>5712</v>
      </c>
    </row>
    <row r="1718" spans="1:25" x14ac:dyDescent="0.25">
      <c r="A1718" t="s">
        <v>5834</v>
      </c>
      <c r="B1718" t="s">
        <v>7824</v>
      </c>
      <c r="C1718">
        <v>600</v>
      </c>
      <c r="D1718" t="s">
        <v>4345</v>
      </c>
      <c r="E1718" t="s">
        <v>64</v>
      </c>
      <c r="F1718" t="s">
        <v>420</v>
      </c>
      <c r="H1718">
        <v>29</v>
      </c>
      <c r="I1718">
        <v>1401</v>
      </c>
      <c r="J1718" t="s">
        <v>7825</v>
      </c>
      <c r="K1718" t="s">
        <v>7826</v>
      </c>
      <c r="M1718" t="s">
        <v>3246</v>
      </c>
      <c r="N1718">
        <v>60010</v>
      </c>
      <c r="O1718" t="s">
        <v>303</v>
      </c>
      <c r="Q1718" t="s">
        <v>3247</v>
      </c>
      <c r="R1718" t="s">
        <v>7827</v>
      </c>
      <c r="S1718" t="s">
        <v>3666</v>
      </c>
      <c r="T1718" s="6">
        <v>5250000000</v>
      </c>
      <c r="W1718" t="str">
        <f t="shared" si="27"/>
        <v>207i-MT1401</v>
      </c>
      <c r="X1718">
        <f>VLOOKUP(W1718,Sheet10!D:F,2,0)*10000000</f>
        <v>5800000000</v>
      </c>
      <c r="Y1718" t="s">
        <v>5712</v>
      </c>
    </row>
    <row r="1719" spans="1:25" x14ac:dyDescent="0.25">
      <c r="A1719" t="s">
        <v>5661</v>
      </c>
      <c r="B1719" t="s">
        <v>7828</v>
      </c>
      <c r="C1719">
        <v>522</v>
      </c>
      <c r="D1719" t="s">
        <v>63</v>
      </c>
      <c r="E1719" t="s">
        <v>64</v>
      </c>
      <c r="F1719" t="s">
        <v>362</v>
      </c>
      <c r="H1719">
        <v>29</v>
      </c>
      <c r="I1719">
        <v>1400</v>
      </c>
      <c r="J1719" t="s">
        <v>7829</v>
      </c>
      <c r="K1719" t="s">
        <v>7830</v>
      </c>
      <c r="M1719" t="s">
        <v>5589</v>
      </c>
      <c r="N1719">
        <v>52201</v>
      </c>
      <c r="O1719" t="s">
        <v>4488</v>
      </c>
      <c r="Q1719" t="s">
        <v>5590</v>
      </c>
      <c r="R1719" t="s">
        <v>7831</v>
      </c>
      <c r="S1719" t="s">
        <v>2871</v>
      </c>
      <c r="T1719" s="6">
        <v>9350000000</v>
      </c>
      <c r="W1719" t="str">
        <f t="shared" si="27"/>
        <v>S5-T-AT1400</v>
      </c>
      <c r="X1719" t="e">
        <f>VLOOKUP(W1719,Sheet10!D:F,2,0)*10000000</f>
        <v>#N/A</v>
      </c>
      <c r="Y1719" t="s">
        <v>5712</v>
      </c>
    </row>
    <row r="1720" spans="1:25" x14ac:dyDescent="0.25">
      <c r="A1720" t="s">
        <v>4483</v>
      </c>
      <c r="B1720" t="s">
        <v>4624</v>
      </c>
      <c r="C1720">
        <v>606</v>
      </c>
      <c r="D1720" t="s">
        <v>63</v>
      </c>
      <c r="E1720" t="s">
        <v>64</v>
      </c>
      <c r="F1720" t="s">
        <v>4256</v>
      </c>
      <c r="H1720">
        <v>29</v>
      </c>
      <c r="I1720">
        <v>1400</v>
      </c>
      <c r="J1720" t="s">
        <v>4625</v>
      </c>
      <c r="K1720" t="s">
        <v>4626</v>
      </c>
      <c r="M1720" t="s">
        <v>4487</v>
      </c>
      <c r="N1720">
        <v>60602</v>
      </c>
      <c r="O1720" t="s">
        <v>4488</v>
      </c>
      <c r="Q1720" t="s">
        <v>4489</v>
      </c>
      <c r="R1720" t="s">
        <v>4627</v>
      </c>
      <c r="S1720" t="s">
        <v>3827</v>
      </c>
      <c r="T1720" s="6">
        <v>5450000000</v>
      </c>
      <c r="W1720" t="str">
        <f t="shared" si="27"/>
        <v>207i TU5P A1400</v>
      </c>
      <c r="X1720">
        <f>VLOOKUP(W1720,Sheet10!D:F,2,0)*10000000</f>
        <v>7000000000</v>
      </c>
      <c r="Y1720" t="s">
        <v>5712</v>
      </c>
    </row>
    <row r="1721" spans="1:25" x14ac:dyDescent="0.25">
      <c r="A1721" t="s">
        <v>191</v>
      </c>
      <c r="B1721" t="s">
        <v>4833</v>
      </c>
      <c r="C1721">
        <v>285</v>
      </c>
      <c r="D1721" t="s">
        <v>63</v>
      </c>
      <c r="E1721" t="s">
        <v>64</v>
      </c>
      <c r="F1721" t="s">
        <v>318</v>
      </c>
      <c r="H1721">
        <v>29</v>
      </c>
      <c r="I1721">
        <v>1401</v>
      </c>
      <c r="J1721" t="s">
        <v>4834</v>
      </c>
      <c r="K1721" t="s">
        <v>4835</v>
      </c>
      <c r="M1721" t="s">
        <v>198</v>
      </c>
      <c r="N1721">
        <v>28520</v>
      </c>
      <c r="O1721" t="s">
        <v>70</v>
      </c>
      <c r="Q1721" t="s">
        <v>199</v>
      </c>
      <c r="R1721" t="s">
        <v>4836</v>
      </c>
      <c r="S1721" t="s">
        <v>2978</v>
      </c>
      <c r="T1721" s="6">
        <v>4350000000</v>
      </c>
      <c r="W1721" t="str">
        <f t="shared" si="27"/>
        <v>PARS TU51401</v>
      </c>
      <c r="X1721">
        <f>VLOOKUP(W1721,Sheet10!D:F,2,0)*10000000</f>
        <v>5250000000</v>
      </c>
      <c r="Y1721" t="s">
        <v>5712</v>
      </c>
    </row>
    <row r="1722" spans="1:25" x14ac:dyDescent="0.25">
      <c r="A1722" t="s">
        <v>3478</v>
      </c>
      <c r="B1722" t="s">
        <v>5573</v>
      </c>
      <c r="C1722">
        <v>707</v>
      </c>
      <c r="D1722" t="s">
        <v>259</v>
      </c>
      <c r="E1722" t="s">
        <v>64</v>
      </c>
      <c r="F1722" t="s">
        <v>420</v>
      </c>
      <c r="H1722">
        <v>28</v>
      </c>
      <c r="I1722">
        <v>1401</v>
      </c>
      <c r="J1722" t="s">
        <v>5574</v>
      </c>
      <c r="K1722" t="s">
        <v>5575</v>
      </c>
      <c r="M1722" t="s">
        <v>3450</v>
      </c>
      <c r="N1722">
        <v>70702</v>
      </c>
      <c r="O1722" t="s">
        <v>70</v>
      </c>
      <c r="Q1722" t="s">
        <v>3451</v>
      </c>
      <c r="R1722" t="s">
        <v>5576</v>
      </c>
      <c r="S1722" t="s">
        <v>543</v>
      </c>
      <c r="T1722" s="6">
        <v>6330000000</v>
      </c>
      <c r="W1722" t="str">
        <f t="shared" si="27"/>
        <v>DENA+EF7TC A1401</v>
      </c>
      <c r="X1722">
        <f>VLOOKUP(W1722,Sheet10!D:F,2,0)*10000000</f>
        <v>7250000000</v>
      </c>
      <c r="Y1722" t="s">
        <v>5712</v>
      </c>
    </row>
    <row r="1723" spans="1:25" x14ac:dyDescent="0.25">
      <c r="A1723" t="s">
        <v>2476</v>
      </c>
      <c r="B1723" t="s">
        <v>7832</v>
      </c>
      <c r="C1723">
        <v>575</v>
      </c>
      <c r="D1723" t="s">
        <v>63</v>
      </c>
      <c r="E1723" t="s">
        <v>64</v>
      </c>
      <c r="F1723" t="s">
        <v>420</v>
      </c>
      <c r="H1723">
        <v>28</v>
      </c>
      <c r="I1723">
        <v>1401</v>
      </c>
      <c r="J1723" t="s">
        <v>7833</v>
      </c>
      <c r="K1723" t="s">
        <v>7834</v>
      </c>
      <c r="M1723" t="s">
        <v>367</v>
      </c>
      <c r="N1723">
        <v>57519</v>
      </c>
      <c r="O1723" t="s">
        <v>70</v>
      </c>
      <c r="Q1723" t="s">
        <v>2420</v>
      </c>
      <c r="R1723" t="s">
        <v>7835</v>
      </c>
      <c r="S1723" t="s">
        <v>811</v>
      </c>
      <c r="T1723" s="6">
        <v>3900000000</v>
      </c>
      <c r="W1723" t="str">
        <f t="shared" si="27"/>
        <v>SOREN EF71401</v>
      </c>
      <c r="X1723">
        <f>VLOOKUP(W1723,Sheet10!D:F,2,0)*10000000</f>
        <v>4650000000</v>
      </c>
      <c r="Y1723" t="s">
        <v>5712</v>
      </c>
    </row>
    <row r="1724" spans="1:25" x14ac:dyDescent="0.25">
      <c r="A1724" t="s">
        <v>4497</v>
      </c>
      <c r="B1724" t="s">
        <v>7836</v>
      </c>
      <c r="C1724">
        <v>606</v>
      </c>
      <c r="D1724" t="s">
        <v>77</v>
      </c>
      <c r="E1724" t="s">
        <v>64</v>
      </c>
      <c r="F1724" t="s">
        <v>318</v>
      </c>
      <c r="H1724">
        <v>28</v>
      </c>
      <c r="I1724">
        <v>1401</v>
      </c>
      <c r="J1724" t="s">
        <v>7837</v>
      </c>
      <c r="K1724" t="s">
        <v>7838</v>
      </c>
      <c r="M1724" t="s">
        <v>4487</v>
      </c>
      <c r="N1724">
        <v>60602</v>
      </c>
      <c r="O1724" t="s">
        <v>4488</v>
      </c>
      <c r="Q1724" t="s">
        <v>4489</v>
      </c>
      <c r="R1724" t="s">
        <v>7839</v>
      </c>
      <c r="S1724" t="s">
        <v>4705</v>
      </c>
      <c r="T1724" s="6">
        <v>5680000000</v>
      </c>
      <c r="W1724" t="str">
        <f t="shared" si="27"/>
        <v>207i TU5P A1401</v>
      </c>
      <c r="X1724">
        <f>VLOOKUP(W1724,Sheet10!D:F,2,0)*10000000</f>
        <v>7100000000</v>
      </c>
      <c r="Y1724" t="s">
        <v>5712</v>
      </c>
    </row>
    <row r="1725" spans="1:25" x14ac:dyDescent="0.25">
      <c r="A1725" t="s">
        <v>3411</v>
      </c>
      <c r="B1725" t="s">
        <v>7840</v>
      </c>
      <c r="C1725">
        <v>600</v>
      </c>
      <c r="D1725" t="s">
        <v>63</v>
      </c>
      <c r="E1725" t="s">
        <v>64</v>
      </c>
      <c r="F1725" t="s">
        <v>491</v>
      </c>
      <c r="H1725">
        <v>28</v>
      </c>
      <c r="I1725">
        <v>1401</v>
      </c>
      <c r="J1725" t="s">
        <v>7841</v>
      </c>
      <c r="K1725" t="s">
        <v>7842</v>
      </c>
      <c r="M1725" t="s">
        <v>3246</v>
      </c>
      <c r="N1725">
        <v>60006</v>
      </c>
      <c r="O1725" t="s">
        <v>303</v>
      </c>
      <c r="Q1725" t="s">
        <v>3415</v>
      </c>
      <c r="R1725" t="s">
        <v>7843</v>
      </c>
      <c r="S1725" t="s">
        <v>86</v>
      </c>
      <c r="T1725" s="6">
        <v>4900000000</v>
      </c>
      <c r="W1725" t="str">
        <f t="shared" si="27"/>
        <v>207i-MT1401</v>
      </c>
      <c r="X1725">
        <f>VLOOKUP(W1725,Sheet10!D:F,2,0)*10000000</f>
        <v>5800000000</v>
      </c>
      <c r="Y1725" t="s">
        <v>5712</v>
      </c>
    </row>
    <row r="1726" spans="1:25" x14ac:dyDescent="0.25">
      <c r="A1726" t="s">
        <v>5970</v>
      </c>
      <c r="B1726" t="s">
        <v>7844</v>
      </c>
      <c r="C1726">
        <v>704</v>
      </c>
      <c r="D1726" t="s">
        <v>77</v>
      </c>
      <c r="E1726" t="s">
        <v>64</v>
      </c>
      <c r="F1726" t="s">
        <v>491</v>
      </c>
      <c r="H1726">
        <v>27</v>
      </c>
      <c r="I1726">
        <v>1401</v>
      </c>
      <c r="J1726" t="s">
        <v>7845</v>
      </c>
      <c r="K1726" t="s">
        <v>7846</v>
      </c>
      <c r="M1726" t="s">
        <v>4401</v>
      </c>
      <c r="N1726">
        <v>70406</v>
      </c>
      <c r="O1726" t="s">
        <v>70</v>
      </c>
      <c r="Q1726" t="s">
        <v>5974</v>
      </c>
      <c r="R1726" t="s">
        <v>7847</v>
      </c>
      <c r="S1726" t="s">
        <v>1005</v>
      </c>
      <c r="T1726" s="6">
        <v>5900000000</v>
      </c>
      <c r="W1726" t="str">
        <f t="shared" si="27"/>
        <v>DENA EF7 TC-MT1401</v>
      </c>
      <c r="X1726">
        <f>VLOOKUP(W1726,Sheet10!D:F,2,0)*10000000</f>
        <v>6750000000</v>
      </c>
      <c r="Y1726" t="s">
        <v>5712</v>
      </c>
    </row>
    <row r="1727" spans="1:25" x14ac:dyDescent="0.25">
      <c r="A1727" t="s">
        <v>5954</v>
      </c>
      <c r="B1727" t="s">
        <v>7848</v>
      </c>
      <c r="C1727">
        <v>606</v>
      </c>
      <c r="D1727" t="s">
        <v>63</v>
      </c>
      <c r="E1727" t="s">
        <v>64</v>
      </c>
      <c r="F1727" t="s">
        <v>420</v>
      </c>
      <c r="H1727">
        <v>27</v>
      </c>
      <c r="I1727">
        <v>1401</v>
      </c>
      <c r="J1727" t="s">
        <v>7849</v>
      </c>
      <c r="K1727" t="s">
        <v>7850</v>
      </c>
      <c r="M1727" t="s">
        <v>4487</v>
      </c>
      <c r="N1727">
        <v>60603</v>
      </c>
      <c r="O1727" t="s">
        <v>4488</v>
      </c>
      <c r="Q1727" t="s">
        <v>5958</v>
      </c>
      <c r="R1727" t="s">
        <v>7851</v>
      </c>
      <c r="S1727" t="s">
        <v>2634</v>
      </c>
      <c r="T1727" s="6">
        <v>5950000000</v>
      </c>
      <c r="W1727" t="str">
        <f t="shared" si="27"/>
        <v>207i TU5P A1401</v>
      </c>
      <c r="X1727">
        <f>VLOOKUP(W1727,Sheet10!D:F,2,0)*10000000</f>
        <v>7100000000</v>
      </c>
      <c r="Y1727" t="s">
        <v>5712</v>
      </c>
    </row>
    <row r="1728" spans="1:25" x14ac:dyDescent="0.25">
      <c r="A1728" t="s">
        <v>3242</v>
      </c>
      <c r="B1728" t="s">
        <v>7852</v>
      </c>
      <c r="C1728">
        <v>600</v>
      </c>
      <c r="D1728" t="s">
        <v>63</v>
      </c>
      <c r="E1728" t="s">
        <v>64</v>
      </c>
      <c r="F1728" t="s">
        <v>362</v>
      </c>
      <c r="H1728">
        <v>27</v>
      </c>
      <c r="I1728">
        <v>1400</v>
      </c>
      <c r="J1728" t="s">
        <v>7853</v>
      </c>
      <c r="K1728" t="s">
        <v>7854</v>
      </c>
      <c r="M1728" t="s">
        <v>3246</v>
      </c>
      <c r="N1728">
        <v>60010</v>
      </c>
      <c r="O1728" t="s">
        <v>303</v>
      </c>
      <c r="Q1728" t="s">
        <v>3247</v>
      </c>
      <c r="R1728" t="s">
        <v>7855</v>
      </c>
      <c r="S1728" t="s">
        <v>4738</v>
      </c>
      <c r="T1728" s="6">
        <v>5100000000</v>
      </c>
      <c r="W1728" t="str">
        <f t="shared" si="27"/>
        <v>207i-MT1400</v>
      </c>
      <c r="X1728">
        <f>VLOOKUP(W1728,Sheet10!D:F,2,0)*10000000</f>
        <v>5600000000</v>
      </c>
      <c r="Y1728" t="s">
        <v>5712</v>
      </c>
    </row>
    <row r="1729" spans="1:25" x14ac:dyDescent="0.25">
      <c r="A1729" t="s">
        <v>191</v>
      </c>
      <c r="B1729" t="s">
        <v>5064</v>
      </c>
      <c r="C1729">
        <v>285</v>
      </c>
      <c r="D1729" t="s">
        <v>63</v>
      </c>
      <c r="E1729" t="s">
        <v>64</v>
      </c>
      <c r="F1729" t="s">
        <v>420</v>
      </c>
      <c r="H1729">
        <v>27</v>
      </c>
      <c r="I1729">
        <v>1401</v>
      </c>
      <c r="J1729" t="s">
        <v>5065</v>
      </c>
      <c r="K1729" t="s">
        <v>5066</v>
      </c>
      <c r="M1729" t="s">
        <v>198</v>
      </c>
      <c r="N1729">
        <v>28520</v>
      </c>
      <c r="O1729" t="s">
        <v>70</v>
      </c>
      <c r="Q1729" t="s">
        <v>199</v>
      </c>
      <c r="R1729" t="s">
        <v>5067</v>
      </c>
      <c r="S1729" t="s">
        <v>2440</v>
      </c>
      <c r="T1729" s="6">
        <v>4570000000</v>
      </c>
      <c r="W1729" t="str">
        <f t="shared" si="27"/>
        <v>PARS TU51401</v>
      </c>
      <c r="X1729">
        <f>VLOOKUP(W1729,Sheet10!D:F,2,0)*10000000</f>
        <v>5250000000</v>
      </c>
      <c r="Y1729" t="s">
        <v>5712</v>
      </c>
    </row>
    <row r="1730" spans="1:25" x14ac:dyDescent="0.25">
      <c r="A1730" t="s">
        <v>5970</v>
      </c>
      <c r="B1730" t="s">
        <v>7856</v>
      </c>
      <c r="C1730">
        <v>704</v>
      </c>
      <c r="D1730" t="s">
        <v>77</v>
      </c>
      <c r="E1730" t="s">
        <v>64</v>
      </c>
      <c r="F1730" t="s">
        <v>420</v>
      </c>
      <c r="H1730">
        <v>26</v>
      </c>
      <c r="I1730">
        <v>1401</v>
      </c>
      <c r="J1730" t="s">
        <v>7857</v>
      </c>
      <c r="K1730" t="s">
        <v>7858</v>
      </c>
      <c r="M1730" t="s">
        <v>4401</v>
      </c>
      <c r="N1730">
        <v>70406</v>
      </c>
      <c r="O1730" t="s">
        <v>70</v>
      </c>
      <c r="Q1730" t="s">
        <v>5974</v>
      </c>
      <c r="R1730" t="s">
        <v>7859</v>
      </c>
      <c r="S1730" t="s">
        <v>1159</v>
      </c>
      <c r="T1730" s="6">
        <v>5900000000</v>
      </c>
      <c r="W1730" t="str">
        <f t="shared" si="27"/>
        <v>DENA EF7 TC-MT1401</v>
      </c>
      <c r="X1730">
        <f>VLOOKUP(W1730,Sheet10!D:F,2,0)*10000000</f>
        <v>6750000000</v>
      </c>
      <c r="Y1730" t="s">
        <v>5712</v>
      </c>
    </row>
    <row r="1731" spans="1:25" x14ac:dyDescent="0.25">
      <c r="A1731" t="s">
        <v>2861</v>
      </c>
      <c r="B1731" t="s">
        <v>7860</v>
      </c>
      <c r="C1731">
        <v>575</v>
      </c>
      <c r="D1731" t="s">
        <v>2461</v>
      </c>
      <c r="E1731" t="s">
        <v>64</v>
      </c>
      <c r="F1731" t="s">
        <v>420</v>
      </c>
      <c r="H1731">
        <v>26</v>
      </c>
      <c r="I1731">
        <v>1401</v>
      </c>
      <c r="J1731" t="s">
        <v>7861</v>
      </c>
      <c r="K1731" t="s">
        <v>7862</v>
      </c>
      <c r="M1731" t="s">
        <v>367</v>
      </c>
      <c r="N1731">
        <v>57519</v>
      </c>
      <c r="O1731" t="s">
        <v>70</v>
      </c>
      <c r="Q1731" t="s">
        <v>2420</v>
      </c>
      <c r="R1731" t="s">
        <v>7863</v>
      </c>
      <c r="S1731" t="s">
        <v>837</v>
      </c>
      <c r="T1731" s="6">
        <v>3950000000</v>
      </c>
      <c r="W1731" t="str">
        <f t="shared" si="27"/>
        <v>SOREN EF71401</v>
      </c>
      <c r="X1731">
        <f>VLOOKUP(W1731,Sheet10!D:F,2,0)*10000000</f>
        <v>4650000000</v>
      </c>
      <c r="Y1731" t="s">
        <v>5712</v>
      </c>
    </row>
    <row r="1732" spans="1:25" x14ac:dyDescent="0.25">
      <c r="A1732" t="s">
        <v>4343</v>
      </c>
      <c r="B1732" t="s">
        <v>7864</v>
      </c>
      <c r="C1732">
        <v>322</v>
      </c>
      <c r="D1732" t="s">
        <v>4345</v>
      </c>
      <c r="E1732" t="s">
        <v>64</v>
      </c>
      <c r="F1732" t="s">
        <v>491</v>
      </c>
      <c r="H1732">
        <v>26</v>
      </c>
      <c r="I1732">
        <v>1401</v>
      </c>
      <c r="J1732" t="s">
        <v>7865</v>
      </c>
      <c r="K1732" t="s">
        <v>7866</v>
      </c>
      <c r="M1732" t="s">
        <v>92</v>
      </c>
      <c r="N1732">
        <v>32201</v>
      </c>
      <c r="O1732" t="s">
        <v>70</v>
      </c>
      <c r="Q1732" t="s">
        <v>93</v>
      </c>
      <c r="R1732" t="s">
        <v>7867</v>
      </c>
      <c r="S1732" t="s">
        <v>3671</v>
      </c>
      <c r="T1732" s="6">
        <v>5100000000</v>
      </c>
      <c r="W1732" t="str">
        <f t="shared" si="27"/>
        <v>TARA TU5P1401</v>
      </c>
      <c r="X1732" t="e">
        <f>VLOOKUP(W1732,Sheet10!D:F,2,0)*10000000</f>
        <v>#N/A</v>
      </c>
      <c r="Y1732" t="s">
        <v>5712</v>
      </c>
    </row>
    <row r="1733" spans="1:25" x14ac:dyDescent="0.25">
      <c r="A1733" t="s">
        <v>325</v>
      </c>
      <c r="B1733" t="s">
        <v>3838</v>
      </c>
      <c r="C1733">
        <v>260</v>
      </c>
      <c r="D1733" t="s">
        <v>63</v>
      </c>
      <c r="E1733" t="s">
        <v>64</v>
      </c>
      <c r="F1733" t="s">
        <v>318</v>
      </c>
      <c r="H1733">
        <v>26</v>
      </c>
      <c r="I1733">
        <v>1401</v>
      </c>
      <c r="J1733" t="s">
        <v>3839</v>
      </c>
      <c r="K1733" t="s">
        <v>3840</v>
      </c>
      <c r="M1733" t="s">
        <v>329</v>
      </c>
      <c r="N1733">
        <v>26031</v>
      </c>
      <c r="O1733" t="s">
        <v>303</v>
      </c>
      <c r="Q1733" t="s">
        <v>330</v>
      </c>
      <c r="R1733" t="s">
        <v>3841</v>
      </c>
      <c r="S1733" t="s">
        <v>995</v>
      </c>
      <c r="T1733" s="6">
        <v>3700000000</v>
      </c>
      <c r="W1733" t="str">
        <f t="shared" si="27"/>
        <v>206TU31401</v>
      </c>
      <c r="X1733" t="e">
        <f>VLOOKUP(W1733,Sheet10!D:F,2,0)*10000000</f>
        <v>#N/A</v>
      </c>
      <c r="Y1733" t="s">
        <v>5712</v>
      </c>
    </row>
    <row r="1734" spans="1:25" x14ac:dyDescent="0.25">
      <c r="A1734" t="s">
        <v>4366</v>
      </c>
      <c r="B1734" t="s">
        <v>7868</v>
      </c>
      <c r="C1734">
        <v>575</v>
      </c>
      <c r="D1734" t="s">
        <v>63</v>
      </c>
      <c r="E1734" t="s">
        <v>64</v>
      </c>
      <c r="F1734" t="s">
        <v>420</v>
      </c>
      <c r="H1734">
        <v>25</v>
      </c>
      <c r="I1734">
        <v>1401</v>
      </c>
      <c r="J1734" t="s">
        <v>7869</v>
      </c>
      <c r="K1734" t="s">
        <v>7870</v>
      </c>
      <c r="M1734" t="s">
        <v>367</v>
      </c>
      <c r="N1734">
        <v>57523</v>
      </c>
      <c r="O1734" t="s">
        <v>70</v>
      </c>
      <c r="Q1734" t="s">
        <v>2648</v>
      </c>
      <c r="R1734" t="s">
        <v>7871</v>
      </c>
      <c r="S1734" t="s">
        <v>2004</v>
      </c>
      <c r="T1734" s="6">
        <v>4150000000</v>
      </c>
      <c r="W1734" t="str">
        <f t="shared" si="27"/>
        <v>SOREN EF71401</v>
      </c>
      <c r="X1734">
        <f>VLOOKUP(W1734,Sheet10!D:F,2,0)*10000000</f>
        <v>4650000000</v>
      </c>
      <c r="Y1734" t="s">
        <v>5712</v>
      </c>
    </row>
    <row r="1735" spans="1:25" x14ac:dyDescent="0.25">
      <c r="A1735" t="s">
        <v>5216</v>
      </c>
      <c r="B1735" t="s">
        <v>7872</v>
      </c>
      <c r="C1735">
        <v>323</v>
      </c>
      <c r="D1735" t="s">
        <v>63</v>
      </c>
      <c r="E1735" t="s">
        <v>64</v>
      </c>
      <c r="F1735" t="s">
        <v>491</v>
      </c>
      <c r="H1735">
        <v>25</v>
      </c>
      <c r="I1735">
        <v>1401</v>
      </c>
      <c r="J1735" t="s">
        <v>7873</v>
      </c>
      <c r="K1735" t="s">
        <v>7874</v>
      </c>
      <c r="M1735" t="s">
        <v>5192</v>
      </c>
      <c r="N1735">
        <v>32301</v>
      </c>
      <c r="O1735" t="s">
        <v>70</v>
      </c>
      <c r="Q1735" t="s">
        <v>5193</v>
      </c>
      <c r="R1735" t="s">
        <v>7875</v>
      </c>
      <c r="S1735" t="s">
        <v>3842</v>
      </c>
      <c r="T1735" s="6">
        <v>6300000000</v>
      </c>
      <c r="W1735" t="str">
        <f t="shared" si="27"/>
        <v>TARA TU5PA1401</v>
      </c>
      <c r="X1735" t="e">
        <f>VLOOKUP(W1735,Sheet10!D:F,2,0)*10000000</f>
        <v>#N/A</v>
      </c>
      <c r="Y1735" t="s">
        <v>5712</v>
      </c>
    </row>
    <row r="1736" spans="1:25" x14ac:dyDescent="0.25">
      <c r="A1736" t="s">
        <v>5954</v>
      </c>
      <c r="B1736" t="s">
        <v>7876</v>
      </c>
      <c r="C1736">
        <v>606</v>
      </c>
      <c r="D1736" t="s">
        <v>63</v>
      </c>
      <c r="E1736" t="s">
        <v>64</v>
      </c>
      <c r="F1736" t="s">
        <v>491</v>
      </c>
      <c r="H1736">
        <v>25</v>
      </c>
      <c r="I1736">
        <v>1401</v>
      </c>
      <c r="J1736" t="s">
        <v>7877</v>
      </c>
      <c r="K1736" t="s">
        <v>7878</v>
      </c>
      <c r="M1736" t="s">
        <v>4487</v>
      </c>
      <c r="N1736">
        <v>60603</v>
      </c>
      <c r="O1736" t="s">
        <v>4488</v>
      </c>
      <c r="Q1736" t="s">
        <v>5958</v>
      </c>
      <c r="R1736" t="s">
        <v>7879</v>
      </c>
      <c r="S1736" t="s">
        <v>5090</v>
      </c>
      <c r="T1736" s="6">
        <v>5900000000</v>
      </c>
      <c r="W1736" t="str">
        <f t="shared" si="27"/>
        <v>207i TU5P A1401</v>
      </c>
      <c r="X1736">
        <f>VLOOKUP(W1736,Sheet10!D:F,2,0)*10000000</f>
        <v>7100000000</v>
      </c>
      <c r="Y1736" t="s">
        <v>5712</v>
      </c>
    </row>
    <row r="1737" spans="1:25" x14ac:dyDescent="0.25">
      <c r="A1737" t="s">
        <v>4497</v>
      </c>
      <c r="B1737" t="s">
        <v>5488</v>
      </c>
      <c r="C1737">
        <v>606</v>
      </c>
      <c r="D1737" t="s">
        <v>77</v>
      </c>
      <c r="E1737" t="s">
        <v>64</v>
      </c>
      <c r="F1737" t="s">
        <v>420</v>
      </c>
      <c r="H1737">
        <v>25</v>
      </c>
      <c r="I1737">
        <v>1401</v>
      </c>
      <c r="J1737" t="s">
        <v>5489</v>
      </c>
      <c r="K1737" t="s">
        <v>5490</v>
      </c>
      <c r="M1737" t="s">
        <v>4487</v>
      </c>
      <c r="N1737">
        <v>60602</v>
      </c>
      <c r="O1737" t="s">
        <v>4488</v>
      </c>
      <c r="Q1737" t="s">
        <v>4489</v>
      </c>
      <c r="R1737" t="s">
        <v>5491</v>
      </c>
      <c r="S1737" t="s">
        <v>3584</v>
      </c>
      <c r="T1737" s="6">
        <v>5700000000</v>
      </c>
      <c r="W1737" t="str">
        <f t="shared" si="27"/>
        <v>207i TU5P A1401</v>
      </c>
      <c r="X1737">
        <f>VLOOKUP(W1737,Sheet10!D:F,2,0)*10000000</f>
        <v>7100000000</v>
      </c>
      <c r="Y1737" t="s">
        <v>5712</v>
      </c>
    </row>
    <row r="1738" spans="1:25" x14ac:dyDescent="0.25">
      <c r="A1738" t="s">
        <v>191</v>
      </c>
      <c r="B1738" t="s">
        <v>7880</v>
      </c>
      <c r="C1738">
        <v>285</v>
      </c>
      <c r="D1738" t="s">
        <v>63</v>
      </c>
      <c r="E1738" t="s">
        <v>64</v>
      </c>
      <c r="F1738" t="s">
        <v>2436</v>
      </c>
      <c r="H1738">
        <v>25</v>
      </c>
      <c r="I1738">
        <v>1401</v>
      </c>
      <c r="J1738" t="s">
        <v>7881</v>
      </c>
      <c r="K1738" t="s">
        <v>7882</v>
      </c>
      <c r="M1738" t="s">
        <v>198</v>
      </c>
      <c r="N1738">
        <v>28520</v>
      </c>
      <c r="O1738" t="s">
        <v>70</v>
      </c>
      <c r="Q1738" t="s">
        <v>199</v>
      </c>
      <c r="R1738" t="s">
        <v>7883</v>
      </c>
      <c r="S1738" t="s">
        <v>256</v>
      </c>
      <c r="T1738" s="6">
        <v>4450000000</v>
      </c>
      <c r="W1738" t="str">
        <f t="shared" si="27"/>
        <v>PARS TU51401</v>
      </c>
      <c r="X1738">
        <f>VLOOKUP(W1738,Sheet10!D:F,2,0)*10000000</f>
        <v>5250000000</v>
      </c>
      <c r="Y1738" t="s">
        <v>5712</v>
      </c>
    </row>
    <row r="1739" spans="1:25" x14ac:dyDescent="0.25">
      <c r="A1739" t="s">
        <v>5997</v>
      </c>
      <c r="B1739" t="s">
        <v>7884</v>
      </c>
      <c r="C1739">
        <v>704</v>
      </c>
      <c r="D1739" t="s">
        <v>63</v>
      </c>
      <c r="E1739" t="s">
        <v>64</v>
      </c>
      <c r="F1739" t="s">
        <v>3186</v>
      </c>
      <c r="H1739">
        <v>24</v>
      </c>
      <c r="I1739">
        <v>1401</v>
      </c>
      <c r="J1739" t="s">
        <v>7885</v>
      </c>
      <c r="K1739" t="s">
        <v>5979</v>
      </c>
      <c r="M1739" t="s">
        <v>4401</v>
      </c>
      <c r="N1739">
        <v>70406</v>
      </c>
      <c r="O1739" t="s">
        <v>70</v>
      </c>
      <c r="Q1739" t="s">
        <v>5974</v>
      </c>
      <c r="R1739" t="s">
        <v>7886</v>
      </c>
      <c r="S1739" t="s">
        <v>1227</v>
      </c>
      <c r="T1739" s="6">
        <v>5950000000</v>
      </c>
      <c r="W1739" t="str">
        <f t="shared" si="27"/>
        <v>DENA EF7 TC-MT1401</v>
      </c>
      <c r="X1739">
        <f>VLOOKUP(W1739,Sheet10!D:F,2,0)*10000000</f>
        <v>6750000000</v>
      </c>
      <c r="Y1739" t="s">
        <v>5712</v>
      </c>
    </row>
    <row r="1740" spans="1:25" x14ac:dyDescent="0.25">
      <c r="A1740" t="s">
        <v>5954</v>
      </c>
      <c r="B1740" t="s">
        <v>7887</v>
      </c>
      <c r="C1740">
        <v>606</v>
      </c>
      <c r="D1740" t="s">
        <v>63</v>
      </c>
      <c r="E1740" t="s">
        <v>64</v>
      </c>
      <c r="F1740" t="s">
        <v>420</v>
      </c>
      <c r="H1740">
        <v>24</v>
      </c>
      <c r="I1740">
        <v>1401</v>
      </c>
      <c r="J1740" t="s">
        <v>7888</v>
      </c>
      <c r="K1740" t="s">
        <v>7889</v>
      </c>
      <c r="M1740" t="s">
        <v>4487</v>
      </c>
      <c r="N1740">
        <v>60603</v>
      </c>
      <c r="O1740" t="s">
        <v>4488</v>
      </c>
      <c r="Q1740" t="s">
        <v>5958</v>
      </c>
      <c r="R1740" t="s">
        <v>7890</v>
      </c>
      <c r="S1740" t="s">
        <v>2855</v>
      </c>
      <c r="T1740" s="6">
        <v>5950000000</v>
      </c>
      <c r="W1740" t="str">
        <f t="shared" si="27"/>
        <v>207i TU5P A1401</v>
      </c>
      <c r="X1740">
        <f>VLOOKUP(W1740,Sheet10!D:F,2,0)*10000000</f>
        <v>7100000000</v>
      </c>
      <c r="Y1740" t="s">
        <v>5712</v>
      </c>
    </row>
  </sheetData>
  <autoFilter ref="A1:Y1740" xr:uid="{07CADCB4-0E93-43BE-8EB7-D91F3F805192}">
    <sortState xmlns:xlrd2="http://schemas.microsoft.com/office/spreadsheetml/2017/richdata2" ref="A2:Y1740">
      <sortCondition ref="T1:T1740"/>
    </sortState>
  </autoFilter>
  <sortState xmlns:xlrd2="http://schemas.microsoft.com/office/spreadsheetml/2017/richdata2" ref="A2:S101">
    <sortCondition ref="F2:F101"/>
    <sortCondition ref="S2:S101"/>
    <sortCondition descending="1" ref="I2:I101"/>
  </sortState>
  <phoneticPr fontId="3" type="noConversion"/>
  <conditionalFormatting sqref="B532:B1048576 B422:B530 B1:B216">
    <cfRule type="duplicateValues" dxfId="3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94222-A9D5-43D9-806F-5CDD440A7F81}">
  <sheetPr codeName="Sheet14"/>
  <dimension ref="A1:A13"/>
  <sheetViews>
    <sheetView workbookViewId="0">
      <selection activeCell="M16" sqref="M16"/>
    </sheetView>
  </sheetViews>
  <sheetFormatPr defaultRowHeight="15" x14ac:dyDescent="0.25"/>
  <cols>
    <col min="1" max="1" width="29.42578125" customWidth="1"/>
  </cols>
  <sheetData>
    <row r="1" spans="1:1" x14ac:dyDescent="0.25">
      <c r="A1" s="19" t="s">
        <v>2596</v>
      </c>
    </row>
    <row r="2" spans="1:1" x14ac:dyDescent="0.25">
      <c r="A2" s="19" t="s">
        <v>420</v>
      </c>
    </row>
    <row r="3" spans="1:1" x14ac:dyDescent="0.25">
      <c r="A3" s="19" t="s">
        <v>205</v>
      </c>
    </row>
    <row r="4" spans="1:1" x14ac:dyDescent="0.25">
      <c r="A4" s="19" t="s">
        <v>491</v>
      </c>
    </row>
    <row r="5" spans="1:1" x14ac:dyDescent="0.25">
      <c r="A5" s="19" t="s">
        <v>3977</v>
      </c>
    </row>
    <row r="6" spans="1:1" x14ac:dyDescent="0.25">
      <c r="A6" s="19" t="s">
        <v>3186</v>
      </c>
    </row>
    <row r="7" spans="1:1" x14ac:dyDescent="0.25">
      <c r="A7" s="19" t="s">
        <v>193</v>
      </c>
    </row>
    <row r="8" spans="1:1" x14ac:dyDescent="0.25">
      <c r="A8" s="19" t="s">
        <v>98</v>
      </c>
    </row>
    <row r="9" spans="1:1" x14ac:dyDescent="0.25">
      <c r="A9" s="19" t="s">
        <v>4256</v>
      </c>
    </row>
    <row r="10" spans="1:1" x14ac:dyDescent="0.25">
      <c r="A10" s="19" t="s">
        <v>318</v>
      </c>
    </row>
    <row r="11" spans="1:1" x14ac:dyDescent="0.25">
      <c r="A11" s="19" t="s">
        <v>2436</v>
      </c>
    </row>
    <row r="12" spans="1:1" x14ac:dyDescent="0.25">
      <c r="A12" s="19" t="s">
        <v>2696</v>
      </c>
    </row>
    <row r="13" spans="1:1" x14ac:dyDescent="0.25">
      <c r="A13" s="19" t="s">
        <v>362</v>
      </c>
    </row>
  </sheetData>
  <autoFilter ref="A1:A27" xr:uid="{B6B94222-A9D5-43D9-806F-5CDD440A7F81}">
    <sortState xmlns:xlrd2="http://schemas.microsoft.com/office/spreadsheetml/2017/richdata2" ref="A2:A13">
      <sortCondition ref="A1:A27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0C4F7-2452-484D-BA54-562FEC45C19D}">
  <sheetPr codeName="Sheet10"/>
  <dimension ref="A1:F58"/>
  <sheetViews>
    <sheetView workbookViewId="0">
      <selection activeCell="D11" sqref="D11"/>
    </sheetView>
  </sheetViews>
  <sheetFormatPr defaultRowHeight="15" x14ac:dyDescent="0.25"/>
  <cols>
    <col min="1" max="1" width="15.5703125" bestFit="1" customWidth="1"/>
    <col min="2" max="2" width="52.28515625" bestFit="1" customWidth="1"/>
    <col min="3" max="3" width="9.5703125" bestFit="1" customWidth="1"/>
    <col min="4" max="4" width="19.7109375" bestFit="1" customWidth="1"/>
  </cols>
  <sheetData>
    <row r="1" spans="1:6" x14ac:dyDescent="0.25">
      <c r="A1" s="15" t="s">
        <v>7891</v>
      </c>
      <c r="B1" s="14" t="s">
        <v>39</v>
      </c>
      <c r="C1" s="15" t="s">
        <v>7892</v>
      </c>
      <c r="D1" s="22"/>
      <c r="E1" s="22" t="s">
        <v>7893</v>
      </c>
      <c r="F1" s="22" t="s">
        <v>7894</v>
      </c>
    </row>
    <row r="2" spans="1:6" x14ac:dyDescent="0.25">
      <c r="A2" s="17" t="s">
        <v>321</v>
      </c>
      <c r="B2" s="20" t="s">
        <v>316</v>
      </c>
      <c r="C2" s="17">
        <v>1401</v>
      </c>
      <c r="D2" s="47" t="str">
        <f>A2&amp;C2</f>
        <v>TU51401</v>
      </c>
      <c r="E2">
        <v>445</v>
      </c>
      <c r="F2">
        <v>290</v>
      </c>
    </row>
    <row r="3" spans="1:6" x14ac:dyDescent="0.25">
      <c r="A3" s="19" t="s">
        <v>321</v>
      </c>
      <c r="B3" s="21" t="s">
        <v>3201</v>
      </c>
      <c r="C3" s="19">
        <v>1399</v>
      </c>
      <c r="D3" s="47" t="str">
        <f t="shared" ref="D3:D58" si="0">A3&amp;C3</f>
        <v>TU51399</v>
      </c>
      <c r="E3">
        <v>410</v>
      </c>
      <c r="F3">
        <v>275</v>
      </c>
    </row>
    <row r="4" spans="1:6" x14ac:dyDescent="0.25">
      <c r="A4" s="19" t="s">
        <v>5596</v>
      </c>
      <c r="B4" s="21" t="s">
        <v>5592</v>
      </c>
      <c r="C4" s="19">
        <v>1398</v>
      </c>
      <c r="D4" s="47" t="str">
        <f t="shared" si="0"/>
        <v>TONDAR 90+ at1398</v>
      </c>
      <c r="E4">
        <v>675</v>
      </c>
      <c r="F4">
        <v>550</v>
      </c>
    </row>
    <row r="5" spans="1:6" x14ac:dyDescent="0.25">
      <c r="A5" s="19" t="s">
        <v>234</v>
      </c>
      <c r="B5" s="21" t="s">
        <v>4609</v>
      </c>
      <c r="C5" s="19">
        <v>1398</v>
      </c>
      <c r="D5" s="47" t="str">
        <f t="shared" si="0"/>
        <v>TONDAR 90 K4M1398</v>
      </c>
      <c r="E5">
        <v>675</v>
      </c>
      <c r="F5">
        <v>550</v>
      </c>
    </row>
    <row r="6" spans="1:6" x14ac:dyDescent="0.25">
      <c r="A6" s="19" t="s">
        <v>234</v>
      </c>
      <c r="B6" s="18" t="s">
        <v>1424</v>
      </c>
      <c r="C6" s="19">
        <v>1393</v>
      </c>
      <c r="D6" s="47" t="str">
        <f t="shared" si="0"/>
        <v>TONDAR 90 K4M1393</v>
      </c>
    </row>
    <row r="7" spans="1:6" x14ac:dyDescent="0.25">
      <c r="A7" s="17" t="s">
        <v>234</v>
      </c>
      <c r="B7" s="20" t="s">
        <v>228</v>
      </c>
      <c r="C7" s="17">
        <v>1386</v>
      </c>
      <c r="D7" s="47" t="str">
        <f t="shared" si="0"/>
        <v>TONDAR 90 K4M1386</v>
      </c>
    </row>
    <row r="8" spans="1:6" x14ac:dyDescent="0.25">
      <c r="A8" s="19" t="s">
        <v>5192</v>
      </c>
      <c r="B8" s="18" t="s">
        <v>5195</v>
      </c>
      <c r="C8" s="19">
        <v>1400</v>
      </c>
      <c r="D8" s="47" t="str">
        <f t="shared" si="0"/>
        <v>TARA TU5PA1400</v>
      </c>
      <c r="E8">
        <v>720</v>
      </c>
      <c r="F8">
        <v>590</v>
      </c>
    </row>
    <row r="9" spans="1:6" x14ac:dyDescent="0.25">
      <c r="A9" s="19" t="s">
        <v>367</v>
      </c>
      <c r="B9" s="21" t="s">
        <v>4366</v>
      </c>
      <c r="C9" s="19">
        <v>1401</v>
      </c>
      <c r="D9" s="47" t="str">
        <f t="shared" si="0"/>
        <v>SOREN EF71401</v>
      </c>
      <c r="E9">
        <v>465</v>
      </c>
      <c r="F9">
        <v>350</v>
      </c>
    </row>
    <row r="10" spans="1:6" x14ac:dyDescent="0.25">
      <c r="A10" s="17" t="s">
        <v>367</v>
      </c>
      <c r="B10" s="20" t="s">
        <v>3689</v>
      </c>
      <c r="C10" s="17">
        <v>1400</v>
      </c>
      <c r="D10" s="47" t="str">
        <f t="shared" si="0"/>
        <v>SOREN EF71400</v>
      </c>
      <c r="E10">
        <v>435</v>
      </c>
      <c r="F10">
        <v>330</v>
      </c>
    </row>
    <row r="11" spans="1:6" x14ac:dyDescent="0.25">
      <c r="A11" s="17" t="s">
        <v>367</v>
      </c>
      <c r="B11" s="20" t="s">
        <v>3093</v>
      </c>
      <c r="C11" s="17">
        <v>1399</v>
      </c>
      <c r="D11" s="47" t="str">
        <f t="shared" si="0"/>
        <v>SOREN EF71399</v>
      </c>
      <c r="E11">
        <v>400</v>
      </c>
      <c r="F11">
        <v>310</v>
      </c>
    </row>
    <row r="12" spans="1:6" x14ac:dyDescent="0.25">
      <c r="A12" s="19" t="s">
        <v>367</v>
      </c>
      <c r="B12" s="21" t="s">
        <v>2796</v>
      </c>
      <c r="C12" s="19">
        <v>1398</v>
      </c>
      <c r="D12" s="47" t="str">
        <f t="shared" si="0"/>
        <v>SOREN EF71398</v>
      </c>
      <c r="E12">
        <v>380</v>
      </c>
      <c r="F12">
        <v>290</v>
      </c>
    </row>
    <row r="13" spans="1:6" x14ac:dyDescent="0.25">
      <c r="A13" s="19" t="s">
        <v>5609</v>
      </c>
      <c r="B13" s="18" t="s">
        <v>5604</v>
      </c>
      <c r="C13" s="19">
        <v>1401</v>
      </c>
      <c r="D13" s="47" t="str">
        <f t="shared" si="0"/>
        <v>S7-T-AT1401</v>
      </c>
      <c r="E13">
        <v>1345</v>
      </c>
      <c r="F13">
        <v>970</v>
      </c>
    </row>
    <row r="14" spans="1:6" x14ac:dyDescent="0.25">
      <c r="A14" s="19" t="s">
        <v>5589</v>
      </c>
      <c r="B14" s="21" t="s">
        <v>5629</v>
      </c>
      <c r="C14" s="19">
        <v>1401</v>
      </c>
      <c r="D14" s="47" t="str">
        <f t="shared" si="0"/>
        <v>S5-T-AT1401</v>
      </c>
      <c r="E14">
        <v>1110</v>
      </c>
      <c r="F14">
        <v>803</v>
      </c>
    </row>
    <row r="15" spans="1:6" x14ac:dyDescent="0.25">
      <c r="A15" s="19" t="s">
        <v>82</v>
      </c>
      <c r="B15" s="21" t="s">
        <v>376</v>
      </c>
      <c r="C15" s="19">
        <v>1399</v>
      </c>
      <c r="D15" s="47" t="str">
        <f t="shared" si="0"/>
        <v>PU1 OHVG CNG1399</v>
      </c>
      <c r="E15">
        <v>283</v>
      </c>
    </row>
    <row r="16" spans="1:6" x14ac:dyDescent="0.25">
      <c r="A16" s="19" t="s">
        <v>400</v>
      </c>
      <c r="B16" s="18" t="s">
        <v>1418</v>
      </c>
      <c r="C16" s="19">
        <v>1401</v>
      </c>
      <c r="D16" s="47" t="str">
        <f t="shared" si="0"/>
        <v>PARS XU7 P1401</v>
      </c>
      <c r="E16">
        <v>450</v>
      </c>
      <c r="F16">
        <v>317</v>
      </c>
    </row>
    <row r="17" spans="1:6" x14ac:dyDescent="0.25">
      <c r="A17" s="19" t="s">
        <v>3239</v>
      </c>
      <c r="B17" s="18" t="s">
        <v>3234</v>
      </c>
      <c r="C17" s="19">
        <v>1394</v>
      </c>
      <c r="D17" s="47" t="str">
        <f t="shared" si="0"/>
        <v>PARS XU7 CNG1394</v>
      </c>
    </row>
    <row r="18" spans="1:6" x14ac:dyDescent="0.25">
      <c r="A18" s="17" t="s">
        <v>3239</v>
      </c>
      <c r="B18" s="20" t="s">
        <v>3870</v>
      </c>
      <c r="C18" s="17">
        <v>1400</v>
      </c>
      <c r="D18" s="47" t="str">
        <f t="shared" si="0"/>
        <v>PARS XU7 CNG1400</v>
      </c>
      <c r="E18">
        <v>510</v>
      </c>
      <c r="F18">
        <v>400</v>
      </c>
    </row>
    <row r="19" spans="1:6" x14ac:dyDescent="0.25">
      <c r="A19" s="17" t="s">
        <v>198</v>
      </c>
      <c r="B19" s="20" t="s">
        <v>191</v>
      </c>
      <c r="C19" s="17">
        <v>1400</v>
      </c>
      <c r="D19" s="47" t="str">
        <f t="shared" si="0"/>
        <v>PARS TU51400</v>
      </c>
      <c r="E19">
        <v>510</v>
      </c>
      <c r="F19">
        <v>360</v>
      </c>
    </row>
    <row r="20" spans="1:6" x14ac:dyDescent="0.25">
      <c r="A20" s="19" t="s">
        <v>198</v>
      </c>
      <c r="B20" s="21" t="s">
        <v>191</v>
      </c>
      <c r="C20" s="19">
        <v>1401</v>
      </c>
      <c r="D20" s="47" t="str">
        <f t="shared" si="0"/>
        <v>PARS TU51401</v>
      </c>
      <c r="E20">
        <v>525</v>
      </c>
      <c r="F20">
        <v>374</v>
      </c>
    </row>
    <row r="21" spans="1:6" x14ac:dyDescent="0.25">
      <c r="A21" s="17" t="s">
        <v>198</v>
      </c>
      <c r="B21" s="48" t="s">
        <v>191</v>
      </c>
      <c r="C21" s="17" t="s">
        <v>7895</v>
      </c>
      <c r="D21" s="47" t="str">
        <f t="shared" si="0"/>
        <v>PARS TU51399</v>
      </c>
      <c r="E21">
        <v>495</v>
      </c>
      <c r="F21">
        <v>347</v>
      </c>
    </row>
    <row r="22" spans="1:6" x14ac:dyDescent="0.25">
      <c r="A22" s="19" t="s">
        <v>126</v>
      </c>
      <c r="B22" s="18" t="s">
        <v>169</v>
      </c>
      <c r="C22" s="19">
        <v>1392</v>
      </c>
      <c r="D22" s="47" t="str">
        <f t="shared" si="0"/>
        <v>OHV CNG1392</v>
      </c>
    </row>
    <row r="23" spans="1:6" x14ac:dyDescent="0.25">
      <c r="A23" s="19" t="s">
        <v>126</v>
      </c>
      <c r="B23" s="18" t="s">
        <v>160</v>
      </c>
      <c r="C23" s="19">
        <v>1393</v>
      </c>
      <c r="D23" s="47" t="str">
        <f t="shared" si="0"/>
        <v>OHV CNG1393</v>
      </c>
    </row>
    <row r="24" spans="1:6" x14ac:dyDescent="0.25">
      <c r="A24" s="17" t="s">
        <v>3089</v>
      </c>
      <c r="B24" s="20" t="s">
        <v>3084</v>
      </c>
      <c r="C24" s="17">
        <v>1398</v>
      </c>
      <c r="D24" s="47" t="str">
        <f t="shared" si="0"/>
        <v>LX XU7 CNG1398</v>
      </c>
    </row>
    <row r="25" spans="1:6" x14ac:dyDescent="0.25">
      <c r="A25" s="17" t="s">
        <v>244</v>
      </c>
      <c r="B25" s="20" t="s">
        <v>238</v>
      </c>
      <c r="C25" s="17">
        <v>1390</v>
      </c>
      <c r="D25" s="47" t="str">
        <f t="shared" si="0"/>
        <v>LX XU71390</v>
      </c>
    </row>
    <row r="26" spans="1:6" x14ac:dyDescent="0.25">
      <c r="A26" s="19" t="s">
        <v>302</v>
      </c>
      <c r="B26" s="21" t="s">
        <v>5074</v>
      </c>
      <c r="C26" s="19">
        <v>1398</v>
      </c>
      <c r="D26" s="47" t="str">
        <f t="shared" si="0"/>
        <v>H30 TU5 A1398</v>
      </c>
    </row>
    <row r="27" spans="1:6" x14ac:dyDescent="0.25">
      <c r="A27" s="19" t="s">
        <v>3450</v>
      </c>
      <c r="B27" s="21" t="s">
        <v>4318</v>
      </c>
      <c r="C27" s="19">
        <v>1401</v>
      </c>
      <c r="D27" s="47" t="str">
        <f t="shared" si="0"/>
        <v>DENA+EF7TC A1401</v>
      </c>
      <c r="E27">
        <v>725</v>
      </c>
      <c r="F27">
        <v>505</v>
      </c>
    </row>
    <row r="28" spans="1:6" x14ac:dyDescent="0.25">
      <c r="A28" s="17" t="s">
        <v>3450</v>
      </c>
      <c r="B28" s="20" t="s">
        <v>3521</v>
      </c>
      <c r="C28" s="17">
        <v>1399</v>
      </c>
      <c r="D28" s="47" t="str">
        <f t="shared" si="0"/>
        <v>DENA+EF7TC A1399</v>
      </c>
      <c r="E28">
        <v>690</v>
      </c>
      <c r="F28">
        <v>475</v>
      </c>
    </row>
    <row r="29" spans="1:6" x14ac:dyDescent="0.25">
      <c r="A29" s="19" t="s">
        <v>3450</v>
      </c>
      <c r="B29" s="18" t="s">
        <v>3446</v>
      </c>
      <c r="C29" s="19">
        <v>1400</v>
      </c>
      <c r="D29" s="47" t="str">
        <f t="shared" si="0"/>
        <v>DENA+EF7TC A1400</v>
      </c>
      <c r="E29">
        <v>710</v>
      </c>
      <c r="F29">
        <v>488</v>
      </c>
    </row>
    <row r="30" spans="1:6" x14ac:dyDescent="0.25">
      <c r="A30" s="19" t="s">
        <v>2946</v>
      </c>
      <c r="B30" s="18" t="s">
        <v>2940</v>
      </c>
      <c r="C30" s="19">
        <v>1398</v>
      </c>
      <c r="D30" s="47" t="str">
        <f t="shared" si="0"/>
        <v>DENA+EF7-MT1398</v>
      </c>
      <c r="E30">
        <v>600</v>
      </c>
    </row>
    <row r="31" spans="1:6" x14ac:dyDescent="0.25">
      <c r="A31" s="19" t="s">
        <v>4401</v>
      </c>
      <c r="B31" s="21" t="s">
        <v>4397</v>
      </c>
      <c r="C31" s="19">
        <v>1401</v>
      </c>
      <c r="D31" s="47" t="str">
        <f t="shared" si="0"/>
        <v>DENA EF7 TC-MT1401</v>
      </c>
      <c r="E31">
        <v>675</v>
      </c>
      <c r="F31">
        <v>470</v>
      </c>
    </row>
    <row r="32" spans="1:6" x14ac:dyDescent="0.25">
      <c r="A32" s="17" t="s">
        <v>119</v>
      </c>
      <c r="B32" s="20" t="s">
        <v>144</v>
      </c>
      <c r="C32" s="17">
        <v>1391</v>
      </c>
      <c r="D32" s="47" t="str">
        <f t="shared" si="0"/>
        <v>BARDO OHV1391</v>
      </c>
    </row>
    <row r="33" spans="1:6" x14ac:dyDescent="0.25">
      <c r="A33" s="19" t="s">
        <v>181</v>
      </c>
      <c r="B33" s="18" t="s">
        <v>285</v>
      </c>
      <c r="C33" s="19">
        <v>1393</v>
      </c>
      <c r="D33" s="47" t="str">
        <f t="shared" si="0"/>
        <v>405GLX XU7 CNG1393</v>
      </c>
      <c r="E33">
        <v>245</v>
      </c>
    </row>
    <row r="34" spans="1:6" x14ac:dyDescent="0.25">
      <c r="A34" s="17" t="s">
        <v>181</v>
      </c>
      <c r="B34" s="20" t="s">
        <v>276</v>
      </c>
      <c r="C34" s="17">
        <v>1392</v>
      </c>
      <c r="D34" s="47" t="str">
        <f t="shared" si="0"/>
        <v>405GLX XU7 CNG1392</v>
      </c>
      <c r="E34">
        <v>220</v>
      </c>
    </row>
    <row r="35" spans="1:6" x14ac:dyDescent="0.25">
      <c r="A35" s="19" t="s">
        <v>140</v>
      </c>
      <c r="B35" s="21" t="s">
        <v>2502</v>
      </c>
      <c r="C35" s="19">
        <v>1399</v>
      </c>
      <c r="D35" s="47" t="str">
        <f t="shared" si="0"/>
        <v>405 GLX XU71399</v>
      </c>
      <c r="E35">
        <v>420</v>
      </c>
    </row>
    <row r="36" spans="1:6" x14ac:dyDescent="0.25">
      <c r="A36" s="19" t="s">
        <v>140</v>
      </c>
      <c r="B36" s="18" t="s">
        <v>220</v>
      </c>
      <c r="C36" s="19">
        <v>1389</v>
      </c>
      <c r="D36" s="47" t="str">
        <f t="shared" si="0"/>
        <v>405 GLX XU71389</v>
      </c>
      <c r="E36">
        <v>170</v>
      </c>
    </row>
    <row r="37" spans="1:6" x14ac:dyDescent="0.25">
      <c r="A37" s="19" t="s">
        <v>3246</v>
      </c>
      <c r="B37" s="21" t="s">
        <v>7896</v>
      </c>
      <c r="C37" s="19">
        <v>1401</v>
      </c>
      <c r="D37" s="47" t="str">
        <f t="shared" si="0"/>
        <v>207i-MT1401</v>
      </c>
      <c r="E37">
        <v>580</v>
      </c>
      <c r="F37">
        <v>392</v>
      </c>
    </row>
    <row r="38" spans="1:6" x14ac:dyDescent="0.25">
      <c r="A38" s="17" t="s">
        <v>3246</v>
      </c>
      <c r="B38" s="20" t="s">
        <v>3497</v>
      </c>
      <c r="C38" s="17">
        <v>1400</v>
      </c>
      <c r="D38" s="47" t="str">
        <f t="shared" si="0"/>
        <v>207i-MT1400</v>
      </c>
      <c r="E38">
        <v>560</v>
      </c>
      <c r="F38">
        <v>385</v>
      </c>
    </row>
    <row r="39" spans="1:6" x14ac:dyDescent="0.25">
      <c r="A39" s="19" t="s">
        <v>4487</v>
      </c>
      <c r="B39" s="21" t="s">
        <v>4497</v>
      </c>
      <c r="C39" s="19">
        <v>1401</v>
      </c>
      <c r="D39" s="47" t="str">
        <f t="shared" si="0"/>
        <v>207i TU5P A1401</v>
      </c>
      <c r="E39">
        <v>710</v>
      </c>
    </row>
    <row r="40" spans="1:6" x14ac:dyDescent="0.25">
      <c r="A40" s="19" t="s">
        <v>4487</v>
      </c>
      <c r="B40" s="21" t="s">
        <v>4497</v>
      </c>
      <c r="C40" s="19">
        <v>1400</v>
      </c>
      <c r="D40" s="47" t="str">
        <f t="shared" si="0"/>
        <v>207i TU5P A1400</v>
      </c>
      <c r="E40">
        <v>700</v>
      </c>
      <c r="F40">
        <v>605</v>
      </c>
    </row>
    <row r="41" spans="1:6" x14ac:dyDescent="0.25">
      <c r="A41" s="17" t="s">
        <v>2472</v>
      </c>
      <c r="B41" s="20" t="s">
        <v>2467</v>
      </c>
      <c r="C41" s="17">
        <v>1395</v>
      </c>
      <c r="D41" s="47" t="str">
        <f t="shared" si="0"/>
        <v>206TU51395</v>
      </c>
      <c r="E41">
        <v>350</v>
      </c>
    </row>
    <row r="42" spans="1:6" x14ac:dyDescent="0.25">
      <c r="A42" s="19" t="s">
        <v>329</v>
      </c>
      <c r="B42" s="18" t="s">
        <v>3075</v>
      </c>
      <c r="C42" s="19">
        <v>1397</v>
      </c>
      <c r="D42" s="47" t="str">
        <f t="shared" si="0"/>
        <v>206TU31397</v>
      </c>
      <c r="E42">
        <v>340</v>
      </c>
    </row>
    <row r="43" spans="1:6" x14ac:dyDescent="0.25">
      <c r="A43" s="19" t="s">
        <v>329</v>
      </c>
      <c r="B43" s="18" t="s">
        <v>325</v>
      </c>
      <c r="C43" s="19">
        <v>1399</v>
      </c>
      <c r="D43" s="47" t="str">
        <f t="shared" si="0"/>
        <v>206TU31399</v>
      </c>
      <c r="E43">
        <v>425</v>
      </c>
      <c r="F43">
        <v>282</v>
      </c>
    </row>
    <row r="44" spans="1:6" x14ac:dyDescent="0.25">
      <c r="A44" s="17" t="s">
        <v>263</v>
      </c>
      <c r="B44" s="20" t="s">
        <v>257</v>
      </c>
      <c r="C44" s="17">
        <v>1390</v>
      </c>
      <c r="D44" s="47" t="str">
        <f t="shared" si="0"/>
        <v>206SD TU5 A1390</v>
      </c>
      <c r="E44">
        <v>330</v>
      </c>
    </row>
    <row r="45" spans="1:6" x14ac:dyDescent="0.25">
      <c r="A45" s="17" t="s">
        <v>3130</v>
      </c>
      <c r="B45" s="20" t="s">
        <v>3983</v>
      </c>
      <c r="C45" s="17">
        <v>1401</v>
      </c>
      <c r="D45" s="47" t="str">
        <f t="shared" si="0"/>
        <v>+TU51401</v>
      </c>
    </row>
    <row r="46" spans="1:6" x14ac:dyDescent="0.25">
      <c r="D46" s="47" t="str">
        <f t="shared" si="0"/>
        <v/>
      </c>
    </row>
    <row r="47" spans="1:6" x14ac:dyDescent="0.25">
      <c r="D47" s="47" t="str">
        <f t="shared" si="0"/>
        <v/>
      </c>
    </row>
    <row r="48" spans="1:6" x14ac:dyDescent="0.25">
      <c r="D48" s="47" t="str">
        <f t="shared" si="0"/>
        <v/>
      </c>
    </row>
    <row r="49" spans="4:4" x14ac:dyDescent="0.25">
      <c r="D49" s="47" t="str">
        <f t="shared" si="0"/>
        <v/>
      </c>
    </row>
    <row r="50" spans="4:4" x14ac:dyDescent="0.25">
      <c r="D50" s="47" t="str">
        <f t="shared" si="0"/>
        <v/>
      </c>
    </row>
    <row r="51" spans="4:4" x14ac:dyDescent="0.25">
      <c r="D51" s="47" t="str">
        <f t="shared" si="0"/>
        <v/>
      </c>
    </row>
    <row r="52" spans="4:4" x14ac:dyDescent="0.25">
      <c r="D52" s="47" t="str">
        <f t="shared" si="0"/>
        <v/>
      </c>
    </row>
    <row r="53" spans="4:4" x14ac:dyDescent="0.25">
      <c r="D53" s="47" t="str">
        <f t="shared" si="0"/>
        <v/>
      </c>
    </row>
    <row r="54" spans="4:4" x14ac:dyDescent="0.25">
      <c r="D54" s="47" t="str">
        <f t="shared" si="0"/>
        <v/>
      </c>
    </row>
    <row r="55" spans="4:4" x14ac:dyDescent="0.25">
      <c r="D55" s="47" t="str">
        <f t="shared" si="0"/>
        <v/>
      </c>
    </row>
    <row r="56" spans="4:4" x14ac:dyDescent="0.25">
      <c r="D56" s="47" t="str">
        <f t="shared" si="0"/>
        <v/>
      </c>
    </row>
    <row r="57" spans="4:4" x14ac:dyDescent="0.25">
      <c r="D57" s="47" t="str">
        <f t="shared" si="0"/>
        <v/>
      </c>
    </row>
    <row r="58" spans="4:4" x14ac:dyDescent="0.25">
      <c r="D58" s="47" t="str">
        <f t="shared" si="0"/>
        <v/>
      </c>
    </row>
  </sheetData>
  <autoFilter ref="A1:C58" xr:uid="{CB90C4F7-2452-484D-BA54-562FEC45C19D}">
    <sortState xmlns:xlrd2="http://schemas.microsoft.com/office/spreadsheetml/2017/richdata2" ref="A2:C58">
      <sortCondition descending="1" ref="A1:A58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07C42-C32F-4EB6-84D2-9A4F9783EEA2}">
  <sheetPr codeName="Sheet9"/>
  <dimension ref="A1:G631"/>
  <sheetViews>
    <sheetView topLeftCell="A463" workbookViewId="0">
      <selection activeCell="F465" sqref="F465"/>
    </sheetView>
  </sheetViews>
  <sheetFormatPr defaultRowHeight="15" x14ac:dyDescent="0.25"/>
  <cols>
    <col min="6" max="6" width="15.140625" bestFit="1" customWidth="1"/>
  </cols>
  <sheetData>
    <row r="1" spans="1:7" ht="75.75" thickBot="1" x14ac:dyDescent="0.3">
      <c r="B1" s="23">
        <v>407</v>
      </c>
      <c r="C1" s="24" t="s">
        <v>645</v>
      </c>
      <c r="D1" s="24" t="s">
        <v>191</v>
      </c>
      <c r="E1" s="25">
        <v>999999</v>
      </c>
      <c r="F1" s="26">
        <v>2750000000</v>
      </c>
    </row>
    <row r="2" spans="1:7" ht="75.75" thickBot="1" x14ac:dyDescent="0.3">
      <c r="A2" s="28"/>
      <c r="B2" s="27">
        <v>411</v>
      </c>
      <c r="C2" s="28" t="s">
        <v>2495</v>
      </c>
      <c r="D2" s="28" t="s">
        <v>191</v>
      </c>
      <c r="E2" s="29">
        <v>999999</v>
      </c>
      <c r="F2" s="30">
        <v>3090000000</v>
      </c>
      <c r="G2" s="27">
        <v>508</v>
      </c>
    </row>
    <row r="3" spans="1:7" ht="75.75" thickBot="1" x14ac:dyDescent="0.3">
      <c r="A3" s="32"/>
      <c r="B3" s="31">
        <v>528</v>
      </c>
      <c r="C3" s="32" t="s">
        <v>3076</v>
      </c>
      <c r="D3" s="32" t="s">
        <v>3075</v>
      </c>
      <c r="E3" s="33">
        <v>999999</v>
      </c>
      <c r="F3" s="30">
        <v>3438800000</v>
      </c>
      <c r="G3" s="31">
        <v>638</v>
      </c>
    </row>
    <row r="4" spans="1:7" ht="120.75" thickBot="1" x14ac:dyDescent="0.3">
      <c r="A4" s="28"/>
      <c r="B4" s="27">
        <v>413</v>
      </c>
      <c r="C4" s="28" t="s">
        <v>3310</v>
      </c>
      <c r="D4" s="28" t="s">
        <v>3309</v>
      </c>
      <c r="E4" s="29">
        <v>999999</v>
      </c>
      <c r="F4" s="30">
        <v>3615500000</v>
      </c>
      <c r="G4" s="27">
        <v>510</v>
      </c>
    </row>
    <row r="5" spans="1:7" ht="105.75" thickBot="1" x14ac:dyDescent="0.3">
      <c r="A5" s="32"/>
      <c r="B5" s="31">
        <v>431</v>
      </c>
      <c r="C5" s="32" t="s">
        <v>4388</v>
      </c>
      <c r="D5" s="32" t="s">
        <v>3521</v>
      </c>
      <c r="E5" s="33">
        <v>999999</v>
      </c>
      <c r="F5" s="30">
        <v>4619999999</v>
      </c>
      <c r="G5" s="31">
        <v>528</v>
      </c>
    </row>
    <row r="6" spans="1:7" ht="75.75" thickBot="1" x14ac:dyDescent="0.3">
      <c r="A6" s="28"/>
      <c r="B6" s="27">
        <v>469</v>
      </c>
      <c r="C6" s="28" t="s">
        <v>4462</v>
      </c>
      <c r="D6" s="28" t="s">
        <v>3497</v>
      </c>
      <c r="E6" s="29">
        <v>999999</v>
      </c>
      <c r="F6" s="30">
        <v>4633000000</v>
      </c>
      <c r="G6" s="27">
        <v>573</v>
      </c>
    </row>
    <row r="7" spans="1:7" ht="90.75" thickBot="1" x14ac:dyDescent="0.3">
      <c r="A7" s="32"/>
      <c r="B7" s="31">
        <v>510</v>
      </c>
      <c r="C7" s="32" t="s">
        <v>5644</v>
      </c>
      <c r="D7" s="32" t="s">
        <v>5585</v>
      </c>
      <c r="E7" s="33">
        <v>999999</v>
      </c>
      <c r="F7" s="30">
        <v>10366099999</v>
      </c>
      <c r="G7" s="31">
        <v>620</v>
      </c>
    </row>
    <row r="8" spans="1:7" ht="105.75" thickBot="1" x14ac:dyDescent="0.3">
      <c r="A8" s="28"/>
      <c r="B8" s="27">
        <v>479</v>
      </c>
      <c r="C8" s="28">
        <v>18901034</v>
      </c>
      <c r="D8" s="28" t="s">
        <v>213</v>
      </c>
      <c r="E8" s="29">
        <v>328695</v>
      </c>
      <c r="F8" s="30">
        <v>2019999999</v>
      </c>
      <c r="G8" s="27">
        <v>583</v>
      </c>
    </row>
    <row r="9" spans="1:7" ht="105.75" thickBot="1" x14ac:dyDescent="0.3">
      <c r="A9" s="32"/>
      <c r="B9" s="31">
        <v>480</v>
      </c>
      <c r="C9" s="32" t="s">
        <v>258</v>
      </c>
      <c r="D9" s="32" t="s">
        <v>7897</v>
      </c>
      <c r="E9" s="33">
        <v>274640</v>
      </c>
      <c r="F9" s="30">
        <v>2875000000</v>
      </c>
      <c r="G9" s="31">
        <v>584</v>
      </c>
    </row>
    <row r="10" spans="1:7" ht="90.75" thickBot="1" x14ac:dyDescent="0.3">
      <c r="A10" s="28"/>
      <c r="B10" s="27">
        <v>522</v>
      </c>
      <c r="C10" s="28" t="s">
        <v>353</v>
      </c>
      <c r="D10" s="28" t="s">
        <v>352</v>
      </c>
      <c r="E10" s="29">
        <v>220151</v>
      </c>
      <c r="F10" s="30">
        <v>2625500001</v>
      </c>
      <c r="G10" s="27">
        <v>632</v>
      </c>
    </row>
    <row r="11" spans="1:7" ht="90.75" thickBot="1" x14ac:dyDescent="0.3">
      <c r="A11" s="32"/>
      <c r="B11" s="31">
        <v>529</v>
      </c>
      <c r="C11" s="32" t="s">
        <v>1425</v>
      </c>
      <c r="D11" s="32" t="s">
        <v>1424</v>
      </c>
      <c r="E11" s="33">
        <v>184940</v>
      </c>
      <c r="F11" s="30">
        <v>3230000000</v>
      </c>
      <c r="G11" s="31">
        <v>639</v>
      </c>
    </row>
    <row r="12" spans="1:7" ht="60.75" thickBot="1" x14ac:dyDescent="0.3">
      <c r="A12" s="28"/>
      <c r="B12" s="27">
        <v>521</v>
      </c>
      <c r="C12" s="28" t="s">
        <v>2805</v>
      </c>
      <c r="D12" s="28" t="s">
        <v>2804</v>
      </c>
      <c r="E12" s="29">
        <v>175907</v>
      </c>
      <c r="F12" s="30">
        <v>3821111111</v>
      </c>
      <c r="G12" s="27">
        <v>631</v>
      </c>
    </row>
    <row r="13" spans="1:7" ht="90.75" thickBot="1" x14ac:dyDescent="0.3">
      <c r="A13" s="32"/>
      <c r="B13" s="31">
        <v>527</v>
      </c>
      <c r="C13" s="32" t="s">
        <v>2468</v>
      </c>
      <c r="D13" s="32" t="s">
        <v>2467</v>
      </c>
      <c r="E13" s="33">
        <v>172025</v>
      </c>
      <c r="F13" s="30">
        <v>3388000009</v>
      </c>
      <c r="G13" s="31">
        <v>637</v>
      </c>
    </row>
    <row r="14" spans="1:7" ht="75.75" thickBot="1" x14ac:dyDescent="0.3">
      <c r="A14" s="28"/>
      <c r="B14" s="27">
        <v>531</v>
      </c>
      <c r="C14" s="28" t="s">
        <v>334</v>
      </c>
      <c r="D14" s="28" t="s">
        <v>333</v>
      </c>
      <c r="E14" s="29">
        <v>165265</v>
      </c>
      <c r="F14" s="30">
        <v>2140596399</v>
      </c>
      <c r="G14" s="27">
        <v>641</v>
      </c>
    </row>
    <row r="15" spans="1:7" ht="105.75" thickBot="1" x14ac:dyDescent="0.3">
      <c r="A15" s="32"/>
      <c r="B15" s="31">
        <v>525</v>
      </c>
      <c r="C15" s="32" t="s">
        <v>286</v>
      </c>
      <c r="D15" s="32" t="s">
        <v>285</v>
      </c>
      <c r="E15" s="33">
        <v>153981</v>
      </c>
      <c r="F15" s="30">
        <v>2431119000</v>
      </c>
      <c r="G15" s="31">
        <v>635</v>
      </c>
    </row>
    <row r="16" spans="1:7" ht="90.75" thickBot="1" x14ac:dyDescent="0.3">
      <c r="A16" s="28"/>
      <c r="B16" s="27">
        <v>524</v>
      </c>
      <c r="C16" s="28" t="s">
        <v>710</v>
      </c>
      <c r="D16" s="28" t="s">
        <v>709</v>
      </c>
      <c r="E16" s="29">
        <v>151291</v>
      </c>
      <c r="F16" s="30">
        <v>2586120000</v>
      </c>
      <c r="G16" s="27">
        <v>634</v>
      </c>
    </row>
    <row r="17" spans="1:7" ht="105.75" thickBot="1" x14ac:dyDescent="0.3">
      <c r="A17" s="32"/>
      <c r="B17" s="31">
        <v>526</v>
      </c>
      <c r="C17" s="32" t="s">
        <v>277</v>
      </c>
      <c r="D17" s="32" t="s">
        <v>276</v>
      </c>
      <c r="E17" s="33">
        <v>134556</v>
      </c>
      <c r="F17" s="30">
        <v>2499890000</v>
      </c>
      <c r="G17" s="31">
        <v>636</v>
      </c>
    </row>
    <row r="18" spans="1:7" ht="75.75" thickBot="1" x14ac:dyDescent="0.3">
      <c r="A18" s="28"/>
      <c r="B18" s="27">
        <v>474</v>
      </c>
      <c r="C18" s="28">
        <v>82901531</v>
      </c>
      <c r="D18" s="28" t="s">
        <v>106</v>
      </c>
      <c r="E18" s="29">
        <v>131923</v>
      </c>
      <c r="F18" s="30">
        <v>912000000</v>
      </c>
      <c r="G18" s="27">
        <v>578</v>
      </c>
    </row>
    <row r="19" spans="1:7" ht="90.75" thickBot="1" x14ac:dyDescent="0.3">
      <c r="A19" s="32"/>
      <c r="B19" s="31">
        <v>530</v>
      </c>
      <c r="C19" s="32" t="s">
        <v>221</v>
      </c>
      <c r="D19" s="32" t="s">
        <v>220</v>
      </c>
      <c r="E19" s="33">
        <v>100076</v>
      </c>
      <c r="F19" s="30">
        <v>1810000019</v>
      </c>
      <c r="G19" s="31">
        <v>640</v>
      </c>
    </row>
    <row r="20" spans="1:7" ht="135.75" thickBot="1" x14ac:dyDescent="0.3">
      <c r="A20" s="28"/>
      <c r="B20" s="27">
        <v>478</v>
      </c>
      <c r="C20" s="28" t="s">
        <v>249</v>
      </c>
      <c r="D20" s="28" t="s">
        <v>248</v>
      </c>
      <c r="E20" s="29">
        <v>89164</v>
      </c>
      <c r="F20" s="30">
        <v>2766000000</v>
      </c>
      <c r="G20" s="27">
        <v>582</v>
      </c>
    </row>
    <row r="21" spans="1:7" ht="75.75" thickBot="1" x14ac:dyDescent="0.3">
      <c r="A21" s="32"/>
      <c r="B21" s="31">
        <v>523</v>
      </c>
      <c r="C21" s="32" t="s">
        <v>239</v>
      </c>
      <c r="D21" s="32" t="s">
        <v>238</v>
      </c>
      <c r="E21" s="33">
        <v>82532</v>
      </c>
      <c r="F21" s="30">
        <v>1917000000</v>
      </c>
      <c r="G21" s="31">
        <v>633</v>
      </c>
    </row>
    <row r="22" spans="1:7" ht="90.75" thickBot="1" x14ac:dyDescent="0.3">
      <c r="A22" s="28"/>
      <c r="B22" s="27">
        <v>451</v>
      </c>
      <c r="C22" s="28" t="s">
        <v>137</v>
      </c>
      <c r="D22" s="28" t="s">
        <v>136</v>
      </c>
      <c r="E22" s="29">
        <v>74102</v>
      </c>
      <c r="F22" s="30">
        <v>1552000000</v>
      </c>
      <c r="G22" s="27">
        <v>555</v>
      </c>
    </row>
    <row r="23" spans="1:7" ht="105.75" thickBot="1" x14ac:dyDescent="0.3">
      <c r="A23" s="32"/>
      <c r="B23" s="31">
        <v>442</v>
      </c>
      <c r="C23" s="32" t="s">
        <v>5127</v>
      </c>
      <c r="D23" s="32" t="s">
        <v>5126</v>
      </c>
      <c r="E23" s="33">
        <v>73894</v>
      </c>
      <c r="F23" s="30">
        <v>5000000008</v>
      </c>
      <c r="G23" s="31">
        <v>539</v>
      </c>
    </row>
    <row r="24" spans="1:7" ht="60.75" thickBot="1" x14ac:dyDescent="0.3">
      <c r="A24" s="28"/>
      <c r="B24" s="27">
        <v>477</v>
      </c>
      <c r="C24" s="28" t="s">
        <v>308</v>
      </c>
      <c r="D24" s="28" t="s">
        <v>307</v>
      </c>
      <c r="E24" s="29">
        <v>60760</v>
      </c>
      <c r="F24" s="30">
        <v>2999999999</v>
      </c>
      <c r="G24" s="27">
        <v>581</v>
      </c>
    </row>
    <row r="25" spans="1:7" ht="105.75" thickBot="1" x14ac:dyDescent="0.3">
      <c r="A25" s="32"/>
      <c r="B25" s="31">
        <v>438</v>
      </c>
      <c r="C25" s="32" t="s">
        <v>5121</v>
      </c>
      <c r="D25" s="32" t="s">
        <v>3521</v>
      </c>
      <c r="E25" s="33">
        <v>59210</v>
      </c>
      <c r="F25" s="30">
        <v>4776688445</v>
      </c>
      <c r="G25" s="31">
        <v>535</v>
      </c>
    </row>
    <row r="26" spans="1:7" ht="105.75" thickBot="1" x14ac:dyDescent="0.3">
      <c r="A26" s="28"/>
      <c r="B26" s="27">
        <v>444</v>
      </c>
      <c r="C26" s="28" t="s">
        <v>5157</v>
      </c>
      <c r="D26" s="28" t="s">
        <v>3521</v>
      </c>
      <c r="E26" s="29">
        <v>55745</v>
      </c>
      <c r="F26" s="30">
        <v>5236999999</v>
      </c>
      <c r="G26" s="27">
        <v>541</v>
      </c>
    </row>
    <row r="27" spans="1:7" ht="105.75" thickBot="1" x14ac:dyDescent="0.3">
      <c r="A27" s="32"/>
      <c r="B27" s="31">
        <v>418</v>
      </c>
      <c r="C27" s="32" t="s">
        <v>3235</v>
      </c>
      <c r="D27" s="32" t="s">
        <v>3234</v>
      </c>
      <c r="E27" s="33">
        <v>53719</v>
      </c>
      <c r="F27" s="30">
        <v>3310429869</v>
      </c>
      <c r="G27" s="31">
        <v>515</v>
      </c>
    </row>
    <row r="28" spans="1:7" ht="120.75" thickBot="1" x14ac:dyDescent="0.3">
      <c r="A28" s="28"/>
      <c r="B28" s="27">
        <v>452</v>
      </c>
      <c r="C28" s="28" t="s">
        <v>203</v>
      </c>
      <c r="D28" s="28" t="s">
        <v>202</v>
      </c>
      <c r="E28" s="29">
        <v>53198</v>
      </c>
      <c r="F28" s="30">
        <v>1589758000</v>
      </c>
      <c r="G28" s="27">
        <v>556</v>
      </c>
    </row>
    <row r="29" spans="1:7" ht="105.75" thickBot="1" x14ac:dyDescent="0.3">
      <c r="A29" s="32"/>
      <c r="B29" s="31">
        <v>432</v>
      </c>
      <c r="C29" s="32" t="s">
        <v>5162</v>
      </c>
      <c r="D29" s="32" t="s">
        <v>3521</v>
      </c>
      <c r="E29" s="33">
        <v>52770</v>
      </c>
      <c r="F29" s="30">
        <v>5462566666</v>
      </c>
      <c r="G29" s="31">
        <v>529</v>
      </c>
    </row>
    <row r="30" spans="1:7" ht="90.75" thickBot="1" x14ac:dyDescent="0.3">
      <c r="A30" s="28"/>
      <c r="B30" s="27">
        <v>476</v>
      </c>
      <c r="C30" s="28">
        <v>31003309</v>
      </c>
      <c r="D30" s="28" t="s">
        <v>7898</v>
      </c>
      <c r="E30" s="29">
        <v>47764</v>
      </c>
      <c r="F30" s="30">
        <v>1189000000</v>
      </c>
      <c r="G30" s="27">
        <v>580</v>
      </c>
    </row>
    <row r="31" spans="1:7" ht="90.75" thickBot="1" x14ac:dyDescent="0.3">
      <c r="A31" s="32"/>
      <c r="B31" s="31">
        <v>430</v>
      </c>
      <c r="C31" s="32" t="s">
        <v>3068</v>
      </c>
      <c r="D31" s="32" t="s">
        <v>2940</v>
      </c>
      <c r="E31" s="33">
        <v>42307</v>
      </c>
      <c r="F31" s="30">
        <v>4700000000</v>
      </c>
      <c r="G31" s="31">
        <v>527</v>
      </c>
    </row>
    <row r="32" spans="1:7" ht="120.75" thickBot="1" x14ac:dyDescent="0.3">
      <c r="A32" s="28"/>
      <c r="B32" s="27">
        <v>433</v>
      </c>
      <c r="C32" s="28" t="s">
        <v>5111</v>
      </c>
      <c r="D32" s="28" t="s">
        <v>3478</v>
      </c>
      <c r="E32" s="29">
        <v>41452</v>
      </c>
      <c r="F32" s="30">
        <v>4767214000</v>
      </c>
      <c r="G32" s="27">
        <v>530</v>
      </c>
    </row>
    <row r="33" spans="1:7" ht="90.75" thickBot="1" x14ac:dyDescent="0.3">
      <c r="A33" s="32"/>
      <c r="B33" s="31">
        <v>462</v>
      </c>
      <c r="C33" s="32" t="s">
        <v>3094</v>
      </c>
      <c r="D33" s="32" t="s">
        <v>3093</v>
      </c>
      <c r="E33" s="33">
        <v>39810</v>
      </c>
      <c r="F33" s="30">
        <v>3818888889</v>
      </c>
      <c r="G33" s="31">
        <v>566</v>
      </c>
    </row>
    <row r="34" spans="1:7" ht="105.75" thickBot="1" x14ac:dyDescent="0.3">
      <c r="A34" s="28"/>
      <c r="B34" s="27">
        <v>435</v>
      </c>
      <c r="C34" s="28" t="s">
        <v>5116</v>
      </c>
      <c r="D34" s="28" t="s">
        <v>3521</v>
      </c>
      <c r="E34" s="29">
        <v>39806</v>
      </c>
      <c r="F34" s="30">
        <v>5050000999</v>
      </c>
      <c r="G34" s="27">
        <v>532</v>
      </c>
    </row>
    <row r="35" spans="1:7" ht="75.75" thickBot="1" x14ac:dyDescent="0.3">
      <c r="A35" s="32"/>
      <c r="B35" s="31">
        <v>491</v>
      </c>
      <c r="C35" s="32" t="s">
        <v>3173</v>
      </c>
      <c r="D35" s="32" t="s">
        <v>325</v>
      </c>
      <c r="E35" s="33">
        <v>38595</v>
      </c>
      <c r="F35" s="30">
        <v>3888000000</v>
      </c>
      <c r="G35" s="31">
        <v>595</v>
      </c>
    </row>
    <row r="36" spans="1:7" ht="105.75" thickBot="1" x14ac:dyDescent="0.3">
      <c r="A36" s="28"/>
      <c r="B36" s="27">
        <v>440</v>
      </c>
      <c r="C36" s="28" t="s">
        <v>5069</v>
      </c>
      <c r="D36" s="28" t="s">
        <v>3446</v>
      </c>
      <c r="E36" s="29">
        <v>38339</v>
      </c>
      <c r="F36" s="30">
        <v>5209999999</v>
      </c>
      <c r="G36" s="27">
        <v>537</v>
      </c>
    </row>
    <row r="37" spans="1:7" ht="75.75" thickBot="1" x14ac:dyDescent="0.3">
      <c r="A37" s="32"/>
      <c r="B37" s="31">
        <v>492</v>
      </c>
      <c r="C37" s="32" t="s">
        <v>229</v>
      </c>
      <c r="D37" s="32" t="s">
        <v>228</v>
      </c>
      <c r="E37" s="33">
        <v>37102</v>
      </c>
      <c r="F37" s="30">
        <v>2418888888</v>
      </c>
      <c r="G37" s="31">
        <v>602</v>
      </c>
    </row>
    <row r="38" spans="1:7" ht="60.75" thickBot="1" x14ac:dyDescent="0.3">
      <c r="A38" s="28"/>
      <c r="B38" s="27">
        <v>429</v>
      </c>
      <c r="C38" s="28" t="s">
        <v>3780</v>
      </c>
      <c r="D38" s="28" t="s">
        <v>3779</v>
      </c>
      <c r="E38" s="29">
        <v>34956</v>
      </c>
      <c r="F38" s="30">
        <v>4472099999</v>
      </c>
      <c r="G38" s="27">
        <v>526</v>
      </c>
    </row>
    <row r="39" spans="1:7" ht="75.75" thickBot="1" x14ac:dyDescent="0.3">
      <c r="A39" s="32"/>
      <c r="B39" s="31">
        <v>410</v>
      </c>
      <c r="C39" s="32" t="s">
        <v>3765</v>
      </c>
      <c r="D39" s="32" t="s">
        <v>191</v>
      </c>
      <c r="E39" s="33">
        <v>33851</v>
      </c>
      <c r="F39" s="30">
        <v>4184200000</v>
      </c>
      <c r="G39" s="31">
        <v>507</v>
      </c>
    </row>
    <row r="40" spans="1:7" ht="90.75" thickBot="1" x14ac:dyDescent="0.3">
      <c r="A40" s="28"/>
      <c r="B40" s="27">
        <v>412</v>
      </c>
      <c r="C40" s="28" t="s">
        <v>3700</v>
      </c>
      <c r="D40" s="28" t="s">
        <v>3356</v>
      </c>
      <c r="E40" s="29">
        <v>33351</v>
      </c>
      <c r="F40" s="30">
        <v>3610009999</v>
      </c>
      <c r="G40" s="27">
        <v>509</v>
      </c>
    </row>
    <row r="41" spans="1:7" ht="90.75" thickBot="1" x14ac:dyDescent="0.3">
      <c r="A41" s="32"/>
      <c r="B41" s="31">
        <v>475</v>
      </c>
      <c r="C41" s="32" t="s">
        <v>145</v>
      </c>
      <c r="D41" s="32" t="s">
        <v>144</v>
      </c>
      <c r="E41" s="33">
        <v>33278</v>
      </c>
      <c r="F41" s="30">
        <v>1555600000</v>
      </c>
      <c r="G41" s="31">
        <v>579</v>
      </c>
    </row>
    <row r="42" spans="1:7" ht="105.75" thickBot="1" x14ac:dyDescent="0.3">
      <c r="A42" s="28"/>
      <c r="B42" s="27">
        <v>453</v>
      </c>
      <c r="C42" s="28" t="s">
        <v>2460</v>
      </c>
      <c r="D42" s="28" t="s">
        <v>2459</v>
      </c>
      <c r="E42" s="29">
        <v>30348</v>
      </c>
      <c r="F42" s="30">
        <v>3409000000</v>
      </c>
      <c r="G42" s="27">
        <v>557</v>
      </c>
    </row>
    <row r="43" spans="1:7" ht="120.75" thickBot="1" x14ac:dyDescent="0.3">
      <c r="A43" s="32"/>
      <c r="B43" s="31">
        <v>473</v>
      </c>
      <c r="C43" s="32" t="s">
        <v>161</v>
      </c>
      <c r="D43" s="32" t="s">
        <v>160</v>
      </c>
      <c r="E43" s="33">
        <v>29814</v>
      </c>
      <c r="F43" s="30">
        <v>1655555555</v>
      </c>
      <c r="G43" s="31">
        <v>577</v>
      </c>
    </row>
    <row r="44" spans="1:7" ht="120.75" thickBot="1" x14ac:dyDescent="0.3">
      <c r="A44" s="28"/>
      <c r="B44" s="27">
        <v>439</v>
      </c>
      <c r="C44" s="28" t="s">
        <v>5152</v>
      </c>
      <c r="D44" s="28" t="s">
        <v>3478</v>
      </c>
      <c r="E44" s="29">
        <v>28250</v>
      </c>
      <c r="F44" s="30">
        <v>5449999999</v>
      </c>
      <c r="G44" s="27">
        <v>536</v>
      </c>
    </row>
    <row r="45" spans="1:7" ht="75.75" thickBot="1" x14ac:dyDescent="0.3">
      <c r="A45" s="32"/>
      <c r="B45" s="31">
        <v>408</v>
      </c>
      <c r="C45" s="32" t="s">
        <v>3969</v>
      </c>
      <c r="D45" s="32" t="s">
        <v>191</v>
      </c>
      <c r="E45" s="33">
        <v>26562</v>
      </c>
      <c r="F45" s="34"/>
      <c r="G45" s="31">
        <v>505</v>
      </c>
    </row>
    <row r="46" spans="1:7" ht="90.75" thickBot="1" x14ac:dyDescent="0.3">
      <c r="A46" s="28"/>
      <c r="B46" s="27">
        <v>421</v>
      </c>
      <c r="C46" s="28" t="s">
        <v>4326</v>
      </c>
      <c r="D46" s="28" t="s">
        <v>4325</v>
      </c>
      <c r="E46" s="29">
        <v>18843</v>
      </c>
      <c r="F46" s="30">
        <v>4275619800</v>
      </c>
      <c r="G46" s="27">
        <v>518</v>
      </c>
    </row>
    <row r="47" spans="1:7" ht="120.75" thickBot="1" x14ac:dyDescent="0.3">
      <c r="A47" s="32"/>
      <c r="B47" s="31">
        <v>472</v>
      </c>
      <c r="C47" s="32" t="s">
        <v>170</v>
      </c>
      <c r="D47" s="32" t="s">
        <v>169</v>
      </c>
      <c r="E47" s="33">
        <v>18474</v>
      </c>
      <c r="F47" s="30">
        <v>1665555555</v>
      </c>
      <c r="G47" s="31">
        <v>576</v>
      </c>
    </row>
    <row r="48" spans="1:7" ht="120.75" thickBot="1" x14ac:dyDescent="0.3">
      <c r="A48" s="28"/>
      <c r="B48" s="27">
        <v>445</v>
      </c>
      <c r="C48" s="28" t="s">
        <v>5132</v>
      </c>
      <c r="D48" s="28" t="s">
        <v>3478</v>
      </c>
      <c r="E48" s="29">
        <v>17749</v>
      </c>
      <c r="F48" s="30">
        <v>5762999999</v>
      </c>
      <c r="G48" s="27">
        <v>542</v>
      </c>
    </row>
    <row r="49" spans="1:7" ht="105.75" thickBot="1" x14ac:dyDescent="0.3">
      <c r="A49" s="32"/>
      <c r="B49" s="31">
        <v>446</v>
      </c>
      <c r="C49" s="32" t="s">
        <v>5167</v>
      </c>
      <c r="D49" s="32" t="s">
        <v>3521</v>
      </c>
      <c r="E49" s="33">
        <v>16444</v>
      </c>
      <c r="F49" s="30">
        <v>5517777777</v>
      </c>
      <c r="G49" s="31">
        <v>543</v>
      </c>
    </row>
    <row r="50" spans="1:7" ht="90.75" thickBot="1" x14ac:dyDescent="0.3">
      <c r="A50" s="28"/>
      <c r="B50" s="27">
        <v>513</v>
      </c>
      <c r="C50" s="28" t="s">
        <v>5655</v>
      </c>
      <c r="D50" s="28" t="s">
        <v>5604</v>
      </c>
      <c r="E50" s="29">
        <v>16202</v>
      </c>
      <c r="F50" s="30">
        <v>10260000000</v>
      </c>
      <c r="G50" s="27">
        <v>623</v>
      </c>
    </row>
    <row r="51" spans="1:7" ht="105.75" thickBot="1" x14ac:dyDescent="0.3">
      <c r="A51" s="32"/>
      <c r="B51" s="31">
        <v>436</v>
      </c>
      <c r="C51" s="32" t="s">
        <v>5225</v>
      </c>
      <c r="D51" s="32" t="s">
        <v>3521</v>
      </c>
      <c r="E51" s="33">
        <v>13732</v>
      </c>
      <c r="F51" s="30">
        <v>6050004444</v>
      </c>
      <c r="G51" s="31">
        <v>533</v>
      </c>
    </row>
    <row r="52" spans="1:7" ht="60.75" thickBot="1" x14ac:dyDescent="0.3">
      <c r="A52" s="28"/>
      <c r="B52" s="27">
        <v>415</v>
      </c>
      <c r="C52" s="28" t="s">
        <v>3284</v>
      </c>
      <c r="D52" s="28" t="s">
        <v>2189</v>
      </c>
      <c r="E52" s="29">
        <v>12918</v>
      </c>
      <c r="F52" s="30">
        <v>4215888110</v>
      </c>
      <c r="G52" s="27">
        <v>512</v>
      </c>
    </row>
    <row r="53" spans="1:7" ht="105.75" thickBot="1" x14ac:dyDescent="0.3">
      <c r="A53" s="32"/>
      <c r="B53" s="31">
        <v>447</v>
      </c>
      <c r="C53" s="32" t="s">
        <v>5211</v>
      </c>
      <c r="D53" s="32" t="s">
        <v>3521</v>
      </c>
      <c r="E53" s="33">
        <v>7359</v>
      </c>
      <c r="F53" s="30">
        <v>5925555555</v>
      </c>
      <c r="G53" s="31">
        <v>544</v>
      </c>
    </row>
    <row r="54" spans="1:7" ht="75.75" thickBot="1" x14ac:dyDescent="0.3">
      <c r="A54" s="28"/>
      <c r="B54" s="27">
        <v>471</v>
      </c>
      <c r="C54" s="28" t="s">
        <v>4405</v>
      </c>
      <c r="D54" s="28" t="s">
        <v>3579</v>
      </c>
      <c r="E54" s="29">
        <v>6382</v>
      </c>
      <c r="F54" s="30">
        <v>5429853251</v>
      </c>
      <c r="G54" s="27">
        <v>575</v>
      </c>
    </row>
    <row r="55" spans="1:7" ht="105.75" thickBot="1" x14ac:dyDescent="0.3">
      <c r="A55" s="32"/>
      <c r="B55" s="31">
        <v>420</v>
      </c>
      <c r="C55" s="32" t="s">
        <v>3871</v>
      </c>
      <c r="D55" s="32" t="s">
        <v>3870</v>
      </c>
      <c r="E55" s="33">
        <v>6343</v>
      </c>
      <c r="F55" s="30">
        <v>4378000000</v>
      </c>
      <c r="G55" s="31">
        <v>517</v>
      </c>
    </row>
    <row r="56" spans="1:7" ht="105.75" thickBot="1" x14ac:dyDescent="0.3">
      <c r="A56" s="28"/>
      <c r="B56" s="27">
        <v>449</v>
      </c>
      <c r="C56" s="28" t="s">
        <v>4771</v>
      </c>
      <c r="D56" s="28" t="s">
        <v>3521</v>
      </c>
      <c r="E56" s="29">
        <v>5874</v>
      </c>
      <c r="F56" s="30">
        <v>6523000000</v>
      </c>
      <c r="G56" s="27">
        <v>546</v>
      </c>
    </row>
    <row r="57" spans="1:7" ht="105.75" thickBot="1" x14ac:dyDescent="0.3">
      <c r="A57" s="32"/>
      <c r="B57" s="31">
        <v>443</v>
      </c>
      <c r="C57" s="32" t="s">
        <v>5244</v>
      </c>
      <c r="D57" s="32" t="s">
        <v>3446</v>
      </c>
      <c r="E57" s="33">
        <v>5399</v>
      </c>
      <c r="F57" s="30">
        <v>5897654329</v>
      </c>
      <c r="G57" s="31">
        <v>540</v>
      </c>
    </row>
    <row r="58" spans="1:7" ht="60.75" thickBot="1" x14ac:dyDescent="0.3">
      <c r="A58" s="28"/>
      <c r="B58" s="27">
        <v>417</v>
      </c>
      <c r="C58" s="28" t="s">
        <v>3317</v>
      </c>
      <c r="D58" s="28" t="s">
        <v>2189</v>
      </c>
      <c r="E58" s="29">
        <v>5365</v>
      </c>
      <c r="F58" s="30">
        <v>4010000000</v>
      </c>
      <c r="G58" s="27">
        <v>514</v>
      </c>
    </row>
    <row r="59" spans="1:7" ht="105.75" thickBot="1" x14ac:dyDescent="0.3">
      <c r="A59" s="32"/>
      <c r="B59" s="31">
        <v>422</v>
      </c>
      <c r="C59" s="32" t="s">
        <v>4383</v>
      </c>
      <c r="D59" s="32" t="s">
        <v>3870</v>
      </c>
      <c r="E59" s="33">
        <v>4262</v>
      </c>
      <c r="F59" s="30">
        <v>4668900000</v>
      </c>
      <c r="G59" s="31">
        <v>519</v>
      </c>
    </row>
    <row r="60" spans="1:7" ht="105.75" thickBot="1" x14ac:dyDescent="0.3">
      <c r="A60" s="28"/>
      <c r="B60" s="27">
        <v>437</v>
      </c>
      <c r="C60" s="28" t="s">
        <v>5147</v>
      </c>
      <c r="D60" s="28" t="s">
        <v>3446</v>
      </c>
      <c r="E60" s="29">
        <v>3632</v>
      </c>
      <c r="F60" s="30">
        <v>6012345678</v>
      </c>
      <c r="G60" s="27">
        <v>534</v>
      </c>
    </row>
    <row r="61" spans="1:7" ht="75.75" thickBot="1" x14ac:dyDescent="0.3">
      <c r="A61" s="32"/>
      <c r="B61" s="31">
        <v>470</v>
      </c>
      <c r="C61" s="32" t="s">
        <v>4536</v>
      </c>
      <c r="D61" s="32" t="s">
        <v>3242</v>
      </c>
      <c r="E61" s="33">
        <v>3626</v>
      </c>
      <c r="F61" s="30">
        <v>5308888889</v>
      </c>
      <c r="G61" s="31">
        <v>574</v>
      </c>
    </row>
    <row r="62" spans="1:7" ht="75.75" thickBot="1" x14ac:dyDescent="0.3">
      <c r="A62" s="28"/>
      <c r="B62" s="27">
        <v>409</v>
      </c>
      <c r="C62" s="28" t="s">
        <v>3390</v>
      </c>
      <c r="D62" s="28" t="s">
        <v>191</v>
      </c>
      <c r="E62" s="29">
        <v>3270</v>
      </c>
      <c r="F62" s="30">
        <v>4749999999</v>
      </c>
      <c r="G62" s="27">
        <v>506</v>
      </c>
    </row>
    <row r="63" spans="1:7" ht="60.75" thickBot="1" x14ac:dyDescent="0.3">
      <c r="A63" s="32"/>
      <c r="B63" s="31">
        <v>228</v>
      </c>
      <c r="C63" s="32" t="s">
        <v>3945</v>
      </c>
      <c r="D63" s="32" t="s">
        <v>316</v>
      </c>
      <c r="E63" s="33">
        <v>3043</v>
      </c>
      <c r="F63" s="30">
        <v>4999999999</v>
      </c>
      <c r="G63" s="31">
        <v>270</v>
      </c>
    </row>
    <row r="64" spans="1:7" ht="135.75" thickBot="1" x14ac:dyDescent="0.3">
      <c r="A64" s="28"/>
      <c r="B64" s="27">
        <v>488</v>
      </c>
      <c r="C64" s="28" t="s">
        <v>4393</v>
      </c>
      <c r="D64" s="28" t="s">
        <v>3179</v>
      </c>
      <c r="E64" s="29">
        <v>2891</v>
      </c>
      <c r="F64" s="30">
        <v>4729999999</v>
      </c>
      <c r="G64" s="27">
        <v>592</v>
      </c>
    </row>
    <row r="65" spans="1:7" ht="75.75" thickBot="1" x14ac:dyDescent="0.3">
      <c r="A65" s="32"/>
      <c r="B65" s="31">
        <v>370</v>
      </c>
      <c r="C65" s="32" t="s">
        <v>4837</v>
      </c>
      <c r="D65" s="32" t="s">
        <v>191</v>
      </c>
      <c r="E65" s="33">
        <v>2767</v>
      </c>
      <c r="F65" s="30">
        <v>4449999999</v>
      </c>
      <c r="G65" s="31">
        <v>412</v>
      </c>
    </row>
    <row r="66" spans="1:7" ht="135.75" thickBot="1" x14ac:dyDescent="0.3">
      <c r="A66" s="28"/>
      <c r="B66" s="27">
        <v>487</v>
      </c>
      <c r="C66" s="28" t="s">
        <v>3541</v>
      </c>
      <c r="D66" s="28" t="s">
        <v>3179</v>
      </c>
      <c r="E66" s="29">
        <v>2209</v>
      </c>
      <c r="F66" s="30">
        <v>4366999999</v>
      </c>
      <c r="G66" s="27">
        <v>591</v>
      </c>
    </row>
    <row r="67" spans="1:7" ht="90.75" thickBot="1" x14ac:dyDescent="0.3">
      <c r="A67" s="32"/>
      <c r="B67" s="31">
        <v>461</v>
      </c>
      <c r="C67" s="32" t="s">
        <v>3167</v>
      </c>
      <c r="D67" s="32" t="s">
        <v>3093</v>
      </c>
      <c r="E67" s="33">
        <v>2033</v>
      </c>
      <c r="F67" s="30">
        <v>3700999999</v>
      </c>
      <c r="G67" s="31">
        <v>565</v>
      </c>
    </row>
    <row r="68" spans="1:7" ht="105.75" thickBot="1" x14ac:dyDescent="0.3">
      <c r="A68" s="28"/>
      <c r="B68" s="27">
        <v>464</v>
      </c>
      <c r="C68" s="28" t="s">
        <v>3787</v>
      </c>
      <c r="D68" s="28" t="s">
        <v>2644</v>
      </c>
      <c r="E68" s="29">
        <v>1471</v>
      </c>
      <c r="F68" s="30">
        <v>4125000000</v>
      </c>
      <c r="G68" s="27">
        <v>568</v>
      </c>
    </row>
    <row r="69" spans="1:7" ht="90.75" thickBot="1" x14ac:dyDescent="0.3">
      <c r="A69" s="32"/>
      <c r="B69" s="31">
        <v>463</v>
      </c>
      <c r="C69" s="32" t="s">
        <v>3877</v>
      </c>
      <c r="D69" s="32" t="s">
        <v>3139</v>
      </c>
      <c r="E69" s="33">
        <v>1308</v>
      </c>
      <c r="F69" s="30">
        <v>4446777000</v>
      </c>
      <c r="G69" s="31">
        <v>567</v>
      </c>
    </row>
    <row r="70" spans="1:7" ht="90.75" thickBot="1" x14ac:dyDescent="0.3">
      <c r="A70" s="28"/>
      <c r="B70" s="27">
        <v>403</v>
      </c>
      <c r="C70" s="28" t="s">
        <v>5662</v>
      </c>
      <c r="D70" s="28" t="s">
        <v>5661</v>
      </c>
      <c r="E70" s="29">
        <v>1199</v>
      </c>
      <c r="F70" s="30">
        <v>9919999999</v>
      </c>
      <c r="G70" s="27">
        <v>447</v>
      </c>
    </row>
    <row r="71" spans="1:7" ht="75.75" thickBot="1" x14ac:dyDescent="0.3">
      <c r="A71" s="32"/>
      <c r="B71" s="31">
        <v>376</v>
      </c>
      <c r="C71" s="32" t="s">
        <v>5096</v>
      </c>
      <c r="D71" s="32" t="s">
        <v>3647</v>
      </c>
      <c r="E71" s="33">
        <v>1062</v>
      </c>
      <c r="F71" s="30">
        <v>4777557000</v>
      </c>
      <c r="G71" s="31">
        <v>420</v>
      </c>
    </row>
    <row r="72" spans="1:7" ht="60.75" thickBot="1" x14ac:dyDescent="0.3">
      <c r="A72" s="28"/>
      <c r="B72" s="27">
        <v>357</v>
      </c>
      <c r="C72" s="28" t="s">
        <v>5289</v>
      </c>
      <c r="D72" s="28" t="s">
        <v>87</v>
      </c>
      <c r="E72" s="29">
        <v>1047</v>
      </c>
      <c r="F72" s="30">
        <v>5723000000</v>
      </c>
      <c r="G72" s="27">
        <v>399</v>
      </c>
    </row>
    <row r="73" spans="1:7" ht="90.75" thickBot="1" x14ac:dyDescent="0.3">
      <c r="A73" s="32"/>
      <c r="B73" s="31">
        <v>511</v>
      </c>
      <c r="C73" s="32" t="s">
        <v>5671</v>
      </c>
      <c r="D73" s="32" t="s">
        <v>5604</v>
      </c>
      <c r="E73" s="33">
        <v>1041</v>
      </c>
      <c r="F73" s="30">
        <v>12720888889</v>
      </c>
      <c r="G73" s="31">
        <v>621</v>
      </c>
    </row>
    <row r="74" spans="1:7" ht="75.75" thickBot="1" x14ac:dyDescent="0.3">
      <c r="A74" s="28"/>
      <c r="B74" s="27">
        <v>383</v>
      </c>
      <c r="C74" s="28" t="s">
        <v>4452</v>
      </c>
      <c r="D74" s="28" t="s">
        <v>191</v>
      </c>
      <c r="E74" s="29">
        <v>1000</v>
      </c>
      <c r="F74" s="30">
        <v>4125720000</v>
      </c>
      <c r="G74" s="27">
        <v>427</v>
      </c>
    </row>
    <row r="75" spans="1:7" ht="105.75" thickBot="1" x14ac:dyDescent="0.3">
      <c r="A75" s="32"/>
      <c r="B75" s="31">
        <v>424</v>
      </c>
      <c r="C75" s="32" t="s">
        <v>3397</v>
      </c>
      <c r="D75" s="32" t="s">
        <v>1418</v>
      </c>
      <c r="E75" s="33">
        <v>780</v>
      </c>
      <c r="F75" s="30">
        <v>4172000000</v>
      </c>
      <c r="G75" s="31">
        <v>521</v>
      </c>
    </row>
    <row r="76" spans="1:7" ht="105.75" thickBot="1" x14ac:dyDescent="0.3">
      <c r="A76" s="28"/>
      <c r="B76" s="27">
        <v>450</v>
      </c>
      <c r="C76" s="28" t="s">
        <v>5353</v>
      </c>
      <c r="D76" s="28" t="s">
        <v>4318</v>
      </c>
      <c r="E76" s="29">
        <v>573</v>
      </c>
      <c r="F76" s="30">
        <v>6500140000</v>
      </c>
      <c r="G76" s="27">
        <v>547</v>
      </c>
    </row>
    <row r="77" spans="1:7" ht="105.75" thickBot="1" x14ac:dyDescent="0.3">
      <c r="A77" s="32"/>
      <c r="B77" s="31">
        <v>396</v>
      </c>
      <c r="C77" s="32" t="s">
        <v>3960</v>
      </c>
      <c r="D77" s="32" t="s">
        <v>1418</v>
      </c>
      <c r="E77" s="33">
        <v>457</v>
      </c>
      <c r="F77" s="30">
        <v>3851414145</v>
      </c>
      <c r="G77" s="31">
        <v>440</v>
      </c>
    </row>
    <row r="78" spans="1:7" ht="105.75" thickBot="1" x14ac:dyDescent="0.3">
      <c r="A78" s="28"/>
      <c r="B78" s="27">
        <v>441</v>
      </c>
      <c r="C78" s="28" t="s">
        <v>5323</v>
      </c>
      <c r="D78" s="28" t="s">
        <v>3521</v>
      </c>
      <c r="E78" s="29">
        <v>391</v>
      </c>
      <c r="F78" s="30">
        <v>6217777777</v>
      </c>
      <c r="G78" s="27">
        <v>538</v>
      </c>
    </row>
    <row r="79" spans="1:7" ht="105.75" thickBot="1" x14ac:dyDescent="0.3">
      <c r="A79" s="32"/>
      <c r="B79" s="31">
        <v>448</v>
      </c>
      <c r="C79" s="32" t="s">
        <v>5347</v>
      </c>
      <c r="D79" s="32" t="s">
        <v>3521</v>
      </c>
      <c r="E79" s="33">
        <v>340</v>
      </c>
      <c r="F79" s="30">
        <v>6500000000</v>
      </c>
      <c r="G79" s="31">
        <v>545</v>
      </c>
    </row>
    <row r="80" spans="1:7" ht="105.75" thickBot="1" x14ac:dyDescent="0.3">
      <c r="A80" s="28"/>
      <c r="B80" s="27">
        <v>398</v>
      </c>
      <c r="C80" s="28" t="s">
        <v>5699</v>
      </c>
      <c r="D80" s="28" t="s">
        <v>5613</v>
      </c>
      <c r="E80" s="29">
        <v>319</v>
      </c>
      <c r="F80" s="30">
        <v>12300111000</v>
      </c>
      <c r="G80" s="27">
        <v>442</v>
      </c>
    </row>
    <row r="81" spans="1:7" ht="105.75" thickBot="1" x14ac:dyDescent="0.3">
      <c r="A81" s="32"/>
      <c r="B81" s="31">
        <v>414</v>
      </c>
      <c r="C81" s="32" t="s">
        <v>3863</v>
      </c>
      <c r="D81" s="32" t="s">
        <v>2568</v>
      </c>
      <c r="E81" s="33">
        <v>308</v>
      </c>
      <c r="F81" s="30">
        <v>4115000009</v>
      </c>
      <c r="G81" s="31">
        <v>511</v>
      </c>
    </row>
    <row r="82" spans="1:7" ht="90.75" thickBot="1" x14ac:dyDescent="0.3">
      <c r="A82" s="28"/>
      <c r="B82" s="27">
        <v>256</v>
      </c>
      <c r="C82" s="28" t="s">
        <v>3929</v>
      </c>
      <c r="D82" s="28" t="s">
        <v>3928</v>
      </c>
      <c r="E82" s="29">
        <v>305</v>
      </c>
      <c r="F82" s="30">
        <v>4278999999</v>
      </c>
      <c r="G82" s="27">
        <v>298</v>
      </c>
    </row>
    <row r="83" spans="1:7" ht="105.75" thickBot="1" x14ac:dyDescent="0.3">
      <c r="A83" s="32"/>
      <c r="B83" s="31">
        <v>404</v>
      </c>
      <c r="C83" s="32" t="s">
        <v>5682</v>
      </c>
      <c r="D83" s="32" t="s">
        <v>5681</v>
      </c>
      <c r="E83" s="33">
        <v>296</v>
      </c>
      <c r="F83" s="30">
        <v>11171154321</v>
      </c>
      <c r="G83" s="31">
        <v>448</v>
      </c>
    </row>
    <row r="84" spans="1:7" ht="90.75" thickBot="1" x14ac:dyDescent="0.3">
      <c r="A84" s="28"/>
      <c r="B84" s="27">
        <v>399</v>
      </c>
      <c r="C84" s="28" t="s">
        <v>5650</v>
      </c>
      <c r="D84" s="28" t="s">
        <v>5649</v>
      </c>
      <c r="E84" s="29">
        <v>294</v>
      </c>
      <c r="F84" s="30">
        <v>12586593231</v>
      </c>
      <c r="G84" s="27">
        <v>443</v>
      </c>
    </row>
    <row r="85" spans="1:7" ht="90.75" thickBot="1" x14ac:dyDescent="0.3">
      <c r="A85" s="32"/>
      <c r="B85" s="31">
        <v>400</v>
      </c>
      <c r="C85" s="32" t="s">
        <v>5708</v>
      </c>
      <c r="D85" s="32" t="s">
        <v>5604</v>
      </c>
      <c r="E85" s="33">
        <v>258</v>
      </c>
      <c r="F85" s="30">
        <v>13100000000</v>
      </c>
      <c r="G85" s="31">
        <v>444</v>
      </c>
    </row>
    <row r="86" spans="1:7" ht="90.75" thickBot="1" x14ac:dyDescent="0.3">
      <c r="A86" s="28"/>
      <c r="B86" s="27">
        <v>466</v>
      </c>
      <c r="C86" s="28" t="s">
        <v>3017</v>
      </c>
      <c r="D86" s="28" t="s">
        <v>2796</v>
      </c>
      <c r="E86" s="29">
        <v>256</v>
      </c>
      <c r="F86" s="30">
        <v>4076999999</v>
      </c>
      <c r="G86" s="27">
        <v>570</v>
      </c>
    </row>
    <row r="87" spans="1:7" ht="135.75" thickBot="1" x14ac:dyDescent="0.3">
      <c r="A87" s="32"/>
      <c r="B87" s="31">
        <v>489</v>
      </c>
      <c r="C87" s="32" t="s">
        <v>3984</v>
      </c>
      <c r="D87" s="32" t="s">
        <v>3983</v>
      </c>
      <c r="E87" s="33">
        <v>231</v>
      </c>
      <c r="F87" s="30">
        <v>4145698000</v>
      </c>
      <c r="G87" s="31">
        <v>593</v>
      </c>
    </row>
    <row r="88" spans="1:7" ht="90.75" thickBot="1" x14ac:dyDescent="0.3">
      <c r="A88" s="28"/>
      <c r="B88" s="27">
        <v>401</v>
      </c>
      <c r="C88" s="28" t="s">
        <v>5703</v>
      </c>
      <c r="D88" s="28" t="s">
        <v>5604</v>
      </c>
      <c r="E88" s="29">
        <v>195</v>
      </c>
      <c r="F88" s="30">
        <v>11111111111</v>
      </c>
      <c r="G88" s="27">
        <v>445</v>
      </c>
    </row>
    <row r="89" spans="1:7" ht="75.75" thickBot="1" x14ac:dyDescent="0.3">
      <c r="A89" s="32"/>
      <c r="B89" s="31">
        <v>384</v>
      </c>
      <c r="C89" s="32" t="s">
        <v>4531</v>
      </c>
      <c r="D89" s="32" t="s">
        <v>191</v>
      </c>
      <c r="E89" s="33">
        <v>183</v>
      </c>
      <c r="F89" s="30">
        <v>4180000000</v>
      </c>
      <c r="G89" s="31">
        <v>428</v>
      </c>
    </row>
    <row r="90" spans="1:7" ht="90.75" thickBot="1" x14ac:dyDescent="0.3">
      <c r="A90" s="28"/>
      <c r="B90" s="27">
        <v>485</v>
      </c>
      <c r="C90" s="28" t="s">
        <v>3120</v>
      </c>
      <c r="D90" s="28" t="s">
        <v>3084</v>
      </c>
      <c r="E90" s="29">
        <v>162</v>
      </c>
      <c r="F90" s="30">
        <v>3954325401</v>
      </c>
      <c r="G90" s="27">
        <v>589</v>
      </c>
    </row>
    <row r="91" spans="1:7" ht="105.75" thickBot="1" x14ac:dyDescent="0.3">
      <c r="A91" s="32"/>
      <c r="B91" s="31">
        <v>324</v>
      </c>
      <c r="C91" s="32" t="s">
        <v>5556</v>
      </c>
      <c r="D91" s="32" t="s">
        <v>4483</v>
      </c>
      <c r="E91" s="33">
        <v>124</v>
      </c>
      <c r="F91" s="30">
        <v>6320000000</v>
      </c>
      <c r="G91" s="31">
        <v>366</v>
      </c>
    </row>
    <row r="92" spans="1:7" ht="105.75" thickBot="1" x14ac:dyDescent="0.3">
      <c r="A92" s="28"/>
      <c r="B92" s="27">
        <v>317</v>
      </c>
      <c r="C92" s="28" t="s">
        <v>4739</v>
      </c>
      <c r="D92" s="28" t="s">
        <v>4497</v>
      </c>
      <c r="E92" s="29">
        <v>116</v>
      </c>
      <c r="F92" s="30">
        <v>6100000000</v>
      </c>
      <c r="G92" s="27">
        <v>359</v>
      </c>
    </row>
    <row r="93" spans="1:7" ht="75.75" thickBot="1" x14ac:dyDescent="0.3">
      <c r="A93" s="32"/>
      <c r="B93" s="31">
        <v>354</v>
      </c>
      <c r="C93" s="32" t="s">
        <v>5196</v>
      </c>
      <c r="D93" s="32" t="s">
        <v>5195</v>
      </c>
      <c r="E93" s="33">
        <v>111</v>
      </c>
      <c r="F93" s="30">
        <v>6418500009</v>
      </c>
      <c r="G93" s="31">
        <v>396</v>
      </c>
    </row>
    <row r="94" spans="1:7" ht="90.75" thickBot="1" x14ac:dyDescent="0.3">
      <c r="A94" s="28"/>
      <c r="B94" s="27">
        <v>486</v>
      </c>
      <c r="C94" s="28" t="s">
        <v>3085</v>
      </c>
      <c r="D94" s="28" t="s">
        <v>3084</v>
      </c>
      <c r="E94" s="29">
        <v>110</v>
      </c>
      <c r="F94" s="30">
        <v>3954421010</v>
      </c>
      <c r="G94" s="27">
        <v>590</v>
      </c>
    </row>
    <row r="95" spans="1:7" ht="105.75" thickBot="1" x14ac:dyDescent="0.3">
      <c r="A95" s="32"/>
      <c r="B95" s="31">
        <v>313</v>
      </c>
      <c r="C95" s="32" t="s">
        <v>4690</v>
      </c>
      <c r="D95" s="32" t="s">
        <v>4483</v>
      </c>
      <c r="E95" s="33">
        <v>110</v>
      </c>
      <c r="F95" s="30">
        <v>6050222000</v>
      </c>
      <c r="G95" s="31">
        <v>355</v>
      </c>
    </row>
    <row r="96" spans="1:7" ht="90.75" thickBot="1" x14ac:dyDescent="0.3">
      <c r="A96" s="28"/>
      <c r="B96" s="27">
        <v>251</v>
      </c>
      <c r="C96" s="28" t="s">
        <v>3684</v>
      </c>
      <c r="D96" s="28" t="s">
        <v>2476</v>
      </c>
      <c r="E96" s="29">
        <v>104</v>
      </c>
      <c r="F96" s="30">
        <v>4018989890</v>
      </c>
      <c r="G96" s="27">
        <v>293</v>
      </c>
    </row>
    <row r="97" spans="1:7" ht="105.75" thickBot="1" x14ac:dyDescent="0.3">
      <c r="A97" s="32"/>
      <c r="B97" s="31">
        <v>300</v>
      </c>
      <c r="C97" s="32" t="s">
        <v>4693</v>
      </c>
      <c r="D97" s="32" t="s">
        <v>4497</v>
      </c>
      <c r="E97" s="33">
        <v>104</v>
      </c>
      <c r="F97" s="30">
        <v>6300000000</v>
      </c>
      <c r="G97" s="31">
        <v>342</v>
      </c>
    </row>
    <row r="98" spans="1:7" ht="105.75" thickBot="1" x14ac:dyDescent="0.3">
      <c r="A98" s="28"/>
      <c r="B98" s="27">
        <v>390</v>
      </c>
      <c r="C98" s="28" t="s">
        <v>4473</v>
      </c>
      <c r="D98" s="28" t="s">
        <v>2568</v>
      </c>
      <c r="E98" s="29">
        <v>103</v>
      </c>
      <c r="F98" s="30">
        <v>4070000000</v>
      </c>
      <c r="G98" s="27">
        <v>434</v>
      </c>
    </row>
    <row r="99" spans="1:7" ht="90.75" thickBot="1" x14ac:dyDescent="0.3">
      <c r="A99" s="32"/>
      <c r="B99" s="31">
        <v>482</v>
      </c>
      <c r="C99" s="32" t="s">
        <v>3102</v>
      </c>
      <c r="D99" s="32" t="s">
        <v>3084</v>
      </c>
      <c r="E99" s="33">
        <v>100</v>
      </c>
      <c r="F99" s="30">
        <v>3818888899</v>
      </c>
      <c r="G99" s="31">
        <v>586</v>
      </c>
    </row>
    <row r="100" spans="1:7" ht="120.75" thickBot="1" x14ac:dyDescent="0.3">
      <c r="A100" s="35"/>
      <c r="B100" s="36">
        <v>394</v>
      </c>
      <c r="C100" s="35" t="s">
        <v>3956</v>
      </c>
      <c r="D100" s="35" t="s">
        <v>3309</v>
      </c>
      <c r="E100" s="37">
        <v>100</v>
      </c>
      <c r="F100" s="38">
        <v>3950000000</v>
      </c>
      <c r="G100" s="36">
        <v>438</v>
      </c>
    </row>
    <row r="101" spans="1:7" ht="90.75" thickBot="1" x14ac:dyDescent="0.3">
      <c r="B101" s="39">
        <v>261</v>
      </c>
      <c r="C101" s="40" t="s">
        <v>3690</v>
      </c>
      <c r="D101" s="40" t="s">
        <v>3689</v>
      </c>
      <c r="E101" s="41">
        <v>100</v>
      </c>
      <c r="F101" s="26">
        <v>3955000000</v>
      </c>
      <c r="G101" s="39">
        <v>303</v>
      </c>
    </row>
    <row r="102" spans="1:7" ht="75.75" thickBot="1" x14ac:dyDescent="0.3">
      <c r="A102" s="28"/>
      <c r="B102" s="27">
        <v>387</v>
      </c>
      <c r="C102" s="28" t="s">
        <v>4748</v>
      </c>
      <c r="D102" s="28" t="s">
        <v>191</v>
      </c>
      <c r="E102" s="29">
        <v>100</v>
      </c>
      <c r="F102" s="30">
        <v>4055555555</v>
      </c>
      <c r="G102" s="27">
        <v>431</v>
      </c>
    </row>
    <row r="103" spans="1:7" ht="75.75" thickBot="1" x14ac:dyDescent="0.3">
      <c r="A103" s="32"/>
      <c r="B103" s="31">
        <v>270</v>
      </c>
      <c r="C103" s="32" t="s">
        <v>4517</v>
      </c>
      <c r="D103" s="32" t="s">
        <v>191</v>
      </c>
      <c r="E103" s="33">
        <v>100</v>
      </c>
      <c r="F103" s="30">
        <v>4510000222</v>
      </c>
      <c r="G103" s="31">
        <v>312</v>
      </c>
    </row>
    <row r="104" spans="1:7" ht="75.75" thickBot="1" x14ac:dyDescent="0.3">
      <c r="A104" s="28"/>
      <c r="B104" s="27">
        <v>382</v>
      </c>
      <c r="C104" s="28" t="s">
        <v>5059</v>
      </c>
      <c r="D104" s="28" t="s">
        <v>191</v>
      </c>
      <c r="E104" s="29">
        <v>100</v>
      </c>
      <c r="F104" s="30">
        <v>4550000000</v>
      </c>
      <c r="G104" s="27">
        <v>426</v>
      </c>
    </row>
    <row r="105" spans="1:7" ht="75.75" thickBot="1" x14ac:dyDescent="0.3">
      <c r="A105" s="32"/>
      <c r="B105" s="31">
        <v>378</v>
      </c>
      <c r="C105" s="32" t="s">
        <v>4982</v>
      </c>
      <c r="D105" s="32" t="s">
        <v>191</v>
      </c>
      <c r="E105" s="33">
        <v>99</v>
      </c>
      <c r="F105" s="30">
        <v>4876599999</v>
      </c>
      <c r="G105" s="31">
        <v>422</v>
      </c>
    </row>
    <row r="106" spans="1:7" ht="105.75" thickBot="1" x14ac:dyDescent="0.3">
      <c r="A106" s="28"/>
      <c r="B106" s="27">
        <v>332</v>
      </c>
      <c r="C106" s="28" t="s">
        <v>5496</v>
      </c>
      <c r="D106" s="28" t="s">
        <v>4497</v>
      </c>
      <c r="E106" s="29">
        <v>99</v>
      </c>
      <c r="F106" s="30">
        <v>6019500000</v>
      </c>
      <c r="G106" s="27">
        <v>374</v>
      </c>
    </row>
    <row r="107" spans="1:7" ht="105.75" thickBot="1" x14ac:dyDescent="0.3">
      <c r="A107" s="32"/>
      <c r="B107" s="31">
        <v>314</v>
      </c>
      <c r="C107" s="32" t="s">
        <v>4604</v>
      </c>
      <c r="D107" s="32" t="s">
        <v>4497</v>
      </c>
      <c r="E107" s="33">
        <v>97</v>
      </c>
      <c r="F107" s="30">
        <v>6010999999</v>
      </c>
      <c r="G107" s="31">
        <v>356</v>
      </c>
    </row>
    <row r="108" spans="1:7" ht="105.75" thickBot="1" x14ac:dyDescent="0.3">
      <c r="A108" s="28"/>
      <c r="B108" s="27">
        <v>311</v>
      </c>
      <c r="C108" s="28" t="s">
        <v>4658</v>
      </c>
      <c r="D108" s="28" t="s">
        <v>4483</v>
      </c>
      <c r="E108" s="29">
        <v>96</v>
      </c>
      <c r="F108" s="30">
        <v>6050222000</v>
      </c>
      <c r="G108" s="27">
        <v>353</v>
      </c>
    </row>
    <row r="109" spans="1:7" ht="90.75" thickBot="1" x14ac:dyDescent="0.3">
      <c r="A109" s="32"/>
      <c r="B109" s="31">
        <v>512</v>
      </c>
      <c r="C109" s="32" t="s">
        <v>5666</v>
      </c>
      <c r="D109" s="32" t="s">
        <v>5604</v>
      </c>
      <c r="E109" s="33">
        <v>96</v>
      </c>
      <c r="F109" s="30">
        <v>12520888889</v>
      </c>
      <c r="G109" s="31">
        <v>622</v>
      </c>
    </row>
    <row r="110" spans="1:7" ht="105.75" thickBot="1" x14ac:dyDescent="0.3">
      <c r="A110" s="28"/>
      <c r="B110" s="27">
        <v>295</v>
      </c>
      <c r="C110" s="28" t="s">
        <v>4702</v>
      </c>
      <c r="D110" s="28" t="s">
        <v>4483</v>
      </c>
      <c r="E110" s="29">
        <v>95</v>
      </c>
      <c r="F110" s="30">
        <v>6010000000</v>
      </c>
      <c r="G110" s="27">
        <v>337</v>
      </c>
    </row>
    <row r="111" spans="1:7" ht="45.75" thickBot="1" x14ac:dyDescent="0.3">
      <c r="A111" s="32"/>
      <c r="B111" s="31">
        <v>490</v>
      </c>
      <c r="C111" s="32" t="s">
        <v>3202</v>
      </c>
      <c r="D111" s="32" t="s">
        <v>3201</v>
      </c>
      <c r="E111" s="33">
        <v>90</v>
      </c>
      <c r="F111" s="30">
        <v>4172999999</v>
      </c>
      <c r="G111" s="31">
        <v>594</v>
      </c>
    </row>
    <row r="112" spans="1:7" ht="105.75" thickBot="1" x14ac:dyDescent="0.3">
      <c r="A112" s="28"/>
      <c r="B112" s="27">
        <v>388</v>
      </c>
      <c r="C112" s="28" t="s">
        <v>2580</v>
      </c>
      <c r="D112" s="28" t="s">
        <v>1418</v>
      </c>
      <c r="E112" s="29">
        <v>87</v>
      </c>
      <c r="F112" s="30">
        <v>4020000000</v>
      </c>
      <c r="G112" s="27">
        <v>432</v>
      </c>
    </row>
    <row r="113" spans="1:7" ht="90.75" thickBot="1" x14ac:dyDescent="0.3">
      <c r="A113" s="32"/>
      <c r="B113" s="31">
        <v>468</v>
      </c>
      <c r="C113" s="32" t="s">
        <v>3029</v>
      </c>
      <c r="D113" s="32" t="s">
        <v>2796</v>
      </c>
      <c r="E113" s="33">
        <v>87</v>
      </c>
      <c r="F113" s="30">
        <v>4119679900</v>
      </c>
      <c r="G113" s="31">
        <v>572</v>
      </c>
    </row>
    <row r="114" spans="1:7" ht="60.75" thickBot="1" x14ac:dyDescent="0.3">
      <c r="A114" s="28"/>
      <c r="B114" s="27">
        <v>249</v>
      </c>
      <c r="C114" s="28" t="s">
        <v>5051</v>
      </c>
      <c r="D114" s="28" t="s">
        <v>404</v>
      </c>
      <c r="E114" s="29">
        <v>86</v>
      </c>
      <c r="F114" s="30">
        <v>5152999999</v>
      </c>
      <c r="G114" s="27">
        <v>291</v>
      </c>
    </row>
    <row r="115" spans="1:7" ht="105.75" thickBot="1" x14ac:dyDescent="0.3">
      <c r="A115" s="32"/>
      <c r="B115" s="31">
        <v>120</v>
      </c>
      <c r="C115" s="32" t="s">
        <v>1695</v>
      </c>
      <c r="D115" s="32" t="s">
        <v>376</v>
      </c>
      <c r="E115" s="33">
        <v>84</v>
      </c>
      <c r="F115" s="30">
        <v>2359000000</v>
      </c>
      <c r="G115" s="31">
        <v>162</v>
      </c>
    </row>
    <row r="116" spans="1:7" ht="105.75" thickBot="1" x14ac:dyDescent="0.3">
      <c r="A116" s="28"/>
      <c r="B116" s="27">
        <v>318</v>
      </c>
      <c r="C116" s="28" t="s">
        <v>4665</v>
      </c>
      <c r="D116" s="28" t="s">
        <v>4483</v>
      </c>
      <c r="E116" s="29">
        <v>81</v>
      </c>
      <c r="F116" s="30">
        <v>6135000000</v>
      </c>
      <c r="G116" s="27">
        <v>360</v>
      </c>
    </row>
    <row r="117" spans="1:7" ht="105.75" thickBot="1" x14ac:dyDescent="0.3">
      <c r="A117" s="32"/>
      <c r="B117" s="31">
        <v>520</v>
      </c>
      <c r="C117" s="32" t="s">
        <v>4478</v>
      </c>
      <c r="D117" s="32" t="s">
        <v>4477</v>
      </c>
      <c r="E117" s="33">
        <v>80</v>
      </c>
      <c r="F117" s="30">
        <v>4875141555</v>
      </c>
      <c r="G117" s="31">
        <v>630</v>
      </c>
    </row>
    <row r="118" spans="1:7" ht="105.75" thickBot="1" x14ac:dyDescent="0.3">
      <c r="A118" s="28"/>
      <c r="B118" s="27">
        <v>296</v>
      </c>
      <c r="C118" s="28" t="s">
        <v>4710</v>
      </c>
      <c r="D118" s="28" t="s">
        <v>4483</v>
      </c>
      <c r="E118" s="29">
        <v>80</v>
      </c>
      <c r="F118" s="30">
        <v>6150000000</v>
      </c>
      <c r="G118" s="27">
        <v>338</v>
      </c>
    </row>
    <row r="119" spans="1:7" ht="105.75" thickBot="1" x14ac:dyDescent="0.3">
      <c r="A119" s="32"/>
      <c r="B119" s="31">
        <v>434</v>
      </c>
      <c r="C119" s="32" t="s">
        <v>5341</v>
      </c>
      <c r="D119" s="32" t="s">
        <v>3446</v>
      </c>
      <c r="E119" s="33">
        <v>80</v>
      </c>
      <c r="F119" s="30">
        <v>6759999999</v>
      </c>
      <c r="G119" s="31">
        <v>531</v>
      </c>
    </row>
    <row r="120" spans="1:7" ht="75.75" thickBot="1" x14ac:dyDescent="0.3">
      <c r="A120" s="28"/>
      <c r="B120" s="27">
        <v>348</v>
      </c>
      <c r="C120" s="28" t="s">
        <v>5284</v>
      </c>
      <c r="D120" s="28" t="s">
        <v>5283</v>
      </c>
      <c r="E120" s="29">
        <v>79</v>
      </c>
      <c r="F120" s="30">
        <v>6011000000</v>
      </c>
      <c r="G120" s="27">
        <v>390</v>
      </c>
    </row>
    <row r="121" spans="1:7" ht="105.75" thickBot="1" x14ac:dyDescent="0.3">
      <c r="A121" s="32"/>
      <c r="B121" s="31">
        <v>343</v>
      </c>
      <c r="C121" s="32" t="s">
        <v>5438</v>
      </c>
      <c r="D121" s="32" t="s">
        <v>4497</v>
      </c>
      <c r="E121" s="33">
        <v>77</v>
      </c>
      <c r="F121" s="30">
        <v>5866666666</v>
      </c>
      <c r="G121" s="31">
        <v>385</v>
      </c>
    </row>
    <row r="122" spans="1:7" ht="105.75" thickBot="1" x14ac:dyDescent="0.3">
      <c r="A122" s="28"/>
      <c r="B122" s="27">
        <v>341</v>
      </c>
      <c r="C122" s="28" t="s">
        <v>5476</v>
      </c>
      <c r="D122" s="28" t="s">
        <v>4497</v>
      </c>
      <c r="E122" s="29">
        <v>76</v>
      </c>
      <c r="F122" s="30">
        <v>5590999999</v>
      </c>
      <c r="G122" s="27">
        <v>383</v>
      </c>
    </row>
    <row r="123" spans="1:7" ht="105.75" thickBot="1" x14ac:dyDescent="0.3">
      <c r="A123" s="32"/>
      <c r="B123" s="31">
        <v>345</v>
      </c>
      <c r="C123" s="32" t="s">
        <v>5443</v>
      </c>
      <c r="D123" s="32" t="s">
        <v>4483</v>
      </c>
      <c r="E123" s="33">
        <v>72</v>
      </c>
      <c r="F123" s="30">
        <v>6200111000</v>
      </c>
      <c r="G123" s="31">
        <v>387</v>
      </c>
    </row>
    <row r="124" spans="1:7" ht="90.75" thickBot="1" x14ac:dyDescent="0.3">
      <c r="A124" s="28"/>
      <c r="B124" s="27">
        <v>355</v>
      </c>
      <c r="C124" s="28" t="s">
        <v>5270</v>
      </c>
      <c r="D124" s="28" t="s">
        <v>5201</v>
      </c>
      <c r="E124" s="29">
        <v>71</v>
      </c>
      <c r="F124" s="30">
        <v>6511111111</v>
      </c>
      <c r="G124" s="27">
        <v>397</v>
      </c>
    </row>
    <row r="125" spans="1:7" ht="90.75" thickBot="1" x14ac:dyDescent="0.3">
      <c r="A125" s="32"/>
      <c r="B125" s="31">
        <v>460</v>
      </c>
      <c r="C125" s="32" t="s">
        <v>5081</v>
      </c>
      <c r="D125" s="32" t="s">
        <v>5074</v>
      </c>
      <c r="E125" s="33">
        <v>70</v>
      </c>
      <c r="F125" s="30">
        <v>6626000000</v>
      </c>
      <c r="G125" s="31">
        <v>564</v>
      </c>
    </row>
    <row r="126" spans="1:7" ht="75.75" thickBot="1" x14ac:dyDescent="0.3">
      <c r="A126" s="28"/>
      <c r="B126" s="27">
        <v>372</v>
      </c>
      <c r="C126" s="28" t="s">
        <v>4767</v>
      </c>
      <c r="D126" s="28" t="s">
        <v>191</v>
      </c>
      <c r="E126" s="29">
        <v>69</v>
      </c>
      <c r="F126" s="30">
        <v>4477557000</v>
      </c>
      <c r="G126" s="27">
        <v>414</v>
      </c>
    </row>
    <row r="127" spans="1:7" ht="90.75" thickBot="1" x14ac:dyDescent="0.3">
      <c r="A127" s="32"/>
      <c r="B127" s="31">
        <v>455</v>
      </c>
      <c r="C127" s="32" t="s">
        <v>2503</v>
      </c>
      <c r="D127" s="32" t="s">
        <v>2502</v>
      </c>
      <c r="E127" s="33">
        <v>68</v>
      </c>
      <c r="F127" s="30">
        <v>3667900000</v>
      </c>
      <c r="G127" s="31">
        <v>559</v>
      </c>
    </row>
    <row r="128" spans="1:7" ht="90.75" thickBot="1" x14ac:dyDescent="0.3">
      <c r="A128" s="28"/>
      <c r="B128" s="27">
        <v>465</v>
      </c>
      <c r="C128" s="28" t="s">
        <v>2797</v>
      </c>
      <c r="D128" s="28" t="s">
        <v>2796</v>
      </c>
      <c r="E128" s="29">
        <v>68</v>
      </c>
      <c r="F128" s="30">
        <v>4146777777</v>
      </c>
      <c r="G128" s="27">
        <v>569</v>
      </c>
    </row>
    <row r="129" spans="1:7" ht="105.75" thickBot="1" x14ac:dyDescent="0.3">
      <c r="A129" s="32"/>
      <c r="B129" s="31">
        <v>284</v>
      </c>
      <c r="C129" s="32" t="s">
        <v>5521</v>
      </c>
      <c r="D129" s="32" t="s">
        <v>4483</v>
      </c>
      <c r="E129" s="33">
        <v>67</v>
      </c>
      <c r="F129" s="30">
        <v>6370991111</v>
      </c>
      <c r="G129" s="31">
        <v>326</v>
      </c>
    </row>
    <row r="130" spans="1:7" ht="105.75" thickBot="1" x14ac:dyDescent="0.3">
      <c r="A130" s="28"/>
      <c r="B130" s="27">
        <v>340</v>
      </c>
      <c r="C130" s="28" t="s">
        <v>5540</v>
      </c>
      <c r="D130" s="28" t="s">
        <v>4497</v>
      </c>
      <c r="E130" s="29">
        <v>67</v>
      </c>
      <c r="F130" s="30">
        <v>6450000000</v>
      </c>
      <c r="G130" s="27">
        <v>382</v>
      </c>
    </row>
    <row r="131" spans="1:7" ht="105.75" thickBot="1" x14ac:dyDescent="0.3">
      <c r="A131" s="32"/>
      <c r="B131" s="31">
        <v>154</v>
      </c>
      <c r="C131" s="32" t="s">
        <v>1822</v>
      </c>
      <c r="D131" s="32" t="s">
        <v>376</v>
      </c>
      <c r="E131" s="33">
        <v>66</v>
      </c>
      <c r="F131" s="30">
        <v>2280000000</v>
      </c>
      <c r="G131" s="31">
        <v>196</v>
      </c>
    </row>
    <row r="132" spans="1:7" ht="90.75" thickBot="1" x14ac:dyDescent="0.3">
      <c r="A132" s="28"/>
      <c r="B132" s="27">
        <v>505</v>
      </c>
      <c r="C132" s="28" t="s">
        <v>5032</v>
      </c>
      <c r="D132" s="28" t="s">
        <v>4609</v>
      </c>
      <c r="E132" s="29">
        <v>66</v>
      </c>
      <c r="F132" s="30">
        <v>6153285590</v>
      </c>
      <c r="G132" s="27">
        <v>615</v>
      </c>
    </row>
    <row r="133" spans="1:7" ht="105.75" thickBot="1" x14ac:dyDescent="0.3">
      <c r="A133" s="32"/>
      <c r="B133" s="31">
        <v>290</v>
      </c>
      <c r="C133" s="32" t="s">
        <v>5373</v>
      </c>
      <c r="D133" s="32" t="s">
        <v>4497</v>
      </c>
      <c r="E133" s="33">
        <v>64</v>
      </c>
      <c r="F133" s="30">
        <v>5777777777</v>
      </c>
      <c r="G133" s="31">
        <v>332</v>
      </c>
    </row>
    <row r="134" spans="1:7" ht="105.75" thickBot="1" x14ac:dyDescent="0.3">
      <c r="A134" s="28"/>
      <c r="B134" s="27">
        <v>244</v>
      </c>
      <c r="C134" s="28" t="s">
        <v>5568</v>
      </c>
      <c r="D134" s="28" t="s">
        <v>4318</v>
      </c>
      <c r="E134" s="29">
        <v>64</v>
      </c>
      <c r="F134" s="30">
        <v>6230000000</v>
      </c>
      <c r="G134" s="27">
        <v>286</v>
      </c>
    </row>
    <row r="135" spans="1:7" ht="105.75" thickBot="1" x14ac:dyDescent="0.3">
      <c r="A135" s="32"/>
      <c r="B135" s="31">
        <v>278</v>
      </c>
      <c r="C135" s="32" t="s">
        <v>5369</v>
      </c>
      <c r="D135" s="32" t="s">
        <v>4497</v>
      </c>
      <c r="E135" s="33">
        <v>64</v>
      </c>
      <c r="F135" s="30">
        <v>6360000000</v>
      </c>
      <c r="G135" s="31">
        <v>320</v>
      </c>
    </row>
    <row r="136" spans="1:7" ht="90.75" thickBot="1" x14ac:dyDescent="0.3">
      <c r="A136" s="28"/>
      <c r="B136" s="27">
        <v>459</v>
      </c>
      <c r="C136" s="28" t="s">
        <v>5075</v>
      </c>
      <c r="D136" s="28" t="s">
        <v>5074</v>
      </c>
      <c r="E136" s="29">
        <v>63</v>
      </c>
      <c r="F136" s="30">
        <v>6165400000</v>
      </c>
      <c r="G136" s="27">
        <v>563</v>
      </c>
    </row>
    <row r="137" spans="1:7" ht="90.75" thickBot="1" x14ac:dyDescent="0.3">
      <c r="A137" s="32"/>
      <c r="B137" s="31">
        <v>257</v>
      </c>
      <c r="C137" s="32" t="s">
        <v>4421</v>
      </c>
      <c r="D137" s="32" t="s">
        <v>4366</v>
      </c>
      <c r="E137" s="33">
        <v>61</v>
      </c>
      <c r="F137" s="30">
        <v>4030000000</v>
      </c>
      <c r="G137" s="31">
        <v>299</v>
      </c>
    </row>
    <row r="138" spans="1:7" ht="90.75" thickBot="1" x14ac:dyDescent="0.3">
      <c r="A138" s="28"/>
      <c r="B138" s="27">
        <v>498</v>
      </c>
      <c r="C138" s="28" t="s">
        <v>5001</v>
      </c>
      <c r="D138" s="28" t="s">
        <v>4609</v>
      </c>
      <c r="E138" s="29">
        <v>61</v>
      </c>
      <c r="F138" s="30">
        <v>6148758930</v>
      </c>
      <c r="G138" s="27">
        <v>608</v>
      </c>
    </row>
    <row r="139" spans="1:7" ht="105.75" thickBot="1" x14ac:dyDescent="0.3">
      <c r="A139" s="32"/>
      <c r="B139" s="31">
        <v>273</v>
      </c>
      <c r="C139" s="32" t="s">
        <v>5505</v>
      </c>
      <c r="D139" s="32" t="s">
        <v>4483</v>
      </c>
      <c r="E139" s="33">
        <v>61</v>
      </c>
      <c r="F139" s="30">
        <v>6267500000</v>
      </c>
      <c r="G139" s="31">
        <v>315</v>
      </c>
    </row>
    <row r="140" spans="1:7" ht="105.75" thickBot="1" x14ac:dyDescent="0.3">
      <c r="A140" s="28"/>
      <c r="B140" s="27">
        <v>66</v>
      </c>
      <c r="C140" s="28" t="s">
        <v>1482</v>
      </c>
      <c r="D140" s="28" t="s">
        <v>376</v>
      </c>
      <c r="E140" s="29">
        <v>60</v>
      </c>
      <c r="F140" s="30">
        <v>2436770000</v>
      </c>
      <c r="G140" s="27">
        <v>108</v>
      </c>
    </row>
    <row r="141" spans="1:7" ht="105.75" thickBot="1" x14ac:dyDescent="0.3">
      <c r="A141" s="32"/>
      <c r="B141" s="31">
        <v>346</v>
      </c>
      <c r="C141" s="32" t="s">
        <v>5544</v>
      </c>
      <c r="D141" s="32" t="s">
        <v>4483</v>
      </c>
      <c r="E141" s="33">
        <v>60</v>
      </c>
      <c r="F141" s="30">
        <v>6100000000</v>
      </c>
      <c r="G141" s="31">
        <v>388</v>
      </c>
    </row>
    <row r="142" spans="1:7" ht="105.75" thickBot="1" x14ac:dyDescent="0.3">
      <c r="A142" s="28"/>
      <c r="B142" s="27">
        <v>303</v>
      </c>
      <c r="C142" s="28" t="s">
        <v>4723</v>
      </c>
      <c r="D142" s="28" t="s">
        <v>4497</v>
      </c>
      <c r="E142" s="29">
        <v>60</v>
      </c>
      <c r="F142" s="30">
        <v>6377777777</v>
      </c>
      <c r="G142" s="27">
        <v>345</v>
      </c>
    </row>
    <row r="143" spans="1:7" ht="105.75" thickBot="1" x14ac:dyDescent="0.3">
      <c r="A143" s="32"/>
      <c r="B143" s="31">
        <v>309</v>
      </c>
      <c r="C143" s="32" t="s">
        <v>5456</v>
      </c>
      <c r="D143" s="32" t="s">
        <v>4497</v>
      </c>
      <c r="E143" s="33">
        <v>59</v>
      </c>
      <c r="F143" s="30">
        <v>6006006060</v>
      </c>
      <c r="G143" s="31">
        <v>351</v>
      </c>
    </row>
    <row r="144" spans="1:7" ht="105.75" thickBot="1" x14ac:dyDescent="0.3">
      <c r="A144" s="28"/>
      <c r="B144" s="27">
        <v>286</v>
      </c>
      <c r="C144" s="28" t="s">
        <v>5381</v>
      </c>
      <c r="D144" s="28" t="s">
        <v>4497</v>
      </c>
      <c r="E144" s="29">
        <v>59</v>
      </c>
      <c r="F144" s="30">
        <v>6066555000</v>
      </c>
      <c r="G144" s="27">
        <v>328</v>
      </c>
    </row>
    <row r="145" spans="1:7" ht="90.75" thickBot="1" x14ac:dyDescent="0.3">
      <c r="A145" s="32"/>
      <c r="B145" s="31">
        <v>495</v>
      </c>
      <c r="C145" s="32" t="s">
        <v>4987</v>
      </c>
      <c r="D145" s="32" t="s">
        <v>4609</v>
      </c>
      <c r="E145" s="33">
        <v>58</v>
      </c>
      <c r="F145" s="30">
        <v>6362000000</v>
      </c>
      <c r="G145" s="31">
        <v>605</v>
      </c>
    </row>
    <row r="146" spans="1:7" ht="105.75" thickBot="1" x14ac:dyDescent="0.3">
      <c r="A146" s="28"/>
      <c r="B146" s="27">
        <v>61</v>
      </c>
      <c r="C146" s="28" t="s">
        <v>1461</v>
      </c>
      <c r="D146" s="28" t="s">
        <v>376</v>
      </c>
      <c r="E146" s="29">
        <v>57</v>
      </c>
      <c r="F146" s="30">
        <v>2234000001</v>
      </c>
      <c r="G146" s="27">
        <v>103</v>
      </c>
    </row>
    <row r="147" spans="1:7" ht="90.75" thickBot="1" x14ac:dyDescent="0.3">
      <c r="A147" s="32"/>
      <c r="B147" s="31">
        <v>467</v>
      </c>
      <c r="C147" s="32" t="s">
        <v>3023</v>
      </c>
      <c r="D147" s="32" t="s">
        <v>2796</v>
      </c>
      <c r="E147" s="33">
        <v>57</v>
      </c>
      <c r="F147" s="30">
        <v>4490000000</v>
      </c>
      <c r="G147" s="31">
        <v>571</v>
      </c>
    </row>
    <row r="148" spans="1:7" ht="105.75" thickBot="1" x14ac:dyDescent="0.3">
      <c r="A148" s="28"/>
      <c r="B148" s="27">
        <v>319</v>
      </c>
      <c r="C148" s="28" t="s">
        <v>4869</v>
      </c>
      <c r="D148" s="28" t="s">
        <v>4497</v>
      </c>
      <c r="E148" s="29">
        <v>57</v>
      </c>
      <c r="F148" s="30">
        <v>5976655555</v>
      </c>
      <c r="G148" s="27">
        <v>361</v>
      </c>
    </row>
    <row r="149" spans="1:7" ht="105.75" thickBot="1" x14ac:dyDescent="0.3">
      <c r="A149" s="32"/>
      <c r="B149" s="31">
        <v>293</v>
      </c>
      <c r="C149" s="32" t="s">
        <v>4727</v>
      </c>
      <c r="D149" s="32" t="s">
        <v>4483</v>
      </c>
      <c r="E149" s="33">
        <v>57</v>
      </c>
      <c r="F149" s="30">
        <v>6050222000</v>
      </c>
      <c r="G149" s="31">
        <v>335</v>
      </c>
    </row>
    <row r="150" spans="1:7" ht="90.75" thickBot="1" x14ac:dyDescent="0.3">
      <c r="A150" s="28"/>
      <c r="B150" s="27">
        <v>500</v>
      </c>
      <c r="C150" s="28" t="s">
        <v>5009</v>
      </c>
      <c r="D150" s="28" t="s">
        <v>4609</v>
      </c>
      <c r="E150" s="29">
        <v>57</v>
      </c>
      <c r="F150" s="30">
        <v>6148758930</v>
      </c>
      <c r="G150" s="27">
        <v>610</v>
      </c>
    </row>
    <row r="151" spans="1:7" ht="105.75" thickBot="1" x14ac:dyDescent="0.3">
      <c r="A151" s="32"/>
      <c r="B151" s="31">
        <v>275</v>
      </c>
      <c r="C151" s="32" t="s">
        <v>5448</v>
      </c>
      <c r="D151" s="32" t="s">
        <v>4497</v>
      </c>
      <c r="E151" s="33">
        <v>57</v>
      </c>
      <c r="F151" s="30">
        <v>6277770000</v>
      </c>
      <c r="G151" s="31">
        <v>317</v>
      </c>
    </row>
    <row r="152" spans="1:7" ht="105.75" thickBot="1" x14ac:dyDescent="0.3">
      <c r="A152" s="28"/>
      <c r="B152" s="27">
        <v>137</v>
      </c>
      <c r="C152" s="28" t="s">
        <v>1753</v>
      </c>
      <c r="D152" s="28" t="s">
        <v>376</v>
      </c>
      <c r="E152" s="29">
        <v>56</v>
      </c>
      <c r="F152" s="30">
        <v>2388238888</v>
      </c>
      <c r="G152" s="27">
        <v>179</v>
      </c>
    </row>
    <row r="153" spans="1:7" ht="75.75" thickBot="1" x14ac:dyDescent="0.3">
      <c r="A153" s="32"/>
      <c r="B153" s="31">
        <v>350</v>
      </c>
      <c r="C153" s="32" t="s">
        <v>3828</v>
      </c>
      <c r="D153" s="32" t="s">
        <v>3497</v>
      </c>
      <c r="E153" s="33">
        <v>56</v>
      </c>
      <c r="F153" s="30">
        <v>5400000000</v>
      </c>
      <c r="G153" s="31">
        <v>392</v>
      </c>
    </row>
    <row r="154" spans="1:7" ht="60.75" thickBot="1" x14ac:dyDescent="0.3">
      <c r="A154" s="28"/>
      <c r="B154" s="27">
        <v>358</v>
      </c>
      <c r="C154" s="28" t="s">
        <v>5315</v>
      </c>
      <c r="D154" s="28" t="s">
        <v>5314</v>
      </c>
      <c r="E154" s="29">
        <v>56</v>
      </c>
      <c r="F154" s="30">
        <v>5629999999</v>
      </c>
      <c r="G154" s="27">
        <v>400</v>
      </c>
    </row>
    <row r="155" spans="1:7" ht="90.75" thickBot="1" x14ac:dyDescent="0.3">
      <c r="A155" s="32"/>
      <c r="B155" s="31">
        <v>496</v>
      </c>
      <c r="C155" s="32" t="s">
        <v>4991</v>
      </c>
      <c r="D155" s="32" t="s">
        <v>4609</v>
      </c>
      <c r="E155" s="33">
        <v>56</v>
      </c>
      <c r="F155" s="30">
        <v>6400000000</v>
      </c>
      <c r="G155" s="31">
        <v>606</v>
      </c>
    </row>
    <row r="156" spans="1:7" ht="105.75" thickBot="1" x14ac:dyDescent="0.3">
      <c r="A156" s="28"/>
      <c r="B156" s="27">
        <v>23</v>
      </c>
      <c r="C156" s="28" t="s">
        <v>585</v>
      </c>
      <c r="D156" s="28" t="s">
        <v>376</v>
      </c>
      <c r="E156" s="29">
        <v>55</v>
      </c>
      <c r="F156" s="30">
        <v>2388888888</v>
      </c>
      <c r="G156" s="27">
        <v>65</v>
      </c>
    </row>
    <row r="157" spans="1:7" ht="90.75" thickBot="1" x14ac:dyDescent="0.3">
      <c r="A157" s="32"/>
      <c r="B157" s="31">
        <v>253</v>
      </c>
      <c r="C157" s="32" t="s">
        <v>4367</v>
      </c>
      <c r="D157" s="32" t="s">
        <v>4366</v>
      </c>
      <c r="E157" s="33">
        <v>55</v>
      </c>
      <c r="F157" s="30">
        <v>4116686600</v>
      </c>
      <c r="G157" s="31">
        <v>295</v>
      </c>
    </row>
    <row r="158" spans="1:7" ht="105.75" thickBot="1" x14ac:dyDescent="0.3">
      <c r="A158" s="28"/>
      <c r="B158" s="27">
        <v>326</v>
      </c>
      <c r="C158" s="28" t="s">
        <v>5406</v>
      </c>
      <c r="D158" s="28" t="s">
        <v>4497</v>
      </c>
      <c r="E158" s="29">
        <v>55</v>
      </c>
      <c r="F158" s="30">
        <v>5703590000</v>
      </c>
      <c r="G158" s="27">
        <v>368</v>
      </c>
    </row>
    <row r="159" spans="1:7" ht="90.75" thickBot="1" x14ac:dyDescent="0.3">
      <c r="A159" s="32"/>
      <c r="B159" s="31">
        <v>507</v>
      </c>
      <c r="C159" s="32" t="s">
        <v>5041</v>
      </c>
      <c r="D159" s="32" t="s">
        <v>4609</v>
      </c>
      <c r="E159" s="33">
        <v>55</v>
      </c>
      <c r="F159" s="30">
        <v>5999999999</v>
      </c>
      <c r="G159" s="31">
        <v>617</v>
      </c>
    </row>
    <row r="160" spans="1:7" ht="90.75" thickBot="1" x14ac:dyDescent="0.3">
      <c r="A160" s="28"/>
      <c r="B160" s="27">
        <v>502</v>
      </c>
      <c r="C160" s="28" t="s">
        <v>5019</v>
      </c>
      <c r="D160" s="28" t="s">
        <v>4609</v>
      </c>
      <c r="E160" s="29">
        <v>55</v>
      </c>
      <c r="F160" s="30">
        <v>6153285590</v>
      </c>
      <c r="G160" s="27">
        <v>612</v>
      </c>
    </row>
    <row r="161" spans="1:7" ht="105.75" thickBot="1" x14ac:dyDescent="0.3">
      <c r="A161" s="32"/>
      <c r="B161" s="31">
        <v>281</v>
      </c>
      <c r="C161" s="32" t="s">
        <v>5414</v>
      </c>
      <c r="D161" s="32" t="s">
        <v>4497</v>
      </c>
      <c r="E161" s="33">
        <v>55</v>
      </c>
      <c r="F161" s="30">
        <v>6385000000</v>
      </c>
      <c r="G161" s="31">
        <v>323</v>
      </c>
    </row>
    <row r="162" spans="1:7" ht="105.75" thickBot="1" x14ac:dyDescent="0.3">
      <c r="A162" s="28"/>
      <c r="B162" s="27">
        <v>276</v>
      </c>
      <c r="C162" s="28" t="s">
        <v>5509</v>
      </c>
      <c r="D162" s="28" t="s">
        <v>4497</v>
      </c>
      <c r="E162" s="29">
        <v>55</v>
      </c>
      <c r="F162" s="30">
        <v>6485236742</v>
      </c>
      <c r="G162" s="27">
        <v>318</v>
      </c>
    </row>
    <row r="163" spans="1:7" ht="90.75" thickBot="1" x14ac:dyDescent="0.3">
      <c r="A163" s="32"/>
      <c r="B163" s="31">
        <v>504</v>
      </c>
      <c r="C163" s="32" t="s">
        <v>5028</v>
      </c>
      <c r="D163" s="32" t="s">
        <v>4609</v>
      </c>
      <c r="E163" s="33">
        <v>55</v>
      </c>
      <c r="F163" s="30">
        <v>6500000000</v>
      </c>
      <c r="G163" s="31">
        <v>614</v>
      </c>
    </row>
    <row r="164" spans="1:7" ht="90.75" thickBot="1" x14ac:dyDescent="0.3">
      <c r="A164" s="28"/>
      <c r="B164" s="27">
        <v>501</v>
      </c>
      <c r="C164" s="28" t="s">
        <v>5014</v>
      </c>
      <c r="D164" s="28" t="s">
        <v>4609</v>
      </c>
      <c r="E164" s="29">
        <v>54</v>
      </c>
      <c r="F164" s="30">
        <v>5688669999</v>
      </c>
      <c r="G164" s="27">
        <v>611</v>
      </c>
    </row>
    <row r="165" spans="1:7" ht="90.75" thickBot="1" x14ac:dyDescent="0.3">
      <c r="A165" s="32"/>
      <c r="B165" s="31">
        <v>497</v>
      </c>
      <c r="C165" s="32" t="s">
        <v>4996</v>
      </c>
      <c r="D165" s="32" t="s">
        <v>4609</v>
      </c>
      <c r="E165" s="33">
        <v>54</v>
      </c>
      <c r="F165" s="30">
        <v>5872200000</v>
      </c>
      <c r="G165" s="31">
        <v>607</v>
      </c>
    </row>
    <row r="166" spans="1:7" ht="105.75" thickBot="1" x14ac:dyDescent="0.3">
      <c r="A166" s="28"/>
      <c r="B166" s="27">
        <v>310</v>
      </c>
      <c r="C166" s="28" t="s">
        <v>4732</v>
      </c>
      <c r="D166" s="28" t="s">
        <v>4483</v>
      </c>
      <c r="E166" s="29">
        <v>54</v>
      </c>
      <c r="F166" s="30">
        <v>6051000000</v>
      </c>
      <c r="G166" s="27">
        <v>352</v>
      </c>
    </row>
    <row r="167" spans="1:7" ht="90.75" thickBot="1" x14ac:dyDescent="0.3">
      <c r="A167" s="32"/>
      <c r="B167" s="31">
        <v>499</v>
      </c>
      <c r="C167" s="32" t="s">
        <v>5005</v>
      </c>
      <c r="D167" s="32" t="s">
        <v>4609</v>
      </c>
      <c r="E167" s="33">
        <v>54</v>
      </c>
      <c r="F167" s="30">
        <v>6148758930</v>
      </c>
      <c r="G167" s="31">
        <v>609</v>
      </c>
    </row>
    <row r="168" spans="1:7" ht="105.75" thickBot="1" x14ac:dyDescent="0.3">
      <c r="A168" s="28"/>
      <c r="B168" s="27">
        <v>347</v>
      </c>
      <c r="C168" s="28" t="s">
        <v>5548</v>
      </c>
      <c r="D168" s="28" t="s">
        <v>4497</v>
      </c>
      <c r="E168" s="29">
        <v>54</v>
      </c>
      <c r="F168" s="30">
        <v>6219999999</v>
      </c>
      <c r="G168" s="27">
        <v>389</v>
      </c>
    </row>
    <row r="169" spans="1:7" ht="105.75" thickBot="1" x14ac:dyDescent="0.3">
      <c r="A169" s="32"/>
      <c r="B169" s="31">
        <v>277</v>
      </c>
      <c r="C169" s="32" t="s">
        <v>5513</v>
      </c>
      <c r="D169" s="32" t="s">
        <v>4483</v>
      </c>
      <c r="E169" s="33">
        <v>54</v>
      </c>
      <c r="F169" s="30">
        <v>6296800000</v>
      </c>
      <c r="G169" s="31">
        <v>319</v>
      </c>
    </row>
    <row r="170" spans="1:7" ht="105.75" thickBot="1" x14ac:dyDescent="0.3">
      <c r="A170" s="28"/>
      <c r="B170" s="27">
        <v>315</v>
      </c>
      <c r="C170" s="28" t="s">
        <v>4687</v>
      </c>
      <c r="D170" s="28" t="s">
        <v>4497</v>
      </c>
      <c r="E170" s="29">
        <v>54</v>
      </c>
      <c r="F170" s="30">
        <v>7000033000</v>
      </c>
      <c r="G170" s="27">
        <v>357</v>
      </c>
    </row>
    <row r="171" spans="1:7" ht="135.75" thickBot="1" x14ac:dyDescent="0.3">
      <c r="A171" s="32"/>
      <c r="B171" s="31">
        <v>493</v>
      </c>
      <c r="C171" s="32" t="s">
        <v>5593</v>
      </c>
      <c r="D171" s="32" t="s">
        <v>5592</v>
      </c>
      <c r="E171" s="33">
        <v>54</v>
      </c>
      <c r="F171" s="30">
        <v>8926000000</v>
      </c>
      <c r="G171" s="31">
        <v>603</v>
      </c>
    </row>
    <row r="172" spans="1:7" ht="105.75" thickBot="1" x14ac:dyDescent="0.3">
      <c r="A172" s="28"/>
      <c r="B172" s="27">
        <v>329</v>
      </c>
      <c r="C172" s="28" t="s">
        <v>5460</v>
      </c>
      <c r="D172" s="28" t="s">
        <v>4497</v>
      </c>
      <c r="E172" s="29">
        <v>53</v>
      </c>
      <c r="F172" s="30">
        <v>5960000000</v>
      </c>
      <c r="G172" s="27">
        <v>371</v>
      </c>
    </row>
    <row r="173" spans="1:7" ht="90.75" thickBot="1" x14ac:dyDescent="0.3">
      <c r="A173" s="32"/>
      <c r="B173" s="31">
        <v>503</v>
      </c>
      <c r="C173" s="32" t="s">
        <v>5024</v>
      </c>
      <c r="D173" s="32" t="s">
        <v>4609</v>
      </c>
      <c r="E173" s="33">
        <v>53</v>
      </c>
      <c r="F173" s="30">
        <v>6280000000</v>
      </c>
      <c r="G173" s="31">
        <v>613</v>
      </c>
    </row>
    <row r="174" spans="1:7" ht="105.75" thickBot="1" x14ac:dyDescent="0.3">
      <c r="A174" s="28"/>
      <c r="B174" s="27">
        <v>294</v>
      </c>
      <c r="C174" s="28" t="s">
        <v>4735</v>
      </c>
      <c r="D174" s="28" t="s">
        <v>4483</v>
      </c>
      <c r="E174" s="29">
        <v>53</v>
      </c>
      <c r="F174" s="30">
        <v>6422000000</v>
      </c>
      <c r="G174" s="27">
        <v>336</v>
      </c>
    </row>
    <row r="175" spans="1:7" ht="105.75" thickBot="1" x14ac:dyDescent="0.3">
      <c r="A175" s="32"/>
      <c r="B175" s="31">
        <v>30</v>
      </c>
      <c r="C175" s="32" t="s">
        <v>2293</v>
      </c>
      <c r="D175" s="32" t="s">
        <v>376</v>
      </c>
      <c r="E175" s="33">
        <v>52</v>
      </c>
      <c r="F175" s="30">
        <v>2467999000</v>
      </c>
      <c r="G175" s="31">
        <v>72</v>
      </c>
    </row>
    <row r="176" spans="1:7" ht="105.75" thickBot="1" x14ac:dyDescent="0.3">
      <c r="A176" s="28"/>
      <c r="B176" s="27">
        <v>56</v>
      </c>
      <c r="C176" s="28" t="s">
        <v>2400</v>
      </c>
      <c r="D176" s="28" t="s">
        <v>376</v>
      </c>
      <c r="E176" s="29">
        <v>52</v>
      </c>
      <c r="F176" s="30">
        <v>2552000000</v>
      </c>
      <c r="G176" s="27">
        <v>98</v>
      </c>
    </row>
    <row r="177" spans="1:7" ht="90.75" thickBot="1" x14ac:dyDescent="0.3">
      <c r="A177" s="32"/>
      <c r="B177" s="31">
        <v>508</v>
      </c>
      <c r="C177" s="32" t="s">
        <v>4972</v>
      </c>
      <c r="D177" s="32" t="s">
        <v>4609</v>
      </c>
      <c r="E177" s="33">
        <v>52</v>
      </c>
      <c r="F177" s="30">
        <v>6029999999</v>
      </c>
      <c r="G177" s="31">
        <v>618</v>
      </c>
    </row>
    <row r="178" spans="1:7" ht="60.75" thickBot="1" x14ac:dyDescent="0.3">
      <c r="A178" s="28"/>
      <c r="B178" s="27">
        <v>247</v>
      </c>
      <c r="C178" s="28" t="s">
        <v>5180</v>
      </c>
      <c r="D178" s="28" t="s">
        <v>404</v>
      </c>
      <c r="E178" s="29">
        <v>51</v>
      </c>
      <c r="F178" s="30">
        <v>5150000000</v>
      </c>
      <c r="G178" s="27">
        <v>289</v>
      </c>
    </row>
    <row r="179" spans="1:7" ht="105.75" thickBot="1" x14ac:dyDescent="0.3">
      <c r="A179" s="32"/>
      <c r="B179" s="31">
        <v>288</v>
      </c>
      <c r="C179" s="32" t="s">
        <v>5418</v>
      </c>
      <c r="D179" s="32" t="s">
        <v>4497</v>
      </c>
      <c r="E179" s="33">
        <v>51</v>
      </c>
      <c r="F179" s="30">
        <v>5720000000</v>
      </c>
      <c r="G179" s="31">
        <v>330</v>
      </c>
    </row>
    <row r="180" spans="1:7" ht="105.75" thickBot="1" x14ac:dyDescent="0.3">
      <c r="A180" s="28"/>
      <c r="B180" s="27">
        <v>336</v>
      </c>
      <c r="C180" s="28" t="s">
        <v>5337</v>
      </c>
      <c r="D180" s="28" t="s">
        <v>4497</v>
      </c>
      <c r="E180" s="29">
        <v>51</v>
      </c>
      <c r="F180" s="30">
        <v>5877779999</v>
      </c>
      <c r="G180" s="27">
        <v>378</v>
      </c>
    </row>
    <row r="181" spans="1:7" ht="105.75" thickBot="1" x14ac:dyDescent="0.3">
      <c r="A181" s="32"/>
      <c r="B181" s="31">
        <v>328</v>
      </c>
      <c r="C181" s="32" t="s">
        <v>5528</v>
      </c>
      <c r="D181" s="32" t="s">
        <v>4497</v>
      </c>
      <c r="E181" s="33">
        <v>51</v>
      </c>
      <c r="F181" s="30">
        <v>6260009990</v>
      </c>
      <c r="G181" s="31">
        <v>370</v>
      </c>
    </row>
    <row r="182" spans="1:7" ht="90.75" thickBot="1" x14ac:dyDescent="0.3">
      <c r="A182" s="28"/>
      <c r="B182" s="27">
        <v>458</v>
      </c>
      <c r="C182" s="28" t="s">
        <v>2226</v>
      </c>
      <c r="D182" s="28" t="s">
        <v>661</v>
      </c>
      <c r="E182" s="29">
        <v>50</v>
      </c>
      <c r="F182" s="30">
        <v>3459000000</v>
      </c>
      <c r="G182" s="27">
        <v>562</v>
      </c>
    </row>
    <row r="183" spans="1:7" ht="75.75" thickBot="1" x14ac:dyDescent="0.3">
      <c r="A183" s="32"/>
      <c r="B183" s="31">
        <v>369</v>
      </c>
      <c r="C183" s="32" t="s">
        <v>4522</v>
      </c>
      <c r="D183" s="32" t="s">
        <v>191</v>
      </c>
      <c r="E183" s="33">
        <v>50</v>
      </c>
      <c r="F183" s="30">
        <v>4300000000</v>
      </c>
      <c r="G183" s="31">
        <v>411</v>
      </c>
    </row>
    <row r="184" spans="1:7" ht="90.75" thickBot="1" x14ac:dyDescent="0.3">
      <c r="A184" s="28"/>
      <c r="B184" s="27">
        <v>402</v>
      </c>
      <c r="C184" s="28" t="s">
        <v>5630</v>
      </c>
      <c r="D184" s="28" t="s">
        <v>5629</v>
      </c>
      <c r="E184" s="29">
        <v>50</v>
      </c>
      <c r="F184" s="30">
        <v>11100564321</v>
      </c>
      <c r="G184" s="27">
        <v>446</v>
      </c>
    </row>
    <row r="185" spans="1:7" ht="105.75" thickBot="1" x14ac:dyDescent="0.3">
      <c r="A185" s="32"/>
      <c r="B185" s="31">
        <v>180</v>
      </c>
      <c r="C185" s="32" t="s">
        <v>1934</v>
      </c>
      <c r="D185" s="32" t="s">
        <v>376</v>
      </c>
      <c r="E185" s="33">
        <v>48</v>
      </c>
      <c r="F185" s="30">
        <v>2412000000</v>
      </c>
      <c r="G185" s="31">
        <v>222</v>
      </c>
    </row>
    <row r="186" spans="1:7" ht="105.75" thickBot="1" x14ac:dyDescent="0.3">
      <c r="A186" s="28"/>
      <c r="B186" s="27">
        <v>291</v>
      </c>
      <c r="C186" s="28" t="s">
        <v>5385</v>
      </c>
      <c r="D186" s="28" t="s">
        <v>4497</v>
      </c>
      <c r="E186" s="29">
        <v>48</v>
      </c>
      <c r="F186" s="30">
        <v>5866666666</v>
      </c>
      <c r="G186" s="27">
        <v>333</v>
      </c>
    </row>
    <row r="187" spans="1:7" ht="105.75" thickBot="1" x14ac:dyDescent="0.3">
      <c r="A187" s="32"/>
      <c r="B187" s="31">
        <v>323</v>
      </c>
      <c r="C187" s="32" t="s">
        <v>5525</v>
      </c>
      <c r="D187" s="32" t="s">
        <v>4483</v>
      </c>
      <c r="E187" s="33">
        <v>48</v>
      </c>
      <c r="F187" s="30">
        <v>6245500000</v>
      </c>
      <c r="G187" s="31">
        <v>365</v>
      </c>
    </row>
    <row r="188" spans="1:7" ht="105.75" thickBot="1" x14ac:dyDescent="0.3">
      <c r="A188" s="28"/>
      <c r="B188" s="27">
        <v>337</v>
      </c>
      <c r="C188" s="28" t="s">
        <v>5536</v>
      </c>
      <c r="D188" s="28" t="s">
        <v>4497</v>
      </c>
      <c r="E188" s="29">
        <v>47</v>
      </c>
      <c r="F188" s="30">
        <v>6142222222</v>
      </c>
      <c r="G188" s="27">
        <v>379</v>
      </c>
    </row>
    <row r="189" spans="1:7" ht="135.75" thickBot="1" x14ac:dyDescent="0.3">
      <c r="A189" s="32"/>
      <c r="B189" s="31">
        <v>494</v>
      </c>
      <c r="C189" s="32" t="s">
        <v>5599</v>
      </c>
      <c r="D189" s="32" t="s">
        <v>5592</v>
      </c>
      <c r="E189" s="33">
        <v>47</v>
      </c>
      <c r="F189" s="30">
        <v>8444444444</v>
      </c>
      <c r="G189" s="31">
        <v>604</v>
      </c>
    </row>
    <row r="190" spans="1:7" ht="90.75" thickBot="1" x14ac:dyDescent="0.3">
      <c r="A190" s="28"/>
      <c r="B190" s="27">
        <v>258</v>
      </c>
      <c r="C190" s="28" t="s">
        <v>4426</v>
      </c>
      <c r="D190" s="28" t="s">
        <v>4366</v>
      </c>
      <c r="E190" s="29">
        <v>46</v>
      </c>
      <c r="F190" s="30">
        <v>4120000000</v>
      </c>
      <c r="G190" s="27">
        <v>300</v>
      </c>
    </row>
    <row r="191" spans="1:7" ht="45.75" thickBot="1" x14ac:dyDescent="0.3">
      <c r="A191" s="32"/>
      <c r="B191" s="31">
        <v>232</v>
      </c>
      <c r="C191" s="32" t="s">
        <v>3858</v>
      </c>
      <c r="D191" s="32" t="s">
        <v>3011</v>
      </c>
      <c r="E191" s="33">
        <v>46</v>
      </c>
      <c r="F191" s="30">
        <v>4323333333</v>
      </c>
      <c r="G191" s="31">
        <v>274</v>
      </c>
    </row>
    <row r="192" spans="1:7" ht="105.75" thickBot="1" x14ac:dyDescent="0.3">
      <c r="A192" s="28"/>
      <c r="B192" s="27">
        <v>119</v>
      </c>
      <c r="C192" s="28" t="s">
        <v>1691</v>
      </c>
      <c r="D192" s="28" t="s">
        <v>376</v>
      </c>
      <c r="E192" s="29">
        <v>45</v>
      </c>
      <c r="F192" s="30">
        <v>2320000000</v>
      </c>
      <c r="G192" s="27">
        <v>161</v>
      </c>
    </row>
    <row r="193" spans="1:7" ht="105.75" thickBot="1" x14ac:dyDescent="0.3">
      <c r="A193" s="32"/>
      <c r="B193" s="31">
        <v>148</v>
      </c>
      <c r="C193" s="32" t="s">
        <v>1797</v>
      </c>
      <c r="D193" s="32" t="s">
        <v>376</v>
      </c>
      <c r="E193" s="33">
        <v>45</v>
      </c>
      <c r="F193" s="30">
        <v>2370000000</v>
      </c>
      <c r="G193" s="31">
        <v>190</v>
      </c>
    </row>
    <row r="194" spans="1:7" ht="105.75" thickBot="1" x14ac:dyDescent="0.3">
      <c r="A194" s="28"/>
      <c r="B194" s="27">
        <v>177</v>
      </c>
      <c r="C194" s="28" t="s">
        <v>1918</v>
      </c>
      <c r="D194" s="28" t="s">
        <v>376</v>
      </c>
      <c r="E194" s="29">
        <v>45</v>
      </c>
      <c r="F194" s="30">
        <v>2459999999</v>
      </c>
      <c r="G194" s="27">
        <v>219</v>
      </c>
    </row>
    <row r="195" spans="1:7" ht="75.75" thickBot="1" x14ac:dyDescent="0.3">
      <c r="A195" s="32"/>
      <c r="B195" s="31">
        <v>351</v>
      </c>
      <c r="C195" s="32" t="s">
        <v>3940</v>
      </c>
      <c r="D195" s="32" t="s">
        <v>3497</v>
      </c>
      <c r="E195" s="33">
        <v>45</v>
      </c>
      <c r="F195" s="30">
        <v>5909999999</v>
      </c>
      <c r="G195" s="31">
        <v>393</v>
      </c>
    </row>
    <row r="196" spans="1:7" ht="90.75" thickBot="1" x14ac:dyDescent="0.3">
      <c r="A196" s="28"/>
      <c r="B196" s="27">
        <v>255</v>
      </c>
      <c r="C196" s="28" t="s">
        <v>4361</v>
      </c>
      <c r="D196" s="28" t="s">
        <v>3928</v>
      </c>
      <c r="E196" s="29">
        <v>44</v>
      </c>
      <c r="F196" s="30">
        <v>4030000000</v>
      </c>
      <c r="G196" s="27">
        <v>297</v>
      </c>
    </row>
    <row r="197" spans="1:7" ht="105.75" thickBot="1" x14ac:dyDescent="0.3">
      <c r="A197" s="32"/>
      <c r="B197" s="31">
        <v>235</v>
      </c>
      <c r="C197" s="32" t="s">
        <v>5365</v>
      </c>
      <c r="D197" s="32" t="s">
        <v>5364</v>
      </c>
      <c r="E197" s="33">
        <v>44</v>
      </c>
      <c r="F197" s="30">
        <v>5888888888</v>
      </c>
      <c r="G197" s="31">
        <v>277</v>
      </c>
    </row>
    <row r="198" spans="1:7" ht="90.75" thickBot="1" x14ac:dyDescent="0.3">
      <c r="A198" s="28"/>
      <c r="B198" s="27">
        <v>243</v>
      </c>
      <c r="C198" s="28" t="s">
        <v>5333</v>
      </c>
      <c r="D198" s="28" t="s">
        <v>4397</v>
      </c>
      <c r="E198" s="29">
        <v>44</v>
      </c>
      <c r="F198" s="30">
        <v>6011000000</v>
      </c>
      <c r="G198" s="27">
        <v>285</v>
      </c>
    </row>
    <row r="199" spans="1:7" ht="105.75" thickBot="1" x14ac:dyDescent="0.3">
      <c r="A199" s="32"/>
      <c r="B199" s="31">
        <v>302</v>
      </c>
      <c r="C199" s="32" t="s">
        <v>4650</v>
      </c>
      <c r="D199" s="32" t="s">
        <v>4497</v>
      </c>
      <c r="E199" s="33">
        <v>44</v>
      </c>
      <c r="F199" s="30">
        <v>6610000000</v>
      </c>
      <c r="G199" s="31">
        <v>344</v>
      </c>
    </row>
    <row r="200" spans="1:7" ht="105.75" thickBot="1" x14ac:dyDescent="0.3">
      <c r="A200" s="42"/>
      <c r="B200" s="43">
        <v>10</v>
      </c>
      <c r="C200" s="42" t="s">
        <v>2207</v>
      </c>
      <c r="D200" s="42" t="s">
        <v>376</v>
      </c>
      <c r="E200" s="44">
        <v>43</v>
      </c>
      <c r="F200" s="38">
        <v>2308759898</v>
      </c>
      <c r="G200" s="43">
        <v>52</v>
      </c>
    </row>
    <row r="201" spans="1:7" ht="105.75" thickBot="1" x14ac:dyDescent="0.3">
      <c r="B201" s="51">
        <v>4</v>
      </c>
      <c r="C201" s="52" t="s">
        <v>2169</v>
      </c>
      <c r="D201" s="52" t="s">
        <v>376</v>
      </c>
      <c r="E201" s="53">
        <v>43</v>
      </c>
      <c r="F201" s="26">
        <v>2635999999</v>
      </c>
      <c r="G201" s="51">
        <v>46</v>
      </c>
    </row>
    <row r="202" spans="1:7" ht="105.75" thickBot="1" x14ac:dyDescent="0.3">
      <c r="A202" s="28"/>
      <c r="B202" s="27">
        <v>308</v>
      </c>
      <c r="C202" s="28" t="s">
        <v>4654</v>
      </c>
      <c r="D202" s="28" t="s">
        <v>4483</v>
      </c>
      <c r="E202" s="29">
        <v>43</v>
      </c>
      <c r="F202" s="30">
        <v>6051550000</v>
      </c>
      <c r="G202" s="27">
        <v>350</v>
      </c>
    </row>
    <row r="203" spans="1:7" ht="105.75" thickBot="1" x14ac:dyDescent="0.3">
      <c r="A203" s="32"/>
      <c r="B203" s="31">
        <v>26</v>
      </c>
      <c r="C203" s="32" t="s">
        <v>2276</v>
      </c>
      <c r="D203" s="32" t="s">
        <v>376</v>
      </c>
      <c r="E203" s="33">
        <v>42</v>
      </c>
      <c r="F203" s="30">
        <v>2418000000</v>
      </c>
      <c r="G203" s="31">
        <v>68</v>
      </c>
    </row>
    <row r="204" spans="1:7" ht="105.75" thickBot="1" x14ac:dyDescent="0.3">
      <c r="A204" s="28"/>
      <c r="B204" s="27">
        <v>157</v>
      </c>
      <c r="C204" s="28" t="s">
        <v>1835</v>
      </c>
      <c r="D204" s="28" t="s">
        <v>376</v>
      </c>
      <c r="E204" s="29">
        <v>42</v>
      </c>
      <c r="F204" s="30">
        <v>2355555555</v>
      </c>
      <c r="G204" s="27">
        <v>199</v>
      </c>
    </row>
    <row r="205" spans="1:7" ht="105.75" thickBot="1" x14ac:dyDescent="0.3">
      <c r="A205" s="32"/>
      <c r="B205" s="31">
        <v>292</v>
      </c>
      <c r="C205" s="32" t="s">
        <v>5389</v>
      </c>
      <c r="D205" s="32" t="s">
        <v>4497</v>
      </c>
      <c r="E205" s="33">
        <v>42</v>
      </c>
      <c r="F205" s="30">
        <v>5939999999</v>
      </c>
      <c r="G205" s="31">
        <v>334</v>
      </c>
    </row>
    <row r="206" spans="1:7" ht="105.75" thickBot="1" x14ac:dyDescent="0.3">
      <c r="A206" s="28"/>
      <c r="B206" s="27">
        <v>305</v>
      </c>
      <c r="C206" s="28" t="s">
        <v>4559</v>
      </c>
      <c r="D206" s="28" t="s">
        <v>4483</v>
      </c>
      <c r="E206" s="29">
        <v>42</v>
      </c>
      <c r="F206" s="30">
        <v>5950222000</v>
      </c>
      <c r="G206" s="27">
        <v>347</v>
      </c>
    </row>
    <row r="207" spans="1:7" ht="105.75" thickBot="1" x14ac:dyDescent="0.3">
      <c r="A207" s="32"/>
      <c r="B207" s="31">
        <v>84</v>
      </c>
      <c r="C207" s="32" t="s">
        <v>1549</v>
      </c>
      <c r="D207" s="32" t="s">
        <v>376</v>
      </c>
      <c r="E207" s="33">
        <v>41</v>
      </c>
      <c r="F207" s="30">
        <v>2437999000</v>
      </c>
      <c r="G207" s="31">
        <v>126</v>
      </c>
    </row>
    <row r="208" spans="1:7" ht="105.75" thickBot="1" x14ac:dyDescent="0.3">
      <c r="A208" s="28"/>
      <c r="B208" s="27">
        <v>419</v>
      </c>
      <c r="C208" s="28" t="s">
        <v>3772</v>
      </c>
      <c r="D208" s="28" t="s">
        <v>3771</v>
      </c>
      <c r="E208" s="29">
        <v>41</v>
      </c>
      <c r="F208" s="30">
        <v>4609990000</v>
      </c>
      <c r="G208" s="27">
        <v>516</v>
      </c>
    </row>
    <row r="209" spans="1:7" ht="105.75" thickBot="1" x14ac:dyDescent="0.3">
      <c r="A209" s="32"/>
      <c r="B209" s="31">
        <v>11</v>
      </c>
      <c r="C209" s="32" t="s">
        <v>2212</v>
      </c>
      <c r="D209" s="32" t="s">
        <v>376</v>
      </c>
      <c r="E209" s="33">
        <v>40</v>
      </c>
      <c r="F209" s="30">
        <v>2615999999</v>
      </c>
      <c r="G209" s="31">
        <v>53</v>
      </c>
    </row>
    <row r="210" spans="1:7" ht="105.75" thickBot="1" x14ac:dyDescent="0.3">
      <c r="A210" s="28"/>
      <c r="B210" s="27">
        <v>18</v>
      </c>
      <c r="C210" s="28" t="s">
        <v>2246</v>
      </c>
      <c r="D210" s="28" t="s">
        <v>376</v>
      </c>
      <c r="E210" s="29">
        <v>40</v>
      </c>
      <c r="F210" s="30">
        <v>2395000000</v>
      </c>
      <c r="G210" s="27">
        <v>60</v>
      </c>
    </row>
    <row r="211" spans="1:7" ht="105.75" thickBot="1" x14ac:dyDescent="0.3">
      <c r="A211" s="32"/>
      <c r="B211" s="31">
        <v>179</v>
      </c>
      <c r="C211" s="32" t="s">
        <v>1929</v>
      </c>
      <c r="D211" s="32" t="s">
        <v>376</v>
      </c>
      <c r="E211" s="33">
        <v>40</v>
      </c>
      <c r="F211" s="30">
        <v>2577000000</v>
      </c>
      <c r="G211" s="31">
        <v>221</v>
      </c>
    </row>
    <row r="212" spans="1:7" ht="105.75" thickBot="1" x14ac:dyDescent="0.3">
      <c r="A212" s="28"/>
      <c r="B212" s="27">
        <v>67</v>
      </c>
      <c r="C212" s="28" t="s">
        <v>1486</v>
      </c>
      <c r="D212" s="28" t="s">
        <v>376</v>
      </c>
      <c r="E212" s="29">
        <v>39</v>
      </c>
      <c r="F212" s="30">
        <v>2569999999</v>
      </c>
      <c r="G212" s="27">
        <v>109</v>
      </c>
    </row>
    <row r="213" spans="1:7" ht="105.75" thickBot="1" x14ac:dyDescent="0.3">
      <c r="A213" s="32"/>
      <c r="B213" s="31">
        <v>132</v>
      </c>
      <c r="C213" s="32" t="s">
        <v>1732</v>
      </c>
      <c r="D213" s="32" t="s">
        <v>376</v>
      </c>
      <c r="E213" s="33">
        <v>39</v>
      </c>
      <c r="F213" s="30">
        <v>2410000000</v>
      </c>
      <c r="G213" s="31">
        <v>174</v>
      </c>
    </row>
    <row r="214" spans="1:7" ht="105.75" thickBot="1" x14ac:dyDescent="0.3">
      <c r="A214" s="28"/>
      <c r="B214" s="27">
        <v>143</v>
      </c>
      <c r="C214" s="28" t="s">
        <v>1776</v>
      </c>
      <c r="D214" s="28" t="s">
        <v>376</v>
      </c>
      <c r="E214" s="29">
        <v>39</v>
      </c>
      <c r="F214" s="30">
        <v>2340000000</v>
      </c>
      <c r="G214" s="27">
        <v>185</v>
      </c>
    </row>
    <row r="215" spans="1:7" ht="105.75" thickBot="1" x14ac:dyDescent="0.3">
      <c r="A215" s="32"/>
      <c r="B215" s="31">
        <v>176</v>
      </c>
      <c r="C215" s="32" t="s">
        <v>1913</v>
      </c>
      <c r="D215" s="32" t="s">
        <v>376</v>
      </c>
      <c r="E215" s="33">
        <v>39</v>
      </c>
      <c r="F215" s="30">
        <v>2559999999</v>
      </c>
      <c r="G215" s="31">
        <v>218</v>
      </c>
    </row>
    <row r="216" spans="1:7" ht="105.75" thickBot="1" x14ac:dyDescent="0.3">
      <c r="A216" s="28"/>
      <c r="B216" s="27">
        <v>190</v>
      </c>
      <c r="C216" s="28" t="s">
        <v>944</v>
      </c>
      <c r="D216" s="28" t="s">
        <v>376</v>
      </c>
      <c r="E216" s="29">
        <v>39</v>
      </c>
      <c r="F216" s="30">
        <v>2452000000</v>
      </c>
      <c r="G216" s="27">
        <v>232</v>
      </c>
    </row>
    <row r="217" spans="1:7" ht="105.75" thickBot="1" x14ac:dyDescent="0.3">
      <c r="A217" s="32"/>
      <c r="B217" s="31">
        <v>192</v>
      </c>
      <c r="C217" s="32" t="s">
        <v>1983</v>
      </c>
      <c r="D217" s="32" t="s">
        <v>376</v>
      </c>
      <c r="E217" s="33">
        <v>39</v>
      </c>
      <c r="F217" s="30">
        <v>2230000000</v>
      </c>
      <c r="G217" s="31">
        <v>234</v>
      </c>
    </row>
    <row r="218" spans="1:7" ht="60.75" thickBot="1" x14ac:dyDescent="0.3">
      <c r="A218" s="28"/>
      <c r="B218" s="27">
        <v>231</v>
      </c>
      <c r="C218" s="28" t="s">
        <v>3853</v>
      </c>
      <c r="D218" s="28" t="s">
        <v>316</v>
      </c>
      <c r="E218" s="29">
        <v>39</v>
      </c>
      <c r="F218" s="30">
        <v>3612345678</v>
      </c>
      <c r="G218" s="27">
        <v>273</v>
      </c>
    </row>
    <row r="219" spans="1:7" ht="105.75" thickBot="1" x14ac:dyDescent="0.3">
      <c r="A219" s="32"/>
      <c r="B219" s="31">
        <v>279</v>
      </c>
      <c r="C219" s="32" t="s">
        <v>5517</v>
      </c>
      <c r="D219" s="32" t="s">
        <v>4497</v>
      </c>
      <c r="E219" s="33">
        <v>39</v>
      </c>
      <c r="F219" s="30">
        <v>6537829143</v>
      </c>
      <c r="G219" s="31">
        <v>321</v>
      </c>
    </row>
    <row r="220" spans="1:7" ht="105.75" thickBot="1" x14ac:dyDescent="0.3">
      <c r="A220" s="28"/>
      <c r="B220" s="27">
        <v>287</v>
      </c>
      <c r="C220" s="28" t="s">
        <v>5402</v>
      </c>
      <c r="D220" s="28" t="s">
        <v>4497</v>
      </c>
      <c r="E220" s="29">
        <v>39</v>
      </c>
      <c r="F220" s="30">
        <v>5919000000</v>
      </c>
      <c r="G220" s="27">
        <v>329</v>
      </c>
    </row>
    <row r="221" spans="1:7" ht="105.75" thickBot="1" x14ac:dyDescent="0.3">
      <c r="A221" s="32"/>
      <c r="B221" s="31">
        <v>321</v>
      </c>
      <c r="C221" s="32" t="s">
        <v>4643</v>
      </c>
      <c r="D221" s="32" t="s">
        <v>4483</v>
      </c>
      <c r="E221" s="33">
        <v>39</v>
      </c>
      <c r="F221" s="30">
        <v>6050222000</v>
      </c>
      <c r="G221" s="31">
        <v>363</v>
      </c>
    </row>
    <row r="222" spans="1:7" ht="105.75" thickBot="1" x14ac:dyDescent="0.3">
      <c r="A222" s="28"/>
      <c r="B222" s="27">
        <v>339</v>
      </c>
      <c r="C222" s="28" t="s">
        <v>5472</v>
      </c>
      <c r="D222" s="28" t="s">
        <v>4483</v>
      </c>
      <c r="E222" s="29">
        <v>39</v>
      </c>
      <c r="F222" s="30">
        <v>6200111000</v>
      </c>
      <c r="G222" s="27">
        <v>381</v>
      </c>
    </row>
    <row r="223" spans="1:7" ht="105.75" thickBot="1" x14ac:dyDescent="0.3">
      <c r="A223" s="32"/>
      <c r="B223" s="31">
        <v>423</v>
      </c>
      <c r="C223" s="32" t="s">
        <v>3976</v>
      </c>
      <c r="D223" s="32" t="s">
        <v>3771</v>
      </c>
      <c r="E223" s="33">
        <v>39</v>
      </c>
      <c r="F223" s="30">
        <v>4511111111</v>
      </c>
      <c r="G223" s="31">
        <v>520</v>
      </c>
    </row>
    <row r="224" spans="1:7" ht="105.75" thickBot="1" x14ac:dyDescent="0.3">
      <c r="A224" s="28"/>
      <c r="B224" s="27">
        <v>17</v>
      </c>
      <c r="C224" s="28" t="s">
        <v>2241</v>
      </c>
      <c r="D224" s="28" t="s">
        <v>376</v>
      </c>
      <c r="E224" s="29">
        <v>38</v>
      </c>
      <c r="F224" s="30">
        <v>2400000000</v>
      </c>
      <c r="G224" s="27">
        <v>59</v>
      </c>
    </row>
    <row r="225" spans="1:7" ht="105.75" thickBot="1" x14ac:dyDescent="0.3">
      <c r="A225" s="32"/>
      <c r="B225" s="31">
        <v>135</v>
      </c>
      <c r="C225" s="32" t="s">
        <v>1744</v>
      </c>
      <c r="D225" s="32" t="s">
        <v>376</v>
      </c>
      <c r="E225" s="33">
        <v>38</v>
      </c>
      <c r="F225" s="30">
        <v>2439999999</v>
      </c>
      <c r="G225" s="31">
        <v>177</v>
      </c>
    </row>
    <row r="226" spans="1:7" ht="105.75" thickBot="1" x14ac:dyDescent="0.3">
      <c r="A226" s="28"/>
      <c r="B226" s="27">
        <v>199</v>
      </c>
      <c r="C226" s="28" t="s">
        <v>2020</v>
      </c>
      <c r="D226" s="28" t="s">
        <v>376</v>
      </c>
      <c r="E226" s="29">
        <v>38</v>
      </c>
      <c r="F226" s="30">
        <v>2468999999</v>
      </c>
      <c r="G226" s="27">
        <v>241</v>
      </c>
    </row>
    <row r="227" spans="1:7" ht="105.75" thickBot="1" x14ac:dyDescent="0.3">
      <c r="A227" s="32"/>
      <c r="B227" s="31">
        <v>212</v>
      </c>
      <c r="C227" s="32" t="s">
        <v>2076</v>
      </c>
      <c r="D227" s="32" t="s">
        <v>376</v>
      </c>
      <c r="E227" s="33">
        <v>38</v>
      </c>
      <c r="F227" s="30">
        <v>2576099999</v>
      </c>
      <c r="G227" s="31">
        <v>254</v>
      </c>
    </row>
    <row r="228" spans="1:7" ht="90.75" thickBot="1" x14ac:dyDescent="0.3">
      <c r="A228" s="28"/>
      <c r="B228" s="27">
        <v>238</v>
      </c>
      <c r="C228" s="28" t="s">
        <v>3723</v>
      </c>
      <c r="D228" s="28" t="s">
        <v>2476</v>
      </c>
      <c r="E228" s="29">
        <v>38</v>
      </c>
      <c r="F228" s="30">
        <v>4385999999</v>
      </c>
      <c r="G228" s="27">
        <v>280</v>
      </c>
    </row>
    <row r="229" spans="1:7" ht="105.75" thickBot="1" x14ac:dyDescent="0.3">
      <c r="A229" s="32"/>
      <c r="B229" s="31">
        <v>72</v>
      </c>
      <c r="C229" s="32" t="s">
        <v>1507</v>
      </c>
      <c r="D229" s="32" t="s">
        <v>376</v>
      </c>
      <c r="E229" s="33">
        <v>37</v>
      </c>
      <c r="F229" s="30">
        <v>2386666666</v>
      </c>
      <c r="G229" s="31">
        <v>114</v>
      </c>
    </row>
    <row r="230" spans="1:7" ht="105.75" thickBot="1" x14ac:dyDescent="0.3">
      <c r="A230" s="28"/>
      <c r="B230" s="27">
        <v>82</v>
      </c>
      <c r="C230" s="28" t="s">
        <v>1540</v>
      </c>
      <c r="D230" s="28" t="s">
        <v>376</v>
      </c>
      <c r="E230" s="29">
        <v>37</v>
      </c>
      <c r="F230" s="30">
        <v>2487999000</v>
      </c>
      <c r="G230" s="27">
        <v>124</v>
      </c>
    </row>
    <row r="231" spans="1:7" ht="105.75" thickBot="1" x14ac:dyDescent="0.3">
      <c r="A231" s="32"/>
      <c r="B231" s="31">
        <v>158</v>
      </c>
      <c r="C231" s="32" t="s">
        <v>1840</v>
      </c>
      <c r="D231" s="32" t="s">
        <v>376</v>
      </c>
      <c r="E231" s="33">
        <v>37</v>
      </c>
      <c r="F231" s="30">
        <v>2459000000</v>
      </c>
      <c r="G231" s="31">
        <v>200</v>
      </c>
    </row>
    <row r="232" spans="1:7" ht="105.75" thickBot="1" x14ac:dyDescent="0.3">
      <c r="A232" s="28"/>
      <c r="B232" s="27">
        <v>187</v>
      </c>
      <c r="C232" s="28" t="s">
        <v>1969</v>
      </c>
      <c r="D232" s="28" t="s">
        <v>376</v>
      </c>
      <c r="E232" s="29">
        <v>37</v>
      </c>
      <c r="F232" s="30">
        <v>2512000000</v>
      </c>
      <c r="G232" s="27">
        <v>229</v>
      </c>
    </row>
    <row r="233" spans="1:7" ht="105.75" thickBot="1" x14ac:dyDescent="0.3">
      <c r="A233" s="32"/>
      <c r="B233" s="31">
        <v>289</v>
      </c>
      <c r="C233" s="32" t="s">
        <v>5452</v>
      </c>
      <c r="D233" s="32" t="s">
        <v>4497</v>
      </c>
      <c r="E233" s="33">
        <v>37</v>
      </c>
      <c r="F233" s="30">
        <v>6255558546</v>
      </c>
      <c r="G233" s="31">
        <v>331</v>
      </c>
    </row>
    <row r="234" spans="1:7" ht="105.75" thickBot="1" x14ac:dyDescent="0.3">
      <c r="A234" s="28"/>
      <c r="B234" s="27">
        <v>322</v>
      </c>
      <c r="C234" s="28" t="s">
        <v>5422</v>
      </c>
      <c r="D234" s="28" t="s">
        <v>4497</v>
      </c>
      <c r="E234" s="29">
        <v>37</v>
      </c>
      <c r="F234" s="30">
        <v>5960000000</v>
      </c>
      <c r="G234" s="27">
        <v>364</v>
      </c>
    </row>
    <row r="235" spans="1:7" ht="75.75" thickBot="1" x14ac:dyDescent="0.3">
      <c r="A235" s="32"/>
      <c r="B235" s="31">
        <v>377</v>
      </c>
      <c r="C235" s="32" t="s">
        <v>5142</v>
      </c>
      <c r="D235" s="32" t="s">
        <v>3250</v>
      </c>
      <c r="E235" s="33">
        <v>37</v>
      </c>
      <c r="F235" s="30">
        <v>5030009990</v>
      </c>
      <c r="G235" s="31">
        <v>421</v>
      </c>
    </row>
    <row r="236" spans="1:7" ht="105.75" thickBot="1" x14ac:dyDescent="0.3">
      <c r="A236" s="28"/>
      <c r="B236" s="27">
        <v>36</v>
      </c>
      <c r="C236" s="28" t="s">
        <v>2317</v>
      </c>
      <c r="D236" s="28" t="s">
        <v>376</v>
      </c>
      <c r="E236" s="29">
        <v>36</v>
      </c>
      <c r="F236" s="30">
        <v>2400000999</v>
      </c>
      <c r="G236" s="27">
        <v>78</v>
      </c>
    </row>
    <row r="237" spans="1:7" ht="105.75" thickBot="1" x14ac:dyDescent="0.3">
      <c r="A237" s="32"/>
      <c r="B237" s="31">
        <v>44</v>
      </c>
      <c r="C237" s="32" t="s">
        <v>2351</v>
      </c>
      <c r="D237" s="32" t="s">
        <v>376</v>
      </c>
      <c r="E237" s="33">
        <v>36</v>
      </c>
      <c r="F237" s="30">
        <v>2403000000</v>
      </c>
      <c r="G237" s="31">
        <v>86</v>
      </c>
    </row>
    <row r="238" spans="1:7" ht="105.75" thickBot="1" x14ac:dyDescent="0.3">
      <c r="A238" s="28"/>
      <c r="B238" s="27">
        <v>102</v>
      </c>
      <c r="C238" s="28" t="s">
        <v>1620</v>
      </c>
      <c r="D238" s="28" t="s">
        <v>376</v>
      </c>
      <c r="E238" s="29">
        <v>36</v>
      </c>
      <c r="F238" s="30">
        <v>2688888888</v>
      </c>
      <c r="G238" s="27">
        <v>144</v>
      </c>
    </row>
    <row r="239" spans="1:7" ht="105.75" thickBot="1" x14ac:dyDescent="0.3">
      <c r="A239" s="32"/>
      <c r="B239" s="31">
        <v>124</v>
      </c>
      <c r="C239" s="32" t="s">
        <v>1001</v>
      </c>
      <c r="D239" s="32" t="s">
        <v>376</v>
      </c>
      <c r="E239" s="33">
        <v>36</v>
      </c>
      <c r="F239" s="30">
        <v>2469999999</v>
      </c>
      <c r="G239" s="31">
        <v>166</v>
      </c>
    </row>
    <row r="240" spans="1:7" ht="105.75" thickBot="1" x14ac:dyDescent="0.3">
      <c r="A240" s="28"/>
      <c r="B240" s="27">
        <v>149</v>
      </c>
      <c r="C240" s="28" t="s">
        <v>1802</v>
      </c>
      <c r="D240" s="28" t="s">
        <v>376</v>
      </c>
      <c r="E240" s="29">
        <v>36</v>
      </c>
      <c r="F240" s="30">
        <v>2618000000</v>
      </c>
      <c r="G240" s="27">
        <v>191</v>
      </c>
    </row>
    <row r="241" spans="1:7" ht="105.75" thickBot="1" x14ac:dyDescent="0.3">
      <c r="A241" s="32"/>
      <c r="B241" s="31">
        <v>150</v>
      </c>
      <c r="C241" s="32" t="s">
        <v>1806</v>
      </c>
      <c r="D241" s="32" t="s">
        <v>376</v>
      </c>
      <c r="E241" s="33">
        <v>36</v>
      </c>
      <c r="F241" s="30">
        <v>2523200000</v>
      </c>
      <c r="G241" s="31">
        <v>192</v>
      </c>
    </row>
    <row r="242" spans="1:7" ht="105.75" thickBot="1" x14ac:dyDescent="0.3">
      <c r="A242" s="28"/>
      <c r="B242" s="27">
        <v>151</v>
      </c>
      <c r="C242" s="28" t="s">
        <v>1810</v>
      </c>
      <c r="D242" s="28" t="s">
        <v>376</v>
      </c>
      <c r="E242" s="29">
        <v>36</v>
      </c>
      <c r="F242" s="30">
        <v>2510000000</v>
      </c>
      <c r="G242" s="27">
        <v>193</v>
      </c>
    </row>
    <row r="243" spans="1:7" ht="105.75" thickBot="1" x14ac:dyDescent="0.3">
      <c r="A243" s="32"/>
      <c r="B243" s="31">
        <v>155</v>
      </c>
      <c r="C243" s="32" t="s">
        <v>1827</v>
      </c>
      <c r="D243" s="32" t="s">
        <v>376</v>
      </c>
      <c r="E243" s="33">
        <v>36</v>
      </c>
      <c r="F243" s="30">
        <v>2321000000</v>
      </c>
      <c r="G243" s="31">
        <v>197</v>
      </c>
    </row>
    <row r="244" spans="1:7" ht="105.75" thickBot="1" x14ac:dyDescent="0.3">
      <c r="A244" s="28"/>
      <c r="B244" s="27">
        <v>161</v>
      </c>
      <c r="C244" s="28" t="s">
        <v>1849</v>
      </c>
      <c r="D244" s="28" t="s">
        <v>376</v>
      </c>
      <c r="E244" s="29">
        <v>36</v>
      </c>
      <c r="F244" s="30">
        <v>2355354438</v>
      </c>
      <c r="G244" s="27">
        <v>203</v>
      </c>
    </row>
    <row r="245" spans="1:7" ht="105.75" thickBot="1" x14ac:dyDescent="0.3">
      <c r="A245" s="32"/>
      <c r="B245" s="31">
        <v>183</v>
      </c>
      <c r="C245" s="32" t="s">
        <v>1949</v>
      </c>
      <c r="D245" s="32" t="s">
        <v>376</v>
      </c>
      <c r="E245" s="33">
        <v>36</v>
      </c>
      <c r="F245" s="30">
        <v>2552000000</v>
      </c>
      <c r="G245" s="31">
        <v>225</v>
      </c>
    </row>
    <row r="246" spans="1:7" ht="105.75" thickBot="1" x14ac:dyDescent="0.3">
      <c r="A246" s="28"/>
      <c r="B246" s="27">
        <v>206</v>
      </c>
      <c r="C246" s="28" t="s">
        <v>2046</v>
      </c>
      <c r="D246" s="28" t="s">
        <v>376</v>
      </c>
      <c r="E246" s="29">
        <v>36</v>
      </c>
      <c r="F246" s="30">
        <v>2288888888</v>
      </c>
      <c r="G246" s="27">
        <v>248</v>
      </c>
    </row>
    <row r="247" spans="1:7" ht="105.75" thickBot="1" x14ac:dyDescent="0.3">
      <c r="A247" s="32"/>
      <c r="B247" s="31">
        <v>280</v>
      </c>
      <c r="C247" s="32" t="s">
        <v>5484</v>
      </c>
      <c r="D247" s="32" t="s">
        <v>4483</v>
      </c>
      <c r="E247" s="33">
        <v>36</v>
      </c>
      <c r="F247" s="30">
        <v>6109999999</v>
      </c>
      <c r="G247" s="31">
        <v>322</v>
      </c>
    </row>
    <row r="248" spans="1:7" ht="75.75" thickBot="1" x14ac:dyDescent="0.3">
      <c r="A248" s="28"/>
      <c r="B248" s="27">
        <v>352</v>
      </c>
      <c r="C248" s="28" t="s">
        <v>5221</v>
      </c>
      <c r="D248" s="28" t="s">
        <v>3242</v>
      </c>
      <c r="E248" s="29">
        <v>36</v>
      </c>
      <c r="F248" s="30">
        <v>5389999999</v>
      </c>
      <c r="G248" s="27">
        <v>394</v>
      </c>
    </row>
    <row r="249" spans="1:7" ht="105.75" thickBot="1" x14ac:dyDescent="0.3">
      <c r="A249" s="32"/>
      <c r="B249" s="31">
        <v>12</v>
      </c>
      <c r="C249" s="32" t="s">
        <v>2217</v>
      </c>
      <c r="D249" s="32" t="s">
        <v>376</v>
      </c>
      <c r="E249" s="33">
        <v>35</v>
      </c>
      <c r="F249" s="30">
        <v>2290000000</v>
      </c>
      <c r="G249" s="31">
        <v>54</v>
      </c>
    </row>
    <row r="250" spans="1:7" ht="105.75" thickBot="1" x14ac:dyDescent="0.3">
      <c r="A250" s="28"/>
      <c r="B250" s="27">
        <v>13</v>
      </c>
      <c r="C250" s="28" t="s">
        <v>1439</v>
      </c>
      <c r="D250" s="28" t="s">
        <v>376</v>
      </c>
      <c r="E250" s="29">
        <v>35</v>
      </c>
      <c r="F250" s="30">
        <v>2377999000</v>
      </c>
      <c r="G250" s="27">
        <v>55</v>
      </c>
    </row>
    <row r="251" spans="1:7" ht="105.75" thickBot="1" x14ac:dyDescent="0.3">
      <c r="A251" s="32"/>
      <c r="B251" s="31">
        <v>107</v>
      </c>
      <c r="C251" s="32" t="s">
        <v>1641</v>
      </c>
      <c r="D251" s="32" t="s">
        <v>376</v>
      </c>
      <c r="E251" s="33">
        <v>35</v>
      </c>
      <c r="F251" s="30">
        <v>2463999000</v>
      </c>
      <c r="G251" s="31">
        <v>149</v>
      </c>
    </row>
    <row r="252" spans="1:7" ht="105.75" thickBot="1" x14ac:dyDescent="0.3">
      <c r="A252" s="28"/>
      <c r="B252" s="27">
        <v>110</v>
      </c>
      <c r="C252" s="28" t="s">
        <v>1653</v>
      </c>
      <c r="D252" s="28" t="s">
        <v>376</v>
      </c>
      <c r="E252" s="29">
        <v>35</v>
      </c>
      <c r="F252" s="30">
        <v>2359898800</v>
      </c>
      <c r="G252" s="27">
        <v>152</v>
      </c>
    </row>
    <row r="253" spans="1:7" ht="105.75" thickBot="1" x14ac:dyDescent="0.3">
      <c r="A253" s="32"/>
      <c r="B253" s="31">
        <v>156</v>
      </c>
      <c r="C253" s="32" t="s">
        <v>1831</v>
      </c>
      <c r="D253" s="32" t="s">
        <v>376</v>
      </c>
      <c r="E253" s="33">
        <v>35</v>
      </c>
      <c r="F253" s="30">
        <v>2411999990</v>
      </c>
      <c r="G253" s="31">
        <v>198</v>
      </c>
    </row>
    <row r="254" spans="1:7" ht="105.75" thickBot="1" x14ac:dyDescent="0.3">
      <c r="A254" s="28"/>
      <c r="B254" s="27">
        <v>182</v>
      </c>
      <c r="C254" s="28" t="s">
        <v>1944</v>
      </c>
      <c r="D254" s="28" t="s">
        <v>376</v>
      </c>
      <c r="E254" s="29">
        <v>35</v>
      </c>
      <c r="F254" s="30">
        <v>2512000000</v>
      </c>
      <c r="G254" s="27">
        <v>224</v>
      </c>
    </row>
    <row r="255" spans="1:7" ht="105.75" thickBot="1" x14ac:dyDescent="0.3">
      <c r="A255" s="32"/>
      <c r="B255" s="31">
        <v>184</v>
      </c>
      <c r="C255" s="32" t="s">
        <v>1954</v>
      </c>
      <c r="D255" s="32" t="s">
        <v>376</v>
      </c>
      <c r="E255" s="33">
        <v>35</v>
      </c>
      <c r="F255" s="30">
        <v>2412000000</v>
      </c>
      <c r="G255" s="31">
        <v>226</v>
      </c>
    </row>
    <row r="256" spans="1:7" ht="105.75" thickBot="1" x14ac:dyDescent="0.3">
      <c r="A256" s="28"/>
      <c r="B256" s="27">
        <v>196</v>
      </c>
      <c r="C256" s="28" t="s">
        <v>2005</v>
      </c>
      <c r="D256" s="28" t="s">
        <v>376</v>
      </c>
      <c r="E256" s="29">
        <v>35</v>
      </c>
      <c r="F256" s="30">
        <v>2271255000</v>
      </c>
      <c r="G256" s="27">
        <v>238</v>
      </c>
    </row>
    <row r="257" spans="1:7" ht="105.75" thickBot="1" x14ac:dyDescent="0.3">
      <c r="A257" s="32"/>
      <c r="B257" s="31">
        <v>208</v>
      </c>
      <c r="C257" s="32" t="s">
        <v>2056</v>
      </c>
      <c r="D257" s="32" t="s">
        <v>376</v>
      </c>
      <c r="E257" s="33">
        <v>35</v>
      </c>
      <c r="F257" s="30">
        <v>2602500000</v>
      </c>
      <c r="G257" s="31">
        <v>250</v>
      </c>
    </row>
    <row r="258" spans="1:7" ht="105.75" thickBot="1" x14ac:dyDescent="0.3">
      <c r="A258" s="28"/>
      <c r="B258" s="27">
        <v>233</v>
      </c>
      <c r="C258" s="28" t="s">
        <v>5560</v>
      </c>
      <c r="D258" s="28" t="s">
        <v>4318</v>
      </c>
      <c r="E258" s="29">
        <v>35</v>
      </c>
      <c r="F258" s="30">
        <v>6212345678</v>
      </c>
      <c r="G258" s="27">
        <v>275</v>
      </c>
    </row>
    <row r="259" spans="1:7" ht="105.75" thickBot="1" x14ac:dyDescent="0.3">
      <c r="A259" s="32"/>
      <c r="B259" s="31">
        <v>327</v>
      </c>
      <c r="C259" s="32" t="s">
        <v>5492</v>
      </c>
      <c r="D259" s="32" t="s">
        <v>4497</v>
      </c>
      <c r="E259" s="33">
        <v>35</v>
      </c>
      <c r="F259" s="30">
        <v>6120000000</v>
      </c>
      <c r="G259" s="31">
        <v>369</v>
      </c>
    </row>
    <row r="260" spans="1:7" ht="105.75" thickBot="1" x14ac:dyDescent="0.3">
      <c r="A260" s="28"/>
      <c r="B260" s="27">
        <v>16</v>
      </c>
      <c r="C260" s="28" t="s">
        <v>2237</v>
      </c>
      <c r="D260" s="28" t="s">
        <v>376</v>
      </c>
      <c r="E260" s="29">
        <v>34</v>
      </c>
      <c r="F260" s="30">
        <v>2320056000</v>
      </c>
      <c r="G260" s="27">
        <v>58</v>
      </c>
    </row>
    <row r="261" spans="1:7" ht="105.75" thickBot="1" x14ac:dyDescent="0.3">
      <c r="A261" s="32"/>
      <c r="B261" s="31">
        <v>21</v>
      </c>
      <c r="C261" s="32" t="s">
        <v>2259</v>
      </c>
      <c r="D261" s="32" t="s">
        <v>376</v>
      </c>
      <c r="E261" s="33">
        <v>34</v>
      </c>
      <c r="F261" s="30">
        <v>2538000000</v>
      </c>
      <c r="G261" s="31">
        <v>63</v>
      </c>
    </row>
    <row r="262" spans="1:7" ht="105.75" thickBot="1" x14ac:dyDescent="0.3">
      <c r="A262" s="28"/>
      <c r="B262" s="27">
        <v>64</v>
      </c>
      <c r="C262" s="28" t="s">
        <v>1474</v>
      </c>
      <c r="D262" s="28" t="s">
        <v>376</v>
      </c>
      <c r="E262" s="29">
        <v>34</v>
      </c>
      <c r="F262" s="30">
        <v>2515000000</v>
      </c>
      <c r="G262" s="27">
        <v>106</v>
      </c>
    </row>
    <row r="263" spans="1:7" ht="105.75" thickBot="1" x14ac:dyDescent="0.3">
      <c r="A263" s="32"/>
      <c r="B263" s="31">
        <v>79</v>
      </c>
      <c r="C263" s="32" t="s">
        <v>603</v>
      </c>
      <c r="D263" s="32" t="s">
        <v>376</v>
      </c>
      <c r="E263" s="33">
        <v>34</v>
      </c>
      <c r="F263" s="30">
        <v>2310000110</v>
      </c>
      <c r="G263" s="31">
        <v>121</v>
      </c>
    </row>
    <row r="264" spans="1:7" ht="105.75" thickBot="1" x14ac:dyDescent="0.3">
      <c r="A264" s="28"/>
      <c r="B264" s="27">
        <v>104</v>
      </c>
      <c r="C264" s="28" t="s">
        <v>1629</v>
      </c>
      <c r="D264" s="28" t="s">
        <v>376</v>
      </c>
      <c r="E264" s="29">
        <v>34</v>
      </c>
      <c r="F264" s="30">
        <v>2349999999</v>
      </c>
      <c r="G264" s="27">
        <v>146</v>
      </c>
    </row>
    <row r="265" spans="1:7" ht="105.75" thickBot="1" x14ac:dyDescent="0.3">
      <c r="A265" s="32"/>
      <c r="B265" s="31">
        <v>169</v>
      </c>
      <c r="C265" s="32" t="s">
        <v>1879</v>
      </c>
      <c r="D265" s="32" t="s">
        <v>376</v>
      </c>
      <c r="E265" s="33">
        <v>34</v>
      </c>
      <c r="F265" s="30">
        <v>2442000000</v>
      </c>
      <c r="G265" s="31">
        <v>211</v>
      </c>
    </row>
    <row r="266" spans="1:7" ht="105.75" thickBot="1" x14ac:dyDescent="0.3">
      <c r="A266" s="28"/>
      <c r="B266" s="27">
        <v>214</v>
      </c>
      <c r="C266" s="28" t="s">
        <v>2086</v>
      </c>
      <c r="D266" s="28" t="s">
        <v>376</v>
      </c>
      <c r="E266" s="29">
        <v>34</v>
      </c>
      <c r="F266" s="30">
        <v>2529999999</v>
      </c>
      <c r="G266" s="27">
        <v>256</v>
      </c>
    </row>
    <row r="267" spans="1:7" ht="75.75" thickBot="1" x14ac:dyDescent="0.3">
      <c r="A267" s="32"/>
      <c r="B267" s="31">
        <v>230</v>
      </c>
      <c r="C267" s="32" t="s">
        <v>3718</v>
      </c>
      <c r="D267" s="32" t="s">
        <v>325</v>
      </c>
      <c r="E267" s="33">
        <v>34</v>
      </c>
      <c r="F267" s="30">
        <v>4171210001</v>
      </c>
      <c r="G267" s="31">
        <v>272</v>
      </c>
    </row>
    <row r="268" spans="1:7" ht="105.75" thickBot="1" x14ac:dyDescent="0.3">
      <c r="A268" s="28"/>
      <c r="B268" s="27">
        <v>306</v>
      </c>
      <c r="C268" s="28" t="s">
        <v>4639</v>
      </c>
      <c r="D268" s="28" t="s">
        <v>4497</v>
      </c>
      <c r="E268" s="29">
        <v>34</v>
      </c>
      <c r="F268" s="30">
        <v>6179999369</v>
      </c>
      <c r="G268" s="27">
        <v>348</v>
      </c>
    </row>
    <row r="269" spans="1:7" ht="105.75" thickBot="1" x14ac:dyDescent="0.3">
      <c r="A269" s="32"/>
      <c r="B269" s="31">
        <v>338</v>
      </c>
      <c r="C269" s="32" t="s">
        <v>5393</v>
      </c>
      <c r="D269" s="32" t="s">
        <v>4497</v>
      </c>
      <c r="E269" s="33">
        <v>34</v>
      </c>
      <c r="F269" s="30">
        <v>5919999999</v>
      </c>
      <c r="G269" s="31">
        <v>380</v>
      </c>
    </row>
    <row r="270" spans="1:7" ht="90.75" thickBot="1" x14ac:dyDescent="0.3">
      <c r="A270" s="28"/>
      <c r="B270" s="27">
        <v>506</v>
      </c>
      <c r="C270" s="28" t="s">
        <v>5036</v>
      </c>
      <c r="D270" s="28" t="s">
        <v>4609</v>
      </c>
      <c r="E270" s="29">
        <v>34</v>
      </c>
      <c r="F270" s="30">
        <v>6148758930</v>
      </c>
      <c r="G270" s="27">
        <v>616</v>
      </c>
    </row>
    <row r="271" spans="1:7" ht="105.75" thickBot="1" x14ac:dyDescent="0.3">
      <c r="A271" s="32"/>
      <c r="B271" s="31">
        <v>5</v>
      </c>
      <c r="C271" s="32" t="s">
        <v>2174</v>
      </c>
      <c r="D271" s="32" t="s">
        <v>376</v>
      </c>
      <c r="E271" s="33">
        <v>33</v>
      </c>
      <c r="F271" s="30">
        <v>2500000000</v>
      </c>
      <c r="G271" s="31">
        <v>47</v>
      </c>
    </row>
    <row r="272" spans="1:7" ht="105.75" thickBot="1" x14ac:dyDescent="0.3">
      <c r="A272" s="28"/>
      <c r="B272" s="27">
        <v>34</v>
      </c>
      <c r="C272" s="28" t="s">
        <v>2309</v>
      </c>
      <c r="D272" s="28" t="s">
        <v>376</v>
      </c>
      <c r="E272" s="29">
        <v>33</v>
      </c>
      <c r="F272" s="30">
        <v>2278999999</v>
      </c>
      <c r="G272" s="27">
        <v>76</v>
      </c>
    </row>
    <row r="273" spans="1:7" ht="105.75" thickBot="1" x14ac:dyDescent="0.3">
      <c r="A273" s="32"/>
      <c r="B273" s="31">
        <v>98</v>
      </c>
      <c r="C273" s="32" t="s">
        <v>1602</v>
      </c>
      <c r="D273" s="32" t="s">
        <v>376</v>
      </c>
      <c r="E273" s="33">
        <v>33</v>
      </c>
      <c r="F273" s="30">
        <v>2456789000</v>
      </c>
      <c r="G273" s="31">
        <v>140</v>
      </c>
    </row>
    <row r="274" spans="1:7" ht="105.75" thickBot="1" x14ac:dyDescent="0.3">
      <c r="A274" s="28"/>
      <c r="B274" s="27">
        <v>115</v>
      </c>
      <c r="C274" s="28" t="s">
        <v>1674</v>
      </c>
      <c r="D274" s="28" t="s">
        <v>376</v>
      </c>
      <c r="E274" s="29">
        <v>33</v>
      </c>
      <c r="F274" s="30">
        <v>2331101130</v>
      </c>
      <c r="G274" s="27">
        <v>157</v>
      </c>
    </row>
    <row r="275" spans="1:7" ht="105.75" thickBot="1" x14ac:dyDescent="0.3">
      <c r="A275" s="32"/>
      <c r="B275" s="31">
        <v>117</v>
      </c>
      <c r="C275" s="32" t="s">
        <v>1683</v>
      </c>
      <c r="D275" s="32" t="s">
        <v>376</v>
      </c>
      <c r="E275" s="33">
        <v>33</v>
      </c>
      <c r="F275" s="30">
        <v>2298900000</v>
      </c>
      <c r="G275" s="31">
        <v>159</v>
      </c>
    </row>
    <row r="276" spans="1:7" ht="105.75" thickBot="1" x14ac:dyDescent="0.3">
      <c r="A276" s="28"/>
      <c r="B276" s="27">
        <v>126</v>
      </c>
      <c r="C276" s="28" t="s">
        <v>1704</v>
      </c>
      <c r="D276" s="28" t="s">
        <v>376</v>
      </c>
      <c r="E276" s="29">
        <v>33</v>
      </c>
      <c r="F276" s="30">
        <v>2419999999</v>
      </c>
      <c r="G276" s="27">
        <v>168</v>
      </c>
    </row>
    <row r="277" spans="1:7" ht="105.75" thickBot="1" x14ac:dyDescent="0.3">
      <c r="A277" s="32"/>
      <c r="B277" s="31">
        <v>140</v>
      </c>
      <c r="C277" s="32" t="s">
        <v>832</v>
      </c>
      <c r="D277" s="32" t="s">
        <v>376</v>
      </c>
      <c r="E277" s="33">
        <v>33</v>
      </c>
      <c r="F277" s="30">
        <v>2469999999</v>
      </c>
      <c r="G277" s="31">
        <v>182</v>
      </c>
    </row>
    <row r="278" spans="1:7" ht="105.75" thickBot="1" x14ac:dyDescent="0.3">
      <c r="A278" s="28"/>
      <c r="B278" s="27">
        <v>159</v>
      </c>
      <c r="C278" s="28" t="s">
        <v>1844</v>
      </c>
      <c r="D278" s="28" t="s">
        <v>376</v>
      </c>
      <c r="E278" s="29">
        <v>33</v>
      </c>
      <c r="F278" s="30">
        <v>2470000000</v>
      </c>
      <c r="G278" s="27">
        <v>201</v>
      </c>
    </row>
    <row r="279" spans="1:7" ht="105.75" thickBot="1" x14ac:dyDescent="0.3">
      <c r="A279" s="32"/>
      <c r="B279" s="31">
        <v>188</v>
      </c>
      <c r="C279" s="32" t="s">
        <v>1975</v>
      </c>
      <c r="D279" s="32" t="s">
        <v>376</v>
      </c>
      <c r="E279" s="33">
        <v>33</v>
      </c>
      <c r="F279" s="30">
        <v>2552000000</v>
      </c>
      <c r="G279" s="31">
        <v>230</v>
      </c>
    </row>
    <row r="280" spans="1:7" ht="105.75" thickBot="1" x14ac:dyDescent="0.3">
      <c r="A280" s="28"/>
      <c r="B280" s="27">
        <v>220</v>
      </c>
      <c r="C280" s="28" t="s">
        <v>2115</v>
      </c>
      <c r="D280" s="28" t="s">
        <v>376</v>
      </c>
      <c r="E280" s="29">
        <v>33</v>
      </c>
      <c r="F280" s="30">
        <v>2450000000</v>
      </c>
      <c r="G280" s="27">
        <v>262</v>
      </c>
    </row>
    <row r="281" spans="1:7" ht="75.75" thickBot="1" x14ac:dyDescent="0.3">
      <c r="A281" s="32"/>
      <c r="B281" s="31">
        <v>226</v>
      </c>
      <c r="C281" s="32" t="s">
        <v>4350</v>
      </c>
      <c r="D281" s="32" t="s">
        <v>325</v>
      </c>
      <c r="E281" s="33">
        <v>33</v>
      </c>
      <c r="F281" s="30">
        <v>4313333333</v>
      </c>
      <c r="G281" s="31">
        <v>268</v>
      </c>
    </row>
    <row r="282" spans="1:7" ht="90.75" thickBot="1" x14ac:dyDescent="0.3">
      <c r="A282" s="28"/>
      <c r="B282" s="27">
        <v>250</v>
      </c>
      <c r="C282" s="28" t="s">
        <v>3728</v>
      </c>
      <c r="D282" s="28" t="s">
        <v>2476</v>
      </c>
      <c r="E282" s="29">
        <v>33</v>
      </c>
      <c r="F282" s="30">
        <v>3900000000</v>
      </c>
      <c r="G282" s="27">
        <v>292</v>
      </c>
    </row>
    <row r="283" spans="1:7" ht="105.75" thickBot="1" x14ac:dyDescent="0.3">
      <c r="A283" s="32"/>
      <c r="B283" s="31">
        <v>260</v>
      </c>
      <c r="C283" s="32" t="s">
        <v>3747</v>
      </c>
      <c r="D283" s="32" t="s">
        <v>2644</v>
      </c>
      <c r="E283" s="33">
        <v>33</v>
      </c>
      <c r="F283" s="30">
        <v>3989888800</v>
      </c>
      <c r="G283" s="31">
        <v>302</v>
      </c>
    </row>
    <row r="284" spans="1:7" ht="75.75" thickBot="1" x14ac:dyDescent="0.3">
      <c r="A284" s="28"/>
      <c r="B284" s="27">
        <v>349</v>
      </c>
      <c r="C284" s="28" t="s">
        <v>5240</v>
      </c>
      <c r="D284" s="28" t="s">
        <v>3242</v>
      </c>
      <c r="E284" s="29">
        <v>33</v>
      </c>
      <c r="F284" s="30">
        <v>5409999999</v>
      </c>
      <c r="G284" s="27">
        <v>391</v>
      </c>
    </row>
    <row r="285" spans="1:7" ht="90.75" thickBot="1" x14ac:dyDescent="0.3">
      <c r="A285" s="32"/>
      <c r="B285" s="31">
        <v>397</v>
      </c>
      <c r="C285" s="32" t="s">
        <v>5695</v>
      </c>
      <c r="D285" s="32" t="s">
        <v>5604</v>
      </c>
      <c r="E285" s="33">
        <v>33</v>
      </c>
      <c r="F285" s="30">
        <v>12000000000</v>
      </c>
      <c r="G285" s="31">
        <v>441</v>
      </c>
    </row>
    <row r="286" spans="1:7" ht="90.75" thickBot="1" x14ac:dyDescent="0.3">
      <c r="A286" s="28"/>
      <c r="B286" s="27">
        <v>509</v>
      </c>
      <c r="C286" s="28" t="s">
        <v>4610</v>
      </c>
      <c r="D286" s="28" t="s">
        <v>4609</v>
      </c>
      <c r="E286" s="29">
        <v>33</v>
      </c>
      <c r="F286" s="30">
        <v>5555555555</v>
      </c>
      <c r="G286" s="27">
        <v>619</v>
      </c>
    </row>
    <row r="287" spans="1:7" ht="105.75" thickBot="1" x14ac:dyDescent="0.3">
      <c r="A287" s="32"/>
      <c r="B287" s="31">
        <v>49</v>
      </c>
      <c r="C287" s="32" t="s">
        <v>2371</v>
      </c>
      <c r="D287" s="32" t="s">
        <v>376</v>
      </c>
      <c r="E287" s="33">
        <v>32</v>
      </c>
      <c r="F287" s="30">
        <v>2424222200</v>
      </c>
      <c r="G287" s="31">
        <v>91</v>
      </c>
    </row>
    <row r="288" spans="1:7" ht="105.75" thickBot="1" x14ac:dyDescent="0.3">
      <c r="A288" s="28"/>
      <c r="B288" s="27">
        <v>51</v>
      </c>
      <c r="C288" s="28" t="s">
        <v>2380</v>
      </c>
      <c r="D288" s="28" t="s">
        <v>376</v>
      </c>
      <c r="E288" s="29">
        <v>32</v>
      </c>
      <c r="F288" s="30">
        <v>2467999000</v>
      </c>
      <c r="G288" s="27">
        <v>93</v>
      </c>
    </row>
    <row r="289" spans="1:7" ht="105.75" thickBot="1" x14ac:dyDescent="0.3">
      <c r="A289" s="32"/>
      <c r="B289" s="31">
        <v>54</v>
      </c>
      <c r="C289" s="32" t="s">
        <v>2392</v>
      </c>
      <c r="D289" s="32" t="s">
        <v>376</v>
      </c>
      <c r="E289" s="33">
        <v>32</v>
      </c>
      <c r="F289" s="30">
        <v>2467999000</v>
      </c>
      <c r="G289" s="31">
        <v>96</v>
      </c>
    </row>
    <row r="290" spans="1:7" ht="105.75" thickBot="1" x14ac:dyDescent="0.3">
      <c r="A290" s="28"/>
      <c r="B290" s="27">
        <v>63</v>
      </c>
      <c r="C290" s="28" t="s">
        <v>1470</v>
      </c>
      <c r="D290" s="28" t="s">
        <v>376</v>
      </c>
      <c r="E290" s="29">
        <v>32</v>
      </c>
      <c r="F290" s="30">
        <v>2473000000</v>
      </c>
      <c r="G290" s="27">
        <v>105</v>
      </c>
    </row>
    <row r="291" spans="1:7" ht="105.75" thickBot="1" x14ac:dyDescent="0.3">
      <c r="A291" s="32"/>
      <c r="B291" s="31">
        <v>76</v>
      </c>
      <c r="C291" s="32" t="s">
        <v>1524</v>
      </c>
      <c r="D291" s="32" t="s">
        <v>376</v>
      </c>
      <c r="E291" s="33">
        <v>32</v>
      </c>
      <c r="F291" s="30">
        <v>2477963369</v>
      </c>
      <c r="G291" s="31">
        <v>118</v>
      </c>
    </row>
    <row r="292" spans="1:7" ht="105.75" thickBot="1" x14ac:dyDescent="0.3">
      <c r="A292" s="28"/>
      <c r="B292" s="27">
        <v>162</v>
      </c>
      <c r="C292" s="28" t="s">
        <v>1853</v>
      </c>
      <c r="D292" s="28" t="s">
        <v>376</v>
      </c>
      <c r="E292" s="29">
        <v>32</v>
      </c>
      <c r="F292" s="30">
        <v>2333000000</v>
      </c>
      <c r="G292" s="27">
        <v>204</v>
      </c>
    </row>
    <row r="293" spans="1:7" ht="105.75" thickBot="1" x14ac:dyDescent="0.3">
      <c r="A293" s="32"/>
      <c r="B293" s="31">
        <v>213</v>
      </c>
      <c r="C293" s="32" t="s">
        <v>2081</v>
      </c>
      <c r="D293" s="32" t="s">
        <v>376</v>
      </c>
      <c r="E293" s="33">
        <v>32</v>
      </c>
      <c r="F293" s="30">
        <v>2552000000</v>
      </c>
      <c r="G293" s="31">
        <v>255</v>
      </c>
    </row>
    <row r="294" spans="1:7" ht="90.75" thickBot="1" x14ac:dyDescent="0.3">
      <c r="A294" s="28"/>
      <c r="B294" s="27">
        <v>239</v>
      </c>
      <c r="C294" s="28" t="s">
        <v>3063</v>
      </c>
      <c r="D294" s="28" t="s">
        <v>2476</v>
      </c>
      <c r="E294" s="29">
        <v>32</v>
      </c>
      <c r="F294" s="30">
        <v>5330000000</v>
      </c>
      <c r="G294" s="27">
        <v>281</v>
      </c>
    </row>
    <row r="295" spans="1:7" ht="60.75" thickBot="1" x14ac:dyDescent="0.3">
      <c r="A295" s="32"/>
      <c r="B295" s="31">
        <v>267</v>
      </c>
      <c r="C295" s="32" t="s">
        <v>3695</v>
      </c>
      <c r="D295" s="32" t="s">
        <v>316</v>
      </c>
      <c r="E295" s="33">
        <v>32</v>
      </c>
      <c r="F295" s="30">
        <v>3999900000</v>
      </c>
      <c r="G295" s="31">
        <v>309</v>
      </c>
    </row>
    <row r="296" spans="1:7" ht="60.75" thickBot="1" x14ac:dyDescent="0.3">
      <c r="A296" s="28"/>
      <c r="B296" s="27">
        <v>268</v>
      </c>
      <c r="C296" s="28" t="s">
        <v>2931</v>
      </c>
      <c r="D296" s="28" t="s">
        <v>316</v>
      </c>
      <c r="E296" s="29">
        <v>32</v>
      </c>
      <c r="F296" s="30">
        <v>4113000000</v>
      </c>
      <c r="G296" s="27">
        <v>310</v>
      </c>
    </row>
    <row r="297" spans="1:7" ht="75.75" thickBot="1" x14ac:dyDescent="0.3">
      <c r="A297" s="32"/>
      <c r="B297" s="31">
        <v>361</v>
      </c>
      <c r="C297" s="32" t="s">
        <v>5301</v>
      </c>
      <c r="D297" s="32" t="s">
        <v>3210</v>
      </c>
      <c r="E297" s="33">
        <v>32</v>
      </c>
      <c r="F297" s="30">
        <v>5309999999</v>
      </c>
      <c r="G297" s="31">
        <v>403</v>
      </c>
    </row>
    <row r="298" spans="1:7" ht="105.75" thickBot="1" x14ac:dyDescent="0.3">
      <c r="A298" s="28"/>
      <c r="B298" s="27">
        <v>57</v>
      </c>
      <c r="C298" s="28" t="s">
        <v>2404</v>
      </c>
      <c r="D298" s="28" t="s">
        <v>376</v>
      </c>
      <c r="E298" s="29">
        <v>31</v>
      </c>
      <c r="F298" s="30">
        <v>2532000000</v>
      </c>
      <c r="G298" s="27">
        <v>99</v>
      </c>
    </row>
    <row r="299" spans="1:7" ht="105.75" thickBot="1" x14ac:dyDescent="0.3">
      <c r="A299" s="32"/>
      <c r="B299" s="31">
        <v>70</v>
      </c>
      <c r="C299" s="32" t="s">
        <v>1499</v>
      </c>
      <c r="D299" s="32" t="s">
        <v>376</v>
      </c>
      <c r="E299" s="33">
        <v>31</v>
      </c>
      <c r="F299" s="30">
        <v>2261000111</v>
      </c>
      <c r="G299" s="31">
        <v>112</v>
      </c>
    </row>
    <row r="300" spans="1:7" ht="105.75" thickBot="1" x14ac:dyDescent="0.3">
      <c r="A300" s="42"/>
      <c r="B300" s="43">
        <v>71</v>
      </c>
      <c r="C300" s="42" t="s">
        <v>1503</v>
      </c>
      <c r="D300" s="42" t="s">
        <v>376</v>
      </c>
      <c r="E300" s="44">
        <v>31</v>
      </c>
      <c r="F300" s="38">
        <v>2459999999</v>
      </c>
      <c r="G300" s="43">
        <v>113</v>
      </c>
    </row>
    <row r="301" spans="1:7" ht="105.75" thickBot="1" x14ac:dyDescent="0.3">
      <c r="B301" s="23">
        <v>81</v>
      </c>
      <c r="C301" s="24" t="s">
        <v>1536</v>
      </c>
      <c r="D301" s="24" t="s">
        <v>376</v>
      </c>
      <c r="E301" s="25">
        <v>31</v>
      </c>
      <c r="F301" s="26">
        <v>2293870000</v>
      </c>
      <c r="G301" s="23">
        <v>123</v>
      </c>
    </row>
    <row r="302" spans="1:7" ht="105.75" thickBot="1" x14ac:dyDescent="0.3">
      <c r="A302" s="28"/>
      <c r="B302" s="27">
        <v>90</v>
      </c>
      <c r="C302" s="28" t="s">
        <v>1574</v>
      </c>
      <c r="D302" s="28" t="s">
        <v>376</v>
      </c>
      <c r="E302" s="29">
        <v>31</v>
      </c>
      <c r="F302" s="30">
        <v>2269990100</v>
      </c>
      <c r="G302" s="27">
        <v>132</v>
      </c>
    </row>
    <row r="303" spans="1:7" ht="105.75" thickBot="1" x14ac:dyDescent="0.3">
      <c r="A303" s="32"/>
      <c r="B303" s="31">
        <v>92</v>
      </c>
      <c r="C303" s="32" t="s">
        <v>1582</v>
      </c>
      <c r="D303" s="32" t="s">
        <v>376</v>
      </c>
      <c r="E303" s="33">
        <v>31</v>
      </c>
      <c r="F303" s="30">
        <v>2306500000</v>
      </c>
      <c r="G303" s="31">
        <v>134</v>
      </c>
    </row>
    <row r="304" spans="1:7" ht="105.75" thickBot="1" x14ac:dyDescent="0.3">
      <c r="A304" s="28"/>
      <c r="B304" s="27">
        <v>111</v>
      </c>
      <c r="C304" s="28" t="s">
        <v>1657</v>
      </c>
      <c r="D304" s="28" t="s">
        <v>376</v>
      </c>
      <c r="E304" s="29">
        <v>31</v>
      </c>
      <c r="F304" s="30">
        <v>2312896989</v>
      </c>
      <c r="G304" s="27">
        <v>153</v>
      </c>
    </row>
    <row r="305" spans="1:7" ht="105.75" thickBot="1" x14ac:dyDescent="0.3">
      <c r="A305" s="32"/>
      <c r="B305" s="31">
        <v>123</v>
      </c>
      <c r="C305" s="32" t="s">
        <v>859</v>
      </c>
      <c r="D305" s="32" t="s">
        <v>376</v>
      </c>
      <c r="E305" s="33">
        <v>31</v>
      </c>
      <c r="F305" s="30">
        <v>2400758740</v>
      </c>
      <c r="G305" s="31">
        <v>165</v>
      </c>
    </row>
    <row r="306" spans="1:7" ht="105.75" thickBot="1" x14ac:dyDescent="0.3">
      <c r="A306" s="28"/>
      <c r="B306" s="27">
        <v>144</v>
      </c>
      <c r="C306" s="28" t="s">
        <v>1781</v>
      </c>
      <c r="D306" s="28" t="s">
        <v>376</v>
      </c>
      <c r="E306" s="29">
        <v>31</v>
      </c>
      <c r="F306" s="30">
        <v>2320000000</v>
      </c>
      <c r="G306" s="27">
        <v>186</v>
      </c>
    </row>
    <row r="307" spans="1:7" ht="105.75" thickBot="1" x14ac:dyDescent="0.3">
      <c r="A307" s="32"/>
      <c r="B307" s="31">
        <v>146</v>
      </c>
      <c r="C307" s="32" t="s">
        <v>1789</v>
      </c>
      <c r="D307" s="32" t="s">
        <v>376</v>
      </c>
      <c r="E307" s="33">
        <v>31</v>
      </c>
      <c r="F307" s="30">
        <v>2583999999</v>
      </c>
      <c r="G307" s="31">
        <v>188</v>
      </c>
    </row>
    <row r="308" spans="1:7" ht="105.75" thickBot="1" x14ac:dyDescent="0.3">
      <c r="A308" s="28"/>
      <c r="B308" s="27">
        <v>147</v>
      </c>
      <c r="C308" s="28" t="s">
        <v>1793</v>
      </c>
      <c r="D308" s="28" t="s">
        <v>376</v>
      </c>
      <c r="E308" s="29">
        <v>31</v>
      </c>
      <c r="F308" s="30">
        <v>2431111111</v>
      </c>
      <c r="G308" s="27">
        <v>189</v>
      </c>
    </row>
    <row r="309" spans="1:7" ht="105.75" thickBot="1" x14ac:dyDescent="0.3">
      <c r="A309" s="32"/>
      <c r="B309" s="31">
        <v>181</v>
      </c>
      <c r="C309" s="32" t="s">
        <v>1939</v>
      </c>
      <c r="D309" s="32" t="s">
        <v>376</v>
      </c>
      <c r="E309" s="33">
        <v>31</v>
      </c>
      <c r="F309" s="30">
        <v>2452000000</v>
      </c>
      <c r="G309" s="31">
        <v>223</v>
      </c>
    </row>
    <row r="310" spans="1:7" ht="105.75" thickBot="1" x14ac:dyDescent="0.3">
      <c r="A310" s="28"/>
      <c r="B310" s="27">
        <v>201</v>
      </c>
      <c r="C310" s="28" t="s">
        <v>2030</v>
      </c>
      <c r="D310" s="28" t="s">
        <v>376</v>
      </c>
      <c r="E310" s="29">
        <v>31</v>
      </c>
      <c r="F310" s="30">
        <v>2310000000</v>
      </c>
      <c r="G310" s="27">
        <v>243</v>
      </c>
    </row>
    <row r="311" spans="1:7" ht="105.75" thickBot="1" x14ac:dyDescent="0.3">
      <c r="A311" s="32"/>
      <c r="B311" s="31">
        <v>211</v>
      </c>
      <c r="C311" s="32" t="s">
        <v>2071</v>
      </c>
      <c r="D311" s="32" t="s">
        <v>376</v>
      </c>
      <c r="E311" s="33">
        <v>31</v>
      </c>
      <c r="F311" s="30">
        <v>2431578999</v>
      </c>
      <c r="G311" s="31">
        <v>253</v>
      </c>
    </row>
    <row r="312" spans="1:7" ht="105.75" thickBot="1" x14ac:dyDescent="0.3">
      <c r="A312" s="28"/>
      <c r="B312" s="27">
        <v>215</v>
      </c>
      <c r="C312" s="28" t="s">
        <v>2091</v>
      </c>
      <c r="D312" s="28" t="s">
        <v>376</v>
      </c>
      <c r="E312" s="29">
        <v>31</v>
      </c>
      <c r="F312" s="30">
        <v>2479999999</v>
      </c>
      <c r="G312" s="27">
        <v>257</v>
      </c>
    </row>
    <row r="313" spans="1:7" ht="105.75" thickBot="1" x14ac:dyDescent="0.3">
      <c r="A313" s="32"/>
      <c r="B313" s="31">
        <v>219</v>
      </c>
      <c r="C313" s="32" t="s">
        <v>2110</v>
      </c>
      <c r="D313" s="32" t="s">
        <v>376</v>
      </c>
      <c r="E313" s="33">
        <v>31</v>
      </c>
      <c r="F313" s="30">
        <v>2388888888</v>
      </c>
      <c r="G313" s="31">
        <v>261</v>
      </c>
    </row>
    <row r="314" spans="1:7" ht="105.75" thickBot="1" x14ac:dyDescent="0.3">
      <c r="A314" s="28"/>
      <c r="B314" s="27">
        <v>222</v>
      </c>
      <c r="C314" s="28" t="s">
        <v>2125</v>
      </c>
      <c r="D314" s="28" t="s">
        <v>376</v>
      </c>
      <c r="E314" s="29">
        <v>31</v>
      </c>
      <c r="F314" s="30">
        <v>2310000999</v>
      </c>
      <c r="G314" s="27">
        <v>264</v>
      </c>
    </row>
    <row r="315" spans="1:7" ht="120.75" thickBot="1" x14ac:dyDescent="0.3">
      <c r="A315" s="32"/>
      <c r="B315" s="31">
        <v>234</v>
      </c>
      <c r="C315" s="32" t="s">
        <v>5564</v>
      </c>
      <c r="D315" s="32" t="s">
        <v>3478</v>
      </c>
      <c r="E315" s="33">
        <v>31</v>
      </c>
      <c r="F315" s="30">
        <v>6511286650</v>
      </c>
      <c r="G315" s="31">
        <v>276</v>
      </c>
    </row>
    <row r="316" spans="1:7" ht="90.75" thickBot="1" x14ac:dyDescent="0.3">
      <c r="A316" s="28"/>
      <c r="B316" s="27">
        <v>353</v>
      </c>
      <c r="C316" s="28" t="s">
        <v>5578</v>
      </c>
      <c r="D316" s="28" t="s">
        <v>5577</v>
      </c>
      <c r="E316" s="29">
        <v>31</v>
      </c>
      <c r="F316" s="30">
        <v>6666666000</v>
      </c>
      <c r="G316" s="27">
        <v>395</v>
      </c>
    </row>
    <row r="317" spans="1:7" ht="75.75" thickBot="1" x14ac:dyDescent="0.3">
      <c r="A317" s="32"/>
      <c r="B317" s="31">
        <v>375</v>
      </c>
      <c r="C317" s="32" t="s">
        <v>5137</v>
      </c>
      <c r="D317" s="32" t="s">
        <v>3250</v>
      </c>
      <c r="E317" s="33">
        <v>31</v>
      </c>
      <c r="F317" s="30">
        <v>4743500000</v>
      </c>
      <c r="G317" s="31">
        <v>419</v>
      </c>
    </row>
    <row r="318" spans="1:7" ht="105.75" thickBot="1" x14ac:dyDescent="0.3">
      <c r="A318" s="28"/>
      <c r="B318" s="27">
        <v>15</v>
      </c>
      <c r="C318" s="28" t="s">
        <v>2232</v>
      </c>
      <c r="D318" s="28" t="s">
        <v>376</v>
      </c>
      <c r="E318" s="29">
        <v>30</v>
      </c>
      <c r="F318" s="30">
        <v>2352000000</v>
      </c>
      <c r="G318" s="27">
        <v>57</v>
      </c>
    </row>
    <row r="319" spans="1:7" ht="105.75" thickBot="1" x14ac:dyDescent="0.3">
      <c r="A319" s="32"/>
      <c r="B319" s="31">
        <v>20</v>
      </c>
      <c r="C319" s="32" t="s">
        <v>2255</v>
      </c>
      <c r="D319" s="32" t="s">
        <v>376</v>
      </c>
      <c r="E319" s="33">
        <v>30</v>
      </c>
      <c r="F319" s="30">
        <v>2420000000</v>
      </c>
      <c r="G319" s="31">
        <v>62</v>
      </c>
    </row>
    <row r="320" spans="1:7" ht="105.75" thickBot="1" x14ac:dyDescent="0.3">
      <c r="A320" s="28"/>
      <c r="B320" s="27">
        <v>41</v>
      </c>
      <c r="C320" s="28" t="s">
        <v>2339</v>
      </c>
      <c r="D320" s="28" t="s">
        <v>376</v>
      </c>
      <c r="E320" s="29">
        <v>30</v>
      </c>
      <c r="F320" s="30">
        <v>2425000000</v>
      </c>
      <c r="G320" s="27">
        <v>83</v>
      </c>
    </row>
    <row r="321" spans="1:7" ht="105.75" thickBot="1" x14ac:dyDescent="0.3">
      <c r="A321" s="32"/>
      <c r="B321" s="31">
        <v>86</v>
      </c>
      <c r="C321" s="32" t="s">
        <v>1558</v>
      </c>
      <c r="D321" s="32" t="s">
        <v>376</v>
      </c>
      <c r="E321" s="33">
        <v>30</v>
      </c>
      <c r="F321" s="30">
        <v>2300000000</v>
      </c>
      <c r="G321" s="31">
        <v>128</v>
      </c>
    </row>
    <row r="322" spans="1:7" ht="105.75" thickBot="1" x14ac:dyDescent="0.3">
      <c r="A322" s="28"/>
      <c r="B322" s="27">
        <v>97</v>
      </c>
      <c r="C322" s="28" t="s">
        <v>1598</v>
      </c>
      <c r="D322" s="28" t="s">
        <v>376</v>
      </c>
      <c r="E322" s="29">
        <v>30</v>
      </c>
      <c r="F322" s="30">
        <v>2583259009</v>
      </c>
      <c r="G322" s="27">
        <v>139</v>
      </c>
    </row>
    <row r="323" spans="1:7" ht="105.75" thickBot="1" x14ac:dyDescent="0.3">
      <c r="A323" s="32"/>
      <c r="B323" s="31">
        <v>100</v>
      </c>
      <c r="C323" s="32" t="s">
        <v>1611</v>
      </c>
      <c r="D323" s="32" t="s">
        <v>376</v>
      </c>
      <c r="E323" s="33">
        <v>30</v>
      </c>
      <c r="F323" s="30">
        <v>2671990000</v>
      </c>
      <c r="G323" s="31">
        <v>142</v>
      </c>
    </row>
    <row r="324" spans="1:7" ht="105.75" thickBot="1" x14ac:dyDescent="0.3">
      <c r="A324" s="28"/>
      <c r="B324" s="27">
        <v>101</v>
      </c>
      <c r="C324" s="28" t="s">
        <v>1616</v>
      </c>
      <c r="D324" s="28" t="s">
        <v>376</v>
      </c>
      <c r="E324" s="29">
        <v>30</v>
      </c>
      <c r="F324" s="30">
        <v>2437999000</v>
      </c>
      <c r="G324" s="27">
        <v>143</v>
      </c>
    </row>
    <row r="325" spans="1:7" ht="105.75" thickBot="1" x14ac:dyDescent="0.3">
      <c r="A325" s="32"/>
      <c r="B325" s="31">
        <v>105</v>
      </c>
      <c r="C325" s="32" t="s">
        <v>1633</v>
      </c>
      <c r="D325" s="32" t="s">
        <v>376</v>
      </c>
      <c r="E325" s="33">
        <v>30</v>
      </c>
      <c r="F325" s="30">
        <v>2446999000</v>
      </c>
      <c r="G325" s="31">
        <v>147</v>
      </c>
    </row>
    <row r="326" spans="1:7" ht="105.75" thickBot="1" x14ac:dyDescent="0.3">
      <c r="A326" s="28"/>
      <c r="B326" s="27">
        <v>129</v>
      </c>
      <c r="C326" s="28" t="s">
        <v>1718</v>
      </c>
      <c r="D326" s="28" t="s">
        <v>376</v>
      </c>
      <c r="E326" s="29">
        <v>30</v>
      </c>
      <c r="F326" s="30">
        <v>2360000000</v>
      </c>
      <c r="G326" s="27">
        <v>171</v>
      </c>
    </row>
    <row r="327" spans="1:7" ht="105.75" thickBot="1" x14ac:dyDescent="0.3">
      <c r="A327" s="32"/>
      <c r="B327" s="31">
        <v>142</v>
      </c>
      <c r="C327" s="32" t="s">
        <v>1772</v>
      </c>
      <c r="D327" s="32" t="s">
        <v>376</v>
      </c>
      <c r="E327" s="33">
        <v>30</v>
      </c>
      <c r="F327" s="30">
        <v>2389999999</v>
      </c>
      <c r="G327" s="31">
        <v>184</v>
      </c>
    </row>
    <row r="328" spans="1:7" ht="105.75" thickBot="1" x14ac:dyDescent="0.3">
      <c r="A328" s="28"/>
      <c r="B328" s="27">
        <v>172</v>
      </c>
      <c r="C328" s="28" t="s">
        <v>1893</v>
      </c>
      <c r="D328" s="28" t="s">
        <v>376</v>
      </c>
      <c r="E328" s="29">
        <v>30</v>
      </c>
      <c r="F328" s="30">
        <v>2551000000</v>
      </c>
      <c r="G328" s="27">
        <v>214</v>
      </c>
    </row>
    <row r="329" spans="1:7" ht="105.75" thickBot="1" x14ac:dyDescent="0.3">
      <c r="A329" s="32"/>
      <c r="B329" s="31">
        <v>173</v>
      </c>
      <c r="C329" s="32" t="s">
        <v>1898</v>
      </c>
      <c r="D329" s="32" t="s">
        <v>376</v>
      </c>
      <c r="E329" s="33">
        <v>30</v>
      </c>
      <c r="F329" s="30">
        <v>2285500000</v>
      </c>
      <c r="G329" s="31">
        <v>215</v>
      </c>
    </row>
    <row r="330" spans="1:7" ht="105.75" thickBot="1" x14ac:dyDescent="0.3">
      <c r="A330" s="28"/>
      <c r="B330" s="27">
        <v>193</v>
      </c>
      <c r="C330" s="28" t="s">
        <v>1988</v>
      </c>
      <c r="D330" s="28" t="s">
        <v>376</v>
      </c>
      <c r="E330" s="29">
        <v>30</v>
      </c>
      <c r="F330" s="30">
        <v>2386099999</v>
      </c>
      <c r="G330" s="27">
        <v>235</v>
      </c>
    </row>
    <row r="331" spans="1:7" ht="105.75" thickBot="1" x14ac:dyDescent="0.3">
      <c r="A331" s="32"/>
      <c r="B331" s="31">
        <v>223</v>
      </c>
      <c r="C331" s="32" t="s">
        <v>2130</v>
      </c>
      <c r="D331" s="32" t="s">
        <v>376</v>
      </c>
      <c r="E331" s="33">
        <v>30</v>
      </c>
      <c r="F331" s="30">
        <v>2401000000</v>
      </c>
      <c r="G331" s="31">
        <v>265</v>
      </c>
    </row>
    <row r="332" spans="1:7" ht="105.75" thickBot="1" x14ac:dyDescent="0.3">
      <c r="A332" s="28"/>
      <c r="B332" s="27">
        <v>299</v>
      </c>
      <c r="C332" s="28" t="s">
        <v>4977</v>
      </c>
      <c r="D332" s="28" t="s">
        <v>4483</v>
      </c>
      <c r="E332" s="29">
        <v>30</v>
      </c>
      <c r="F332" s="30">
        <v>6466000000</v>
      </c>
      <c r="G332" s="27">
        <v>341</v>
      </c>
    </row>
    <row r="333" spans="1:7" ht="75.75" thickBot="1" x14ac:dyDescent="0.3">
      <c r="A333" s="32"/>
      <c r="B333" s="31">
        <v>362</v>
      </c>
      <c r="C333" s="32" t="s">
        <v>5329</v>
      </c>
      <c r="D333" s="32" t="s">
        <v>3210</v>
      </c>
      <c r="E333" s="33">
        <v>30</v>
      </c>
      <c r="F333" s="30">
        <v>5669000000</v>
      </c>
      <c r="G333" s="31">
        <v>404</v>
      </c>
    </row>
    <row r="334" spans="1:7" ht="60.75" thickBot="1" x14ac:dyDescent="0.3">
      <c r="A334" s="28"/>
      <c r="B334" s="27">
        <v>371</v>
      </c>
      <c r="C334" s="28" t="s">
        <v>5102</v>
      </c>
      <c r="D334" s="28" t="s">
        <v>5101</v>
      </c>
      <c r="E334" s="29">
        <v>30</v>
      </c>
      <c r="F334" s="30">
        <v>4958530000</v>
      </c>
      <c r="G334" s="27">
        <v>413</v>
      </c>
    </row>
    <row r="335" spans="1:7" ht="75.75" thickBot="1" x14ac:dyDescent="0.3">
      <c r="A335" s="32"/>
      <c r="B335" s="31">
        <v>373</v>
      </c>
      <c r="C335" s="32" t="s">
        <v>5310</v>
      </c>
      <c r="D335" s="32" t="s">
        <v>3210</v>
      </c>
      <c r="E335" s="33">
        <v>30</v>
      </c>
      <c r="F335" s="30">
        <v>5710000000</v>
      </c>
      <c r="G335" s="31">
        <v>415</v>
      </c>
    </row>
    <row r="336" spans="1:7" ht="105.75" thickBot="1" x14ac:dyDescent="0.3">
      <c r="A336" s="28"/>
      <c r="B336" s="27">
        <v>2</v>
      </c>
      <c r="C336" s="28" t="s">
        <v>2158</v>
      </c>
      <c r="D336" s="28" t="s">
        <v>376</v>
      </c>
      <c r="E336" s="29">
        <v>29</v>
      </c>
      <c r="F336" s="30">
        <v>2337999000</v>
      </c>
      <c r="G336" s="27">
        <v>44</v>
      </c>
    </row>
    <row r="337" spans="1:7" ht="105.75" thickBot="1" x14ac:dyDescent="0.3">
      <c r="A337" s="32"/>
      <c r="B337" s="31">
        <v>28</v>
      </c>
      <c r="C337" s="32" t="s">
        <v>2284</v>
      </c>
      <c r="D337" s="32" t="s">
        <v>376</v>
      </c>
      <c r="E337" s="33">
        <v>29</v>
      </c>
      <c r="F337" s="30">
        <v>2487999000</v>
      </c>
      <c r="G337" s="31">
        <v>70</v>
      </c>
    </row>
    <row r="338" spans="1:7" ht="105.75" thickBot="1" x14ac:dyDescent="0.3">
      <c r="A338" s="28"/>
      <c r="B338" s="27">
        <v>40</v>
      </c>
      <c r="C338" s="28" t="s">
        <v>2334</v>
      </c>
      <c r="D338" s="28" t="s">
        <v>376</v>
      </c>
      <c r="E338" s="29">
        <v>29</v>
      </c>
      <c r="F338" s="30">
        <v>2530000000</v>
      </c>
      <c r="G338" s="27">
        <v>82</v>
      </c>
    </row>
    <row r="339" spans="1:7" ht="105.75" thickBot="1" x14ac:dyDescent="0.3">
      <c r="A339" s="32"/>
      <c r="B339" s="31">
        <v>46</v>
      </c>
      <c r="C339" s="32" t="s">
        <v>2359</v>
      </c>
      <c r="D339" s="32" t="s">
        <v>376</v>
      </c>
      <c r="E339" s="33">
        <v>29</v>
      </c>
      <c r="F339" s="30">
        <v>2502200000</v>
      </c>
      <c r="G339" s="31">
        <v>88</v>
      </c>
    </row>
    <row r="340" spans="1:7" ht="105.75" thickBot="1" x14ac:dyDescent="0.3">
      <c r="A340" s="28"/>
      <c r="B340" s="27">
        <v>80</v>
      </c>
      <c r="C340" s="28" t="s">
        <v>1532</v>
      </c>
      <c r="D340" s="28" t="s">
        <v>376</v>
      </c>
      <c r="E340" s="29">
        <v>29</v>
      </c>
      <c r="F340" s="30">
        <v>2377999000</v>
      </c>
      <c r="G340" s="27">
        <v>122</v>
      </c>
    </row>
    <row r="341" spans="1:7" ht="105.75" thickBot="1" x14ac:dyDescent="0.3">
      <c r="A341" s="32"/>
      <c r="B341" s="31">
        <v>87</v>
      </c>
      <c r="C341" s="32" t="s">
        <v>1562</v>
      </c>
      <c r="D341" s="32" t="s">
        <v>376</v>
      </c>
      <c r="E341" s="33">
        <v>29</v>
      </c>
      <c r="F341" s="30">
        <v>2239999999</v>
      </c>
      <c r="G341" s="31">
        <v>129</v>
      </c>
    </row>
    <row r="342" spans="1:7" ht="105.75" thickBot="1" x14ac:dyDescent="0.3">
      <c r="A342" s="28"/>
      <c r="B342" s="27">
        <v>91</v>
      </c>
      <c r="C342" s="28" t="s">
        <v>1578</v>
      </c>
      <c r="D342" s="28" t="s">
        <v>376</v>
      </c>
      <c r="E342" s="29">
        <v>29</v>
      </c>
      <c r="F342" s="30">
        <v>2335000000</v>
      </c>
      <c r="G342" s="27">
        <v>133</v>
      </c>
    </row>
    <row r="343" spans="1:7" ht="105.75" thickBot="1" x14ac:dyDescent="0.3">
      <c r="A343" s="32"/>
      <c r="B343" s="31">
        <v>93</v>
      </c>
      <c r="C343" s="32" t="s">
        <v>1444</v>
      </c>
      <c r="D343" s="32" t="s">
        <v>376</v>
      </c>
      <c r="E343" s="33">
        <v>29</v>
      </c>
      <c r="F343" s="30">
        <v>2299900000</v>
      </c>
      <c r="G343" s="31">
        <v>135</v>
      </c>
    </row>
    <row r="344" spans="1:7" ht="105.75" thickBot="1" x14ac:dyDescent="0.3">
      <c r="A344" s="28"/>
      <c r="B344" s="27">
        <v>125</v>
      </c>
      <c r="C344" s="28" t="s">
        <v>894</v>
      </c>
      <c r="D344" s="28" t="s">
        <v>376</v>
      </c>
      <c r="E344" s="29">
        <v>29</v>
      </c>
      <c r="F344" s="30">
        <v>2363250000</v>
      </c>
      <c r="G344" s="27">
        <v>167</v>
      </c>
    </row>
    <row r="345" spans="1:7" ht="105.75" thickBot="1" x14ac:dyDescent="0.3">
      <c r="A345" s="32"/>
      <c r="B345" s="31">
        <v>138</v>
      </c>
      <c r="C345" s="32" t="s">
        <v>1758</v>
      </c>
      <c r="D345" s="32" t="s">
        <v>376</v>
      </c>
      <c r="E345" s="33">
        <v>29</v>
      </c>
      <c r="F345" s="30">
        <v>2999999999</v>
      </c>
      <c r="G345" s="31">
        <v>180</v>
      </c>
    </row>
    <row r="346" spans="1:7" ht="105.75" thickBot="1" x14ac:dyDescent="0.3">
      <c r="A346" s="28"/>
      <c r="B346" s="27">
        <v>152</v>
      </c>
      <c r="C346" s="28" t="s">
        <v>1814</v>
      </c>
      <c r="D346" s="28" t="s">
        <v>376</v>
      </c>
      <c r="E346" s="29">
        <v>29</v>
      </c>
      <c r="F346" s="30">
        <v>2487999000</v>
      </c>
      <c r="G346" s="27">
        <v>194</v>
      </c>
    </row>
    <row r="347" spans="1:7" ht="105.75" thickBot="1" x14ac:dyDescent="0.3">
      <c r="A347" s="32"/>
      <c r="B347" s="31">
        <v>153</v>
      </c>
      <c r="C347" s="32" t="s">
        <v>1818</v>
      </c>
      <c r="D347" s="32" t="s">
        <v>376</v>
      </c>
      <c r="E347" s="33">
        <v>29</v>
      </c>
      <c r="F347" s="30">
        <v>2467999000</v>
      </c>
      <c r="G347" s="31">
        <v>195</v>
      </c>
    </row>
    <row r="348" spans="1:7" ht="105.75" thickBot="1" x14ac:dyDescent="0.3">
      <c r="A348" s="28"/>
      <c r="B348" s="27">
        <v>178</v>
      </c>
      <c r="C348" s="28" t="s">
        <v>1924</v>
      </c>
      <c r="D348" s="28" t="s">
        <v>376</v>
      </c>
      <c r="E348" s="29">
        <v>29</v>
      </c>
      <c r="F348" s="30">
        <v>2450000000</v>
      </c>
      <c r="G348" s="27">
        <v>220</v>
      </c>
    </row>
    <row r="349" spans="1:7" ht="105.75" thickBot="1" x14ac:dyDescent="0.3">
      <c r="A349" s="32"/>
      <c r="B349" s="31">
        <v>185</v>
      </c>
      <c r="C349" s="32" t="s">
        <v>1959</v>
      </c>
      <c r="D349" s="32" t="s">
        <v>376</v>
      </c>
      <c r="E349" s="33">
        <v>29</v>
      </c>
      <c r="F349" s="30">
        <v>2499999999</v>
      </c>
      <c r="G349" s="31">
        <v>227</v>
      </c>
    </row>
    <row r="350" spans="1:7" ht="105.75" thickBot="1" x14ac:dyDescent="0.3">
      <c r="A350" s="28"/>
      <c r="B350" s="27">
        <v>218</v>
      </c>
      <c r="C350" s="28" t="s">
        <v>2106</v>
      </c>
      <c r="D350" s="28" t="s">
        <v>376</v>
      </c>
      <c r="E350" s="29">
        <v>29</v>
      </c>
      <c r="F350" s="30">
        <v>2321530394</v>
      </c>
      <c r="G350" s="27">
        <v>260</v>
      </c>
    </row>
    <row r="351" spans="1:7" ht="105.75" thickBot="1" x14ac:dyDescent="0.3">
      <c r="A351" s="32"/>
      <c r="B351" s="31">
        <v>221</v>
      </c>
      <c r="C351" s="32" t="s">
        <v>2120</v>
      </c>
      <c r="D351" s="32" t="s">
        <v>376</v>
      </c>
      <c r="E351" s="33">
        <v>29</v>
      </c>
      <c r="F351" s="30">
        <v>2450000111</v>
      </c>
      <c r="G351" s="31">
        <v>263</v>
      </c>
    </row>
    <row r="352" spans="1:7" ht="105.75" thickBot="1" x14ac:dyDescent="0.3">
      <c r="A352" s="28"/>
      <c r="B352" s="27">
        <v>224</v>
      </c>
      <c r="C352" s="28" t="s">
        <v>2134</v>
      </c>
      <c r="D352" s="28" t="s">
        <v>376</v>
      </c>
      <c r="E352" s="29">
        <v>29</v>
      </c>
      <c r="F352" s="30">
        <v>2379999999</v>
      </c>
      <c r="G352" s="27">
        <v>266</v>
      </c>
    </row>
    <row r="353" spans="1:7" ht="105.75" thickBot="1" x14ac:dyDescent="0.3">
      <c r="A353" s="32"/>
      <c r="B353" s="31">
        <v>225</v>
      </c>
      <c r="C353" s="32" t="s">
        <v>2139</v>
      </c>
      <c r="D353" s="32" t="s">
        <v>376</v>
      </c>
      <c r="E353" s="33">
        <v>29</v>
      </c>
      <c r="F353" s="30">
        <v>2380000000</v>
      </c>
      <c r="G353" s="31">
        <v>267</v>
      </c>
    </row>
    <row r="354" spans="1:7" ht="90.75" thickBot="1" x14ac:dyDescent="0.3">
      <c r="A354" s="28"/>
      <c r="B354" s="27">
        <v>240</v>
      </c>
      <c r="C354" s="28" t="s">
        <v>3667</v>
      </c>
      <c r="D354" s="28" t="s">
        <v>2476</v>
      </c>
      <c r="E354" s="29">
        <v>29</v>
      </c>
      <c r="F354" s="30">
        <v>4139895000</v>
      </c>
      <c r="G354" s="27">
        <v>282</v>
      </c>
    </row>
    <row r="355" spans="1:7" ht="105.75" thickBot="1" x14ac:dyDescent="0.3">
      <c r="A355" s="32"/>
      <c r="B355" s="31">
        <v>298</v>
      </c>
      <c r="C355" s="32" t="s">
        <v>4624</v>
      </c>
      <c r="D355" s="32" t="s">
        <v>4483</v>
      </c>
      <c r="E355" s="33">
        <v>29</v>
      </c>
      <c r="F355" s="30">
        <v>6353999999</v>
      </c>
      <c r="G355" s="31">
        <v>340</v>
      </c>
    </row>
    <row r="356" spans="1:7" ht="75.75" thickBot="1" x14ac:dyDescent="0.3">
      <c r="A356" s="28"/>
      <c r="B356" s="27">
        <v>366</v>
      </c>
      <c r="C356" s="28" t="s">
        <v>4833</v>
      </c>
      <c r="D356" s="28" t="s">
        <v>191</v>
      </c>
      <c r="E356" s="29">
        <v>29</v>
      </c>
      <c r="F356" s="34"/>
      <c r="G356" s="27">
        <v>408</v>
      </c>
    </row>
    <row r="357" spans="1:7" ht="90.75" thickBot="1" x14ac:dyDescent="0.3">
      <c r="A357" s="32"/>
      <c r="B357" s="31">
        <v>405</v>
      </c>
      <c r="C357" s="32" t="s">
        <v>5677</v>
      </c>
      <c r="D357" s="32" t="s">
        <v>5585</v>
      </c>
      <c r="E357" s="33">
        <v>29</v>
      </c>
      <c r="F357" s="30">
        <v>10780000000</v>
      </c>
      <c r="G357" s="31">
        <v>449</v>
      </c>
    </row>
    <row r="358" spans="1:7" ht="105.75" thickBot="1" x14ac:dyDescent="0.3">
      <c r="A358" s="28"/>
      <c r="B358" s="27">
        <v>47</v>
      </c>
      <c r="C358" s="28" t="s">
        <v>2363</v>
      </c>
      <c r="D358" s="28" t="s">
        <v>376</v>
      </c>
      <c r="E358" s="29">
        <v>28</v>
      </c>
      <c r="F358" s="30">
        <v>3000000000</v>
      </c>
      <c r="G358" s="27">
        <v>89</v>
      </c>
    </row>
    <row r="359" spans="1:7" ht="105.75" thickBot="1" x14ac:dyDescent="0.3">
      <c r="A359" s="32"/>
      <c r="B359" s="31">
        <v>59</v>
      </c>
      <c r="C359" s="32" t="s">
        <v>1453</v>
      </c>
      <c r="D359" s="32" t="s">
        <v>376</v>
      </c>
      <c r="E359" s="33">
        <v>28</v>
      </c>
      <c r="F359" s="30">
        <v>2553000000</v>
      </c>
      <c r="G359" s="31">
        <v>101</v>
      </c>
    </row>
    <row r="360" spans="1:7" ht="105.75" thickBot="1" x14ac:dyDescent="0.3">
      <c r="A360" s="28"/>
      <c r="B360" s="27">
        <v>74</v>
      </c>
      <c r="C360" s="28" t="s">
        <v>1516</v>
      </c>
      <c r="D360" s="28" t="s">
        <v>376</v>
      </c>
      <c r="E360" s="29">
        <v>28</v>
      </c>
      <c r="F360" s="30">
        <v>2413333333</v>
      </c>
      <c r="G360" s="27">
        <v>116</v>
      </c>
    </row>
    <row r="361" spans="1:7" ht="105.75" thickBot="1" x14ac:dyDescent="0.3">
      <c r="A361" s="32"/>
      <c r="B361" s="31">
        <v>75</v>
      </c>
      <c r="C361" s="32" t="s">
        <v>1520</v>
      </c>
      <c r="D361" s="32" t="s">
        <v>376</v>
      </c>
      <c r="E361" s="33">
        <v>28</v>
      </c>
      <c r="F361" s="30">
        <v>2388888888</v>
      </c>
      <c r="G361" s="31">
        <v>117</v>
      </c>
    </row>
    <row r="362" spans="1:7" ht="105.75" thickBot="1" x14ac:dyDescent="0.3">
      <c r="A362" s="28"/>
      <c r="B362" s="27">
        <v>88</v>
      </c>
      <c r="C362" s="28" t="s">
        <v>1566</v>
      </c>
      <c r="D362" s="28" t="s">
        <v>376</v>
      </c>
      <c r="E362" s="29">
        <v>28</v>
      </c>
      <c r="F362" s="30">
        <v>2399999999</v>
      </c>
      <c r="G362" s="27">
        <v>130</v>
      </c>
    </row>
    <row r="363" spans="1:7" ht="105.75" thickBot="1" x14ac:dyDescent="0.3">
      <c r="A363" s="32"/>
      <c r="B363" s="31">
        <v>113</v>
      </c>
      <c r="C363" s="32" t="s">
        <v>1665</v>
      </c>
      <c r="D363" s="32" t="s">
        <v>376</v>
      </c>
      <c r="E363" s="33">
        <v>28</v>
      </c>
      <c r="F363" s="30">
        <v>2386000000</v>
      </c>
      <c r="G363" s="31">
        <v>155</v>
      </c>
    </row>
    <row r="364" spans="1:7" ht="105.75" thickBot="1" x14ac:dyDescent="0.3">
      <c r="A364" s="28"/>
      <c r="B364" s="27">
        <v>163</v>
      </c>
      <c r="C364" s="28" t="s">
        <v>1858</v>
      </c>
      <c r="D364" s="28" t="s">
        <v>376</v>
      </c>
      <c r="E364" s="29">
        <v>28</v>
      </c>
      <c r="F364" s="30">
        <v>2260321000</v>
      </c>
      <c r="G364" s="27">
        <v>205</v>
      </c>
    </row>
    <row r="365" spans="1:7" ht="105.75" thickBot="1" x14ac:dyDescent="0.3">
      <c r="A365" s="32"/>
      <c r="B365" s="31">
        <v>189</v>
      </c>
      <c r="C365" s="32" t="s">
        <v>904</v>
      </c>
      <c r="D365" s="32" t="s">
        <v>376</v>
      </c>
      <c r="E365" s="33">
        <v>28</v>
      </c>
      <c r="F365" s="30">
        <v>2412000000</v>
      </c>
      <c r="G365" s="31">
        <v>231</v>
      </c>
    </row>
    <row r="366" spans="1:7" ht="105.75" thickBot="1" x14ac:dyDescent="0.3">
      <c r="A366" s="28"/>
      <c r="B366" s="27">
        <v>195</v>
      </c>
      <c r="C366" s="28" t="s">
        <v>1999</v>
      </c>
      <c r="D366" s="28" t="s">
        <v>376</v>
      </c>
      <c r="E366" s="29">
        <v>28</v>
      </c>
      <c r="F366" s="30">
        <v>2388888888</v>
      </c>
      <c r="G366" s="27">
        <v>237</v>
      </c>
    </row>
    <row r="367" spans="1:7" ht="120.75" thickBot="1" x14ac:dyDescent="0.3">
      <c r="A367" s="32"/>
      <c r="B367" s="31">
        <v>237</v>
      </c>
      <c r="C367" s="32" t="s">
        <v>5573</v>
      </c>
      <c r="D367" s="32" t="s">
        <v>3478</v>
      </c>
      <c r="E367" s="33">
        <v>28</v>
      </c>
      <c r="F367" s="30">
        <v>6665000000</v>
      </c>
      <c r="G367" s="31">
        <v>279</v>
      </c>
    </row>
    <row r="368" spans="1:7" ht="75.75" thickBot="1" x14ac:dyDescent="0.3">
      <c r="A368" s="28"/>
      <c r="B368" s="27">
        <v>266</v>
      </c>
      <c r="C368" s="28" t="s">
        <v>2856</v>
      </c>
      <c r="D368" s="28" t="s">
        <v>325</v>
      </c>
      <c r="E368" s="29">
        <v>28</v>
      </c>
      <c r="F368" s="30">
        <v>4225000000</v>
      </c>
      <c r="G368" s="27">
        <v>308</v>
      </c>
    </row>
    <row r="369" spans="1:7" ht="105.75" thickBot="1" x14ac:dyDescent="0.3">
      <c r="A369" s="32"/>
      <c r="B369" s="31">
        <v>283</v>
      </c>
      <c r="C369" s="32" t="s">
        <v>5377</v>
      </c>
      <c r="D369" s="32" t="s">
        <v>4497</v>
      </c>
      <c r="E369" s="33">
        <v>28</v>
      </c>
      <c r="F369" s="30">
        <v>6097500000</v>
      </c>
      <c r="G369" s="31">
        <v>325</v>
      </c>
    </row>
    <row r="370" spans="1:7" ht="105.75" thickBot="1" x14ac:dyDescent="0.3">
      <c r="A370" s="28"/>
      <c r="B370" s="27">
        <v>297</v>
      </c>
      <c r="C370" s="28" t="s">
        <v>4819</v>
      </c>
      <c r="D370" s="28" t="s">
        <v>4497</v>
      </c>
      <c r="E370" s="29">
        <v>28</v>
      </c>
      <c r="F370" s="30">
        <v>6269380000</v>
      </c>
      <c r="G370" s="27">
        <v>339</v>
      </c>
    </row>
    <row r="371" spans="1:7" ht="105.75" thickBot="1" x14ac:dyDescent="0.3">
      <c r="A371" s="32"/>
      <c r="B371" s="31">
        <v>304</v>
      </c>
      <c r="C371" s="32" t="s">
        <v>4899</v>
      </c>
      <c r="D371" s="32" t="s">
        <v>4497</v>
      </c>
      <c r="E371" s="33">
        <v>28</v>
      </c>
      <c r="F371" s="30">
        <v>5750000000</v>
      </c>
      <c r="G371" s="31">
        <v>346</v>
      </c>
    </row>
    <row r="372" spans="1:7" ht="105.75" thickBot="1" x14ac:dyDescent="0.3">
      <c r="A372" s="28"/>
      <c r="B372" s="27">
        <v>325</v>
      </c>
      <c r="C372" s="28" t="s">
        <v>5426</v>
      </c>
      <c r="D372" s="28" t="s">
        <v>4497</v>
      </c>
      <c r="E372" s="29">
        <v>28</v>
      </c>
      <c r="F372" s="30">
        <v>5512000000</v>
      </c>
      <c r="G372" s="27">
        <v>367</v>
      </c>
    </row>
    <row r="373" spans="1:7" ht="105.75" thickBot="1" x14ac:dyDescent="0.3">
      <c r="A373" s="32"/>
      <c r="B373" s="31">
        <v>333</v>
      </c>
      <c r="C373" s="32" t="s">
        <v>5532</v>
      </c>
      <c r="D373" s="32" t="s">
        <v>4497</v>
      </c>
      <c r="E373" s="33">
        <v>28</v>
      </c>
      <c r="F373" s="30">
        <v>5572000000</v>
      </c>
      <c r="G373" s="31">
        <v>375</v>
      </c>
    </row>
    <row r="374" spans="1:7" ht="105.75" thickBot="1" x14ac:dyDescent="0.3">
      <c r="A374" s="28"/>
      <c r="B374" s="27">
        <v>1</v>
      </c>
      <c r="C374" s="28" t="s">
        <v>2153</v>
      </c>
      <c r="D374" s="28" t="s">
        <v>376</v>
      </c>
      <c r="E374" s="29">
        <v>27</v>
      </c>
      <c r="F374" s="30">
        <v>3353000000</v>
      </c>
      <c r="G374" s="27">
        <v>43</v>
      </c>
    </row>
    <row r="375" spans="1:7" ht="105.75" thickBot="1" x14ac:dyDescent="0.3">
      <c r="A375" s="32"/>
      <c r="B375" s="31">
        <v>6</v>
      </c>
      <c r="C375" s="32" t="s">
        <v>2179</v>
      </c>
      <c r="D375" s="32" t="s">
        <v>376</v>
      </c>
      <c r="E375" s="33">
        <v>27</v>
      </c>
      <c r="F375" s="30">
        <v>2625999899</v>
      </c>
      <c r="G375" s="31">
        <v>48</v>
      </c>
    </row>
    <row r="376" spans="1:7" ht="105.75" thickBot="1" x14ac:dyDescent="0.3">
      <c r="A376" s="28"/>
      <c r="B376" s="27">
        <v>7</v>
      </c>
      <c r="C376" s="28" t="s">
        <v>2184</v>
      </c>
      <c r="D376" s="28" t="s">
        <v>376</v>
      </c>
      <c r="E376" s="29">
        <v>27</v>
      </c>
      <c r="F376" s="30">
        <v>2387999000</v>
      </c>
      <c r="G376" s="27">
        <v>49</v>
      </c>
    </row>
    <row r="377" spans="1:7" ht="105.75" thickBot="1" x14ac:dyDescent="0.3">
      <c r="A377" s="32"/>
      <c r="B377" s="31">
        <v>22</v>
      </c>
      <c r="C377" s="32" t="s">
        <v>2263</v>
      </c>
      <c r="D377" s="32" t="s">
        <v>376</v>
      </c>
      <c r="E377" s="33">
        <v>27</v>
      </c>
      <c r="F377" s="30">
        <v>2359999999</v>
      </c>
      <c r="G377" s="31">
        <v>64</v>
      </c>
    </row>
    <row r="378" spans="1:7" ht="105.75" thickBot="1" x14ac:dyDescent="0.3">
      <c r="A378" s="28"/>
      <c r="B378" s="27">
        <v>24</v>
      </c>
      <c r="C378" s="28" t="s">
        <v>2268</v>
      </c>
      <c r="D378" s="28" t="s">
        <v>376</v>
      </c>
      <c r="E378" s="29">
        <v>27</v>
      </c>
      <c r="F378" s="30">
        <v>2400000000</v>
      </c>
      <c r="G378" s="27">
        <v>66</v>
      </c>
    </row>
    <row r="379" spans="1:7" ht="105.75" thickBot="1" x14ac:dyDescent="0.3">
      <c r="A379" s="32"/>
      <c r="B379" s="31">
        <v>25</v>
      </c>
      <c r="C379" s="32" t="s">
        <v>2272</v>
      </c>
      <c r="D379" s="32" t="s">
        <v>376</v>
      </c>
      <c r="E379" s="33">
        <v>27</v>
      </c>
      <c r="F379" s="30">
        <v>2412345678</v>
      </c>
      <c r="G379" s="31">
        <v>67</v>
      </c>
    </row>
    <row r="380" spans="1:7" ht="105.75" thickBot="1" x14ac:dyDescent="0.3">
      <c r="A380" s="28"/>
      <c r="B380" s="27">
        <v>27</v>
      </c>
      <c r="C380" s="28" t="s">
        <v>2280</v>
      </c>
      <c r="D380" s="28" t="s">
        <v>376</v>
      </c>
      <c r="E380" s="29">
        <v>27</v>
      </c>
      <c r="F380" s="30">
        <v>2550000000</v>
      </c>
      <c r="G380" s="27">
        <v>69</v>
      </c>
    </row>
    <row r="381" spans="1:7" ht="105.75" thickBot="1" x14ac:dyDescent="0.3">
      <c r="A381" s="32"/>
      <c r="B381" s="31">
        <v>31</v>
      </c>
      <c r="C381" s="32" t="s">
        <v>2297</v>
      </c>
      <c r="D381" s="32" t="s">
        <v>376</v>
      </c>
      <c r="E381" s="33">
        <v>27</v>
      </c>
      <c r="F381" s="30">
        <v>2467999000</v>
      </c>
      <c r="G381" s="31">
        <v>73</v>
      </c>
    </row>
    <row r="382" spans="1:7" ht="105.75" thickBot="1" x14ac:dyDescent="0.3">
      <c r="A382" s="28"/>
      <c r="B382" s="27">
        <v>33</v>
      </c>
      <c r="C382" s="28" t="s">
        <v>2305</v>
      </c>
      <c r="D382" s="28" t="s">
        <v>376</v>
      </c>
      <c r="E382" s="29">
        <v>27</v>
      </c>
      <c r="F382" s="30">
        <v>2477999000</v>
      </c>
      <c r="G382" s="27">
        <v>75</v>
      </c>
    </row>
    <row r="383" spans="1:7" ht="105.75" thickBot="1" x14ac:dyDescent="0.3">
      <c r="A383" s="32"/>
      <c r="B383" s="31">
        <v>35</v>
      </c>
      <c r="C383" s="32" t="s">
        <v>2313</v>
      </c>
      <c r="D383" s="32" t="s">
        <v>376</v>
      </c>
      <c r="E383" s="33">
        <v>27</v>
      </c>
      <c r="F383" s="30">
        <v>2511212127</v>
      </c>
      <c r="G383" s="31">
        <v>77</v>
      </c>
    </row>
    <row r="384" spans="1:7" ht="105.75" thickBot="1" x14ac:dyDescent="0.3">
      <c r="A384" s="28"/>
      <c r="B384" s="27">
        <v>38</v>
      </c>
      <c r="C384" s="28" t="s">
        <v>2326</v>
      </c>
      <c r="D384" s="28" t="s">
        <v>376</v>
      </c>
      <c r="E384" s="29">
        <v>27</v>
      </c>
      <c r="F384" s="30">
        <v>2451999999</v>
      </c>
      <c r="G384" s="27">
        <v>80</v>
      </c>
    </row>
    <row r="385" spans="1:7" ht="105.75" thickBot="1" x14ac:dyDescent="0.3">
      <c r="A385" s="32"/>
      <c r="B385" s="31">
        <v>39</v>
      </c>
      <c r="C385" s="32" t="s">
        <v>2330</v>
      </c>
      <c r="D385" s="32" t="s">
        <v>376</v>
      </c>
      <c r="E385" s="33">
        <v>27</v>
      </c>
      <c r="F385" s="30">
        <v>2540000000</v>
      </c>
      <c r="G385" s="31">
        <v>81</v>
      </c>
    </row>
    <row r="386" spans="1:7" ht="105.75" thickBot="1" x14ac:dyDescent="0.3">
      <c r="A386" s="28"/>
      <c r="B386" s="27">
        <v>53</v>
      </c>
      <c r="C386" s="28" t="s">
        <v>2388</v>
      </c>
      <c r="D386" s="28" t="s">
        <v>376</v>
      </c>
      <c r="E386" s="29">
        <v>27</v>
      </c>
      <c r="F386" s="30">
        <v>2469999999</v>
      </c>
      <c r="G386" s="27">
        <v>95</v>
      </c>
    </row>
    <row r="387" spans="1:7" ht="105.75" thickBot="1" x14ac:dyDescent="0.3">
      <c r="A387" s="32"/>
      <c r="B387" s="31">
        <v>60</v>
      </c>
      <c r="C387" s="32" t="s">
        <v>1457</v>
      </c>
      <c r="D387" s="32" t="s">
        <v>376</v>
      </c>
      <c r="E387" s="33">
        <v>27</v>
      </c>
      <c r="F387" s="30">
        <v>2679999999</v>
      </c>
      <c r="G387" s="31">
        <v>102</v>
      </c>
    </row>
    <row r="388" spans="1:7" ht="105.75" thickBot="1" x14ac:dyDescent="0.3">
      <c r="A388" s="28"/>
      <c r="B388" s="27">
        <v>62</v>
      </c>
      <c r="C388" s="28" t="s">
        <v>1466</v>
      </c>
      <c r="D388" s="28" t="s">
        <v>376</v>
      </c>
      <c r="E388" s="29">
        <v>27</v>
      </c>
      <c r="F388" s="30">
        <v>2483000000</v>
      </c>
      <c r="G388" s="27">
        <v>104</v>
      </c>
    </row>
    <row r="389" spans="1:7" ht="105.75" thickBot="1" x14ac:dyDescent="0.3">
      <c r="A389" s="32"/>
      <c r="B389" s="31">
        <v>68</v>
      </c>
      <c r="C389" s="32" t="s">
        <v>1490</v>
      </c>
      <c r="D389" s="32" t="s">
        <v>376</v>
      </c>
      <c r="E389" s="33">
        <v>27</v>
      </c>
      <c r="F389" s="30">
        <v>2419999999</v>
      </c>
      <c r="G389" s="31">
        <v>110</v>
      </c>
    </row>
    <row r="390" spans="1:7" ht="105.75" thickBot="1" x14ac:dyDescent="0.3">
      <c r="A390" s="28"/>
      <c r="B390" s="27">
        <v>69</v>
      </c>
      <c r="C390" s="28" t="s">
        <v>1494</v>
      </c>
      <c r="D390" s="28" t="s">
        <v>376</v>
      </c>
      <c r="E390" s="29">
        <v>27</v>
      </c>
      <c r="F390" s="30">
        <v>2439999999</v>
      </c>
      <c r="G390" s="27">
        <v>111</v>
      </c>
    </row>
    <row r="391" spans="1:7" ht="105.75" thickBot="1" x14ac:dyDescent="0.3">
      <c r="A391" s="32"/>
      <c r="B391" s="31">
        <v>89</v>
      </c>
      <c r="C391" s="32" t="s">
        <v>1570</v>
      </c>
      <c r="D391" s="32" t="s">
        <v>376</v>
      </c>
      <c r="E391" s="33">
        <v>27</v>
      </c>
      <c r="F391" s="30">
        <v>2515000000</v>
      </c>
      <c r="G391" s="31">
        <v>131</v>
      </c>
    </row>
    <row r="392" spans="1:7" ht="105.75" thickBot="1" x14ac:dyDescent="0.3">
      <c r="A392" s="28"/>
      <c r="B392" s="27">
        <v>96</v>
      </c>
      <c r="C392" s="28" t="s">
        <v>1594</v>
      </c>
      <c r="D392" s="28" t="s">
        <v>376</v>
      </c>
      <c r="E392" s="29">
        <v>27</v>
      </c>
      <c r="F392" s="30">
        <v>2288444888</v>
      </c>
      <c r="G392" s="27">
        <v>138</v>
      </c>
    </row>
    <row r="393" spans="1:7" ht="105.75" thickBot="1" x14ac:dyDescent="0.3">
      <c r="A393" s="32"/>
      <c r="B393" s="31">
        <v>99</v>
      </c>
      <c r="C393" s="32" t="s">
        <v>1607</v>
      </c>
      <c r="D393" s="32" t="s">
        <v>376</v>
      </c>
      <c r="E393" s="33">
        <v>27</v>
      </c>
      <c r="F393" s="30">
        <v>2558800000</v>
      </c>
      <c r="G393" s="31">
        <v>141</v>
      </c>
    </row>
    <row r="394" spans="1:7" ht="105.75" thickBot="1" x14ac:dyDescent="0.3">
      <c r="A394" s="28"/>
      <c r="B394" s="27">
        <v>108</v>
      </c>
      <c r="C394" s="28" t="s">
        <v>1645</v>
      </c>
      <c r="D394" s="28" t="s">
        <v>376</v>
      </c>
      <c r="E394" s="29">
        <v>27</v>
      </c>
      <c r="F394" s="30">
        <v>2437999000</v>
      </c>
      <c r="G394" s="27">
        <v>150</v>
      </c>
    </row>
    <row r="395" spans="1:7" ht="105.75" thickBot="1" x14ac:dyDescent="0.3">
      <c r="A395" s="32"/>
      <c r="B395" s="31">
        <v>116</v>
      </c>
      <c r="C395" s="32" t="s">
        <v>1678</v>
      </c>
      <c r="D395" s="32" t="s">
        <v>376</v>
      </c>
      <c r="E395" s="33">
        <v>27</v>
      </c>
      <c r="F395" s="30">
        <v>2523000000</v>
      </c>
      <c r="G395" s="31">
        <v>158</v>
      </c>
    </row>
    <row r="396" spans="1:7" ht="105.75" thickBot="1" x14ac:dyDescent="0.3">
      <c r="A396" s="28"/>
      <c r="B396" s="27">
        <v>127</v>
      </c>
      <c r="C396" s="28" t="s">
        <v>1709</v>
      </c>
      <c r="D396" s="28" t="s">
        <v>376</v>
      </c>
      <c r="E396" s="29">
        <v>27</v>
      </c>
      <c r="F396" s="30">
        <v>2340000000</v>
      </c>
      <c r="G396" s="27">
        <v>169</v>
      </c>
    </row>
    <row r="397" spans="1:7" ht="105.75" thickBot="1" x14ac:dyDescent="0.3">
      <c r="A397" s="32"/>
      <c r="B397" s="31">
        <v>130</v>
      </c>
      <c r="C397" s="32" t="s">
        <v>1723</v>
      </c>
      <c r="D397" s="32" t="s">
        <v>376</v>
      </c>
      <c r="E397" s="33">
        <v>27</v>
      </c>
      <c r="F397" s="30">
        <v>2223470000</v>
      </c>
      <c r="G397" s="31">
        <v>172</v>
      </c>
    </row>
    <row r="398" spans="1:7" ht="105.75" thickBot="1" x14ac:dyDescent="0.3">
      <c r="A398" s="28"/>
      <c r="B398" s="27">
        <v>131</v>
      </c>
      <c r="C398" s="28" t="s">
        <v>1727</v>
      </c>
      <c r="D398" s="28" t="s">
        <v>376</v>
      </c>
      <c r="E398" s="29">
        <v>27</v>
      </c>
      <c r="F398" s="30">
        <v>2310000000</v>
      </c>
      <c r="G398" s="27">
        <v>173</v>
      </c>
    </row>
    <row r="399" spans="1:7" ht="105.75" thickBot="1" x14ac:dyDescent="0.3">
      <c r="A399" s="32"/>
      <c r="B399" s="31">
        <v>133</v>
      </c>
      <c r="C399" s="32" t="s">
        <v>1736</v>
      </c>
      <c r="D399" s="32" t="s">
        <v>376</v>
      </c>
      <c r="E399" s="33">
        <v>27</v>
      </c>
      <c r="F399" s="30">
        <v>2572513900</v>
      </c>
      <c r="G399" s="31">
        <v>175</v>
      </c>
    </row>
    <row r="400" spans="1:7" ht="105.75" thickBot="1" x14ac:dyDescent="0.3">
      <c r="A400" s="42"/>
      <c r="B400" s="43">
        <v>141</v>
      </c>
      <c r="C400" s="42" t="s">
        <v>1768</v>
      </c>
      <c r="D400" s="42" t="s">
        <v>376</v>
      </c>
      <c r="E400" s="44">
        <v>27</v>
      </c>
      <c r="F400" s="38">
        <v>2400000000</v>
      </c>
      <c r="G400" s="43">
        <v>183</v>
      </c>
    </row>
    <row r="401" spans="1:7" ht="105.75" thickBot="1" x14ac:dyDescent="0.3">
      <c r="B401" s="23">
        <v>186</v>
      </c>
      <c r="C401" s="24" t="s">
        <v>1964</v>
      </c>
      <c r="D401" s="24" t="s">
        <v>376</v>
      </c>
      <c r="E401" s="25">
        <v>27</v>
      </c>
      <c r="F401" s="26">
        <v>2542000000</v>
      </c>
      <c r="G401" s="23">
        <v>228</v>
      </c>
    </row>
    <row r="402" spans="1:7" ht="105.75" thickBot="1" x14ac:dyDescent="0.3">
      <c r="A402" s="28"/>
      <c r="B402" s="27">
        <v>203</v>
      </c>
      <c r="C402" s="28" t="s">
        <v>2038</v>
      </c>
      <c r="D402" s="28" t="s">
        <v>376</v>
      </c>
      <c r="E402" s="29">
        <v>27</v>
      </c>
      <c r="F402" s="30">
        <v>2333333333</v>
      </c>
      <c r="G402" s="27">
        <v>245</v>
      </c>
    </row>
    <row r="403" spans="1:7" ht="105.75" thickBot="1" x14ac:dyDescent="0.3">
      <c r="A403" s="32"/>
      <c r="B403" s="31">
        <v>205</v>
      </c>
      <c r="C403" s="32" t="s">
        <v>7899</v>
      </c>
      <c r="D403" s="32" t="s">
        <v>376</v>
      </c>
      <c r="E403" s="33">
        <v>27</v>
      </c>
      <c r="F403" s="30">
        <v>2547999000</v>
      </c>
      <c r="G403" s="31">
        <v>247</v>
      </c>
    </row>
    <row r="404" spans="1:7" ht="105.75" thickBot="1" x14ac:dyDescent="0.3">
      <c r="A404" s="28"/>
      <c r="B404" s="27">
        <v>209</v>
      </c>
      <c r="C404" s="28" t="s">
        <v>2061</v>
      </c>
      <c r="D404" s="28" t="s">
        <v>376</v>
      </c>
      <c r="E404" s="29">
        <v>27</v>
      </c>
      <c r="F404" s="30">
        <v>2230000000</v>
      </c>
      <c r="G404" s="27">
        <v>251</v>
      </c>
    </row>
    <row r="405" spans="1:7" ht="75.75" thickBot="1" x14ac:dyDescent="0.3">
      <c r="A405" s="32"/>
      <c r="B405" s="31">
        <v>385</v>
      </c>
      <c r="C405" s="32" t="s">
        <v>5064</v>
      </c>
      <c r="D405" s="32" t="s">
        <v>191</v>
      </c>
      <c r="E405" s="33">
        <v>27</v>
      </c>
      <c r="F405" s="30">
        <v>4941500000</v>
      </c>
      <c r="G405" s="31">
        <v>429</v>
      </c>
    </row>
    <row r="406" spans="1:7" ht="105.75" thickBot="1" x14ac:dyDescent="0.3">
      <c r="A406" s="28"/>
      <c r="B406" s="27">
        <v>389</v>
      </c>
      <c r="C406" s="28" t="s">
        <v>4457</v>
      </c>
      <c r="D406" s="28" t="s">
        <v>2898</v>
      </c>
      <c r="E406" s="29">
        <v>27</v>
      </c>
      <c r="F406" s="30">
        <v>4232168527</v>
      </c>
      <c r="G406" s="27">
        <v>433</v>
      </c>
    </row>
    <row r="407" spans="1:7" ht="105.75" thickBot="1" x14ac:dyDescent="0.3">
      <c r="A407" s="32"/>
      <c r="B407" s="31">
        <v>3</v>
      </c>
      <c r="C407" s="32" t="s">
        <v>2164</v>
      </c>
      <c r="D407" s="32" t="s">
        <v>376</v>
      </c>
      <c r="E407" s="33">
        <v>26</v>
      </c>
      <c r="F407" s="30">
        <v>2418888888</v>
      </c>
      <c r="G407" s="31">
        <v>45</v>
      </c>
    </row>
    <row r="408" spans="1:7" ht="105.75" thickBot="1" x14ac:dyDescent="0.3">
      <c r="A408" s="28"/>
      <c r="B408" s="27">
        <v>65</v>
      </c>
      <c r="C408" s="28" t="s">
        <v>1478</v>
      </c>
      <c r="D408" s="28" t="s">
        <v>376</v>
      </c>
      <c r="E408" s="29">
        <v>26</v>
      </c>
      <c r="F408" s="30">
        <v>2515000000</v>
      </c>
      <c r="G408" s="27">
        <v>107</v>
      </c>
    </row>
    <row r="409" spans="1:7" ht="105.75" thickBot="1" x14ac:dyDescent="0.3">
      <c r="A409" s="32"/>
      <c r="B409" s="31">
        <v>95</v>
      </c>
      <c r="C409" s="32" t="s">
        <v>1590</v>
      </c>
      <c r="D409" s="32" t="s">
        <v>376</v>
      </c>
      <c r="E409" s="33">
        <v>26</v>
      </c>
      <c r="F409" s="30">
        <v>2419990000</v>
      </c>
      <c r="G409" s="31">
        <v>137</v>
      </c>
    </row>
    <row r="410" spans="1:7" ht="105.75" thickBot="1" x14ac:dyDescent="0.3">
      <c r="A410" s="28"/>
      <c r="B410" s="27">
        <v>106</v>
      </c>
      <c r="C410" s="28" t="s">
        <v>1637</v>
      </c>
      <c r="D410" s="28" t="s">
        <v>376</v>
      </c>
      <c r="E410" s="29">
        <v>26</v>
      </c>
      <c r="F410" s="30">
        <v>2487999000</v>
      </c>
      <c r="G410" s="27">
        <v>148</v>
      </c>
    </row>
    <row r="411" spans="1:7" ht="105.75" thickBot="1" x14ac:dyDescent="0.3">
      <c r="A411" s="32"/>
      <c r="B411" s="31">
        <v>112</v>
      </c>
      <c r="C411" s="32" t="s">
        <v>1661</v>
      </c>
      <c r="D411" s="32" t="s">
        <v>376</v>
      </c>
      <c r="E411" s="33">
        <v>26</v>
      </c>
      <c r="F411" s="30">
        <v>2268000000</v>
      </c>
      <c r="G411" s="31">
        <v>154</v>
      </c>
    </row>
    <row r="412" spans="1:7" ht="105.75" thickBot="1" x14ac:dyDescent="0.3">
      <c r="A412" s="28"/>
      <c r="B412" s="27">
        <v>128</v>
      </c>
      <c r="C412" s="28" t="s">
        <v>1714</v>
      </c>
      <c r="D412" s="28" t="s">
        <v>376</v>
      </c>
      <c r="E412" s="29">
        <v>26</v>
      </c>
      <c r="F412" s="30">
        <v>2305555555</v>
      </c>
      <c r="G412" s="27">
        <v>170</v>
      </c>
    </row>
    <row r="413" spans="1:7" ht="105.75" thickBot="1" x14ac:dyDescent="0.3">
      <c r="A413" s="32"/>
      <c r="B413" s="31">
        <v>134</v>
      </c>
      <c r="C413" s="32" t="s">
        <v>1740</v>
      </c>
      <c r="D413" s="32" t="s">
        <v>376</v>
      </c>
      <c r="E413" s="33">
        <v>26</v>
      </c>
      <c r="F413" s="30">
        <v>2289999999</v>
      </c>
      <c r="G413" s="31">
        <v>176</v>
      </c>
    </row>
    <row r="414" spans="1:7" ht="105.75" thickBot="1" x14ac:dyDescent="0.3">
      <c r="A414" s="28"/>
      <c r="B414" s="27">
        <v>145</v>
      </c>
      <c r="C414" s="28" t="s">
        <v>1785</v>
      </c>
      <c r="D414" s="28" t="s">
        <v>376</v>
      </c>
      <c r="E414" s="29">
        <v>26</v>
      </c>
      <c r="F414" s="30">
        <v>2511212127</v>
      </c>
      <c r="G414" s="27">
        <v>187</v>
      </c>
    </row>
    <row r="415" spans="1:7" ht="105.75" thickBot="1" x14ac:dyDescent="0.3">
      <c r="A415" s="32"/>
      <c r="B415" s="31">
        <v>174</v>
      </c>
      <c r="C415" s="32" t="s">
        <v>1903</v>
      </c>
      <c r="D415" s="32" t="s">
        <v>376</v>
      </c>
      <c r="E415" s="33">
        <v>26</v>
      </c>
      <c r="F415" s="30">
        <v>2386099999</v>
      </c>
      <c r="G415" s="31">
        <v>216</v>
      </c>
    </row>
    <row r="416" spans="1:7" ht="105.75" thickBot="1" x14ac:dyDescent="0.3">
      <c r="A416" s="28"/>
      <c r="B416" s="27">
        <v>200</v>
      </c>
      <c r="C416" s="28" t="s">
        <v>2025</v>
      </c>
      <c r="D416" s="28" t="s">
        <v>376</v>
      </c>
      <c r="E416" s="29">
        <v>26</v>
      </c>
      <c r="F416" s="30">
        <v>2410000000</v>
      </c>
      <c r="G416" s="27">
        <v>242</v>
      </c>
    </row>
    <row r="417" spans="1:7" ht="105.75" thickBot="1" x14ac:dyDescent="0.3">
      <c r="A417" s="32"/>
      <c r="B417" s="31">
        <v>207</v>
      </c>
      <c r="C417" s="32" t="s">
        <v>2051</v>
      </c>
      <c r="D417" s="32" t="s">
        <v>376</v>
      </c>
      <c r="E417" s="33">
        <v>26</v>
      </c>
      <c r="F417" s="30">
        <v>2300000000</v>
      </c>
      <c r="G417" s="31">
        <v>249</v>
      </c>
    </row>
    <row r="418" spans="1:7" ht="75.75" thickBot="1" x14ac:dyDescent="0.3">
      <c r="A418" s="28"/>
      <c r="B418" s="27">
        <v>227</v>
      </c>
      <c r="C418" s="28" t="s">
        <v>3838</v>
      </c>
      <c r="D418" s="28" t="s">
        <v>325</v>
      </c>
      <c r="E418" s="29">
        <v>26</v>
      </c>
      <c r="F418" s="30">
        <v>4280000000</v>
      </c>
      <c r="G418" s="27">
        <v>269</v>
      </c>
    </row>
    <row r="419" spans="1:7" ht="60.75" thickBot="1" x14ac:dyDescent="0.3">
      <c r="A419" s="32"/>
      <c r="B419" s="31">
        <v>246</v>
      </c>
      <c r="C419" s="32" t="s">
        <v>5176</v>
      </c>
      <c r="D419" s="32" t="s">
        <v>404</v>
      </c>
      <c r="E419" s="33">
        <v>26</v>
      </c>
      <c r="F419" s="30">
        <v>5366666666</v>
      </c>
      <c r="G419" s="31">
        <v>288</v>
      </c>
    </row>
    <row r="420" spans="1:7" ht="105.75" thickBot="1" x14ac:dyDescent="0.3">
      <c r="A420" s="28"/>
      <c r="B420" s="27">
        <v>272</v>
      </c>
      <c r="C420" s="28" t="s">
        <v>5410</v>
      </c>
      <c r="D420" s="28" t="s">
        <v>4497</v>
      </c>
      <c r="E420" s="29">
        <v>26</v>
      </c>
      <c r="F420" s="30">
        <v>6288888888</v>
      </c>
      <c r="G420" s="27">
        <v>314</v>
      </c>
    </row>
    <row r="421" spans="1:7" ht="105.75" thickBot="1" x14ac:dyDescent="0.3">
      <c r="A421" s="32"/>
      <c r="B421" s="31">
        <v>312</v>
      </c>
      <c r="C421" s="32" t="s">
        <v>4846</v>
      </c>
      <c r="D421" s="32" t="s">
        <v>4497</v>
      </c>
      <c r="E421" s="33">
        <v>26</v>
      </c>
      <c r="F421" s="30">
        <v>6510000000</v>
      </c>
      <c r="G421" s="31">
        <v>354</v>
      </c>
    </row>
    <row r="422" spans="1:7" ht="105.75" thickBot="1" x14ac:dyDescent="0.3">
      <c r="A422" s="28"/>
      <c r="B422" s="27">
        <v>334</v>
      </c>
      <c r="C422" s="28" t="s">
        <v>5468</v>
      </c>
      <c r="D422" s="28" t="s">
        <v>4497</v>
      </c>
      <c r="E422" s="29">
        <v>26</v>
      </c>
      <c r="F422" s="30">
        <v>6260000000</v>
      </c>
      <c r="G422" s="27">
        <v>376</v>
      </c>
    </row>
    <row r="423" spans="1:7" ht="105.75" thickBot="1" x14ac:dyDescent="0.3">
      <c r="A423" s="32"/>
      <c r="B423" s="31">
        <v>9</v>
      </c>
      <c r="C423" s="32" t="s">
        <v>2203</v>
      </c>
      <c r="D423" s="32" t="s">
        <v>376</v>
      </c>
      <c r="E423" s="33">
        <v>25</v>
      </c>
      <c r="F423" s="30">
        <v>2605999999</v>
      </c>
      <c r="G423" s="31">
        <v>51</v>
      </c>
    </row>
    <row r="424" spans="1:7" ht="105.75" thickBot="1" x14ac:dyDescent="0.3">
      <c r="A424" s="28"/>
      <c r="B424" s="27">
        <v>19</v>
      </c>
      <c r="C424" s="28" t="s">
        <v>2250</v>
      </c>
      <c r="D424" s="28" t="s">
        <v>376</v>
      </c>
      <c r="E424" s="29">
        <v>25</v>
      </c>
      <c r="F424" s="30">
        <v>2500000000</v>
      </c>
      <c r="G424" s="27">
        <v>61</v>
      </c>
    </row>
    <row r="425" spans="1:7" ht="105.75" thickBot="1" x14ac:dyDescent="0.3">
      <c r="A425" s="32"/>
      <c r="B425" s="31">
        <v>29</v>
      </c>
      <c r="C425" s="32" t="s">
        <v>2288</v>
      </c>
      <c r="D425" s="32" t="s">
        <v>376</v>
      </c>
      <c r="E425" s="33">
        <v>25</v>
      </c>
      <c r="F425" s="30">
        <v>2467999000</v>
      </c>
      <c r="G425" s="31">
        <v>71</v>
      </c>
    </row>
    <row r="426" spans="1:7" ht="105.75" thickBot="1" x14ac:dyDescent="0.3">
      <c r="A426" s="28"/>
      <c r="B426" s="27">
        <v>32</v>
      </c>
      <c r="C426" s="28" t="s">
        <v>2301</v>
      </c>
      <c r="D426" s="28" t="s">
        <v>376</v>
      </c>
      <c r="E426" s="29">
        <v>25</v>
      </c>
      <c r="F426" s="30">
        <v>2555222100</v>
      </c>
      <c r="G426" s="27">
        <v>74</v>
      </c>
    </row>
    <row r="427" spans="1:7" ht="105.75" thickBot="1" x14ac:dyDescent="0.3">
      <c r="A427" s="32"/>
      <c r="B427" s="31">
        <v>37</v>
      </c>
      <c r="C427" s="32" t="s">
        <v>2321</v>
      </c>
      <c r="D427" s="32" t="s">
        <v>376</v>
      </c>
      <c r="E427" s="33">
        <v>25</v>
      </c>
      <c r="F427" s="30">
        <v>2458000000</v>
      </c>
      <c r="G427" s="31">
        <v>79</v>
      </c>
    </row>
    <row r="428" spans="1:7" ht="105.75" thickBot="1" x14ac:dyDescent="0.3">
      <c r="A428" s="28"/>
      <c r="B428" s="27">
        <v>45</v>
      </c>
      <c r="C428" s="28" t="s">
        <v>2355</v>
      </c>
      <c r="D428" s="28" t="s">
        <v>376</v>
      </c>
      <c r="E428" s="29">
        <v>25</v>
      </c>
      <c r="F428" s="30">
        <v>2501009999</v>
      </c>
      <c r="G428" s="27">
        <v>87</v>
      </c>
    </row>
    <row r="429" spans="1:7" ht="105.75" thickBot="1" x14ac:dyDescent="0.3">
      <c r="A429" s="32"/>
      <c r="B429" s="31">
        <v>50</v>
      </c>
      <c r="C429" s="32" t="s">
        <v>2375</v>
      </c>
      <c r="D429" s="32" t="s">
        <v>376</v>
      </c>
      <c r="E429" s="33">
        <v>25</v>
      </c>
      <c r="F429" s="30">
        <v>2423000000</v>
      </c>
      <c r="G429" s="31">
        <v>92</v>
      </c>
    </row>
    <row r="430" spans="1:7" ht="105.75" thickBot="1" x14ac:dyDescent="0.3">
      <c r="A430" s="28"/>
      <c r="B430" s="27">
        <v>52</v>
      </c>
      <c r="C430" s="28" t="s">
        <v>2384</v>
      </c>
      <c r="D430" s="28" t="s">
        <v>376</v>
      </c>
      <c r="E430" s="29">
        <v>25</v>
      </c>
      <c r="F430" s="30">
        <v>2469999999</v>
      </c>
      <c r="G430" s="27">
        <v>94</v>
      </c>
    </row>
    <row r="431" spans="1:7" ht="105.75" thickBot="1" x14ac:dyDescent="0.3">
      <c r="A431" s="32"/>
      <c r="B431" s="31">
        <v>103</v>
      </c>
      <c r="C431" s="32" t="s">
        <v>1624</v>
      </c>
      <c r="D431" s="32" t="s">
        <v>376</v>
      </c>
      <c r="E431" s="33">
        <v>25</v>
      </c>
      <c r="F431" s="30">
        <v>2328800000</v>
      </c>
      <c r="G431" s="31">
        <v>145</v>
      </c>
    </row>
    <row r="432" spans="1:7" ht="105.75" thickBot="1" x14ac:dyDescent="0.3">
      <c r="A432" s="28"/>
      <c r="B432" s="27">
        <v>121</v>
      </c>
      <c r="C432" s="28" t="s">
        <v>433</v>
      </c>
      <c r="D432" s="28" t="s">
        <v>376</v>
      </c>
      <c r="E432" s="29">
        <v>25</v>
      </c>
      <c r="F432" s="30">
        <v>2300000000</v>
      </c>
      <c r="G432" s="27">
        <v>163</v>
      </c>
    </row>
    <row r="433" spans="1:7" ht="105.75" thickBot="1" x14ac:dyDescent="0.3">
      <c r="A433" s="32"/>
      <c r="B433" s="31">
        <v>139</v>
      </c>
      <c r="C433" s="32" t="s">
        <v>1762</v>
      </c>
      <c r="D433" s="32" t="s">
        <v>376</v>
      </c>
      <c r="E433" s="33">
        <v>25</v>
      </c>
      <c r="F433" s="30">
        <v>2380001000</v>
      </c>
      <c r="G433" s="31">
        <v>181</v>
      </c>
    </row>
    <row r="434" spans="1:7" ht="105.75" thickBot="1" x14ac:dyDescent="0.3">
      <c r="A434" s="28"/>
      <c r="B434" s="27">
        <v>160</v>
      </c>
      <c r="C434" s="28" t="s">
        <v>439</v>
      </c>
      <c r="D434" s="28" t="s">
        <v>376</v>
      </c>
      <c r="E434" s="29">
        <v>25</v>
      </c>
      <c r="F434" s="30">
        <v>2355000000</v>
      </c>
      <c r="G434" s="27">
        <v>202</v>
      </c>
    </row>
    <row r="435" spans="1:7" ht="105.75" thickBot="1" x14ac:dyDescent="0.3">
      <c r="A435" s="32"/>
      <c r="B435" s="31">
        <v>164</v>
      </c>
      <c r="C435" s="32" t="s">
        <v>1862</v>
      </c>
      <c r="D435" s="32" t="s">
        <v>376</v>
      </c>
      <c r="E435" s="33">
        <v>25</v>
      </c>
      <c r="F435" s="30">
        <v>2130000000</v>
      </c>
      <c r="G435" s="31">
        <v>206</v>
      </c>
    </row>
    <row r="436" spans="1:7" ht="105.75" thickBot="1" x14ac:dyDescent="0.3">
      <c r="A436" s="28"/>
      <c r="B436" s="27">
        <v>197</v>
      </c>
      <c r="C436" s="28" t="s">
        <v>2010</v>
      </c>
      <c r="D436" s="28" t="s">
        <v>376</v>
      </c>
      <c r="E436" s="29">
        <v>25</v>
      </c>
      <c r="F436" s="30">
        <v>2255000000</v>
      </c>
      <c r="G436" s="27">
        <v>239</v>
      </c>
    </row>
    <row r="437" spans="1:7" ht="105.75" thickBot="1" x14ac:dyDescent="0.3">
      <c r="A437" s="32"/>
      <c r="B437" s="31">
        <v>198</v>
      </c>
      <c r="C437" s="32" t="s">
        <v>2015</v>
      </c>
      <c r="D437" s="32" t="s">
        <v>376</v>
      </c>
      <c r="E437" s="33">
        <v>25</v>
      </c>
      <c r="F437" s="30">
        <v>2265480000</v>
      </c>
      <c r="G437" s="31">
        <v>240</v>
      </c>
    </row>
    <row r="438" spans="1:7" ht="105.75" thickBot="1" x14ac:dyDescent="0.3">
      <c r="A438" s="28"/>
      <c r="B438" s="27">
        <v>202</v>
      </c>
      <c r="C438" s="28" t="s">
        <v>2034</v>
      </c>
      <c r="D438" s="28" t="s">
        <v>376</v>
      </c>
      <c r="E438" s="29">
        <v>25</v>
      </c>
      <c r="F438" s="30">
        <v>2311101130</v>
      </c>
      <c r="G438" s="27">
        <v>244</v>
      </c>
    </row>
    <row r="439" spans="1:7" ht="105.75" thickBot="1" x14ac:dyDescent="0.3">
      <c r="A439" s="32"/>
      <c r="B439" s="31">
        <v>204</v>
      </c>
      <c r="C439" s="32" t="s">
        <v>2042</v>
      </c>
      <c r="D439" s="32" t="s">
        <v>376</v>
      </c>
      <c r="E439" s="33">
        <v>25</v>
      </c>
      <c r="F439" s="30">
        <v>2271100000</v>
      </c>
      <c r="G439" s="31">
        <v>246</v>
      </c>
    </row>
    <row r="440" spans="1:7" ht="105.75" thickBot="1" x14ac:dyDescent="0.3">
      <c r="A440" s="28"/>
      <c r="B440" s="27">
        <v>216</v>
      </c>
      <c r="C440" s="28" t="s">
        <v>2096</v>
      </c>
      <c r="D440" s="28" t="s">
        <v>376</v>
      </c>
      <c r="E440" s="29">
        <v>25</v>
      </c>
      <c r="F440" s="30">
        <v>2469999999</v>
      </c>
      <c r="G440" s="27">
        <v>258</v>
      </c>
    </row>
    <row r="441" spans="1:7" ht="105.75" thickBot="1" x14ac:dyDescent="0.3">
      <c r="A441" s="32"/>
      <c r="B441" s="31">
        <v>217</v>
      </c>
      <c r="C441" s="32" t="s">
        <v>2101</v>
      </c>
      <c r="D441" s="32" t="s">
        <v>376</v>
      </c>
      <c r="E441" s="33">
        <v>25</v>
      </c>
      <c r="F441" s="30">
        <v>2358900000</v>
      </c>
      <c r="G441" s="31">
        <v>259</v>
      </c>
    </row>
    <row r="442" spans="1:7" ht="75.75" thickBot="1" x14ac:dyDescent="0.3">
      <c r="A442" s="28"/>
      <c r="B442" s="27">
        <v>229</v>
      </c>
      <c r="C442" s="28" t="s">
        <v>4304</v>
      </c>
      <c r="D442" s="28" t="s">
        <v>325</v>
      </c>
      <c r="E442" s="29">
        <v>25</v>
      </c>
      <c r="F442" s="30">
        <v>4450000000</v>
      </c>
      <c r="G442" s="27">
        <v>271</v>
      </c>
    </row>
    <row r="443" spans="1:7" ht="105.75" thickBot="1" x14ac:dyDescent="0.3">
      <c r="A443" s="32"/>
      <c r="B443" s="31">
        <v>262</v>
      </c>
      <c r="C443" s="32" t="s">
        <v>2695</v>
      </c>
      <c r="D443" s="32" t="s">
        <v>1418</v>
      </c>
      <c r="E443" s="33">
        <v>25</v>
      </c>
      <c r="F443" s="30">
        <v>4109876543</v>
      </c>
      <c r="G443" s="31">
        <v>304</v>
      </c>
    </row>
    <row r="444" spans="1:7" ht="105.75" thickBot="1" x14ac:dyDescent="0.3">
      <c r="A444" s="28"/>
      <c r="B444" s="27">
        <v>282</v>
      </c>
      <c r="C444" s="28" t="s">
        <v>5488</v>
      </c>
      <c r="D444" s="28" t="s">
        <v>4497</v>
      </c>
      <c r="E444" s="29">
        <v>25</v>
      </c>
      <c r="F444" s="30">
        <v>6235555555</v>
      </c>
      <c r="G444" s="27">
        <v>324</v>
      </c>
    </row>
    <row r="445" spans="1:7" ht="105.75" thickBot="1" x14ac:dyDescent="0.3">
      <c r="A445" s="32"/>
      <c r="B445" s="31">
        <v>301</v>
      </c>
      <c r="C445" s="32" t="s">
        <v>4930</v>
      </c>
      <c r="D445" s="32" t="s">
        <v>4497</v>
      </c>
      <c r="E445" s="33">
        <v>25</v>
      </c>
      <c r="F445" s="30">
        <v>6780000000</v>
      </c>
      <c r="G445" s="31">
        <v>343</v>
      </c>
    </row>
    <row r="446" spans="1:7" ht="105.75" thickBot="1" x14ac:dyDescent="0.3">
      <c r="A446" s="28"/>
      <c r="B446" s="27">
        <v>320</v>
      </c>
      <c r="C446" s="28" t="s">
        <v>4896</v>
      </c>
      <c r="D446" s="28" t="s">
        <v>4483</v>
      </c>
      <c r="E446" s="29">
        <v>25</v>
      </c>
      <c r="F446" s="30">
        <v>6410000000</v>
      </c>
      <c r="G446" s="27">
        <v>362</v>
      </c>
    </row>
    <row r="447" spans="1:7" ht="105.75" thickBot="1" x14ac:dyDescent="0.3">
      <c r="A447" s="32"/>
      <c r="B447" s="31">
        <v>335</v>
      </c>
      <c r="C447" s="32" t="s">
        <v>5434</v>
      </c>
      <c r="D447" s="32" t="s">
        <v>4483</v>
      </c>
      <c r="E447" s="33">
        <v>25</v>
      </c>
      <c r="F447" s="30">
        <v>6100111000</v>
      </c>
      <c r="G447" s="31">
        <v>377</v>
      </c>
    </row>
    <row r="448" spans="1:7" ht="90.75" thickBot="1" x14ac:dyDescent="0.3">
      <c r="A448" s="28"/>
      <c r="B448" s="27">
        <v>356</v>
      </c>
      <c r="C448" s="28" t="s">
        <v>5250</v>
      </c>
      <c r="D448" s="28" t="s">
        <v>5231</v>
      </c>
      <c r="E448" s="29">
        <v>25</v>
      </c>
      <c r="F448" s="30">
        <v>6436900000</v>
      </c>
      <c r="G448" s="27">
        <v>398</v>
      </c>
    </row>
    <row r="449" spans="1:7" ht="75.75" thickBot="1" x14ac:dyDescent="0.3">
      <c r="A449" s="32"/>
      <c r="B449" s="31">
        <v>365</v>
      </c>
      <c r="C449" s="32" t="s">
        <v>3883</v>
      </c>
      <c r="D449" s="32" t="s">
        <v>3210</v>
      </c>
      <c r="E449" s="33">
        <v>25</v>
      </c>
      <c r="F449" s="30">
        <v>5510000000</v>
      </c>
      <c r="G449" s="31">
        <v>407</v>
      </c>
    </row>
    <row r="450" spans="1:7" ht="75.75" thickBot="1" x14ac:dyDescent="0.3">
      <c r="A450" s="28"/>
      <c r="B450" s="27">
        <v>379</v>
      </c>
      <c r="C450" s="28" t="s">
        <v>4526</v>
      </c>
      <c r="D450" s="28" t="s">
        <v>191</v>
      </c>
      <c r="E450" s="29">
        <v>25</v>
      </c>
      <c r="F450" s="30">
        <v>4395550000</v>
      </c>
      <c r="G450" s="27">
        <v>423</v>
      </c>
    </row>
    <row r="451" spans="1:7" ht="105.75" thickBot="1" x14ac:dyDescent="0.3">
      <c r="A451" s="32"/>
      <c r="B451" s="31">
        <v>14</v>
      </c>
      <c r="C451" s="32" t="s">
        <v>2222</v>
      </c>
      <c r="D451" s="32" t="s">
        <v>376</v>
      </c>
      <c r="E451" s="33">
        <v>24</v>
      </c>
      <c r="F451" s="30">
        <v>2456000000</v>
      </c>
      <c r="G451" s="31">
        <v>56</v>
      </c>
    </row>
    <row r="452" spans="1:7" ht="105.75" thickBot="1" x14ac:dyDescent="0.3">
      <c r="A452" s="28"/>
      <c r="B452" s="27">
        <v>78</v>
      </c>
      <c r="C452" s="28" t="s">
        <v>412</v>
      </c>
      <c r="D452" s="28" t="s">
        <v>376</v>
      </c>
      <c r="E452" s="29">
        <v>24</v>
      </c>
      <c r="F452" s="30">
        <v>2300000009</v>
      </c>
      <c r="G452" s="27">
        <v>120</v>
      </c>
    </row>
    <row r="453" spans="1:7" ht="105.75" thickBot="1" x14ac:dyDescent="0.3">
      <c r="A453" s="32"/>
      <c r="B453" s="31">
        <v>114</v>
      </c>
      <c r="C453" s="32" t="s">
        <v>1669</v>
      </c>
      <c r="D453" s="32" t="s">
        <v>376</v>
      </c>
      <c r="E453" s="33">
        <v>24</v>
      </c>
      <c r="F453" s="30">
        <v>2338000000</v>
      </c>
      <c r="G453" s="31">
        <v>156</v>
      </c>
    </row>
    <row r="454" spans="1:7" ht="105.75" thickBot="1" x14ac:dyDescent="0.3">
      <c r="A454" s="28"/>
      <c r="B454" s="27">
        <v>118</v>
      </c>
      <c r="C454" s="28" t="s">
        <v>1687</v>
      </c>
      <c r="D454" s="28" t="s">
        <v>376</v>
      </c>
      <c r="E454" s="29">
        <v>24</v>
      </c>
      <c r="F454" s="30">
        <v>2300000100</v>
      </c>
      <c r="G454" s="27">
        <v>160</v>
      </c>
    </row>
    <row r="455" spans="1:7" ht="105.75" thickBot="1" x14ac:dyDescent="0.3">
      <c r="A455" s="32"/>
      <c r="B455" s="31">
        <v>210</v>
      </c>
      <c r="C455" s="32" t="s">
        <v>2066</v>
      </c>
      <c r="D455" s="32" t="s">
        <v>376</v>
      </c>
      <c r="E455" s="33">
        <v>24</v>
      </c>
      <c r="F455" s="30">
        <v>2610000000</v>
      </c>
      <c r="G455" s="31">
        <v>252</v>
      </c>
    </row>
    <row r="456" spans="1:7" ht="105.75" thickBot="1" x14ac:dyDescent="0.3">
      <c r="A456" s="28"/>
      <c r="B456" s="27">
        <v>285</v>
      </c>
      <c r="C456" s="28" t="s">
        <v>5359</v>
      </c>
      <c r="D456" s="28" t="s">
        <v>4497</v>
      </c>
      <c r="E456" s="29">
        <v>24</v>
      </c>
      <c r="F456" s="30">
        <v>6021777777</v>
      </c>
      <c r="G456" s="27">
        <v>327</v>
      </c>
    </row>
    <row r="457" spans="1:7" ht="105.75" thickBot="1" x14ac:dyDescent="0.3">
      <c r="A457" s="32"/>
      <c r="B457" s="31">
        <v>344</v>
      </c>
      <c r="C457" s="32" t="s">
        <v>5500</v>
      </c>
      <c r="D457" s="32" t="s">
        <v>4497</v>
      </c>
      <c r="E457" s="33">
        <v>24</v>
      </c>
      <c r="F457" s="30">
        <v>6066550000</v>
      </c>
      <c r="G457" s="31">
        <v>386</v>
      </c>
    </row>
    <row r="458" spans="1:7" ht="105.75" thickBot="1" x14ac:dyDescent="0.3">
      <c r="A458" s="28"/>
      <c r="B458" s="27">
        <v>381</v>
      </c>
      <c r="C458" s="28" t="s">
        <v>4372</v>
      </c>
      <c r="D458" s="28" t="s">
        <v>1418</v>
      </c>
      <c r="E458" s="29">
        <v>24</v>
      </c>
      <c r="F458" s="30">
        <v>4308900000</v>
      </c>
      <c r="G458" s="27">
        <v>425</v>
      </c>
    </row>
    <row r="459" spans="1:7" ht="75.75" thickBot="1" x14ac:dyDescent="0.3">
      <c r="A459" s="32"/>
      <c r="B459" s="31">
        <v>392</v>
      </c>
      <c r="C459" s="32" t="s">
        <v>5107</v>
      </c>
      <c r="D459" s="32" t="s">
        <v>191</v>
      </c>
      <c r="E459" s="33">
        <v>24</v>
      </c>
      <c r="F459" s="30">
        <v>4759999999</v>
      </c>
      <c r="G459" s="31">
        <v>436</v>
      </c>
    </row>
    <row r="460" spans="1:7" ht="105.75" thickBot="1" x14ac:dyDescent="0.3">
      <c r="A460" s="28"/>
      <c r="B460" s="27">
        <v>395</v>
      </c>
      <c r="C460" s="28" t="s">
        <v>4310</v>
      </c>
      <c r="D460" s="28" t="s">
        <v>1418</v>
      </c>
      <c r="E460" s="29">
        <v>24</v>
      </c>
      <c r="F460" s="30">
        <v>3915141414</v>
      </c>
      <c r="G460" s="27">
        <v>439</v>
      </c>
    </row>
    <row r="461" spans="1:7" ht="90.75" thickBot="1" x14ac:dyDescent="0.3">
      <c r="A461" s="32"/>
      <c r="B461" s="31">
        <v>484</v>
      </c>
      <c r="C461" s="32" t="s">
        <v>3114</v>
      </c>
      <c r="D461" s="32" t="s">
        <v>3084</v>
      </c>
      <c r="E461" s="33">
        <v>24</v>
      </c>
      <c r="F461" s="30">
        <v>3965051000</v>
      </c>
      <c r="G461" s="31">
        <v>588</v>
      </c>
    </row>
    <row r="462" spans="1:7" ht="105.75" thickBot="1" x14ac:dyDescent="0.3">
      <c r="A462" s="28"/>
      <c r="B462" s="27">
        <v>8</v>
      </c>
      <c r="C462" s="28" t="s">
        <v>2198</v>
      </c>
      <c r="D462" s="28" t="s">
        <v>376</v>
      </c>
      <c r="E462" s="29">
        <v>23</v>
      </c>
      <c r="F462" s="30">
        <v>2507777777</v>
      </c>
      <c r="G462" s="27">
        <v>50</v>
      </c>
    </row>
    <row r="463" spans="1:7" ht="105.75" thickBot="1" x14ac:dyDescent="0.3">
      <c r="A463" s="32"/>
      <c r="B463" s="31">
        <v>43</v>
      </c>
      <c r="C463" s="32" t="s">
        <v>2347</v>
      </c>
      <c r="D463" s="32" t="s">
        <v>376</v>
      </c>
      <c r="E463" s="33">
        <v>23</v>
      </c>
      <c r="F463" s="30">
        <v>2403000000</v>
      </c>
      <c r="G463" s="31">
        <v>85</v>
      </c>
    </row>
    <row r="464" spans="1:7" ht="105.75" thickBot="1" x14ac:dyDescent="0.3">
      <c r="A464" s="28"/>
      <c r="B464" s="27">
        <v>48</v>
      </c>
      <c r="C464" s="28" t="s">
        <v>2367</v>
      </c>
      <c r="D464" s="28" t="s">
        <v>376</v>
      </c>
      <c r="E464" s="29">
        <v>23</v>
      </c>
      <c r="F464" s="30">
        <v>2423000000</v>
      </c>
      <c r="G464" s="27">
        <v>90</v>
      </c>
    </row>
    <row r="465" spans="1:7" ht="105.75" thickBot="1" x14ac:dyDescent="0.3">
      <c r="A465" s="32"/>
      <c r="B465" s="31">
        <v>55</v>
      </c>
      <c r="C465" s="32" t="s">
        <v>2396</v>
      </c>
      <c r="D465" s="32" t="s">
        <v>376</v>
      </c>
      <c r="E465" s="33">
        <v>23</v>
      </c>
      <c r="F465" s="30">
        <v>2433000000</v>
      </c>
      <c r="G465" s="31">
        <v>97</v>
      </c>
    </row>
    <row r="466" spans="1:7" ht="105.75" thickBot="1" x14ac:dyDescent="0.3">
      <c r="A466" s="28"/>
      <c r="B466" s="27">
        <v>58</v>
      </c>
      <c r="C466" s="28" t="s">
        <v>1449</v>
      </c>
      <c r="D466" s="28" t="s">
        <v>376</v>
      </c>
      <c r="E466" s="29">
        <v>23</v>
      </c>
      <c r="F466" s="30">
        <v>2467999000</v>
      </c>
      <c r="G466" s="27">
        <v>100</v>
      </c>
    </row>
    <row r="467" spans="1:7" ht="105.75" thickBot="1" x14ac:dyDescent="0.3">
      <c r="A467" s="32"/>
      <c r="B467" s="31">
        <v>94</v>
      </c>
      <c r="C467" s="32" t="s">
        <v>1586</v>
      </c>
      <c r="D467" s="32" t="s">
        <v>376</v>
      </c>
      <c r="E467" s="33">
        <v>23</v>
      </c>
      <c r="F467" s="30">
        <v>2321000223</v>
      </c>
      <c r="G467" s="31">
        <v>136</v>
      </c>
    </row>
    <row r="468" spans="1:7" ht="105.75" thickBot="1" x14ac:dyDescent="0.3">
      <c r="A468" s="28"/>
      <c r="B468" s="27">
        <v>109</v>
      </c>
      <c r="C468" s="28" t="s">
        <v>1649</v>
      </c>
      <c r="D468" s="28" t="s">
        <v>376</v>
      </c>
      <c r="E468" s="29">
        <v>23</v>
      </c>
      <c r="F468" s="30">
        <v>2280000000</v>
      </c>
      <c r="G468" s="27">
        <v>151</v>
      </c>
    </row>
    <row r="469" spans="1:7" ht="105.75" thickBot="1" x14ac:dyDescent="0.3">
      <c r="A469" s="32"/>
      <c r="B469" s="31">
        <v>252</v>
      </c>
      <c r="C469" s="32" t="s">
        <v>3672</v>
      </c>
      <c r="D469" s="32" t="s">
        <v>2416</v>
      </c>
      <c r="E469" s="33">
        <v>23</v>
      </c>
      <c r="F469" s="30">
        <v>4111000000</v>
      </c>
      <c r="G469" s="31">
        <v>294</v>
      </c>
    </row>
    <row r="470" spans="1:7" ht="105.75" thickBot="1" x14ac:dyDescent="0.3">
      <c r="A470" s="28"/>
      <c r="B470" s="27">
        <v>316</v>
      </c>
      <c r="C470" s="28" t="s">
        <v>4776</v>
      </c>
      <c r="D470" s="28" t="s">
        <v>4497</v>
      </c>
      <c r="E470" s="29">
        <v>23</v>
      </c>
      <c r="F470" s="30">
        <v>6185050000</v>
      </c>
      <c r="G470" s="27">
        <v>358</v>
      </c>
    </row>
    <row r="471" spans="1:7" ht="75.75" thickBot="1" x14ac:dyDescent="0.3">
      <c r="A471" s="32"/>
      <c r="B471" s="31">
        <v>360</v>
      </c>
      <c r="C471" s="32" t="s">
        <v>5262</v>
      </c>
      <c r="D471" s="32" t="s">
        <v>3431</v>
      </c>
      <c r="E471" s="33">
        <v>23</v>
      </c>
      <c r="F471" s="30">
        <v>5629999999</v>
      </c>
      <c r="G471" s="31">
        <v>402</v>
      </c>
    </row>
    <row r="472" spans="1:7" ht="75.75" thickBot="1" x14ac:dyDescent="0.3">
      <c r="A472" s="28"/>
      <c r="B472" s="27">
        <v>367</v>
      </c>
      <c r="C472" s="28" t="s">
        <v>5055</v>
      </c>
      <c r="D472" s="28" t="s">
        <v>191</v>
      </c>
      <c r="E472" s="29">
        <v>23</v>
      </c>
      <c r="F472" s="30">
        <v>4967999000</v>
      </c>
      <c r="G472" s="27">
        <v>409</v>
      </c>
    </row>
    <row r="473" spans="1:7" ht="105.75" thickBot="1" x14ac:dyDescent="0.3">
      <c r="A473" s="32"/>
      <c r="B473" s="31">
        <v>42</v>
      </c>
      <c r="C473" s="32" t="s">
        <v>2343</v>
      </c>
      <c r="D473" s="32" t="s">
        <v>376</v>
      </c>
      <c r="E473" s="33">
        <v>22</v>
      </c>
      <c r="F473" s="30">
        <v>2420000000</v>
      </c>
      <c r="G473" s="31">
        <v>84</v>
      </c>
    </row>
    <row r="474" spans="1:7" ht="105.75" thickBot="1" x14ac:dyDescent="0.3">
      <c r="A474" s="28"/>
      <c r="B474" s="27">
        <v>73</v>
      </c>
      <c r="C474" s="28" t="s">
        <v>1511</v>
      </c>
      <c r="D474" s="28" t="s">
        <v>376</v>
      </c>
      <c r="E474" s="29">
        <v>22</v>
      </c>
      <c r="F474" s="30">
        <v>2400055555</v>
      </c>
      <c r="G474" s="27">
        <v>115</v>
      </c>
    </row>
    <row r="475" spans="1:7" ht="105.75" thickBot="1" x14ac:dyDescent="0.3">
      <c r="A475" s="32"/>
      <c r="B475" s="31">
        <v>77</v>
      </c>
      <c r="C475" s="32" t="s">
        <v>1528</v>
      </c>
      <c r="D475" s="32" t="s">
        <v>376</v>
      </c>
      <c r="E475" s="33">
        <v>22</v>
      </c>
      <c r="F475" s="30">
        <v>2534876325</v>
      </c>
      <c r="G475" s="31">
        <v>119</v>
      </c>
    </row>
    <row r="476" spans="1:7" ht="105.75" thickBot="1" x14ac:dyDescent="0.3">
      <c r="A476" s="28"/>
      <c r="B476" s="27">
        <v>166</v>
      </c>
      <c r="C476" s="28" t="s">
        <v>1866</v>
      </c>
      <c r="D476" s="28" t="s">
        <v>376</v>
      </c>
      <c r="E476" s="29">
        <v>22</v>
      </c>
      <c r="F476" s="30">
        <v>2521000000</v>
      </c>
      <c r="G476" s="27">
        <v>208</v>
      </c>
    </row>
    <row r="477" spans="1:7" ht="105.75" thickBot="1" x14ac:dyDescent="0.3">
      <c r="A477" s="32"/>
      <c r="B477" s="31">
        <v>171</v>
      </c>
      <c r="C477" s="32" t="s">
        <v>1888</v>
      </c>
      <c r="D477" s="32" t="s">
        <v>376</v>
      </c>
      <c r="E477" s="33">
        <v>22</v>
      </c>
      <c r="F477" s="30">
        <v>2505000000</v>
      </c>
      <c r="G477" s="31">
        <v>213</v>
      </c>
    </row>
    <row r="478" spans="1:7" ht="105.75" thickBot="1" x14ac:dyDescent="0.3">
      <c r="A478" s="28"/>
      <c r="B478" s="27">
        <v>191</v>
      </c>
      <c r="C478" s="28" t="s">
        <v>1979</v>
      </c>
      <c r="D478" s="28" t="s">
        <v>376</v>
      </c>
      <c r="E478" s="29">
        <v>22</v>
      </c>
      <c r="F478" s="30">
        <v>2399999999</v>
      </c>
      <c r="G478" s="27">
        <v>233</v>
      </c>
    </row>
    <row r="479" spans="1:7" ht="90.75" thickBot="1" x14ac:dyDescent="0.3">
      <c r="A479" s="32"/>
      <c r="B479" s="31">
        <v>259</v>
      </c>
      <c r="C479" s="32" t="s">
        <v>4431</v>
      </c>
      <c r="D479" s="32" t="s">
        <v>4366</v>
      </c>
      <c r="E479" s="33">
        <v>22</v>
      </c>
      <c r="F479" s="30">
        <v>4141111111</v>
      </c>
      <c r="G479" s="31">
        <v>301</v>
      </c>
    </row>
    <row r="480" spans="1:7" ht="105.75" thickBot="1" x14ac:dyDescent="0.3">
      <c r="A480" s="28"/>
      <c r="B480" s="27">
        <v>274</v>
      </c>
      <c r="C480" s="28" t="s">
        <v>5480</v>
      </c>
      <c r="D480" s="28" t="s">
        <v>4497</v>
      </c>
      <c r="E480" s="29">
        <v>22</v>
      </c>
      <c r="F480" s="30">
        <v>6000000000</v>
      </c>
      <c r="G480" s="27">
        <v>316</v>
      </c>
    </row>
    <row r="481" spans="1:7" ht="105.75" thickBot="1" x14ac:dyDescent="0.3">
      <c r="A481" s="32"/>
      <c r="B481" s="31">
        <v>330</v>
      </c>
      <c r="C481" s="32" t="s">
        <v>5430</v>
      </c>
      <c r="D481" s="32" t="s">
        <v>4497</v>
      </c>
      <c r="E481" s="33">
        <v>22</v>
      </c>
      <c r="F481" s="30">
        <v>6057777777</v>
      </c>
      <c r="G481" s="31">
        <v>372</v>
      </c>
    </row>
    <row r="482" spans="1:7" ht="105.75" thickBot="1" x14ac:dyDescent="0.3">
      <c r="A482" s="28"/>
      <c r="B482" s="27">
        <v>342</v>
      </c>
      <c r="C482" s="28" t="s">
        <v>5397</v>
      </c>
      <c r="D482" s="28" t="s">
        <v>4483</v>
      </c>
      <c r="E482" s="29">
        <v>22</v>
      </c>
      <c r="F482" s="30">
        <v>6200111000</v>
      </c>
      <c r="G482" s="27">
        <v>384</v>
      </c>
    </row>
    <row r="483" spans="1:7" ht="75.75" thickBot="1" x14ac:dyDescent="0.3">
      <c r="A483" s="32"/>
      <c r="B483" s="31">
        <v>364</v>
      </c>
      <c r="C483" s="32" t="s">
        <v>4018</v>
      </c>
      <c r="D483" s="32" t="s">
        <v>3210</v>
      </c>
      <c r="E483" s="33">
        <v>22</v>
      </c>
      <c r="F483" s="30">
        <v>5532190988</v>
      </c>
      <c r="G483" s="31">
        <v>406</v>
      </c>
    </row>
    <row r="484" spans="1:7" ht="105.75" thickBot="1" x14ac:dyDescent="0.3">
      <c r="A484" s="28"/>
      <c r="B484" s="27">
        <v>136</v>
      </c>
      <c r="C484" s="28" t="s">
        <v>1749</v>
      </c>
      <c r="D484" s="28" t="s">
        <v>376</v>
      </c>
      <c r="E484" s="29">
        <v>21</v>
      </c>
      <c r="F484" s="30">
        <v>2487999999</v>
      </c>
      <c r="G484" s="27">
        <v>178</v>
      </c>
    </row>
    <row r="485" spans="1:7" ht="105.75" thickBot="1" x14ac:dyDescent="0.3">
      <c r="A485" s="32"/>
      <c r="B485" s="31">
        <v>167</v>
      </c>
      <c r="C485" s="32" t="s">
        <v>1871</v>
      </c>
      <c r="D485" s="32" t="s">
        <v>376</v>
      </c>
      <c r="E485" s="33">
        <v>21</v>
      </c>
      <c r="F485" s="30">
        <v>2488000000</v>
      </c>
      <c r="G485" s="31">
        <v>209</v>
      </c>
    </row>
    <row r="486" spans="1:7" ht="105.75" thickBot="1" x14ac:dyDescent="0.3">
      <c r="A486" s="28"/>
      <c r="B486" s="27">
        <v>170</v>
      </c>
      <c r="C486" s="28" t="s">
        <v>1883</v>
      </c>
      <c r="D486" s="28" t="s">
        <v>376</v>
      </c>
      <c r="E486" s="29">
        <v>21</v>
      </c>
      <c r="F486" s="30">
        <v>2300999999</v>
      </c>
      <c r="G486" s="27">
        <v>212</v>
      </c>
    </row>
    <row r="487" spans="1:7" ht="90.75" thickBot="1" x14ac:dyDescent="0.3">
      <c r="A487" s="32"/>
      <c r="B487" s="31">
        <v>242</v>
      </c>
      <c r="C487" s="32" t="s">
        <v>4356</v>
      </c>
      <c r="D487" s="32" t="s">
        <v>2476</v>
      </c>
      <c r="E487" s="33">
        <v>21</v>
      </c>
      <c r="F487" s="30">
        <v>4629750000</v>
      </c>
      <c r="G487" s="31">
        <v>284</v>
      </c>
    </row>
    <row r="488" spans="1:7" ht="75.75" thickBot="1" x14ac:dyDescent="0.3">
      <c r="A488" s="28"/>
      <c r="B488" s="27">
        <v>254</v>
      </c>
      <c r="C488" s="28" t="s">
        <v>3580</v>
      </c>
      <c r="D488" s="28" t="s">
        <v>3579</v>
      </c>
      <c r="E488" s="29">
        <v>21</v>
      </c>
      <c r="F488" s="30">
        <v>5431000000</v>
      </c>
      <c r="G488" s="27">
        <v>296</v>
      </c>
    </row>
    <row r="489" spans="1:7" ht="105.75" thickBot="1" x14ac:dyDescent="0.3">
      <c r="A489" s="32"/>
      <c r="B489" s="31">
        <v>264</v>
      </c>
      <c r="C489" s="32" t="s">
        <v>4410</v>
      </c>
      <c r="D489" s="32" t="s">
        <v>2568</v>
      </c>
      <c r="E489" s="33">
        <v>21</v>
      </c>
      <c r="F489" s="30">
        <v>4538600000</v>
      </c>
      <c r="G489" s="31">
        <v>306</v>
      </c>
    </row>
    <row r="490" spans="1:7" ht="105.75" thickBot="1" x14ac:dyDescent="0.3">
      <c r="A490" s="28"/>
      <c r="B490" s="27">
        <v>307</v>
      </c>
      <c r="C490" s="28" t="s">
        <v>4892</v>
      </c>
      <c r="D490" s="28" t="s">
        <v>4483</v>
      </c>
      <c r="E490" s="29">
        <v>21</v>
      </c>
      <c r="F490" s="30">
        <v>6128888888</v>
      </c>
      <c r="G490" s="27">
        <v>349</v>
      </c>
    </row>
    <row r="491" spans="1:7" ht="75.75" thickBot="1" x14ac:dyDescent="0.3">
      <c r="A491" s="32"/>
      <c r="B491" s="31">
        <v>363</v>
      </c>
      <c r="C491" s="32" t="s">
        <v>5319</v>
      </c>
      <c r="D491" s="32" t="s">
        <v>3210</v>
      </c>
      <c r="E491" s="33">
        <v>21</v>
      </c>
      <c r="F491" s="30">
        <v>5385555555</v>
      </c>
      <c r="G491" s="31">
        <v>405</v>
      </c>
    </row>
    <row r="492" spans="1:7" ht="75.75" thickBot="1" x14ac:dyDescent="0.3">
      <c r="A492" s="28"/>
      <c r="B492" s="27">
        <v>368</v>
      </c>
      <c r="C492" s="28" t="s">
        <v>5293</v>
      </c>
      <c r="D492" s="28" t="s">
        <v>3431</v>
      </c>
      <c r="E492" s="29">
        <v>21</v>
      </c>
      <c r="F492" s="30">
        <v>5520009999</v>
      </c>
      <c r="G492" s="27">
        <v>410</v>
      </c>
    </row>
    <row r="493" spans="1:7" ht="75.75" thickBot="1" x14ac:dyDescent="0.3">
      <c r="A493" s="32"/>
      <c r="B493" s="31">
        <v>374</v>
      </c>
      <c r="C493" s="32" t="s">
        <v>3585</v>
      </c>
      <c r="D493" s="32" t="s">
        <v>191</v>
      </c>
      <c r="E493" s="33">
        <v>21</v>
      </c>
      <c r="F493" s="30">
        <v>5286800000</v>
      </c>
      <c r="G493" s="31">
        <v>418</v>
      </c>
    </row>
    <row r="494" spans="1:7" ht="60.75" thickBot="1" x14ac:dyDescent="0.3">
      <c r="A494" s="28"/>
      <c r="B494" s="27">
        <v>406</v>
      </c>
      <c r="C494" s="28" t="s">
        <v>3964</v>
      </c>
      <c r="D494" s="28" t="s">
        <v>2958</v>
      </c>
      <c r="E494" s="29">
        <v>21</v>
      </c>
      <c r="F494" s="30">
        <v>4059999999</v>
      </c>
      <c r="G494" s="27">
        <v>450</v>
      </c>
    </row>
    <row r="495" spans="1:7" ht="90.75" thickBot="1" x14ac:dyDescent="0.3">
      <c r="A495" s="32"/>
      <c r="B495" s="31">
        <v>483</v>
      </c>
      <c r="C495" s="32" t="s">
        <v>3108</v>
      </c>
      <c r="D495" s="32" t="s">
        <v>3084</v>
      </c>
      <c r="E495" s="33">
        <v>21</v>
      </c>
      <c r="F495" s="30">
        <v>3955010001</v>
      </c>
      <c r="G495" s="31">
        <v>587</v>
      </c>
    </row>
    <row r="496" spans="1:7" ht="105.75" thickBot="1" x14ac:dyDescent="0.3">
      <c r="A496" s="28"/>
      <c r="B496" s="27">
        <v>83</v>
      </c>
      <c r="C496" s="28" t="s">
        <v>1544</v>
      </c>
      <c r="D496" s="28" t="s">
        <v>376</v>
      </c>
      <c r="E496" s="29">
        <v>20</v>
      </c>
      <c r="F496" s="30">
        <v>2463999000</v>
      </c>
      <c r="G496" s="27">
        <v>125</v>
      </c>
    </row>
    <row r="497" spans="1:7" ht="105.75" thickBot="1" x14ac:dyDescent="0.3">
      <c r="A497" s="32"/>
      <c r="B497" s="31">
        <v>175</v>
      </c>
      <c r="C497" s="32" t="s">
        <v>1908</v>
      </c>
      <c r="D497" s="32" t="s">
        <v>376</v>
      </c>
      <c r="E497" s="33">
        <v>20</v>
      </c>
      <c r="F497" s="30">
        <v>2301743200</v>
      </c>
      <c r="G497" s="31">
        <v>217</v>
      </c>
    </row>
    <row r="498" spans="1:7" ht="60.75" thickBot="1" x14ac:dyDescent="0.3">
      <c r="A498" s="28"/>
      <c r="B498" s="27">
        <v>245</v>
      </c>
      <c r="C498" s="28" t="s">
        <v>5172</v>
      </c>
      <c r="D498" s="28" t="s">
        <v>404</v>
      </c>
      <c r="E498" s="29">
        <v>20</v>
      </c>
      <c r="F498" s="30">
        <v>5250000000</v>
      </c>
      <c r="G498" s="27">
        <v>287</v>
      </c>
    </row>
    <row r="499" spans="1:7" ht="105.75" thickBot="1" x14ac:dyDescent="0.3">
      <c r="A499" s="32"/>
      <c r="B499" s="31">
        <v>331</v>
      </c>
      <c r="C499" s="32" t="s">
        <v>5464</v>
      </c>
      <c r="D499" s="32" t="s">
        <v>4483</v>
      </c>
      <c r="E499" s="33">
        <v>20</v>
      </c>
      <c r="F499" s="30">
        <v>6100111000</v>
      </c>
      <c r="G499" s="31">
        <v>373</v>
      </c>
    </row>
    <row r="500" spans="1:7" ht="105.75" thickBot="1" x14ac:dyDescent="0.3">
      <c r="A500" s="42"/>
      <c r="B500" s="43">
        <v>236</v>
      </c>
      <c r="C500" s="42" t="s">
        <v>5552</v>
      </c>
      <c r="D500" s="42" t="s">
        <v>3521</v>
      </c>
      <c r="E500" s="44">
        <v>19</v>
      </c>
      <c r="F500" s="38">
        <v>6919999999</v>
      </c>
      <c r="G500" s="43">
        <v>278</v>
      </c>
    </row>
    <row r="501" spans="1:7" ht="105.75" thickBot="1" x14ac:dyDescent="0.3">
      <c r="B501" s="23">
        <v>514</v>
      </c>
      <c r="C501" s="24" t="s">
        <v>4916</v>
      </c>
      <c r="D501" s="24" t="s">
        <v>4483</v>
      </c>
      <c r="E501" s="25">
        <v>19</v>
      </c>
      <c r="F501" s="26">
        <v>5880000000</v>
      </c>
      <c r="G501" s="23">
        <v>624</v>
      </c>
    </row>
    <row r="502" spans="1:7" ht="105.75" thickBot="1" x14ac:dyDescent="0.3">
      <c r="A502" s="28"/>
      <c r="B502" s="27">
        <v>122</v>
      </c>
      <c r="C502" s="28" t="s">
        <v>1700</v>
      </c>
      <c r="D502" s="28" t="s">
        <v>376</v>
      </c>
      <c r="E502" s="29">
        <v>18</v>
      </c>
      <c r="F502" s="30">
        <v>2411999999</v>
      </c>
      <c r="G502" s="27">
        <v>164</v>
      </c>
    </row>
    <row r="503" spans="1:7" ht="105.75" thickBot="1" x14ac:dyDescent="0.3">
      <c r="A503" s="32"/>
      <c r="B503" s="31">
        <v>168</v>
      </c>
      <c r="C503" s="32" t="s">
        <v>1875</v>
      </c>
      <c r="D503" s="32" t="s">
        <v>376</v>
      </c>
      <c r="E503" s="33">
        <v>18</v>
      </c>
      <c r="F503" s="30">
        <v>2469000000</v>
      </c>
      <c r="G503" s="31">
        <v>210</v>
      </c>
    </row>
    <row r="504" spans="1:7" ht="60.75" thickBot="1" x14ac:dyDescent="0.3">
      <c r="A504" s="28"/>
      <c r="B504" s="27">
        <v>248</v>
      </c>
      <c r="C504" s="28" t="s">
        <v>5184</v>
      </c>
      <c r="D504" s="28" t="s">
        <v>404</v>
      </c>
      <c r="E504" s="29">
        <v>18</v>
      </c>
      <c r="F504" s="30">
        <v>5156758000</v>
      </c>
      <c r="G504" s="27">
        <v>290</v>
      </c>
    </row>
    <row r="505" spans="1:7" ht="135.75" thickBot="1" x14ac:dyDescent="0.3">
      <c r="A505" s="32"/>
      <c r="B505" s="31">
        <v>269</v>
      </c>
      <c r="C505" s="32" t="s">
        <v>4447</v>
      </c>
      <c r="D505" s="32" t="s">
        <v>3983</v>
      </c>
      <c r="E505" s="33">
        <v>18</v>
      </c>
      <c r="F505" s="30">
        <v>4455550000</v>
      </c>
      <c r="G505" s="31">
        <v>311</v>
      </c>
    </row>
    <row r="506" spans="1:7" ht="75.75" thickBot="1" x14ac:dyDescent="0.3">
      <c r="A506" s="28"/>
      <c r="B506" s="27">
        <v>359</v>
      </c>
      <c r="C506" s="28" t="s">
        <v>4261</v>
      </c>
      <c r="D506" s="28" t="s">
        <v>3210</v>
      </c>
      <c r="E506" s="29">
        <v>18</v>
      </c>
      <c r="F506" s="30">
        <v>5710000000</v>
      </c>
      <c r="G506" s="27">
        <v>401</v>
      </c>
    </row>
    <row r="507" spans="1:7" ht="105.75" thickBot="1" x14ac:dyDescent="0.3">
      <c r="A507" s="32"/>
      <c r="B507" s="31">
        <v>241</v>
      </c>
      <c r="C507" s="32" t="s">
        <v>3843</v>
      </c>
      <c r="D507" s="32" t="s">
        <v>2416</v>
      </c>
      <c r="E507" s="33">
        <v>17</v>
      </c>
      <c r="F507" s="30">
        <v>4144444444</v>
      </c>
      <c r="G507" s="31">
        <v>283</v>
      </c>
    </row>
    <row r="508" spans="1:7" ht="105.75" thickBot="1" x14ac:dyDescent="0.3">
      <c r="A508" s="28"/>
      <c r="B508" s="27">
        <v>393</v>
      </c>
      <c r="C508" s="28" t="s">
        <v>3761</v>
      </c>
      <c r="D508" s="28" t="s">
        <v>1418</v>
      </c>
      <c r="E508" s="29">
        <v>17</v>
      </c>
      <c r="F508" s="34"/>
      <c r="G508" s="27">
        <v>437</v>
      </c>
    </row>
    <row r="509" spans="1:7" ht="105.75" thickBot="1" x14ac:dyDescent="0.3">
      <c r="A509" s="32"/>
      <c r="B509" s="31">
        <v>263</v>
      </c>
      <c r="C509" s="32" t="s">
        <v>3951</v>
      </c>
      <c r="D509" s="32" t="s">
        <v>2568</v>
      </c>
      <c r="E509" s="33">
        <v>16</v>
      </c>
      <c r="F509" s="30">
        <v>3856666666</v>
      </c>
      <c r="G509" s="31">
        <v>305</v>
      </c>
    </row>
    <row r="510" spans="1:7" ht="75.75" thickBot="1" x14ac:dyDescent="0.3">
      <c r="A510" s="28"/>
      <c r="B510" s="27">
        <v>271</v>
      </c>
      <c r="C510" s="28" t="s">
        <v>4912</v>
      </c>
      <c r="D510" s="28" t="s">
        <v>3250</v>
      </c>
      <c r="E510" s="29">
        <v>15</v>
      </c>
      <c r="F510" s="30">
        <v>4719999999</v>
      </c>
      <c r="G510" s="27">
        <v>313</v>
      </c>
    </row>
    <row r="511" spans="1:7" ht="105.75" thickBot="1" x14ac:dyDescent="0.3">
      <c r="A511" s="32"/>
      <c r="B511" s="31">
        <v>427</v>
      </c>
      <c r="C511" s="32" t="s">
        <v>456</v>
      </c>
      <c r="D511" s="32" t="s">
        <v>376</v>
      </c>
      <c r="E511" s="33">
        <v>15</v>
      </c>
      <c r="F511" s="30">
        <v>2495222000</v>
      </c>
      <c r="G511" s="31">
        <v>524</v>
      </c>
    </row>
    <row r="512" spans="1:7" ht="60.75" thickBot="1" x14ac:dyDescent="0.3">
      <c r="A512" s="28"/>
      <c r="B512" s="27">
        <v>416</v>
      </c>
      <c r="C512" s="28" t="s">
        <v>2618</v>
      </c>
      <c r="D512" s="28" t="s">
        <v>2189</v>
      </c>
      <c r="E512" s="29">
        <v>14</v>
      </c>
      <c r="F512" s="30">
        <v>3835001000</v>
      </c>
      <c r="G512" s="27">
        <v>513</v>
      </c>
    </row>
    <row r="513" spans="1:7" ht="105.75" thickBot="1" x14ac:dyDescent="0.3">
      <c r="A513" s="32"/>
      <c r="B513" s="31">
        <v>386</v>
      </c>
      <c r="C513" s="32" t="s">
        <v>4377</v>
      </c>
      <c r="D513" s="32" t="s">
        <v>1418</v>
      </c>
      <c r="E513" s="33">
        <v>13</v>
      </c>
      <c r="F513" s="30">
        <v>4209660000</v>
      </c>
      <c r="G513" s="31">
        <v>430</v>
      </c>
    </row>
    <row r="514" spans="1:7" ht="75.75" thickBot="1" x14ac:dyDescent="0.3">
      <c r="A514" s="28"/>
      <c r="B514" s="27">
        <v>380</v>
      </c>
      <c r="C514" s="28" t="s">
        <v>4967</v>
      </c>
      <c r="D514" s="28" t="s">
        <v>191</v>
      </c>
      <c r="E514" s="29">
        <v>12</v>
      </c>
      <c r="F514" s="34"/>
      <c r="G514" s="27">
        <v>424</v>
      </c>
    </row>
    <row r="515" spans="1:7" ht="105.75" thickBot="1" x14ac:dyDescent="0.3">
      <c r="A515" s="32"/>
      <c r="B515" s="31">
        <v>428</v>
      </c>
      <c r="C515" s="32" t="s">
        <v>462</v>
      </c>
      <c r="D515" s="32" t="s">
        <v>376</v>
      </c>
      <c r="E515" s="33">
        <v>12</v>
      </c>
      <c r="F515" s="30">
        <v>2376777777</v>
      </c>
      <c r="G515" s="31">
        <v>525</v>
      </c>
    </row>
    <row r="516" spans="1:7" ht="90.75" thickBot="1" x14ac:dyDescent="0.3">
      <c r="A516" s="28"/>
      <c r="B516" s="27">
        <v>454</v>
      </c>
      <c r="C516" s="28" t="s">
        <v>662</v>
      </c>
      <c r="D516" s="28" t="s">
        <v>661</v>
      </c>
      <c r="E516" s="29">
        <v>12</v>
      </c>
      <c r="F516" s="30">
        <v>3459000000</v>
      </c>
      <c r="G516" s="27">
        <v>558</v>
      </c>
    </row>
    <row r="517" spans="1:7" ht="90.75" thickBot="1" x14ac:dyDescent="0.3">
      <c r="A517" s="32"/>
      <c r="B517" s="31">
        <v>456</v>
      </c>
      <c r="C517" s="32" t="s">
        <v>2624</v>
      </c>
      <c r="D517" s="32" t="s">
        <v>2502</v>
      </c>
      <c r="E517" s="33">
        <v>12</v>
      </c>
      <c r="F517" s="30">
        <v>3749000000</v>
      </c>
      <c r="G517" s="31">
        <v>560</v>
      </c>
    </row>
    <row r="518" spans="1:7" ht="105.75" thickBot="1" x14ac:dyDescent="0.3">
      <c r="A518" s="28"/>
      <c r="B518" s="27">
        <v>165</v>
      </c>
      <c r="C518" s="28" t="s">
        <v>1434</v>
      </c>
      <c r="D518" s="28" t="s">
        <v>376</v>
      </c>
      <c r="E518" s="29">
        <v>11</v>
      </c>
      <c r="F518" s="30">
        <v>2299111111</v>
      </c>
      <c r="G518" s="27">
        <v>207</v>
      </c>
    </row>
    <row r="519" spans="1:7" ht="105.75" thickBot="1" x14ac:dyDescent="0.3">
      <c r="A519" s="32"/>
      <c r="B519" s="31">
        <v>194</v>
      </c>
      <c r="C519" s="32" t="s">
        <v>1993</v>
      </c>
      <c r="D519" s="32" t="s">
        <v>376</v>
      </c>
      <c r="E519" s="33">
        <v>10</v>
      </c>
      <c r="F519" s="30">
        <v>2407777777</v>
      </c>
      <c r="G519" s="31">
        <v>236</v>
      </c>
    </row>
    <row r="520" spans="1:7" ht="105.75" thickBot="1" x14ac:dyDescent="0.3">
      <c r="A520" s="28"/>
      <c r="B520" s="27">
        <v>391</v>
      </c>
      <c r="C520" s="28" t="s">
        <v>4314</v>
      </c>
      <c r="D520" s="28" t="s">
        <v>1418</v>
      </c>
      <c r="E520" s="29">
        <v>10</v>
      </c>
      <c r="F520" s="30">
        <v>3750000000</v>
      </c>
      <c r="G520" s="27">
        <v>435</v>
      </c>
    </row>
    <row r="521" spans="1:7" ht="105.75" thickBot="1" x14ac:dyDescent="0.3">
      <c r="A521" s="32"/>
      <c r="B521" s="31">
        <v>426</v>
      </c>
      <c r="C521" s="32" t="s">
        <v>451</v>
      </c>
      <c r="D521" s="32" t="s">
        <v>376</v>
      </c>
      <c r="E521" s="33">
        <v>10</v>
      </c>
      <c r="F521" s="30">
        <v>2550999999</v>
      </c>
      <c r="G521" s="31">
        <v>523</v>
      </c>
    </row>
    <row r="522" spans="1:7" ht="105.75" thickBot="1" x14ac:dyDescent="0.3">
      <c r="A522" s="28"/>
      <c r="B522" s="27">
        <v>85</v>
      </c>
      <c r="C522" s="28" t="s">
        <v>1553</v>
      </c>
      <c r="D522" s="28" t="s">
        <v>376</v>
      </c>
      <c r="E522" s="29">
        <v>9</v>
      </c>
      <c r="F522" s="30">
        <v>2427999000</v>
      </c>
      <c r="G522" s="27">
        <v>127</v>
      </c>
    </row>
    <row r="523" spans="1:7" ht="105.75" thickBot="1" x14ac:dyDescent="0.3">
      <c r="A523" s="32"/>
      <c r="B523" s="31">
        <v>265</v>
      </c>
      <c r="C523" s="32" t="s">
        <v>3050</v>
      </c>
      <c r="D523" s="32" t="s">
        <v>1418</v>
      </c>
      <c r="E523" s="33">
        <v>8</v>
      </c>
      <c r="F523" s="30">
        <v>3865959564</v>
      </c>
      <c r="G523" s="31">
        <v>307</v>
      </c>
    </row>
    <row r="524" spans="1:7" ht="75.75" thickBot="1" x14ac:dyDescent="0.3">
      <c r="A524" s="28"/>
      <c r="B524" s="27">
        <v>515</v>
      </c>
      <c r="C524" s="28" t="s">
        <v>326</v>
      </c>
      <c r="D524" s="28" t="s">
        <v>325</v>
      </c>
      <c r="E524" s="29">
        <v>8</v>
      </c>
      <c r="F524" s="30">
        <v>2850000000</v>
      </c>
      <c r="G524" s="27">
        <v>625</v>
      </c>
    </row>
    <row r="525" spans="1:7" ht="75.75" thickBot="1" x14ac:dyDescent="0.3">
      <c r="A525" s="32"/>
      <c r="B525" s="31">
        <v>516</v>
      </c>
      <c r="C525" s="32" t="s">
        <v>347</v>
      </c>
      <c r="D525" s="32" t="s">
        <v>325</v>
      </c>
      <c r="E525" s="33">
        <v>8</v>
      </c>
      <c r="F525" s="30">
        <v>2490000000</v>
      </c>
      <c r="G525" s="31">
        <v>626</v>
      </c>
    </row>
    <row r="526" spans="1:7" ht="90.75" thickBot="1" x14ac:dyDescent="0.3">
      <c r="A526" s="28"/>
      <c r="B526" s="27">
        <v>457</v>
      </c>
      <c r="C526" s="28" t="s">
        <v>2557</v>
      </c>
      <c r="D526" s="28" t="s">
        <v>661</v>
      </c>
      <c r="E526" s="29">
        <v>7</v>
      </c>
      <c r="F526" s="30">
        <v>3626777777</v>
      </c>
      <c r="G526" s="27">
        <v>561</v>
      </c>
    </row>
    <row r="527" spans="1:7" ht="105.75" thickBot="1" x14ac:dyDescent="0.3">
      <c r="A527" s="32"/>
      <c r="B527" s="31">
        <v>425</v>
      </c>
      <c r="C527" s="32" t="s">
        <v>445</v>
      </c>
      <c r="D527" s="32" t="s">
        <v>376</v>
      </c>
      <c r="E527" s="33">
        <v>5</v>
      </c>
      <c r="F527" s="30">
        <v>2456000000</v>
      </c>
      <c r="G527" s="31">
        <v>522</v>
      </c>
    </row>
    <row r="528" spans="1:7" ht="75.75" thickBot="1" x14ac:dyDescent="0.3">
      <c r="A528" s="28"/>
      <c r="B528" s="27">
        <v>517</v>
      </c>
      <c r="C528" s="28" t="s">
        <v>371</v>
      </c>
      <c r="D528" s="28" t="s">
        <v>325</v>
      </c>
      <c r="E528" s="29">
        <v>5</v>
      </c>
      <c r="F528" s="30">
        <v>2774563000</v>
      </c>
      <c r="G528" s="27">
        <v>627</v>
      </c>
    </row>
    <row r="529" spans="1:7" ht="75.75" thickBot="1" x14ac:dyDescent="0.3">
      <c r="A529" s="32"/>
      <c r="B529" s="31">
        <v>481</v>
      </c>
      <c r="C529" s="32" t="s">
        <v>2442</v>
      </c>
      <c r="D529" s="32" t="s">
        <v>2441</v>
      </c>
      <c r="E529" s="33">
        <v>4</v>
      </c>
      <c r="F529" s="30">
        <v>3905000000</v>
      </c>
      <c r="G529" s="31">
        <v>585</v>
      </c>
    </row>
    <row r="530" spans="1:7" ht="75.75" thickBot="1" x14ac:dyDescent="0.3">
      <c r="A530" s="28"/>
      <c r="B530" s="27">
        <v>518</v>
      </c>
      <c r="C530" s="28" t="s">
        <v>7900</v>
      </c>
      <c r="D530" s="28" t="s">
        <v>3250</v>
      </c>
      <c r="E530" s="29">
        <v>2</v>
      </c>
      <c r="F530" s="30">
        <v>4319999999</v>
      </c>
      <c r="G530" s="27">
        <v>628</v>
      </c>
    </row>
    <row r="531" spans="1:7" ht="75.75" thickBot="1" x14ac:dyDescent="0.3">
      <c r="A531" s="32"/>
      <c r="B531" s="31">
        <v>519</v>
      </c>
      <c r="C531" s="32" t="s">
        <v>3555</v>
      </c>
      <c r="D531" s="32" t="s">
        <v>191</v>
      </c>
      <c r="E531" s="33">
        <v>2</v>
      </c>
      <c r="F531" s="30">
        <v>4310500000</v>
      </c>
      <c r="G531" s="31">
        <v>629</v>
      </c>
    </row>
    <row r="532" spans="1:7" ht="15.75" thickBot="1" x14ac:dyDescent="0.3">
      <c r="A532" s="28"/>
    </row>
    <row r="533" spans="1:7" ht="15.75" thickBot="1" x14ac:dyDescent="0.3">
      <c r="A533" s="32"/>
    </row>
    <row r="534" spans="1:7" ht="15.75" thickBot="1" x14ac:dyDescent="0.3">
      <c r="A534" s="28"/>
    </row>
    <row r="535" spans="1:7" ht="15.75" thickBot="1" x14ac:dyDescent="0.3">
      <c r="A535" s="32"/>
    </row>
    <row r="536" spans="1:7" ht="15.75" thickBot="1" x14ac:dyDescent="0.3">
      <c r="A536" s="28"/>
    </row>
    <row r="537" spans="1:7" ht="15.75" thickBot="1" x14ac:dyDescent="0.3">
      <c r="A537" s="32"/>
    </row>
    <row r="538" spans="1:7" ht="15.75" thickBot="1" x14ac:dyDescent="0.3">
      <c r="A538" s="28"/>
    </row>
    <row r="539" spans="1:7" ht="15.75" thickBot="1" x14ac:dyDescent="0.3">
      <c r="A539" s="32"/>
    </row>
    <row r="540" spans="1:7" ht="15.75" thickBot="1" x14ac:dyDescent="0.3">
      <c r="A540" s="28"/>
    </row>
    <row r="541" spans="1:7" ht="15.75" thickBot="1" x14ac:dyDescent="0.3">
      <c r="A541" s="32"/>
    </row>
    <row r="542" spans="1:7" ht="15.75" thickBot="1" x14ac:dyDescent="0.3">
      <c r="A542" s="28"/>
    </row>
    <row r="543" spans="1:7" ht="15.75" thickBot="1" x14ac:dyDescent="0.3">
      <c r="A543" s="32"/>
    </row>
    <row r="544" spans="1:7" ht="15.75" thickBot="1" x14ac:dyDescent="0.3">
      <c r="A544" s="28"/>
    </row>
    <row r="545" spans="1:1" ht="15.75" thickBot="1" x14ac:dyDescent="0.3">
      <c r="A545" s="32"/>
    </row>
    <row r="546" spans="1:1" ht="15.75" thickBot="1" x14ac:dyDescent="0.3">
      <c r="A546" s="28"/>
    </row>
    <row r="547" spans="1:1" ht="15.75" thickBot="1" x14ac:dyDescent="0.3">
      <c r="A547" s="32"/>
    </row>
    <row r="548" spans="1:1" ht="15.75" thickBot="1" x14ac:dyDescent="0.3">
      <c r="A548" s="28"/>
    </row>
    <row r="549" spans="1:1" ht="15.75" thickBot="1" x14ac:dyDescent="0.3">
      <c r="A549" s="32"/>
    </row>
    <row r="550" spans="1:1" ht="15.75" thickBot="1" x14ac:dyDescent="0.3">
      <c r="A550" s="28"/>
    </row>
    <row r="551" spans="1:1" ht="15.75" thickBot="1" x14ac:dyDescent="0.3">
      <c r="A551" s="32"/>
    </row>
    <row r="552" spans="1:1" ht="15.75" thickBot="1" x14ac:dyDescent="0.3">
      <c r="A552" s="28"/>
    </row>
    <row r="553" spans="1:1" ht="15.75" thickBot="1" x14ac:dyDescent="0.3">
      <c r="A553" s="32"/>
    </row>
    <row r="554" spans="1:1" ht="15.75" thickBot="1" x14ac:dyDescent="0.3">
      <c r="A554" s="28"/>
    </row>
    <row r="555" spans="1:1" ht="15.75" thickBot="1" x14ac:dyDescent="0.3">
      <c r="A555" s="32"/>
    </row>
    <row r="556" spans="1:1" ht="15.75" thickBot="1" x14ac:dyDescent="0.3">
      <c r="A556" s="28"/>
    </row>
    <row r="557" spans="1:1" ht="15.75" thickBot="1" x14ac:dyDescent="0.3">
      <c r="A557" s="32"/>
    </row>
    <row r="558" spans="1:1" ht="15.75" thickBot="1" x14ac:dyDescent="0.3">
      <c r="A558" s="28"/>
    </row>
    <row r="559" spans="1:1" ht="15.75" thickBot="1" x14ac:dyDescent="0.3">
      <c r="A559" s="32"/>
    </row>
    <row r="560" spans="1:1" ht="15.75" thickBot="1" x14ac:dyDescent="0.3">
      <c r="A560" s="28"/>
    </row>
    <row r="561" spans="1:1" ht="15.75" thickBot="1" x14ac:dyDescent="0.3">
      <c r="A561" s="32"/>
    </row>
    <row r="562" spans="1:1" ht="15.75" thickBot="1" x14ac:dyDescent="0.3">
      <c r="A562" s="28"/>
    </row>
    <row r="563" spans="1:1" ht="15.75" thickBot="1" x14ac:dyDescent="0.3">
      <c r="A563" s="32"/>
    </row>
    <row r="564" spans="1:1" ht="15.75" thickBot="1" x14ac:dyDescent="0.3">
      <c r="A564" s="28"/>
    </row>
    <row r="565" spans="1:1" ht="15.75" thickBot="1" x14ac:dyDescent="0.3">
      <c r="A565" s="32"/>
    </row>
    <row r="566" spans="1:1" ht="15.75" thickBot="1" x14ac:dyDescent="0.3">
      <c r="A566" s="28"/>
    </row>
    <row r="567" spans="1:1" ht="15.75" thickBot="1" x14ac:dyDescent="0.3">
      <c r="A567" s="32"/>
    </row>
    <row r="568" spans="1:1" ht="15.75" thickBot="1" x14ac:dyDescent="0.3">
      <c r="A568" s="28"/>
    </row>
    <row r="569" spans="1:1" ht="15.75" thickBot="1" x14ac:dyDescent="0.3">
      <c r="A569" s="32"/>
    </row>
    <row r="570" spans="1:1" ht="15.75" thickBot="1" x14ac:dyDescent="0.3">
      <c r="A570" s="28"/>
    </row>
    <row r="571" spans="1:1" ht="15.75" thickBot="1" x14ac:dyDescent="0.3">
      <c r="A571" s="32"/>
    </row>
    <row r="572" spans="1:1" ht="15.75" thickBot="1" x14ac:dyDescent="0.3">
      <c r="A572" s="28"/>
    </row>
    <row r="573" spans="1:1" ht="15.75" thickBot="1" x14ac:dyDescent="0.3">
      <c r="A573" s="32"/>
    </row>
    <row r="574" spans="1:1" ht="15.75" thickBot="1" x14ac:dyDescent="0.3">
      <c r="A574" s="28"/>
    </row>
    <row r="575" spans="1:1" ht="15.75" thickBot="1" x14ac:dyDescent="0.3">
      <c r="A575" s="32"/>
    </row>
    <row r="576" spans="1:1" ht="15.75" thickBot="1" x14ac:dyDescent="0.3">
      <c r="A576" s="28"/>
    </row>
    <row r="577" spans="1:1" ht="15.75" thickBot="1" x14ac:dyDescent="0.3">
      <c r="A577" s="32"/>
    </row>
    <row r="578" spans="1:1" ht="15.75" thickBot="1" x14ac:dyDescent="0.3">
      <c r="A578" s="28"/>
    </row>
    <row r="579" spans="1:1" ht="15.75" thickBot="1" x14ac:dyDescent="0.3">
      <c r="A579" s="32"/>
    </row>
    <row r="580" spans="1:1" ht="15.75" thickBot="1" x14ac:dyDescent="0.3">
      <c r="A580" s="28"/>
    </row>
    <row r="581" spans="1:1" ht="15.75" thickBot="1" x14ac:dyDescent="0.3">
      <c r="A581" s="32"/>
    </row>
    <row r="582" spans="1:1" ht="15.75" thickBot="1" x14ac:dyDescent="0.3">
      <c r="A582" s="28"/>
    </row>
    <row r="583" spans="1:1" ht="15.75" thickBot="1" x14ac:dyDescent="0.3">
      <c r="A583" s="32"/>
    </row>
    <row r="584" spans="1:1" ht="15.75" thickBot="1" x14ac:dyDescent="0.3">
      <c r="A584" s="28"/>
    </row>
    <row r="585" spans="1:1" ht="15.75" thickBot="1" x14ac:dyDescent="0.3">
      <c r="A585" s="32"/>
    </row>
    <row r="586" spans="1:1" ht="15.75" thickBot="1" x14ac:dyDescent="0.3">
      <c r="A586" s="28"/>
    </row>
    <row r="587" spans="1:1" ht="15.75" thickBot="1" x14ac:dyDescent="0.3">
      <c r="A587" s="32"/>
    </row>
    <row r="588" spans="1:1" ht="15.75" thickBot="1" x14ac:dyDescent="0.3">
      <c r="A588" s="28"/>
    </row>
    <row r="589" spans="1:1" ht="15.75" thickBot="1" x14ac:dyDescent="0.3">
      <c r="A589" s="32"/>
    </row>
    <row r="590" spans="1:1" ht="15.75" thickBot="1" x14ac:dyDescent="0.3">
      <c r="A590" s="28"/>
    </row>
    <row r="591" spans="1:1" ht="15.75" thickBot="1" x14ac:dyDescent="0.3">
      <c r="A591" s="32"/>
    </row>
    <row r="592" spans="1:1" ht="15.75" thickBot="1" x14ac:dyDescent="0.3">
      <c r="A592" s="28"/>
    </row>
    <row r="593" spans="1:1" ht="15.75" thickBot="1" x14ac:dyDescent="0.3">
      <c r="A593" s="32"/>
    </row>
    <row r="594" spans="1:1" ht="15.75" thickBot="1" x14ac:dyDescent="0.3">
      <c r="A594" s="28"/>
    </row>
    <row r="595" spans="1:1" ht="15.75" thickBot="1" x14ac:dyDescent="0.3">
      <c r="A595" s="32"/>
    </row>
    <row r="596" spans="1:1" ht="15.75" thickBot="1" x14ac:dyDescent="0.3">
      <c r="A596" s="28"/>
    </row>
    <row r="597" spans="1:1" ht="15.75" thickBot="1" x14ac:dyDescent="0.3">
      <c r="A597" s="32"/>
    </row>
    <row r="598" spans="1:1" ht="15.75" thickBot="1" x14ac:dyDescent="0.3">
      <c r="A598" s="28"/>
    </row>
    <row r="599" spans="1:1" ht="15.75" thickBot="1" x14ac:dyDescent="0.3">
      <c r="A599" s="32"/>
    </row>
    <row r="600" spans="1:1" ht="15.75" thickBot="1" x14ac:dyDescent="0.3">
      <c r="A600" s="42"/>
    </row>
    <row r="601" spans="1:1" ht="15.75" thickBot="1" x14ac:dyDescent="0.3"/>
    <row r="602" spans="1:1" ht="15.75" thickBot="1" x14ac:dyDescent="0.3">
      <c r="A602" s="28"/>
    </row>
    <row r="603" spans="1:1" ht="15.75" thickBot="1" x14ac:dyDescent="0.3">
      <c r="A603" s="32"/>
    </row>
    <row r="604" spans="1:1" ht="15.75" thickBot="1" x14ac:dyDescent="0.3">
      <c r="A604" s="28"/>
    </row>
    <row r="605" spans="1:1" ht="15.75" thickBot="1" x14ac:dyDescent="0.3">
      <c r="A605" s="32"/>
    </row>
    <row r="606" spans="1:1" ht="15.75" thickBot="1" x14ac:dyDescent="0.3">
      <c r="A606" s="28"/>
    </row>
    <row r="607" spans="1:1" ht="15.75" thickBot="1" x14ac:dyDescent="0.3">
      <c r="A607" s="32"/>
    </row>
    <row r="608" spans="1:1" ht="15.75" thickBot="1" x14ac:dyDescent="0.3">
      <c r="A608" s="28"/>
    </row>
    <row r="609" spans="1:1" ht="15.75" thickBot="1" x14ac:dyDescent="0.3">
      <c r="A609" s="32"/>
    </row>
    <row r="610" spans="1:1" ht="15.75" thickBot="1" x14ac:dyDescent="0.3">
      <c r="A610" s="28"/>
    </row>
    <row r="611" spans="1:1" ht="15.75" thickBot="1" x14ac:dyDescent="0.3">
      <c r="A611" s="32"/>
    </row>
    <row r="612" spans="1:1" ht="15.75" thickBot="1" x14ac:dyDescent="0.3">
      <c r="A612" s="28"/>
    </row>
    <row r="613" spans="1:1" ht="15.75" thickBot="1" x14ac:dyDescent="0.3">
      <c r="A613" s="32"/>
    </row>
    <row r="614" spans="1:1" ht="15.75" thickBot="1" x14ac:dyDescent="0.3">
      <c r="A614" s="28"/>
    </row>
    <row r="615" spans="1:1" ht="15.75" thickBot="1" x14ac:dyDescent="0.3">
      <c r="A615" s="32"/>
    </row>
    <row r="616" spans="1:1" ht="15.75" thickBot="1" x14ac:dyDescent="0.3">
      <c r="A616" s="28"/>
    </row>
    <row r="617" spans="1:1" ht="15.75" thickBot="1" x14ac:dyDescent="0.3">
      <c r="A617" s="32"/>
    </row>
    <row r="618" spans="1:1" ht="15.75" thickBot="1" x14ac:dyDescent="0.3">
      <c r="A618" s="28"/>
    </row>
    <row r="619" spans="1:1" ht="15.75" thickBot="1" x14ac:dyDescent="0.3">
      <c r="A619" s="32"/>
    </row>
    <row r="620" spans="1:1" ht="15.75" thickBot="1" x14ac:dyDescent="0.3">
      <c r="A620" s="28"/>
    </row>
    <row r="621" spans="1:1" ht="15.75" thickBot="1" x14ac:dyDescent="0.3">
      <c r="A621" s="32"/>
    </row>
    <row r="622" spans="1:1" ht="15.75" thickBot="1" x14ac:dyDescent="0.3">
      <c r="A622" s="28"/>
    </row>
    <row r="623" spans="1:1" ht="15.75" thickBot="1" x14ac:dyDescent="0.3">
      <c r="A623" s="32"/>
    </row>
    <row r="624" spans="1:1" ht="15.75" thickBot="1" x14ac:dyDescent="0.3">
      <c r="A624" s="28"/>
    </row>
    <row r="625" spans="1:1" ht="15.75" thickBot="1" x14ac:dyDescent="0.3">
      <c r="A625" s="32"/>
    </row>
    <row r="626" spans="1:1" ht="15.75" thickBot="1" x14ac:dyDescent="0.3">
      <c r="A626" s="28"/>
    </row>
    <row r="627" spans="1:1" ht="15.75" thickBot="1" x14ac:dyDescent="0.3">
      <c r="A627" s="32"/>
    </row>
    <row r="628" spans="1:1" ht="15.75" thickBot="1" x14ac:dyDescent="0.3">
      <c r="A628" s="28"/>
    </row>
    <row r="629" spans="1:1" ht="15.75" thickBot="1" x14ac:dyDescent="0.3">
      <c r="A629" s="32"/>
    </row>
    <row r="630" spans="1:1" ht="15.75" thickBot="1" x14ac:dyDescent="0.3">
      <c r="A630" s="28"/>
    </row>
    <row r="631" spans="1:1" ht="15.75" thickBot="1" x14ac:dyDescent="0.3">
      <c r="A631" s="50"/>
    </row>
  </sheetData>
  <hyperlinks>
    <hyperlink ref="C1" r:id="rId1" display="https://auction.ikco.ir/auction/details/34?r=407" xr:uid="{A134C241-A652-4276-B46B-6BB8B4D49D1A}"/>
    <hyperlink ref="D1" r:id="rId2" display="https://auction.ikco.ir/auction/details/34?r=407" xr:uid="{DA8FD754-4E71-4D6B-B5C3-9B843CE722CA}"/>
    <hyperlink ref="A2" r:id="rId3" display="javascript:void(0)" xr:uid="{1E14E708-549D-442C-8737-2E38CD4C4264}"/>
    <hyperlink ref="C2" r:id="rId4" display="https://auction.ikco.ir/auction/details/34?r=411" xr:uid="{2E3EFDC8-A21F-4F36-AB9C-F661F44615F5}"/>
    <hyperlink ref="D2" r:id="rId5" display="https://auction.ikco.ir/auction/details/34?r=411" xr:uid="{1BCBB277-D2B1-4E2B-830D-74960D55F9AB}"/>
    <hyperlink ref="A3" r:id="rId6" display="javascript:void(0)" xr:uid="{F6F4441E-FA28-4FD9-88A5-062D153DFDDD}"/>
    <hyperlink ref="C3" r:id="rId7" display="https://auction.ikco.ir/auction/details/34?r=528" xr:uid="{91D5DCA4-A518-4C59-BC82-2A72D9DFD838}"/>
    <hyperlink ref="D3" r:id="rId8" display="https://auction.ikco.ir/auction/details/34?r=528" xr:uid="{18FC86DA-7E01-4EDC-8868-C041A03C19BA}"/>
    <hyperlink ref="A4" r:id="rId9" display="javascript:void(0)" xr:uid="{533192D2-6431-48AD-92AA-1476C83949E1}"/>
    <hyperlink ref="C4" r:id="rId10" display="https://auction.ikco.ir/auction/details/34?r=413" xr:uid="{E44A45C3-C991-4143-A240-46C3C4DEC022}"/>
    <hyperlink ref="D4" r:id="rId11" display="https://auction.ikco.ir/auction/details/34?r=413" xr:uid="{DC043C65-4F33-4137-AC9D-99694E15B4D7}"/>
    <hyperlink ref="A5" r:id="rId12" display="javascript:void(0)" xr:uid="{7767E0FC-4CCC-4280-8960-5EC57A01590D}"/>
    <hyperlink ref="C5" r:id="rId13" display="https://auction.ikco.ir/auction/details/34?r=431" xr:uid="{5E64F39F-C482-4B4C-A624-A41286117924}"/>
    <hyperlink ref="D5" r:id="rId14" display="https://auction.ikco.ir/auction/details/34?r=431" xr:uid="{444BCCA3-32DC-4248-87CB-158117631DF8}"/>
    <hyperlink ref="A6" r:id="rId15" display="javascript:void(0)" xr:uid="{D4C78F0F-6447-4040-8F62-1637B9BED223}"/>
    <hyperlink ref="C6" r:id="rId16" display="https://auction.ikco.ir/auction/details/34?r=469" xr:uid="{81212E9A-4C94-4249-B708-D2AEB7F02F88}"/>
    <hyperlink ref="D6" r:id="rId17" display="https://auction.ikco.ir/auction/details/34?r=469" xr:uid="{13F74853-47C7-41A5-9861-F0D6A1D61409}"/>
    <hyperlink ref="A7" r:id="rId18" display="javascript:void(0)" xr:uid="{FA72AB4D-2D06-4A22-A7B3-BA73EB561229}"/>
    <hyperlink ref="C7" r:id="rId19" display="https://auction.ikco.ir/auction/details/34?r=510" xr:uid="{75279462-3292-474D-ADBA-210F9011D878}"/>
    <hyperlink ref="D7" r:id="rId20" display="https://auction.ikco.ir/auction/details/34?r=510" xr:uid="{3CD212D8-668C-4759-A877-41007F9A145C}"/>
    <hyperlink ref="A8" r:id="rId21" display="javascript:void(0)" xr:uid="{A1A10A16-6603-4303-95FF-813376B9A641}"/>
    <hyperlink ref="C8" r:id="rId22" display="https://auction.ikco.ir/auction/details/34?r=479" xr:uid="{50DCF5BD-3113-4BFC-8A7C-9C16AF42925E}"/>
    <hyperlink ref="D8" r:id="rId23" display="https://auction.ikco.ir/auction/details/34?r=479" xr:uid="{38EAD71B-1F86-4245-9A90-0AED6F419237}"/>
    <hyperlink ref="A9" r:id="rId24" display="javascript:void(0)" xr:uid="{3796B310-8D2A-4A77-BB67-870963906DE6}"/>
    <hyperlink ref="C9" r:id="rId25" display="https://auction.ikco.ir/auction/details/34?r=480" xr:uid="{21FC56CC-C120-4561-92CF-E4AC5BDFC104}"/>
    <hyperlink ref="D9" r:id="rId26" display="https://auction.ikco.ir/auction/details/34?r=480" xr:uid="{D5517DB0-5DEC-4949-996A-B33D1A0D62AB}"/>
    <hyperlink ref="A10" r:id="rId27" display="javascript:void(0)" xr:uid="{1FEC5AA3-5FD7-4829-BBD9-BF98D39643AA}"/>
    <hyperlink ref="C10" r:id="rId28" display="https://auction.ikco.ir/auction/details/34?r=522" xr:uid="{C6E3E8D0-52A0-41B3-A3D7-29625139BFC2}"/>
    <hyperlink ref="D10" r:id="rId29" display="https://auction.ikco.ir/auction/details/34?r=522" xr:uid="{DF6E5093-1996-4C4B-954D-379F7C41D3AF}"/>
    <hyperlink ref="A11" r:id="rId30" display="javascript:void(0)" xr:uid="{075D60AD-BAB9-4E39-8A78-FA38B3BDD4D1}"/>
    <hyperlink ref="C11" r:id="rId31" display="https://auction.ikco.ir/auction/details/34?r=529" xr:uid="{68FBA4E6-2628-4B5A-9F7C-F23D292803AA}"/>
    <hyperlink ref="D11" r:id="rId32" display="https://auction.ikco.ir/auction/details/34?r=529" xr:uid="{991CC29B-56AB-4B50-8767-77C77DD0D949}"/>
    <hyperlink ref="A12" r:id="rId33" display="javascript:void(0)" xr:uid="{D3958F68-DA44-4B85-A213-10F81263707B}"/>
    <hyperlink ref="C12" r:id="rId34" display="https://auction.ikco.ir/auction/details/34?r=521" xr:uid="{D24860B2-BFD1-4F17-A87A-439199511702}"/>
    <hyperlink ref="D12" r:id="rId35" display="https://auction.ikco.ir/auction/details/34?r=521" xr:uid="{C417DD05-A7F6-43A0-9FA7-8A98DB56A205}"/>
    <hyperlink ref="A13" r:id="rId36" display="javascript:void(0)" xr:uid="{C57417AD-63D0-4561-9A86-79E1D875B4C6}"/>
    <hyperlink ref="C13" r:id="rId37" display="https://auction.ikco.ir/auction/details/34?r=527" xr:uid="{69627D5D-BA34-4FE8-ACEE-CE8454D79A8B}"/>
    <hyperlink ref="D13" r:id="rId38" display="https://auction.ikco.ir/auction/details/34?r=527" xr:uid="{7A823ED1-2815-4E94-9325-AE371711D22B}"/>
    <hyperlink ref="A14" r:id="rId39" display="javascript:void(0)" xr:uid="{AC20EBD6-2175-4138-88CF-6C87DC3B0467}"/>
    <hyperlink ref="C14" r:id="rId40" display="https://auction.ikco.ir/auction/details/34?r=531" xr:uid="{DE3987DC-9C4A-49D5-AC72-B63308BB5C3D}"/>
    <hyperlink ref="D14" r:id="rId41" display="https://auction.ikco.ir/auction/details/34?r=531" xr:uid="{343AF384-C83F-4196-8331-289FDF31C71E}"/>
    <hyperlink ref="A15" r:id="rId42" display="javascript:void(0)" xr:uid="{43154E75-6CF3-4DD4-A503-B043423524A3}"/>
    <hyperlink ref="C15" r:id="rId43" display="https://auction.ikco.ir/auction/details/34?r=525" xr:uid="{E2744B32-479A-455B-855C-B68F2410681C}"/>
    <hyperlink ref="D15" r:id="rId44" display="https://auction.ikco.ir/auction/details/34?r=525" xr:uid="{26E3B22B-8191-4CED-AC4D-447A4514B6B5}"/>
    <hyperlink ref="A16" r:id="rId45" display="javascript:void(0)" xr:uid="{BE7C6ED6-6084-4BAF-AB76-97A7D8E5261F}"/>
    <hyperlink ref="C16" r:id="rId46" display="https://auction.ikco.ir/auction/details/34?r=524" xr:uid="{4073D121-8B5D-4228-A4CB-44902BB110C7}"/>
    <hyperlink ref="D16" r:id="rId47" display="https://auction.ikco.ir/auction/details/34?r=524" xr:uid="{1D047D03-80BB-401D-BEB5-2A4468358DF3}"/>
    <hyperlink ref="A17" r:id="rId48" display="javascript:void(0)" xr:uid="{C0E9341A-444C-4162-8BA7-6FB0E809261D}"/>
    <hyperlink ref="C17" r:id="rId49" display="https://auction.ikco.ir/auction/details/34?r=526" xr:uid="{26082B6F-38CC-4151-8098-81DDFA24307F}"/>
    <hyperlink ref="D17" r:id="rId50" display="https://auction.ikco.ir/auction/details/34?r=526" xr:uid="{827456CA-0CCC-4FDE-95A4-B1C9B6EFCF2A}"/>
    <hyperlink ref="A18" r:id="rId51" display="javascript:void(0)" xr:uid="{9DD1786B-F23C-4389-996C-CF10811D58C6}"/>
    <hyperlink ref="C18" r:id="rId52" display="https://auction.ikco.ir/auction/details/34?r=474" xr:uid="{A803F8CE-8338-4310-8463-830BB0A56BDD}"/>
    <hyperlink ref="D18" r:id="rId53" display="https://auction.ikco.ir/auction/details/34?r=474" xr:uid="{949503D8-750A-424E-B78F-AF8650AC9A79}"/>
    <hyperlink ref="A19" r:id="rId54" display="javascript:void(0)" xr:uid="{4FE2E425-ADD0-4DA8-A052-AC3AFDA65759}"/>
    <hyperlink ref="C19" r:id="rId55" display="https://auction.ikco.ir/auction/details/34?r=530" xr:uid="{9BE92068-0E81-4EE0-A941-9C64489382A5}"/>
    <hyperlink ref="D19" r:id="rId56" display="https://auction.ikco.ir/auction/details/34?r=530" xr:uid="{3B08BF58-177C-4069-9F53-B2711567DFE5}"/>
    <hyperlink ref="A20" r:id="rId57" display="javascript:void(0)" xr:uid="{B1A05A56-47DB-41BC-ACF1-AC707120125F}"/>
    <hyperlink ref="C20" r:id="rId58" display="https://auction.ikco.ir/auction/details/34?r=478" xr:uid="{767BF9FD-A0CF-49D2-90EE-BF6264ABB404}"/>
    <hyperlink ref="D20" r:id="rId59" display="https://auction.ikco.ir/auction/details/34?r=478" xr:uid="{06BDBB49-81FE-4B82-BE36-4BA0D7081AB0}"/>
    <hyperlink ref="A21" r:id="rId60" display="javascript:void(0)" xr:uid="{01646841-4D67-4E12-8FEB-D785A8F36480}"/>
    <hyperlink ref="C21" r:id="rId61" display="https://auction.ikco.ir/auction/details/34?r=523" xr:uid="{6293D3DA-51E6-42D6-BB14-6A830BCBA9B6}"/>
    <hyperlink ref="D21" r:id="rId62" display="https://auction.ikco.ir/auction/details/34?r=523" xr:uid="{383E21D8-FFC8-4B65-95F3-81408F2CDAAF}"/>
    <hyperlink ref="A22" r:id="rId63" display="javascript:void(0)" xr:uid="{96EB1C06-397D-4A87-A86F-3BF4FC89D402}"/>
    <hyperlink ref="C22" r:id="rId64" display="https://auction.ikco.ir/auction/details/34?r=451" xr:uid="{76AC8EB1-462A-4FD4-9216-5E51FE3E1A46}"/>
    <hyperlink ref="D22" r:id="rId65" display="https://auction.ikco.ir/auction/details/34?r=451" xr:uid="{E3B56026-3E01-4639-999B-1F48F68FDA36}"/>
    <hyperlink ref="A23" r:id="rId66" display="javascript:void(0)" xr:uid="{A8753944-6E55-4ACD-BFB9-415FBB3F56C7}"/>
    <hyperlink ref="C23" r:id="rId67" display="https://auction.ikco.ir/auction/details/34?r=442" xr:uid="{F30FE9D8-9F50-4A2F-9C0E-D5F9E6349613}"/>
    <hyperlink ref="D23" r:id="rId68" display="https://auction.ikco.ir/auction/details/34?r=442" xr:uid="{EBC74CDA-E7C0-44C7-80DB-38C7983AA022}"/>
    <hyperlink ref="A24" r:id="rId69" display="javascript:void(0)" xr:uid="{18C031AE-88E1-4BA2-9AED-67F81DD98188}"/>
    <hyperlink ref="C24" r:id="rId70" display="https://auction.ikco.ir/auction/details/34?r=477" xr:uid="{226EA649-5B27-430D-8707-980554DC96EC}"/>
    <hyperlink ref="D24" r:id="rId71" display="https://auction.ikco.ir/auction/details/34?r=477" xr:uid="{C164F3C1-847C-4311-B55B-EBB3EE4545E5}"/>
    <hyperlink ref="A25" r:id="rId72" display="javascript:void(0)" xr:uid="{EA603D8E-D316-464C-B5C8-EB54350C1FBC}"/>
    <hyperlink ref="C25" r:id="rId73" display="https://auction.ikco.ir/auction/details/34?r=438" xr:uid="{0C86056C-2C9D-4FAC-B405-3FDD601CFDA9}"/>
    <hyperlink ref="D25" r:id="rId74" display="https://auction.ikco.ir/auction/details/34?r=438" xr:uid="{EC7985A3-9FF6-418C-8622-5328379D6561}"/>
    <hyperlink ref="A26" r:id="rId75" display="javascript:void(0)" xr:uid="{B32EBDBC-CA32-47FE-9219-E4237E5492F8}"/>
    <hyperlink ref="C26" r:id="rId76" display="https://auction.ikco.ir/auction/details/34?r=444" xr:uid="{365BDA3C-1A30-4491-BF4C-E99B6C172763}"/>
    <hyperlink ref="D26" r:id="rId77" display="https://auction.ikco.ir/auction/details/34?r=444" xr:uid="{CF321D67-4DAB-4225-B4D7-37C7D0C96CAE}"/>
    <hyperlink ref="A27" r:id="rId78" display="javascript:void(0)" xr:uid="{977710CA-6937-42AA-B0A4-2D8A54D2DF2E}"/>
    <hyperlink ref="C27" r:id="rId79" display="https://auction.ikco.ir/auction/details/34?r=418" xr:uid="{024C4ADB-C542-474D-88C0-1F246A290B52}"/>
    <hyperlink ref="D27" r:id="rId80" display="https://auction.ikco.ir/auction/details/34?r=418" xr:uid="{A7A9EE5A-D4EE-4CE7-AE32-477EFB70FC29}"/>
    <hyperlink ref="A28" r:id="rId81" display="javascript:void(0)" xr:uid="{63AD0018-70AD-46D5-B4E5-4144E8472CC8}"/>
    <hyperlink ref="C28" r:id="rId82" display="https://auction.ikco.ir/auction/details/34?r=452" xr:uid="{3CF63C81-BDEE-4C82-B35F-C341AD2BF43B}"/>
    <hyperlink ref="D28" r:id="rId83" display="https://auction.ikco.ir/auction/details/34?r=452" xr:uid="{E64A55EA-6A31-4DED-98D2-914D9901EEB2}"/>
    <hyperlink ref="A29" r:id="rId84" display="javascript:void(0)" xr:uid="{80E3E868-58DB-4493-BB93-95772F4E8C03}"/>
    <hyperlink ref="C29" r:id="rId85" display="https://auction.ikco.ir/auction/details/34?r=432" xr:uid="{CA686855-EF29-4ACD-8982-F5FE173F4EF0}"/>
    <hyperlink ref="D29" r:id="rId86" display="https://auction.ikco.ir/auction/details/34?r=432" xr:uid="{D13B54DA-7FC3-4372-9496-EE960C67A3FF}"/>
    <hyperlink ref="A30" r:id="rId87" display="javascript:void(0)" xr:uid="{81465B58-ED9B-4C26-9C7A-F6CA60941153}"/>
    <hyperlink ref="C30" r:id="rId88" display="https://auction.ikco.ir/auction/details/34?r=476" xr:uid="{9EBF102A-0ABD-4EEE-8AC9-42DA1CDD73C6}"/>
    <hyperlink ref="D30" r:id="rId89" display="https://auction.ikco.ir/auction/details/34?r=476" xr:uid="{DE428242-B123-4894-928D-52DDD3EE4FD7}"/>
    <hyperlink ref="A31" r:id="rId90" display="javascript:void(0)" xr:uid="{AFBC710E-3370-4E5F-8139-D0FF6F97C779}"/>
    <hyperlink ref="C31" r:id="rId91" display="https://auction.ikco.ir/auction/details/34?r=430" xr:uid="{98204874-1D2A-4BE0-AA38-8D528847CE0E}"/>
    <hyperlink ref="D31" r:id="rId92" display="https://auction.ikco.ir/auction/details/34?r=430" xr:uid="{99EC138F-B67C-4443-AA24-706333075A4E}"/>
    <hyperlink ref="A32" r:id="rId93" display="javascript:void(0)" xr:uid="{DAE245D0-1D37-4E13-A5A1-911284A1EF3A}"/>
    <hyperlink ref="C32" r:id="rId94" display="https://auction.ikco.ir/auction/details/34?r=433" xr:uid="{2538952B-A88B-42AC-8684-C8B1A9BB366D}"/>
    <hyperlink ref="D32" r:id="rId95" display="https://auction.ikco.ir/auction/details/34?r=433" xr:uid="{0DF85DB4-B2C9-4ABE-854E-1787834326E7}"/>
    <hyperlink ref="A33" r:id="rId96" display="javascript:void(0)" xr:uid="{F403806F-DE64-4A2A-AE77-CA81460BC638}"/>
    <hyperlink ref="C33" r:id="rId97" display="https://auction.ikco.ir/auction/details/34?r=462" xr:uid="{D77E4259-773A-4BC5-B656-147A3C73C69E}"/>
    <hyperlink ref="D33" r:id="rId98" display="https://auction.ikco.ir/auction/details/34?r=462" xr:uid="{BCA211F8-92FA-4823-8351-59C1B634C796}"/>
    <hyperlink ref="A34" r:id="rId99" display="javascript:void(0)" xr:uid="{0E6D1F32-8F6B-4F96-98F5-63C7EBDA4C89}"/>
    <hyperlink ref="C34" r:id="rId100" display="https://auction.ikco.ir/auction/details/34?r=435" xr:uid="{631B85C6-5903-40E1-821D-9535FE864B71}"/>
    <hyperlink ref="D34" r:id="rId101" display="https://auction.ikco.ir/auction/details/34?r=435" xr:uid="{8445F0EF-FC9A-4195-8F5C-491351049709}"/>
    <hyperlink ref="A35" r:id="rId102" display="javascript:void(0)" xr:uid="{8FC6CCA0-C584-4A7D-9CD7-1C79BEFF4BBA}"/>
    <hyperlink ref="C35" r:id="rId103" display="https://auction.ikco.ir/auction/details/34?r=491" xr:uid="{B53BB2B2-F5BD-46AC-9B4C-431CA924C04C}"/>
    <hyperlink ref="D35" r:id="rId104" display="https://auction.ikco.ir/auction/details/34?r=491" xr:uid="{D5068B9C-4B0C-43C4-BEE3-876F2217F834}"/>
    <hyperlink ref="A36" r:id="rId105" display="javascript:void(0)" xr:uid="{446485E7-4B05-4C90-8A16-D6C65C3B1119}"/>
    <hyperlink ref="C36" r:id="rId106" display="https://auction.ikco.ir/auction/details/34?r=440" xr:uid="{A83C8219-8E54-4846-A05B-89505D13A1AB}"/>
    <hyperlink ref="D36" r:id="rId107" display="https://auction.ikco.ir/auction/details/34?r=440" xr:uid="{1672C628-6D41-4DC2-8DDF-E86D569C93A3}"/>
    <hyperlink ref="A37" r:id="rId108" display="javascript:void(0)" xr:uid="{70E1E211-65EB-4E6A-A945-67215DC6371C}"/>
    <hyperlink ref="C37" r:id="rId109" display="https://auction.ikco.ir/auction/details/34?r=492" xr:uid="{889488E5-3BE4-41D7-A0C3-B66824998F6E}"/>
    <hyperlink ref="D37" r:id="rId110" display="https://auction.ikco.ir/auction/details/34?r=492" xr:uid="{3539A843-D6A9-4A74-822D-B62A56D56B7C}"/>
    <hyperlink ref="A38" r:id="rId111" display="javascript:void(0)" xr:uid="{9AF13ED7-AE74-447B-AD0E-25F868478910}"/>
    <hyperlink ref="C38" r:id="rId112" display="https://auction.ikco.ir/auction/details/34?r=429" xr:uid="{02A283DD-3307-4EB6-83F7-FA10F31C24E0}"/>
    <hyperlink ref="D38" r:id="rId113" display="https://auction.ikco.ir/auction/details/34?r=429" xr:uid="{3A337116-AA5C-436B-AAED-AAEE794C8B34}"/>
    <hyperlink ref="A39" r:id="rId114" display="javascript:void(0)" xr:uid="{E9F26A85-F064-4813-8BA8-BD3A7D1B7590}"/>
    <hyperlink ref="C39" r:id="rId115" display="https://auction.ikco.ir/auction/details/34?r=410" xr:uid="{24AC3564-AAD8-4AB6-B6E5-084F686A8E78}"/>
    <hyperlink ref="D39" r:id="rId116" display="https://auction.ikco.ir/auction/details/34?r=410" xr:uid="{F5DA77CA-9FF1-4BB2-9E26-F93F17F3D230}"/>
    <hyperlink ref="A40" r:id="rId117" display="javascript:void(0)" xr:uid="{E20DDF96-609C-47D6-859C-7A339AEE4659}"/>
    <hyperlink ref="C40" r:id="rId118" display="https://auction.ikco.ir/auction/details/34?r=412" xr:uid="{D0F0E365-A5C0-46A0-85A3-E14216833F21}"/>
    <hyperlink ref="D40" r:id="rId119" display="https://auction.ikco.ir/auction/details/34?r=412" xr:uid="{8A5D57A5-25E3-48CD-91BE-2CD70D4C6CC3}"/>
    <hyperlink ref="A41" r:id="rId120" display="javascript:void(0)" xr:uid="{4CB24DCB-1A8D-47EA-B490-42F064E2EE5F}"/>
    <hyperlink ref="C41" r:id="rId121" display="https://auction.ikco.ir/auction/details/34?r=475" xr:uid="{E097BDAB-A2BE-4755-891D-2B1757CA8AA5}"/>
    <hyperlink ref="D41" r:id="rId122" display="https://auction.ikco.ir/auction/details/34?r=475" xr:uid="{3977547C-3CDB-4558-9D73-D01822F661D6}"/>
    <hyperlink ref="A42" r:id="rId123" display="javascript:void(0)" xr:uid="{745CC55C-D37E-4409-A007-51982E501BFB}"/>
    <hyperlink ref="C42" r:id="rId124" display="https://auction.ikco.ir/auction/details/34?r=453" xr:uid="{11A2C518-C19E-490E-8D23-090EA4B55D8D}"/>
    <hyperlink ref="D42" r:id="rId125" display="https://auction.ikco.ir/auction/details/34?r=453" xr:uid="{6EC04E4A-2B7C-4839-AEA7-D1D7E2C12F9B}"/>
    <hyperlink ref="A43" r:id="rId126" display="javascript:void(0)" xr:uid="{6E21775D-DF7B-4E01-9DF6-BFB009BED1C6}"/>
    <hyperlink ref="C43" r:id="rId127" display="https://auction.ikco.ir/auction/details/34?r=473" xr:uid="{9FA6FEF2-984E-455A-B3B2-7A323631D7E6}"/>
    <hyperlink ref="D43" r:id="rId128" display="https://auction.ikco.ir/auction/details/34?r=473" xr:uid="{469CA927-03B2-4E7A-ADF2-718B3929201D}"/>
    <hyperlink ref="A44" r:id="rId129" display="javascript:void(0)" xr:uid="{8D6524F1-9ADA-4643-B725-D56ED09EF26B}"/>
    <hyperlink ref="C44" r:id="rId130" display="https://auction.ikco.ir/auction/details/34?r=439" xr:uid="{2178DAD2-A8B3-4195-BC29-C7C62AD086B8}"/>
    <hyperlink ref="D44" r:id="rId131" display="https://auction.ikco.ir/auction/details/34?r=439" xr:uid="{6D78523D-E781-42EA-A033-40AE9CEA5C57}"/>
    <hyperlink ref="A45" r:id="rId132" display="javascript:void(0)" xr:uid="{835F8456-634D-4179-B549-5CED03B8F3F1}"/>
    <hyperlink ref="C45" r:id="rId133" display="https://auction.ikco.ir/auction/details/34?r=408" xr:uid="{55049457-E05C-4E4F-AF4C-43791609B6D1}"/>
    <hyperlink ref="D45" r:id="rId134" display="https://auction.ikco.ir/auction/details/34?r=408" xr:uid="{7428B95E-7732-49F2-A026-8ECEC42DFD0A}"/>
    <hyperlink ref="A46" r:id="rId135" display="javascript:void(0)" xr:uid="{3FEB56CB-C035-4695-9418-6A8C8C159BFA}"/>
    <hyperlink ref="C46" r:id="rId136" display="https://auction.ikco.ir/auction/details/34?r=421" xr:uid="{447BBDB0-FF44-46CF-838B-A18F7AD2ABB7}"/>
    <hyperlink ref="D46" r:id="rId137" display="https://auction.ikco.ir/auction/details/34?r=421" xr:uid="{8EAFE3F4-D006-4201-B3F4-25BF64EA56A8}"/>
    <hyperlink ref="A47" r:id="rId138" display="javascript:void(0)" xr:uid="{31148D5E-1B50-4A2C-9003-84B27E49CC83}"/>
    <hyperlink ref="C47" r:id="rId139" display="https://auction.ikco.ir/auction/details/34?r=472" xr:uid="{7691CCAE-7EB4-4FDC-A7D1-BF74324412C8}"/>
    <hyperlink ref="D47" r:id="rId140" display="https://auction.ikco.ir/auction/details/34?r=472" xr:uid="{89C445A0-5F46-45EE-8E1A-2AEFD40130CD}"/>
    <hyperlink ref="A48" r:id="rId141" display="javascript:void(0)" xr:uid="{DC99961A-4066-4311-8E0E-C7EA01A238A5}"/>
    <hyperlink ref="C48" r:id="rId142" display="https://auction.ikco.ir/auction/details/34?r=445" xr:uid="{91349F40-608B-404C-9E54-31D952ED45CD}"/>
    <hyperlink ref="D48" r:id="rId143" display="https://auction.ikco.ir/auction/details/34?r=445" xr:uid="{514D63B2-921B-472F-BA0E-DC113732CFFD}"/>
    <hyperlink ref="A49" r:id="rId144" display="javascript:void(0)" xr:uid="{1DC649FC-8576-4745-AB85-C86CBA05825F}"/>
    <hyperlink ref="C49" r:id="rId145" display="https://auction.ikco.ir/auction/details/34?r=446" xr:uid="{761D74D9-EDE2-4E58-BDEA-02CBEEA69637}"/>
    <hyperlink ref="D49" r:id="rId146" display="https://auction.ikco.ir/auction/details/34?r=446" xr:uid="{5916457E-9A18-4F15-93D9-833B2FC4416B}"/>
    <hyperlink ref="A50" r:id="rId147" display="javascript:void(0)" xr:uid="{C6BF333D-55DC-40F6-873C-AD68317E5A6D}"/>
    <hyperlink ref="C50" r:id="rId148" display="https://auction.ikco.ir/auction/details/34?r=513" xr:uid="{BE308EAB-C969-45E0-8B97-3317D08DB2BD}"/>
    <hyperlink ref="D50" r:id="rId149" display="https://auction.ikco.ir/auction/details/34?r=513" xr:uid="{8D5401C6-2BED-46D6-A97C-8E1E3E5E73B3}"/>
    <hyperlink ref="A51" r:id="rId150" display="javascript:void(0)" xr:uid="{4803A2B7-358A-450D-AAF7-9D0C102F3CAA}"/>
    <hyperlink ref="C51" r:id="rId151" display="https://auction.ikco.ir/auction/details/34?r=436" xr:uid="{BCB51431-97F8-46C6-A47B-86A93C5135B5}"/>
    <hyperlink ref="D51" r:id="rId152" display="https://auction.ikco.ir/auction/details/34?r=436" xr:uid="{44FDC208-48D6-42AE-94C1-E4F8B26C636C}"/>
    <hyperlink ref="A52" r:id="rId153" display="javascript:void(0)" xr:uid="{3F0B845B-BC3B-4A51-BEC7-0D8B8DFAB2FC}"/>
    <hyperlink ref="C52" r:id="rId154" display="https://auction.ikco.ir/auction/details/34?r=415" xr:uid="{A2ADDA16-860C-45B3-B4F8-EC6983336D61}"/>
    <hyperlink ref="D52" r:id="rId155" display="https://auction.ikco.ir/auction/details/34?r=415" xr:uid="{3FA43B2A-7549-4015-A885-BFC8752E5460}"/>
    <hyperlink ref="A53" r:id="rId156" display="javascript:void(0)" xr:uid="{05280296-66C1-454D-8256-CA1ACCCB5477}"/>
    <hyperlink ref="C53" r:id="rId157" display="https://auction.ikco.ir/auction/details/34?r=447" xr:uid="{EB2B1958-7DC5-41AB-B784-9D331E821D98}"/>
    <hyperlink ref="D53" r:id="rId158" display="https://auction.ikco.ir/auction/details/34?r=447" xr:uid="{2066D98E-DBE9-4452-B120-4F5955CCF770}"/>
    <hyperlink ref="A54" r:id="rId159" display="javascript:void(0)" xr:uid="{B4077269-F13C-4019-869E-01BE5D961F89}"/>
    <hyperlink ref="C54" r:id="rId160" display="https://auction.ikco.ir/auction/details/34?r=471" xr:uid="{ACAF01B1-1B04-47CE-9ED9-5AC34C4AFD9F}"/>
    <hyperlink ref="D54" r:id="rId161" display="https://auction.ikco.ir/auction/details/34?r=471" xr:uid="{C5A38D3C-B1A3-4D10-B907-4C6D3905F4D8}"/>
    <hyperlink ref="A55" r:id="rId162" display="javascript:void(0)" xr:uid="{906BF57B-1560-41F2-9C8E-45C0349EFD95}"/>
    <hyperlink ref="C55" r:id="rId163" display="https://auction.ikco.ir/auction/details/34?r=420" xr:uid="{2954D108-A5EA-4B18-BD0E-1A23DA7D668E}"/>
    <hyperlink ref="D55" r:id="rId164" display="https://auction.ikco.ir/auction/details/34?r=420" xr:uid="{745C13D7-58A1-48E3-8D5D-0BB9047C9D08}"/>
    <hyperlink ref="A56" r:id="rId165" display="javascript:void(0)" xr:uid="{A2D22CA6-6D46-4224-9E90-5B60429BCC3C}"/>
    <hyperlink ref="C56" r:id="rId166" display="https://auction.ikco.ir/auction/details/34?r=449" xr:uid="{EE057B6F-A3C9-43F3-8353-4BB6D598B1C7}"/>
    <hyperlink ref="D56" r:id="rId167" display="https://auction.ikco.ir/auction/details/34?r=449" xr:uid="{F5B1B809-8092-43DC-8F7A-85F9E005B5F3}"/>
    <hyperlink ref="A57" r:id="rId168" display="javascript:void(0)" xr:uid="{A7A0FAE0-6C78-4E2D-B602-3F6EB92B87BB}"/>
    <hyperlink ref="C57" r:id="rId169" display="https://auction.ikco.ir/auction/details/34?r=443" xr:uid="{2D76F882-B96A-4BD5-85B9-99DC0EBBD91C}"/>
    <hyperlink ref="D57" r:id="rId170" display="https://auction.ikco.ir/auction/details/34?r=443" xr:uid="{72878B62-31AF-4EFA-9034-C9D5FCBAA542}"/>
    <hyperlink ref="A58" r:id="rId171" display="javascript:void(0)" xr:uid="{6224F480-3908-498B-8E66-836D293688C2}"/>
    <hyperlink ref="C58" r:id="rId172" display="https://auction.ikco.ir/auction/details/34?r=417" xr:uid="{B89AFE1B-47CF-4BCC-AD31-553F7779E46B}"/>
    <hyperlink ref="D58" r:id="rId173" display="https://auction.ikco.ir/auction/details/34?r=417" xr:uid="{F1248A2B-72E4-4CE8-9953-EBB233BE79A3}"/>
    <hyperlink ref="A59" r:id="rId174" display="javascript:void(0)" xr:uid="{BE64BEF8-C0BF-452D-B743-9BC7994C8457}"/>
    <hyperlink ref="C59" r:id="rId175" display="https://auction.ikco.ir/auction/details/34?r=422" xr:uid="{EBBF88BF-C74C-42C7-92E4-C21C45E79799}"/>
    <hyperlink ref="D59" r:id="rId176" display="https://auction.ikco.ir/auction/details/34?r=422" xr:uid="{62937B25-CA24-4716-99C8-0C1FC8BD0166}"/>
    <hyperlink ref="A60" r:id="rId177" display="javascript:void(0)" xr:uid="{22902B52-A1EB-461E-A485-6E179FB4D18F}"/>
    <hyperlink ref="C60" r:id="rId178" display="https://auction.ikco.ir/auction/details/34?r=437" xr:uid="{68DA958E-A4C8-4B6A-902B-73F9A5F10767}"/>
    <hyperlink ref="D60" r:id="rId179" display="https://auction.ikco.ir/auction/details/34?r=437" xr:uid="{3B2AB301-A07E-4ABE-888A-F0B507BF6399}"/>
    <hyperlink ref="A61" r:id="rId180" display="javascript:void(0)" xr:uid="{DC69FEAB-4AB3-49F0-8E16-DF4DD312CB49}"/>
    <hyperlink ref="C61" r:id="rId181" display="https://auction.ikco.ir/auction/details/34?r=470" xr:uid="{55AF45D4-B79E-4767-8630-80BA03BD4E3F}"/>
    <hyperlink ref="D61" r:id="rId182" display="https://auction.ikco.ir/auction/details/34?r=470" xr:uid="{0FC0F6C3-C11C-4F20-A5DD-1A136B2F15A0}"/>
    <hyperlink ref="A62" r:id="rId183" display="javascript:void(0)" xr:uid="{4D3C0CC0-2EF5-4977-8AD6-20033F0E1DCF}"/>
    <hyperlink ref="C62" r:id="rId184" display="https://auction.ikco.ir/auction/details/34?r=409" xr:uid="{939BDB77-D561-4D4C-A629-FE10F851EA38}"/>
    <hyperlink ref="D62" r:id="rId185" display="https://auction.ikco.ir/auction/details/34?r=409" xr:uid="{244A60F5-19FA-418E-8B5D-5038ADC13D2B}"/>
    <hyperlink ref="A63" r:id="rId186" display="javascript:void(0)" xr:uid="{BD5A9085-1398-4E0F-83A8-6995A75ABD3E}"/>
    <hyperlink ref="C63" r:id="rId187" display="https://auction.ikco.ir/auction/details/34?r=228" xr:uid="{A7860A9A-A43E-4942-B4E4-F1840E2C42DE}"/>
    <hyperlink ref="D63" r:id="rId188" display="https://auction.ikco.ir/auction/details/34?r=228" xr:uid="{A648EF2B-92BA-42BE-92BE-CDFF2A79A1CC}"/>
    <hyperlink ref="A64" r:id="rId189" display="javascript:void(0)" xr:uid="{D0190221-A326-47F7-96F7-768D60D08275}"/>
    <hyperlink ref="C64" r:id="rId190" display="https://auction.ikco.ir/auction/details/34?r=488" xr:uid="{362C0464-7DF7-4069-A655-C30560B1BAEA}"/>
    <hyperlink ref="D64" r:id="rId191" display="https://auction.ikco.ir/auction/details/34?r=488" xr:uid="{092A9DFD-B689-45F4-ABB9-AFC181FC360E}"/>
    <hyperlink ref="A65" r:id="rId192" display="javascript:void(0)" xr:uid="{44D7A1C7-0058-49E3-9606-039DF00391B0}"/>
    <hyperlink ref="C65" r:id="rId193" display="https://auction.ikco.ir/auction/details/34?r=370" xr:uid="{83963D4D-EF9A-437E-B3C1-11C95225B678}"/>
    <hyperlink ref="D65" r:id="rId194" display="https://auction.ikco.ir/auction/details/34?r=370" xr:uid="{14B0C03A-73C1-497D-8002-9446745902CB}"/>
    <hyperlink ref="A66" r:id="rId195" display="javascript:void(0)" xr:uid="{657CCB6E-6C22-4539-8D65-3C5DE197909B}"/>
    <hyperlink ref="C66" r:id="rId196" display="https://auction.ikco.ir/auction/details/34?r=487" xr:uid="{A16499E3-D1B3-4747-B5F5-6DA61B451B8A}"/>
    <hyperlink ref="D66" r:id="rId197" display="https://auction.ikco.ir/auction/details/34?r=487" xr:uid="{4CE4DD0A-ED3F-4D69-A119-5CD488FF3D11}"/>
    <hyperlink ref="A67" r:id="rId198" display="javascript:void(0)" xr:uid="{192314C6-A4D6-40AB-A751-EFE7EB0BD415}"/>
    <hyperlink ref="C67" r:id="rId199" display="https://auction.ikco.ir/auction/details/34?r=461" xr:uid="{DB7161C4-8FFD-4104-ADD0-202A8AA9B3A4}"/>
    <hyperlink ref="D67" r:id="rId200" display="https://auction.ikco.ir/auction/details/34?r=461" xr:uid="{E0CE6774-70DF-4F00-A6ED-41EC70F07A90}"/>
    <hyperlink ref="A68" r:id="rId201" display="javascript:void(0)" xr:uid="{7D61DE62-8D2B-4AA9-85FD-97E61D4F437E}"/>
    <hyperlink ref="C68" r:id="rId202" display="https://auction.ikco.ir/auction/details/34?r=464" xr:uid="{CDD681B0-5C03-4D58-ADC6-22B95E348472}"/>
    <hyperlink ref="D68" r:id="rId203" display="https://auction.ikco.ir/auction/details/34?r=464" xr:uid="{50B77CBB-3D7F-4323-8874-EB7B7A63EAD0}"/>
    <hyperlink ref="A69" r:id="rId204" display="javascript:void(0)" xr:uid="{DBBE4F04-3C82-4E9A-A249-18F34077EEA2}"/>
    <hyperlink ref="C69" r:id="rId205" display="https://auction.ikco.ir/auction/details/34?r=463" xr:uid="{59904D0D-B065-41C8-ACFC-008FD829EE43}"/>
    <hyperlink ref="D69" r:id="rId206" display="https://auction.ikco.ir/auction/details/34?r=463" xr:uid="{ABFD7AEC-EB85-4D0D-BD2D-5643E9D931F9}"/>
    <hyperlink ref="A70" r:id="rId207" display="javascript:void(0)" xr:uid="{06ECA094-AD2D-4F4B-B746-63C27B74C5D3}"/>
    <hyperlink ref="C70" r:id="rId208" display="https://auction.ikco.ir/auction/details/34?r=403" xr:uid="{287531B9-DD98-4EC2-9108-4440AFC468B1}"/>
    <hyperlink ref="D70" r:id="rId209" display="https://auction.ikco.ir/auction/details/34?r=403" xr:uid="{F9AAD592-820B-4B33-8D51-1F3A0CA8F6B5}"/>
    <hyperlink ref="A71" r:id="rId210" display="javascript:void(0)" xr:uid="{4869E7A2-5006-4377-8737-B1C359018FF3}"/>
    <hyperlink ref="C71" r:id="rId211" display="https://auction.ikco.ir/auction/details/34?r=376" xr:uid="{087280AF-89AB-45B4-A5EF-1FEDC04FE8C2}"/>
    <hyperlink ref="D71" r:id="rId212" display="https://auction.ikco.ir/auction/details/34?r=376" xr:uid="{1880A81B-DBDE-49B4-8ADF-AFE6341B505D}"/>
    <hyperlink ref="A72" r:id="rId213" display="javascript:void(0)" xr:uid="{BEDA4852-5E06-4C3C-917F-9EE92E4B695B}"/>
    <hyperlink ref="C72" r:id="rId214" display="https://auction.ikco.ir/auction/details/34?r=357" xr:uid="{FBEB3746-DB5B-418F-AA73-4E6275E5F3F4}"/>
    <hyperlink ref="D72" r:id="rId215" display="https://auction.ikco.ir/auction/details/34?r=357" xr:uid="{24140AD6-C103-42B0-9ECB-3C3CA140B1D6}"/>
    <hyperlink ref="A73" r:id="rId216" display="javascript:void(0)" xr:uid="{29E5078F-3E72-4B7E-9D60-B16E46B692D3}"/>
    <hyperlink ref="C73" r:id="rId217" display="https://auction.ikco.ir/auction/details/34?r=511" xr:uid="{09EB2C34-881F-4B52-A977-B8C8B5396EF0}"/>
    <hyperlink ref="D73" r:id="rId218" display="https://auction.ikco.ir/auction/details/34?r=511" xr:uid="{39DFD397-D2BF-4F60-B23F-FF7D3C95B2A6}"/>
    <hyperlink ref="A74" r:id="rId219" display="javascript:void(0)" xr:uid="{7F252E49-4C5B-4B58-8A40-1321F48BE05A}"/>
    <hyperlink ref="C74" r:id="rId220" display="https://auction.ikco.ir/auction/details/34?r=383" xr:uid="{A3C11372-9232-44DD-96A6-1FFCAAFFE3FB}"/>
    <hyperlink ref="D74" r:id="rId221" display="https://auction.ikco.ir/auction/details/34?r=383" xr:uid="{BEB7461B-E65B-47AC-AAC3-05A2AA1D4CEB}"/>
    <hyperlink ref="A75" r:id="rId222" display="javascript:void(0)" xr:uid="{01ED0B4D-6A96-44B6-A7AB-C9955B620578}"/>
    <hyperlink ref="C75" r:id="rId223" display="https://auction.ikco.ir/auction/details/34?r=424" xr:uid="{271E8EA4-9E6E-40BE-A809-9F4DB64B2727}"/>
    <hyperlink ref="D75" r:id="rId224" display="https://auction.ikco.ir/auction/details/34?r=424" xr:uid="{873B8985-8139-4670-B0A5-B748822B16B4}"/>
    <hyperlink ref="A76" r:id="rId225" display="javascript:void(0)" xr:uid="{300FE5A1-1B73-45B9-A519-400852E78DAF}"/>
    <hyperlink ref="C76" r:id="rId226" display="https://auction.ikco.ir/auction/details/34?r=450" xr:uid="{04C8DE80-3937-4699-AFF7-2B6B4A2C6B7B}"/>
    <hyperlink ref="D76" r:id="rId227" display="https://auction.ikco.ir/auction/details/34?r=450" xr:uid="{B26BD0B5-D7C8-4BCF-83FB-04DB2ADB9DC9}"/>
    <hyperlink ref="A77" r:id="rId228" display="javascript:void(0)" xr:uid="{A61CFB64-13DA-4859-954F-EDC0C326C1C3}"/>
    <hyperlink ref="C77" r:id="rId229" display="https://auction.ikco.ir/auction/details/34?r=396" xr:uid="{0E0225D2-A552-445E-9952-9A6B29D4FB5A}"/>
    <hyperlink ref="D77" r:id="rId230" display="https://auction.ikco.ir/auction/details/34?r=396" xr:uid="{6CE9BB60-8A81-49E0-8B86-3F34D46D5DEC}"/>
    <hyperlink ref="A78" r:id="rId231" display="javascript:void(0)" xr:uid="{EBBB9E47-14AC-4C18-BA61-AA0559E72521}"/>
    <hyperlink ref="C78" r:id="rId232" display="https://auction.ikco.ir/auction/details/34?r=441" xr:uid="{E3217B0B-55A6-4362-B058-0D3C6FA5393D}"/>
    <hyperlink ref="D78" r:id="rId233" display="https://auction.ikco.ir/auction/details/34?r=441" xr:uid="{B169B5A8-61EA-4B07-B9CF-91C3C95D76C0}"/>
    <hyperlink ref="A79" r:id="rId234" display="javascript:void(0)" xr:uid="{AB31ED6D-0202-4AAA-B3F1-6421B4AFD4F7}"/>
    <hyperlink ref="C79" r:id="rId235" display="https://auction.ikco.ir/auction/details/34?r=448" xr:uid="{8C4D9924-0587-419A-ADE6-92038F2E56CB}"/>
    <hyperlink ref="D79" r:id="rId236" display="https://auction.ikco.ir/auction/details/34?r=448" xr:uid="{021EBE62-F76A-4498-854E-C4D48D5FB26D}"/>
    <hyperlink ref="A80" r:id="rId237" display="javascript:void(0)" xr:uid="{345D27AE-AB9B-40B5-A0F0-4BA61372E07E}"/>
    <hyperlink ref="C80" r:id="rId238" display="https://auction.ikco.ir/auction/details/34?r=398" xr:uid="{25C0AEDD-4F97-4CE8-82EE-BC60E1D9D17F}"/>
    <hyperlink ref="D80" r:id="rId239" display="https://auction.ikco.ir/auction/details/34?r=398" xr:uid="{C6D0B389-8BD6-4E62-837F-CD60588D79B2}"/>
    <hyperlink ref="A81" r:id="rId240" display="javascript:void(0)" xr:uid="{D3B0A45A-620A-474F-A3F4-3CB810FA138B}"/>
    <hyperlink ref="C81" r:id="rId241" display="https://auction.ikco.ir/auction/details/34?r=414" xr:uid="{02862677-89BE-44CD-B307-EBE87966C8FE}"/>
    <hyperlink ref="D81" r:id="rId242" display="https://auction.ikco.ir/auction/details/34?r=414" xr:uid="{2AB8AA66-2C91-4770-A34B-E5351EBB5D88}"/>
    <hyperlink ref="A82" r:id="rId243" display="javascript:void(0)" xr:uid="{B5E864FD-8E0E-4C5C-9B2B-A890B3F9527A}"/>
    <hyperlink ref="C82" r:id="rId244" display="https://auction.ikco.ir/auction/details/34?r=256" xr:uid="{BD39B71B-0F47-4068-9755-9D6A571D0EEF}"/>
    <hyperlink ref="D82" r:id="rId245" display="https://auction.ikco.ir/auction/details/34?r=256" xr:uid="{D03FB455-5F43-4551-9A3C-95CA9305BC88}"/>
    <hyperlink ref="A83" r:id="rId246" display="javascript:void(0)" xr:uid="{B5BD6A4A-2DAA-40CF-AC57-239E59584A02}"/>
    <hyperlink ref="C83" r:id="rId247" display="https://auction.ikco.ir/auction/details/34?r=404" xr:uid="{B540A8DA-6C47-4985-8DCC-4213A5678DF7}"/>
    <hyperlink ref="D83" r:id="rId248" display="https://auction.ikco.ir/auction/details/34?r=404" xr:uid="{ADA162F7-12B7-4BAB-9F82-5601B0E28E3C}"/>
    <hyperlink ref="A84" r:id="rId249" display="javascript:void(0)" xr:uid="{CC1EECC1-8475-4031-AD74-1A549747D500}"/>
    <hyperlink ref="C84" r:id="rId250" display="https://auction.ikco.ir/auction/details/34?r=399" xr:uid="{531E1C3B-6E0E-46DB-8876-7967668A49C7}"/>
    <hyperlink ref="D84" r:id="rId251" display="https://auction.ikco.ir/auction/details/34?r=399" xr:uid="{DE0E133A-A854-4D05-A6EA-5A984DB5BC25}"/>
    <hyperlink ref="A85" r:id="rId252" display="javascript:void(0)" xr:uid="{C8A59AAE-2683-4ADF-B848-0A17D4265B73}"/>
    <hyperlink ref="C85" r:id="rId253" display="https://auction.ikco.ir/auction/details/34?r=400" xr:uid="{095CF1AB-977B-4B95-BF7E-9BE69B1383F7}"/>
    <hyperlink ref="D85" r:id="rId254" display="https://auction.ikco.ir/auction/details/34?r=400" xr:uid="{7E7DB72D-F39F-4F7E-8311-217C07FDECC6}"/>
    <hyperlink ref="A86" r:id="rId255" display="javascript:void(0)" xr:uid="{70E66648-FB55-4D16-B502-5F3D79147A82}"/>
    <hyperlink ref="C86" r:id="rId256" display="https://auction.ikco.ir/auction/details/34?r=466" xr:uid="{C876D1E2-5141-4738-BAFF-D6F86E9A04E0}"/>
    <hyperlink ref="D86" r:id="rId257" display="https://auction.ikco.ir/auction/details/34?r=466" xr:uid="{E9A89943-6C35-47CE-A816-7018F14913DD}"/>
    <hyperlink ref="A87" r:id="rId258" display="javascript:void(0)" xr:uid="{87D07997-2A13-4E36-95FE-B18769C1BC73}"/>
    <hyperlink ref="C87" r:id="rId259" display="https://auction.ikco.ir/auction/details/34?r=489" xr:uid="{A14B5D53-870C-4542-AD9A-7C8551ECB515}"/>
    <hyperlink ref="D87" r:id="rId260" display="https://auction.ikco.ir/auction/details/34?r=489" xr:uid="{7539DECB-BE27-4371-A243-DCB8AF6F3576}"/>
    <hyperlink ref="A88" r:id="rId261" display="javascript:void(0)" xr:uid="{41FBCFC1-EE37-4EC0-A6B9-B815356082A6}"/>
    <hyperlink ref="C88" r:id="rId262" display="https://auction.ikco.ir/auction/details/34?r=401" xr:uid="{8BFA0F2A-8F6C-47BB-9C45-57299DE838F3}"/>
    <hyperlink ref="D88" r:id="rId263" display="https://auction.ikco.ir/auction/details/34?r=401" xr:uid="{59F206A5-02CF-4724-B811-E63419A7EEFD}"/>
    <hyperlink ref="A89" r:id="rId264" display="javascript:void(0)" xr:uid="{73E7B3CD-7329-47B5-97E5-0D7E99DBA8C4}"/>
    <hyperlink ref="C89" r:id="rId265" display="https://auction.ikco.ir/auction/details/34?r=384" xr:uid="{598FDFCA-B6DC-4DAA-A65D-DFF276A49113}"/>
    <hyperlink ref="D89" r:id="rId266" display="https://auction.ikco.ir/auction/details/34?r=384" xr:uid="{6C75F451-F026-4E8A-A2CE-A104C4B1CD39}"/>
    <hyperlink ref="A90" r:id="rId267" display="javascript:void(0)" xr:uid="{C8EC988E-5297-4B30-B72E-F22F3FF7A631}"/>
    <hyperlink ref="C90" r:id="rId268" display="https://auction.ikco.ir/auction/details/34?r=485" xr:uid="{12962AD7-B7A8-44F8-833D-27FA4E35DA63}"/>
    <hyperlink ref="D90" r:id="rId269" display="https://auction.ikco.ir/auction/details/34?r=485" xr:uid="{D4A8AAD9-33BE-4391-9838-375EA6B473CA}"/>
    <hyperlink ref="A91" r:id="rId270" display="javascript:void(0)" xr:uid="{F2149D17-3FF2-4C11-8988-59D1F45B1D82}"/>
    <hyperlink ref="C91" r:id="rId271" display="https://auction.ikco.ir/auction/details/34?r=324" xr:uid="{B13ADE85-99D7-42D6-890B-26555F5D83C7}"/>
    <hyperlink ref="D91" r:id="rId272" display="https://auction.ikco.ir/auction/details/34?r=324" xr:uid="{44B1CD5F-A76F-4773-AB32-0E58FFE5E165}"/>
    <hyperlink ref="A92" r:id="rId273" display="javascript:void(0)" xr:uid="{4FCE7D7E-DD8C-4C04-9F83-B964FE7D865F}"/>
    <hyperlink ref="C92" r:id="rId274" display="https://auction.ikco.ir/auction/details/34?r=317" xr:uid="{125752CD-4A3C-4D35-A70B-191897F84433}"/>
    <hyperlink ref="D92" r:id="rId275" display="https://auction.ikco.ir/auction/details/34?r=317" xr:uid="{135442D3-268B-48C0-9693-F31227A3F3BE}"/>
    <hyperlink ref="A93" r:id="rId276" display="javascript:void(0)" xr:uid="{21683D46-AED8-48F1-8CCD-62DE3F87E723}"/>
    <hyperlink ref="C93" r:id="rId277" display="https://auction.ikco.ir/auction/details/34?r=354" xr:uid="{D2A2B4E3-43DA-4D6D-B5CE-1E28596139E5}"/>
    <hyperlink ref="D93" r:id="rId278" display="https://auction.ikco.ir/auction/details/34?r=354" xr:uid="{93F167A0-7610-4740-8175-F3D22790D639}"/>
    <hyperlink ref="A94" r:id="rId279" display="javascript:void(0)" xr:uid="{7DD68B39-B53B-4006-9FB0-B9286E8F5B63}"/>
    <hyperlink ref="C94" r:id="rId280" display="https://auction.ikco.ir/auction/details/34?r=486" xr:uid="{9E78D1C3-7126-4274-A430-E341DAE0B827}"/>
    <hyperlink ref="D94" r:id="rId281" display="https://auction.ikco.ir/auction/details/34?r=486" xr:uid="{359FD3B2-C5B8-4454-9F37-5091E051C175}"/>
    <hyperlink ref="A95" r:id="rId282" display="javascript:void(0)" xr:uid="{A9617CAB-E5DB-4BFE-9803-96599BFF8866}"/>
    <hyperlink ref="C95" r:id="rId283" display="https://auction.ikco.ir/auction/details/34?r=313" xr:uid="{CAEED538-C7E5-4A22-A261-7B7D3AE3DEE3}"/>
    <hyperlink ref="D95" r:id="rId284" display="https://auction.ikco.ir/auction/details/34?r=313" xr:uid="{F5A8F4CE-51EE-4E33-A420-285D9645171F}"/>
    <hyperlink ref="A96" r:id="rId285" display="javascript:void(0)" xr:uid="{61E60259-9EF6-4AB8-A3A1-77076AB869CB}"/>
    <hyperlink ref="C96" r:id="rId286" display="https://auction.ikco.ir/auction/details/34?r=251" xr:uid="{8A47CF19-065A-4233-85A7-F992C78F34E8}"/>
    <hyperlink ref="D96" r:id="rId287" display="https://auction.ikco.ir/auction/details/34?r=251" xr:uid="{70110495-4ABD-4CF9-8A4B-C778D930CE7A}"/>
    <hyperlink ref="A97" r:id="rId288" display="javascript:void(0)" xr:uid="{C0AA903F-91C1-4153-B436-B911A3AA8CB8}"/>
    <hyperlink ref="C97" r:id="rId289" display="https://auction.ikco.ir/auction/details/34?r=300" xr:uid="{4EB23DF2-7DE3-458E-8CC0-F90A195DC2D2}"/>
    <hyperlink ref="D97" r:id="rId290" display="https://auction.ikco.ir/auction/details/34?r=300" xr:uid="{BB8F82B0-733E-4FCA-8B06-583307061B3B}"/>
    <hyperlink ref="A98" r:id="rId291" display="javascript:void(0)" xr:uid="{A21FF904-2F2D-4635-B8D7-24811CB799C5}"/>
    <hyperlink ref="C98" r:id="rId292" display="https://auction.ikco.ir/auction/details/34?r=390" xr:uid="{A9FD5C7F-5461-4A87-B094-64632E369912}"/>
    <hyperlink ref="D98" r:id="rId293" display="https://auction.ikco.ir/auction/details/34?r=390" xr:uid="{839BC1AF-A883-45F1-B531-896AB8082C1C}"/>
    <hyperlink ref="A99" r:id="rId294" display="javascript:void(0)" xr:uid="{001F6ED8-4F33-4A17-8C7A-33A3AF15BD8C}"/>
    <hyperlink ref="C99" r:id="rId295" display="https://auction.ikco.ir/auction/details/34?r=482" xr:uid="{1CF34724-2175-4A03-9AB8-009BA12BE140}"/>
    <hyperlink ref="D99" r:id="rId296" display="https://auction.ikco.ir/auction/details/34?r=482" xr:uid="{D31C19E9-6298-42C1-99C8-61D2EBF7B05B}"/>
    <hyperlink ref="A100" r:id="rId297" display="javascript:void(0)" xr:uid="{3FB8A08E-0C8A-48AE-80F1-F7AEBCDCAD3A}"/>
    <hyperlink ref="C100" r:id="rId298" display="https://auction.ikco.ir/auction/details/34?r=394" xr:uid="{EF497394-83A5-49E2-8AA4-7A9648C46C9A}"/>
    <hyperlink ref="D100" r:id="rId299" display="https://auction.ikco.ir/auction/details/34?r=394" xr:uid="{E2A844A2-0A39-4235-9303-D534D84BE18F}"/>
    <hyperlink ref="C101" r:id="rId300" display="https://auction.ikco.ir/auction/details/34?r=261" xr:uid="{A24E6F04-2FB2-4710-87F9-6BF49AC0126B}"/>
    <hyperlink ref="D101" r:id="rId301" display="https://auction.ikco.ir/auction/details/34?r=261" xr:uid="{C8EC8645-8942-4770-BC7A-9A6029C42737}"/>
    <hyperlink ref="A102" r:id="rId302" display="javascript:void(0)" xr:uid="{D0793E8B-C961-43C0-A7A4-10706514E1C3}"/>
    <hyperlink ref="C102" r:id="rId303" display="https://auction.ikco.ir/auction/details/34?r=387" xr:uid="{23309345-5CBA-4BB0-9D7F-BE5C09C9D64E}"/>
    <hyperlink ref="D102" r:id="rId304" display="https://auction.ikco.ir/auction/details/34?r=387" xr:uid="{5A5E68EB-88B5-42C7-A0B7-C166CF61FD54}"/>
    <hyperlink ref="A103" r:id="rId305" display="javascript:void(0)" xr:uid="{6A7C5EA5-B4C0-4FDE-919B-BFA262B71C55}"/>
    <hyperlink ref="C103" r:id="rId306" display="https://auction.ikco.ir/auction/details/34?r=270" xr:uid="{944CE191-78A4-4500-A452-25279934A02B}"/>
    <hyperlink ref="D103" r:id="rId307" display="https://auction.ikco.ir/auction/details/34?r=270" xr:uid="{FE73B415-11BA-41AB-BBA8-4F4E3836019F}"/>
    <hyperlink ref="A104" r:id="rId308" display="javascript:void(0)" xr:uid="{7CBF0418-0E34-4486-8FC4-EEB8890ACD35}"/>
    <hyperlink ref="C104" r:id="rId309" display="https://auction.ikco.ir/auction/details/34?r=382" xr:uid="{B30F13F2-629D-48C9-9C0D-04E36A10F089}"/>
    <hyperlink ref="D104" r:id="rId310" display="https://auction.ikco.ir/auction/details/34?r=382" xr:uid="{BBFD0C4F-7F3C-4EF0-9E81-ED5957C2394B}"/>
    <hyperlink ref="A105" r:id="rId311" display="javascript:void(0)" xr:uid="{67C3C1C6-906A-4FFF-9388-FA110802A656}"/>
    <hyperlink ref="C105" r:id="rId312" display="https://auction.ikco.ir/auction/details/34?r=378" xr:uid="{06C648E0-1024-4AFC-AEBA-84A45FD692A7}"/>
    <hyperlink ref="D105" r:id="rId313" display="https://auction.ikco.ir/auction/details/34?r=378" xr:uid="{BBF0935C-CD45-4842-8E47-BC54784D45C5}"/>
    <hyperlink ref="A106" r:id="rId314" display="javascript:void(0)" xr:uid="{7165863A-B84A-4F5B-823B-291B68D90FF1}"/>
    <hyperlink ref="C106" r:id="rId315" display="https://auction.ikco.ir/auction/details/34?r=332" xr:uid="{8DCBE8E7-7AB5-49CF-B86A-7725DED0E45E}"/>
    <hyperlink ref="D106" r:id="rId316" display="https://auction.ikco.ir/auction/details/34?r=332" xr:uid="{2AAC9C37-47CC-4085-B232-517C6F45E61D}"/>
    <hyperlink ref="A107" r:id="rId317" display="javascript:void(0)" xr:uid="{6380DD29-8F13-4C84-BA59-B6056B5CF57B}"/>
    <hyperlink ref="C107" r:id="rId318" display="https://auction.ikco.ir/auction/details/34?r=314" xr:uid="{2BDE1840-0D1D-4992-8FC5-0C2E164E90C6}"/>
    <hyperlink ref="D107" r:id="rId319" display="https://auction.ikco.ir/auction/details/34?r=314" xr:uid="{70D0446D-FF92-40CB-A94D-B4AA95805AC9}"/>
    <hyperlink ref="A108" r:id="rId320" display="javascript:void(0)" xr:uid="{CEE0A777-D444-46D2-A020-C8DE44A325B1}"/>
    <hyperlink ref="C108" r:id="rId321" display="https://auction.ikco.ir/auction/details/34?r=311" xr:uid="{B78DCC4B-CD43-4EC1-9872-E071C5E1346B}"/>
    <hyperlink ref="D108" r:id="rId322" display="https://auction.ikco.ir/auction/details/34?r=311" xr:uid="{5A94F500-D11D-458C-8E15-BB432A864AAB}"/>
    <hyperlink ref="A109" r:id="rId323" display="javascript:void(0)" xr:uid="{6171B504-F908-4681-88D0-9A2D119D30AB}"/>
    <hyperlink ref="C109" r:id="rId324" display="https://auction.ikco.ir/auction/details/34?r=512" xr:uid="{B99DB5A1-BF2F-4A04-93AB-986CBECE38B9}"/>
    <hyperlink ref="D109" r:id="rId325" display="https://auction.ikco.ir/auction/details/34?r=512" xr:uid="{AF1193B7-082A-4FB7-B113-66B741CBBE90}"/>
    <hyperlink ref="A110" r:id="rId326" display="javascript:void(0)" xr:uid="{97AE5BAC-8F56-4480-B436-3E3B69F749E0}"/>
    <hyperlink ref="C110" r:id="rId327" display="https://auction.ikco.ir/auction/details/34?r=295" xr:uid="{6098B378-7B0D-4256-9DF2-E6FA0CBC0C73}"/>
    <hyperlink ref="D110" r:id="rId328" display="https://auction.ikco.ir/auction/details/34?r=295" xr:uid="{70C8EDEB-8E68-4ABB-83C1-21E8099265DC}"/>
    <hyperlink ref="A111" r:id="rId329" display="javascript:void(0)" xr:uid="{C7EA4727-3CCE-4561-B8AA-2286ADCEE01C}"/>
    <hyperlink ref="C111" r:id="rId330" display="https://auction.ikco.ir/auction/details/34?r=490" xr:uid="{A49FEFDC-87D4-4502-8F51-C739EFF60CB4}"/>
    <hyperlink ref="D111" r:id="rId331" display="https://auction.ikco.ir/auction/details/34?r=490" xr:uid="{C33B1FBB-EF83-46A6-88CE-144244716671}"/>
    <hyperlink ref="A112" r:id="rId332" display="javascript:void(0)" xr:uid="{5AC5BB12-BB9E-4413-AF65-D16546A33BD3}"/>
    <hyperlink ref="C112" r:id="rId333" display="https://auction.ikco.ir/auction/details/34?r=388" xr:uid="{12DCF813-98AF-4EBE-9DB5-145CFA79CB11}"/>
    <hyperlink ref="D112" r:id="rId334" display="https://auction.ikco.ir/auction/details/34?r=388" xr:uid="{AB923942-51FD-488F-9C23-FBAEE783057D}"/>
    <hyperlink ref="A113" r:id="rId335" display="javascript:void(0)" xr:uid="{BE6C694E-132A-4634-A3FD-906E0D850129}"/>
    <hyperlink ref="C113" r:id="rId336" display="https://auction.ikco.ir/auction/details/34?r=468" xr:uid="{3134CD7D-EC54-421F-B0C0-0C41F3E8D363}"/>
    <hyperlink ref="D113" r:id="rId337" display="https://auction.ikco.ir/auction/details/34?r=468" xr:uid="{AAE53074-FBA8-4AD7-8F42-4856D8BEA960}"/>
    <hyperlink ref="A114" r:id="rId338" display="javascript:void(0)" xr:uid="{8A7372C3-965B-4AB1-B255-5F7FC539E477}"/>
    <hyperlink ref="C114" r:id="rId339" display="https://auction.ikco.ir/auction/details/34?r=249" xr:uid="{EB5D4F3D-A1AD-4685-8FB5-3C0238EDA01F}"/>
    <hyperlink ref="D114" r:id="rId340" display="https://auction.ikco.ir/auction/details/34?r=249" xr:uid="{4F618DF9-CC7C-477F-9316-F403359C952B}"/>
    <hyperlink ref="A115" r:id="rId341" display="javascript:void(0)" xr:uid="{D9414CF4-D00C-41D6-A693-24BF93108B07}"/>
    <hyperlink ref="C115" r:id="rId342" display="https://auction.ikco.ir/auction/details/34?r=120" xr:uid="{90262764-31D4-4BAD-AA6D-695D2FD61C5F}"/>
    <hyperlink ref="D115" r:id="rId343" display="https://auction.ikco.ir/auction/details/34?r=120" xr:uid="{4913D433-A0E6-46BA-93A9-8E4FBB98C9EF}"/>
    <hyperlink ref="A116" r:id="rId344" display="javascript:void(0)" xr:uid="{04869938-B14D-4E87-B860-2932DC4E368A}"/>
    <hyperlink ref="C116" r:id="rId345" display="https://auction.ikco.ir/auction/details/34?r=318" xr:uid="{691AA7DF-090A-45AF-A5C7-5494A453012A}"/>
    <hyperlink ref="D116" r:id="rId346" display="https://auction.ikco.ir/auction/details/34?r=318" xr:uid="{092D9A75-076F-4BB7-BA71-C4908650FEFF}"/>
    <hyperlink ref="A117" r:id="rId347" display="javascript:void(0)" xr:uid="{510BB7F5-6235-4F4B-9017-F780BC26243F}"/>
    <hyperlink ref="C117" r:id="rId348" display="https://auction.ikco.ir/auction/details/34?r=520" xr:uid="{BCC74A30-8DAD-4C40-8DDF-3FF1AAA19158}"/>
    <hyperlink ref="D117" r:id="rId349" display="https://auction.ikco.ir/auction/details/34?r=520" xr:uid="{648E17D1-4684-4A1A-BC8B-B413A75519D1}"/>
    <hyperlink ref="A118" r:id="rId350" display="javascript:void(0)" xr:uid="{9EFC0B16-A08C-4DCD-A571-C8095342E3BE}"/>
    <hyperlink ref="C118" r:id="rId351" display="https://auction.ikco.ir/auction/details/34?r=296" xr:uid="{A58BD731-EAE2-4E02-851A-0EA9CE20338B}"/>
    <hyperlink ref="D118" r:id="rId352" display="https://auction.ikco.ir/auction/details/34?r=296" xr:uid="{E3729386-63A3-4334-B620-110D47FF4291}"/>
    <hyperlink ref="A119" r:id="rId353" display="javascript:void(0)" xr:uid="{F9F931A0-1448-42C2-AF59-7A3B5B8A0CDC}"/>
    <hyperlink ref="C119" r:id="rId354" display="https://auction.ikco.ir/auction/details/34?r=434" xr:uid="{F19B0608-BC92-4ACD-BB59-AC939C95D27E}"/>
    <hyperlink ref="D119" r:id="rId355" display="https://auction.ikco.ir/auction/details/34?r=434" xr:uid="{73327EBD-FAE8-42DF-B0AB-161834A762C0}"/>
    <hyperlink ref="A120" r:id="rId356" display="javascript:void(0)" xr:uid="{62605CE2-66C4-4AEA-906A-A8E7BDAB6908}"/>
    <hyperlink ref="C120" r:id="rId357" display="https://auction.ikco.ir/auction/details/34?r=348" xr:uid="{0B07B51C-CE14-44F3-B8B9-FB15EE3BC313}"/>
    <hyperlink ref="D120" r:id="rId358" display="https://auction.ikco.ir/auction/details/34?r=348" xr:uid="{07E47897-6DB2-4F9B-BA29-1C2E873B1D36}"/>
    <hyperlink ref="A121" r:id="rId359" display="javascript:void(0)" xr:uid="{837B3713-7A32-46F6-B0E7-7EB4342716F9}"/>
    <hyperlink ref="C121" r:id="rId360" display="https://auction.ikco.ir/auction/details/34?r=343" xr:uid="{D10E3B4C-41FD-4EE9-A978-0907417BA3A4}"/>
    <hyperlink ref="D121" r:id="rId361" display="https://auction.ikco.ir/auction/details/34?r=343" xr:uid="{743B2223-DB9C-485E-9E12-87A5B0BE8748}"/>
    <hyperlink ref="A122" r:id="rId362" display="javascript:void(0)" xr:uid="{DF16B3C9-CC2D-4930-A361-2E76F202160E}"/>
    <hyperlink ref="C122" r:id="rId363" display="https://auction.ikco.ir/auction/details/34?r=341" xr:uid="{1D73E715-49D4-47B5-9A25-7CCC470AC64C}"/>
    <hyperlink ref="D122" r:id="rId364" display="https://auction.ikco.ir/auction/details/34?r=341" xr:uid="{0AD8A344-8EA4-4E86-9205-0E94C735AAFC}"/>
    <hyperlink ref="A123" r:id="rId365" display="javascript:void(0)" xr:uid="{13078EAA-70B1-49E1-B20C-7E86DC838888}"/>
    <hyperlink ref="C123" r:id="rId366" display="https://auction.ikco.ir/auction/details/34?r=345" xr:uid="{49CE8101-6D8B-42EA-BACB-7B8FE3089B59}"/>
    <hyperlink ref="D123" r:id="rId367" display="https://auction.ikco.ir/auction/details/34?r=345" xr:uid="{1D874BB1-17EE-4625-9C81-472636914900}"/>
    <hyperlink ref="A124" r:id="rId368" display="javascript:void(0)" xr:uid="{DFBB02AB-42D3-486E-B47A-3DF0E8D627ED}"/>
    <hyperlink ref="C124" r:id="rId369" display="https://auction.ikco.ir/auction/details/34?r=355" xr:uid="{F4DC165A-0A86-416B-BF88-EDB1746055A3}"/>
    <hyperlink ref="D124" r:id="rId370" display="https://auction.ikco.ir/auction/details/34?r=355" xr:uid="{3CB87938-F499-4A0C-A532-F28B587633F4}"/>
    <hyperlink ref="A125" r:id="rId371" display="javascript:void(0)" xr:uid="{4B9F0225-87D9-4BB8-8C71-7272B2354FC5}"/>
    <hyperlink ref="C125" r:id="rId372" display="https://auction.ikco.ir/auction/details/34?r=460" xr:uid="{B25877FE-0345-464B-9A20-1CC5454F6A68}"/>
    <hyperlink ref="D125" r:id="rId373" display="https://auction.ikco.ir/auction/details/34?r=460" xr:uid="{C6B27A44-95AD-4CF4-BBBA-B42A717EAE7A}"/>
    <hyperlink ref="A126" r:id="rId374" display="javascript:void(0)" xr:uid="{9202403D-AC71-4C02-B444-9D62EC3DEDC5}"/>
    <hyperlink ref="C126" r:id="rId375" display="https://auction.ikco.ir/auction/details/34?r=372" xr:uid="{8D178F70-2501-4FAC-A479-C5201410B072}"/>
    <hyperlink ref="D126" r:id="rId376" display="https://auction.ikco.ir/auction/details/34?r=372" xr:uid="{99CF1121-8DE4-4811-93D4-17B3378345B0}"/>
    <hyperlink ref="A127" r:id="rId377" display="javascript:void(0)" xr:uid="{8C45C891-B4D4-4E30-A3DD-8E444B15EFD8}"/>
    <hyperlink ref="C127" r:id="rId378" display="https://auction.ikco.ir/auction/details/34?r=455" xr:uid="{ACEE833E-9DED-40A9-B993-D8D0922E32DC}"/>
    <hyperlink ref="D127" r:id="rId379" display="https://auction.ikco.ir/auction/details/34?r=455" xr:uid="{1839C40B-4202-4E85-B390-2F2852358787}"/>
    <hyperlink ref="A128" r:id="rId380" display="javascript:void(0)" xr:uid="{56C61961-5618-43C9-A2F1-28B17077A2C0}"/>
    <hyperlink ref="C128" r:id="rId381" display="https://auction.ikco.ir/auction/details/34?r=465" xr:uid="{CDEAE21E-D3FB-4263-83E7-DF9DCC824564}"/>
    <hyperlink ref="D128" r:id="rId382" display="https://auction.ikco.ir/auction/details/34?r=465" xr:uid="{FCC11C3F-ABFB-407B-83C2-92A6BD23FAD7}"/>
    <hyperlink ref="A129" r:id="rId383" display="javascript:void(0)" xr:uid="{9873CA39-E1FB-4FF7-958A-13ADC3C01934}"/>
    <hyperlink ref="C129" r:id="rId384" display="https://auction.ikco.ir/auction/details/34?r=284" xr:uid="{0439DBAA-A0BD-446C-BF44-F9ACEE54367C}"/>
    <hyperlink ref="D129" r:id="rId385" display="https://auction.ikco.ir/auction/details/34?r=284" xr:uid="{88350F29-E762-4BE1-A1EA-70ED705F38E5}"/>
    <hyperlink ref="A130" r:id="rId386" display="javascript:void(0)" xr:uid="{56456DB0-F629-47CC-85F6-4E747A6057E9}"/>
    <hyperlink ref="C130" r:id="rId387" display="https://auction.ikco.ir/auction/details/34?r=340" xr:uid="{BA5D4CF8-21DA-435A-9EF9-7A89683C26FF}"/>
    <hyperlink ref="D130" r:id="rId388" display="https://auction.ikco.ir/auction/details/34?r=340" xr:uid="{7A93D216-5DD7-4D54-BD13-4064523AF09E}"/>
    <hyperlink ref="A131" r:id="rId389" display="javascript:void(0)" xr:uid="{EE11780F-2F46-40E0-9921-F35E6A7BDFE5}"/>
    <hyperlink ref="C131" r:id="rId390" display="https://auction.ikco.ir/auction/details/34?r=154" xr:uid="{8C2DA531-DB7C-4D77-BEEC-B7C7D6605709}"/>
    <hyperlink ref="D131" r:id="rId391" display="https://auction.ikco.ir/auction/details/34?r=154" xr:uid="{F2200CEF-DA9B-4B0B-95E9-4D3808B5B499}"/>
    <hyperlink ref="A132" r:id="rId392" display="javascript:void(0)" xr:uid="{94FF2002-229B-4B09-992B-C8CAF59D5539}"/>
    <hyperlink ref="C132" r:id="rId393" display="https://auction.ikco.ir/auction/details/34?r=505" xr:uid="{9455E127-3D33-4915-A2ED-3308E5B1342B}"/>
    <hyperlink ref="D132" r:id="rId394" display="https://auction.ikco.ir/auction/details/34?r=505" xr:uid="{4E8ECDC0-F4B6-4B3C-90A1-1BFBAB444FFB}"/>
    <hyperlink ref="A133" r:id="rId395" display="javascript:void(0)" xr:uid="{90A0F426-2D3B-4B5D-ABA4-1059E64D81CE}"/>
    <hyperlink ref="C133" r:id="rId396" display="https://auction.ikco.ir/auction/details/34?r=290" xr:uid="{C8E4DE7C-55CD-4364-848D-5F81B79D8AC7}"/>
    <hyperlink ref="D133" r:id="rId397" display="https://auction.ikco.ir/auction/details/34?r=290" xr:uid="{E5199F24-CAFD-462E-B23F-832F0CAB2D8B}"/>
    <hyperlink ref="A134" r:id="rId398" display="javascript:void(0)" xr:uid="{8D0E9E3D-5210-47C2-9D63-ED8CA52821CA}"/>
    <hyperlink ref="C134" r:id="rId399" display="https://auction.ikco.ir/auction/details/34?r=244" xr:uid="{9BA05533-FDC7-4A31-9F34-B0DCB8B301F1}"/>
    <hyperlink ref="D134" r:id="rId400" display="https://auction.ikco.ir/auction/details/34?r=244" xr:uid="{819F4058-BBDF-4B8E-8C65-0BF027B32B8B}"/>
    <hyperlink ref="A135" r:id="rId401" display="javascript:void(0)" xr:uid="{EB2A948C-B483-4807-8201-36CB8811894D}"/>
    <hyperlink ref="C135" r:id="rId402" display="https://auction.ikco.ir/auction/details/34?r=278" xr:uid="{F68B65F6-3AEF-44A8-8E3C-BCA4EE147984}"/>
    <hyperlink ref="D135" r:id="rId403" display="https://auction.ikco.ir/auction/details/34?r=278" xr:uid="{CA26AB35-3FAD-4093-94AA-8E45E6526A46}"/>
    <hyperlink ref="A136" r:id="rId404" display="javascript:void(0)" xr:uid="{B17FFE9F-1D4D-444A-87CF-F7E218B0FFFA}"/>
    <hyperlink ref="C136" r:id="rId405" display="https://auction.ikco.ir/auction/details/34?r=459" xr:uid="{7FFC7317-0CA1-4B86-9007-564783E8CDBD}"/>
    <hyperlink ref="D136" r:id="rId406" display="https://auction.ikco.ir/auction/details/34?r=459" xr:uid="{0B25B7A0-F9DD-4D2C-9C15-99DC31DF5B1E}"/>
    <hyperlink ref="A137" r:id="rId407" display="javascript:void(0)" xr:uid="{262A4963-B49C-405A-9009-C80BD7C99FF3}"/>
    <hyperlink ref="C137" r:id="rId408" display="https://auction.ikco.ir/auction/details/34?r=257" xr:uid="{360EBF8A-4142-471D-876D-9BC94A81B35D}"/>
    <hyperlink ref="D137" r:id="rId409" display="https://auction.ikco.ir/auction/details/34?r=257" xr:uid="{45B0D404-9C9B-43C1-8E8A-D69E83F3F040}"/>
    <hyperlink ref="A138" r:id="rId410" display="javascript:void(0)" xr:uid="{60231565-23C8-4912-B4E9-7D25CD5FFA22}"/>
    <hyperlink ref="C138" r:id="rId411" display="https://auction.ikco.ir/auction/details/34?r=498" xr:uid="{E8961ABE-225D-4CF5-8646-6E73B585A7DF}"/>
    <hyperlink ref="D138" r:id="rId412" display="https://auction.ikco.ir/auction/details/34?r=498" xr:uid="{5A0CC0A1-52B3-49E0-8266-BDC35ECEEE64}"/>
    <hyperlink ref="A139" r:id="rId413" display="javascript:void(0)" xr:uid="{0FB63B27-E9F0-4824-9666-EF19E4AAB546}"/>
    <hyperlink ref="C139" r:id="rId414" display="https://auction.ikco.ir/auction/details/34?r=273" xr:uid="{69B9C390-ABB8-4A1F-98A1-67724C9E8C95}"/>
    <hyperlink ref="D139" r:id="rId415" display="https://auction.ikco.ir/auction/details/34?r=273" xr:uid="{2201E9E6-3908-46DC-871C-3FA99972D097}"/>
    <hyperlink ref="A140" r:id="rId416" display="javascript:void(0)" xr:uid="{CB622918-C000-4F61-9811-C3DE07885743}"/>
    <hyperlink ref="C140" r:id="rId417" display="https://auction.ikco.ir/auction/details/34?r=66" xr:uid="{762C120E-68D7-4282-8107-FECB8DB019E0}"/>
    <hyperlink ref="D140" r:id="rId418" display="https://auction.ikco.ir/auction/details/34?r=66" xr:uid="{7E2DF701-DC80-4C98-8BA0-DAFC0F05A131}"/>
    <hyperlink ref="A141" r:id="rId419" display="javascript:void(0)" xr:uid="{80D5B1FB-EBD0-4535-97A0-39964D99D62B}"/>
    <hyperlink ref="C141" r:id="rId420" display="https://auction.ikco.ir/auction/details/34?r=346" xr:uid="{1128739D-B254-4A11-97D4-2E647E87FC30}"/>
    <hyperlink ref="D141" r:id="rId421" display="https://auction.ikco.ir/auction/details/34?r=346" xr:uid="{12CB3E14-9540-4A75-B5E0-3CAB6403C059}"/>
    <hyperlink ref="A142" r:id="rId422" display="javascript:void(0)" xr:uid="{6159D77A-27E7-408A-8586-39C9CA92BB92}"/>
    <hyperlink ref="C142" r:id="rId423" display="https://auction.ikco.ir/auction/details/34?r=303" xr:uid="{5A34E2C2-81A4-4613-82F7-1C55E0460A88}"/>
    <hyperlink ref="D142" r:id="rId424" display="https://auction.ikco.ir/auction/details/34?r=303" xr:uid="{698C8C69-1117-48BD-8F81-057EFDE5209E}"/>
    <hyperlink ref="A143" r:id="rId425" display="javascript:void(0)" xr:uid="{33D592CA-0DD5-46B1-BEA4-22FBB2B853F3}"/>
    <hyperlink ref="C143" r:id="rId426" display="https://auction.ikco.ir/auction/details/34?r=309" xr:uid="{C85DE96B-685C-41D4-A11B-AC63B686960C}"/>
    <hyperlink ref="D143" r:id="rId427" display="https://auction.ikco.ir/auction/details/34?r=309" xr:uid="{D24E98F4-2D23-4293-B5AE-B103BECF9982}"/>
    <hyperlink ref="A144" r:id="rId428" display="javascript:void(0)" xr:uid="{747874C8-D410-4F91-9E22-060350A12047}"/>
    <hyperlink ref="C144" r:id="rId429" display="https://auction.ikco.ir/auction/details/34?r=286" xr:uid="{48A1C54B-7197-4725-A7D0-C0710FE1342D}"/>
    <hyperlink ref="D144" r:id="rId430" display="https://auction.ikco.ir/auction/details/34?r=286" xr:uid="{38A9A693-CA81-4770-AFFE-7B5B2D75377E}"/>
    <hyperlink ref="A145" r:id="rId431" display="javascript:void(0)" xr:uid="{151647CD-982E-44A3-83BD-724A7244D8BA}"/>
    <hyperlink ref="C145" r:id="rId432" display="https://auction.ikco.ir/auction/details/34?r=495" xr:uid="{8EC4EFF4-2F77-4847-8D1D-4B54D359DA9C}"/>
    <hyperlink ref="D145" r:id="rId433" display="https://auction.ikco.ir/auction/details/34?r=495" xr:uid="{2CA33B88-9296-4F83-9453-7857A2488BA2}"/>
    <hyperlink ref="A146" r:id="rId434" display="javascript:void(0)" xr:uid="{ED30ABB2-262A-4144-A7B0-B70B9B24C12B}"/>
    <hyperlink ref="C146" r:id="rId435" display="https://auction.ikco.ir/auction/details/34?r=61" xr:uid="{BFAA997F-51FA-4A5C-A32F-82A88EFF76FA}"/>
    <hyperlink ref="D146" r:id="rId436" display="https://auction.ikco.ir/auction/details/34?r=61" xr:uid="{35E2D219-0859-4469-A011-FC1E068F7BAE}"/>
    <hyperlink ref="A147" r:id="rId437" display="javascript:void(0)" xr:uid="{D75A2396-0D30-4657-BF31-882995C0B224}"/>
    <hyperlink ref="C147" r:id="rId438" display="https://auction.ikco.ir/auction/details/34?r=467" xr:uid="{7E266F0C-BC70-4710-A24B-E45F54B33DFF}"/>
    <hyperlink ref="D147" r:id="rId439" display="https://auction.ikco.ir/auction/details/34?r=467" xr:uid="{8492107D-4EBD-4229-A6C3-FED26BB8C853}"/>
    <hyperlink ref="A148" r:id="rId440" display="javascript:void(0)" xr:uid="{80D9686E-9672-4FBF-AF70-9C18336C4BA0}"/>
    <hyperlink ref="C148" r:id="rId441" display="https://auction.ikco.ir/auction/details/34?r=319" xr:uid="{FEE3FE9E-44A1-4BDC-B295-20432D761E53}"/>
    <hyperlink ref="D148" r:id="rId442" display="https://auction.ikco.ir/auction/details/34?r=319" xr:uid="{ADB0BC75-EC7D-4970-BD47-F36856F36A0A}"/>
    <hyperlink ref="A149" r:id="rId443" display="javascript:void(0)" xr:uid="{D55B63DE-29E3-4D5D-8319-663BCF5BC135}"/>
    <hyperlink ref="C149" r:id="rId444" display="https://auction.ikco.ir/auction/details/34?r=293" xr:uid="{1B88CDE7-C399-48DC-91D5-41172F85FFF7}"/>
    <hyperlink ref="D149" r:id="rId445" display="https://auction.ikco.ir/auction/details/34?r=293" xr:uid="{377A7072-3AD8-418C-B67F-EE43F66056A2}"/>
    <hyperlink ref="A150" r:id="rId446" display="javascript:void(0)" xr:uid="{6610F415-E92A-4A4E-96C7-2CA8836C9652}"/>
    <hyperlink ref="C150" r:id="rId447" display="https://auction.ikco.ir/auction/details/34?r=500" xr:uid="{8C28B9A7-D4B9-436F-BCFF-4AB33D8B45F5}"/>
    <hyperlink ref="D150" r:id="rId448" display="https://auction.ikco.ir/auction/details/34?r=500" xr:uid="{735A1733-EE3A-4D3C-B3DE-8D339E1F4B9F}"/>
    <hyperlink ref="A151" r:id="rId449" display="javascript:void(0)" xr:uid="{FF6861A9-B651-4ED5-A582-ADE039C7AAF8}"/>
    <hyperlink ref="C151" r:id="rId450" display="https://auction.ikco.ir/auction/details/34?r=275" xr:uid="{F18F03A5-FCCE-4726-8DBC-82154C2BF161}"/>
    <hyperlink ref="D151" r:id="rId451" display="https://auction.ikco.ir/auction/details/34?r=275" xr:uid="{08C3E5A1-DC27-4BB6-9277-B034E0A9B1A4}"/>
    <hyperlink ref="A152" r:id="rId452" display="javascript:void(0)" xr:uid="{4B52CF4C-7FA8-44C4-95ED-21F7AB8631AB}"/>
    <hyperlink ref="C152" r:id="rId453" display="https://auction.ikco.ir/auction/details/34?r=137" xr:uid="{42184B22-8E1D-4272-B660-6AF996A65623}"/>
    <hyperlink ref="D152" r:id="rId454" display="https://auction.ikco.ir/auction/details/34?r=137" xr:uid="{6E0226A8-9FA5-4066-89DB-A4CF9F3362B0}"/>
    <hyperlink ref="A153" r:id="rId455" display="javascript:void(0)" xr:uid="{D5A27C7A-83C1-4D90-B1FE-E55D95C18202}"/>
    <hyperlink ref="C153" r:id="rId456" display="https://auction.ikco.ir/auction/details/34?r=350" xr:uid="{4DEA67B8-E805-42A7-9B6A-5ADE50ACF93A}"/>
    <hyperlink ref="D153" r:id="rId457" display="https://auction.ikco.ir/auction/details/34?r=350" xr:uid="{A0477000-E241-429A-8B3B-606C43D60CE1}"/>
    <hyperlink ref="A154" r:id="rId458" display="javascript:void(0)" xr:uid="{AB8E5663-25EF-478B-B104-2A0D5ADD1372}"/>
    <hyperlink ref="C154" r:id="rId459" display="https://auction.ikco.ir/auction/details/34?r=358" xr:uid="{5C897D5A-5918-486A-A64D-D3E299EAB415}"/>
    <hyperlink ref="D154" r:id="rId460" display="https://auction.ikco.ir/auction/details/34?r=358" xr:uid="{CAA082CB-D939-44CA-AE00-03BDBC97618F}"/>
    <hyperlink ref="A155" r:id="rId461" display="javascript:void(0)" xr:uid="{25AEA27D-1474-45B9-A56E-458EAE49DCAC}"/>
    <hyperlink ref="C155" r:id="rId462" display="https://auction.ikco.ir/auction/details/34?r=496" xr:uid="{CC04E2DC-D4D1-4E74-8A0F-A16DF810ED69}"/>
    <hyperlink ref="D155" r:id="rId463" display="https://auction.ikco.ir/auction/details/34?r=496" xr:uid="{94DFF598-EC2F-42C7-BA26-FFEAE41A2992}"/>
    <hyperlink ref="A156" r:id="rId464" display="javascript:void(0)" xr:uid="{8E7B72A2-0112-4284-B5BE-6C78AE863A97}"/>
    <hyperlink ref="C156" r:id="rId465" display="https://auction.ikco.ir/auction/details/34?r=23" xr:uid="{BD0A62AD-B011-49BB-A088-4C312DD567B0}"/>
    <hyperlink ref="D156" r:id="rId466" display="https://auction.ikco.ir/auction/details/34?r=23" xr:uid="{BD798641-9B4F-4181-8FA9-20EAF52557A1}"/>
    <hyperlink ref="A157" r:id="rId467" display="javascript:void(0)" xr:uid="{46B61BA8-6B83-4C48-93B8-B8FC1B1ECC74}"/>
    <hyperlink ref="C157" r:id="rId468" display="https://auction.ikco.ir/auction/details/34?r=253" xr:uid="{44321D8D-ED6D-4D54-8519-22D3B6876AF0}"/>
    <hyperlink ref="D157" r:id="rId469" display="https://auction.ikco.ir/auction/details/34?r=253" xr:uid="{7CD24241-50E8-4811-A72D-F0755237EC22}"/>
    <hyperlink ref="A158" r:id="rId470" display="javascript:void(0)" xr:uid="{5594D20F-0D44-4D21-AED1-B01AC54A10AD}"/>
    <hyperlink ref="C158" r:id="rId471" display="https://auction.ikco.ir/auction/details/34?r=326" xr:uid="{33AF2BB3-6650-49DE-9627-70105B710B09}"/>
    <hyperlink ref="D158" r:id="rId472" display="https://auction.ikco.ir/auction/details/34?r=326" xr:uid="{EFD91E8D-CF57-43B1-B6F5-602E3C08AF89}"/>
    <hyperlink ref="A159" r:id="rId473" display="javascript:void(0)" xr:uid="{7C60F4BE-DC51-4B02-80F8-A8A181C32137}"/>
    <hyperlink ref="C159" r:id="rId474" display="https://auction.ikco.ir/auction/details/34?r=507" xr:uid="{6D38A75D-202F-4754-8075-A493C9CF5BD0}"/>
    <hyperlink ref="D159" r:id="rId475" display="https://auction.ikco.ir/auction/details/34?r=507" xr:uid="{BCB3F550-9CFB-4599-8374-61F905BD9F67}"/>
    <hyperlink ref="A160" r:id="rId476" display="javascript:void(0)" xr:uid="{2DD89664-69C3-497E-BC1F-B9FA8DA19F45}"/>
    <hyperlink ref="C160" r:id="rId477" display="https://auction.ikco.ir/auction/details/34?r=502" xr:uid="{4168867B-2B85-4C3F-BBFD-7CF5FF2962E4}"/>
    <hyperlink ref="D160" r:id="rId478" display="https://auction.ikco.ir/auction/details/34?r=502" xr:uid="{600DDE87-9AFC-4EC1-83C4-4AFD5965BA06}"/>
    <hyperlink ref="A161" r:id="rId479" display="javascript:void(0)" xr:uid="{A1B7B147-0191-471A-95AF-3C470B085F63}"/>
    <hyperlink ref="C161" r:id="rId480" display="https://auction.ikco.ir/auction/details/34?r=281" xr:uid="{0C435F39-3D4B-44E6-8665-53E1AE8ED54F}"/>
    <hyperlink ref="D161" r:id="rId481" display="https://auction.ikco.ir/auction/details/34?r=281" xr:uid="{8BB96C68-2CF5-4584-B97C-BA841A380CE2}"/>
    <hyperlink ref="A162" r:id="rId482" display="javascript:void(0)" xr:uid="{8941162A-9ED1-45F1-BDA8-CD3B071CA8D8}"/>
    <hyperlink ref="C162" r:id="rId483" display="https://auction.ikco.ir/auction/details/34?r=276" xr:uid="{6E23FF6B-B062-4F5D-8FB6-F6B517D06C25}"/>
    <hyperlink ref="D162" r:id="rId484" display="https://auction.ikco.ir/auction/details/34?r=276" xr:uid="{D461A43C-3640-4163-A369-F2ED9B9FAB66}"/>
    <hyperlink ref="A163" r:id="rId485" display="javascript:void(0)" xr:uid="{7FF7DE2A-2FD0-40B2-8FEF-164F269608B9}"/>
    <hyperlink ref="C163" r:id="rId486" display="https://auction.ikco.ir/auction/details/34?r=504" xr:uid="{4EFF5D39-6C4C-48AE-9CEB-778B30BF4882}"/>
    <hyperlink ref="D163" r:id="rId487" display="https://auction.ikco.ir/auction/details/34?r=504" xr:uid="{20D4EA7B-94F9-48C8-8C67-14C30730176C}"/>
    <hyperlink ref="A164" r:id="rId488" display="javascript:void(0)" xr:uid="{02BEF809-5382-42AB-A741-37B40EA958C2}"/>
    <hyperlink ref="C164" r:id="rId489" display="https://auction.ikco.ir/auction/details/34?r=501" xr:uid="{396CABB7-BEB1-4C45-B79F-FFC1A5A83ABF}"/>
    <hyperlink ref="D164" r:id="rId490" display="https://auction.ikco.ir/auction/details/34?r=501" xr:uid="{F9B27B2A-24F3-4BD7-BEFC-0D0C33DDEE9A}"/>
    <hyperlink ref="A165" r:id="rId491" display="javascript:void(0)" xr:uid="{37031417-C4F3-45BD-B8DC-D1BF16BC0118}"/>
    <hyperlink ref="C165" r:id="rId492" display="https://auction.ikco.ir/auction/details/34?r=497" xr:uid="{279DC218-2C83-488D-B587-70D3DFD5E7F9}"/>
    <hyperlink ref="D165" r:id="rId493" display="https://auction.ikco.ir/auction/details/34?r=497" xr:uid="{1AEBE638-419A-4AAA-A4D5-325A29A2E98A}"/>
    <hyperlink ref="A166" r:id="rId494" display="javascript:void(0)" xr:uid="{E29AE677-3501-43F8-B215-B2219C72F105}"/>
    <hyperlink ref="C166" r:id="rId495" display="https://auction.ikco.ir/auction/details/34?r=310" xr:uid="{5E6698F5-11AF-483F-96AE-A3FF96F93557}"/>
    <hyperlink ref="D166" r:id="rId496" display="https://auction.ikco.ir/auction/details/34?r=310" xr:uid="{808D00B8-45BC-436A-9127-A39020CDC7D9}"/>
    <hyperlink ref="A167" r:id="rId497" display="javascript:void(0)" xr:uid="{7935DADD-B9E4-4111-AB54-7D08800713D0}"/>
    <hyperlink ref="C167" r:id="rId498" display="https://auction.ikco.ir/auction/details/34?r=499" xr:uid="{B5180F29-256F-4E3C-A1E6-E5F74714FA02}"/>
    <hyperlink ref="D167" r:id="rId499" display="https://auction.ikco.ir/auction/details/34?r=499" xr:uid="{9ABA046D-459B-4428-9B9C-1C6FDE4A180E}"/>
    <hyperlink ref="A168" r:id="rId500" display="javascript:void(0)" xr:uid="{641CD7D3-0A04-4CDF-BC80-A9FD6883B19F}"/>
    <hyperlink ref="C168" r:id="rId501" display="https://auction.ikco.ir/auction/details/34?r=347" xr:uid="{B63095C6-832A-42A8-B6A1-2CCE236F0321}"/>
    <hyperlink ref="D168" r:id="rId502" display="https://auction.ikco.ir/auction/details/34?r=347" xr:uid="{B36D0AF8-4AFA-465D-AA81-324BDC6FDB1B}"/>
    <hyperlink ref="A169" r:id="rId503" display="javascript:void(0)" xr:uid="{DA102A34-490F-49AA-9B7D-35DA621F96CB}"/>
    <hyperlink ref="C169" r:id="rId504" display="https://auction.ikco.ir/auction/details/34?r=277" xr:uid="{67C54FCA-78EC-4643-A498-32AEB8AD3EF9}"/>
    <hyperlink ref="D169" r:id="rId505" display="https://auction.ikco.ir/auction/details/34?r=277" xr:uid="{08C71784-3F85-49C2-8FF5-5ADE5332CD3A}"/>
    <hyperlink ref="A170" r:id="rId506" display="javascript:void(0)" xr:uid="{EFEDA73C-5B88-4541-BD34-FD91C7EDB944}"/>
    <hyperlink ref="C170" r:id="rId507" display="https://auction.ikco.ir/auction/details/34?r=315" xr:uid="{C2D36B69-47B2-447A-AB5C-F59AC36C8609}"/>
    <hyperlink ref="D170" r:id="rId508" display="https://auction.ikco.ir/auction/details/34?r=315" xr:uid="{2467D92A-A317-49D5-8DD9-7EAD44BF695B}"/>
    <hyperlink ref="A171" r:id="rId509" display="javascript:void(0)" xr:uid="{31FEEC96-5A18-49ED-9C05-258EF2259781}"/>
    <hyperlink ref="C171" r:id="rId510" display="https://auction.ikco.ir/auction/details/34?r=493" xr:uid="{B1B00123-8B19-44C2-B9CB-34DE641E0092}"/>
    <hyperlink ref="D171" r:id="rId511" display="https://auction.ikco.ir/auction/details/34?r=493" xr:uid="{AA0EC094-FF3C-49A0-8F72-DD60CF13984A}"/>
    <hyperlink ref="A172" r:id="rId512" display="javascript:void(0)" xr:uid="{D7AD6EA4-1FD7-480C-8FBB-D797150D5064}"/>
    <hyperlink ref="C172" r:id="rId513" display="https://auction.ikco.ir/auction/details/34?r=329" xr:uid="{C21C2485-B539-4AAD-A35E-1EF36ABCF16E}"/>
    <hyperlink ref="D172" r:id="rId514" display="https://auction.ikco.ir/auction/details/34?r=329" xr:uid="{B0560DC6-BFE5-4725-9A15-F24600D98BDE}"/>
    <hyperlink ref="A173" r:id="rId515" display="javascript:void(0)" xr:uid="{AD9E07FE-3C69-4B8A-A813-DAB9E9FE7A8C}"/>
    <hyperlink ref="C173" r:id="rId516" display="https://auction.ikco.ir/auction/details/34?r=503" xr:uid="{E066BA0E-7B1F-4A1C-B827-6767C1B8492B}"/>
    <hyperlink ref="D173" r:id="rId517" display="https://auction.ikco.ir/auction/details/34?r=503" xr:uid="{B44AF6E8-90C5-46D0-9333-88F6D77CD743}"/>
    <hyperlink ref="A174" r:id="rId518" display="javascript:void(0)" xr:uid="{849D62AF-9212-470A-9F0F-6C0FE5503A16}"/>
    <hyperlink ref="C174" r:id="rId519" display="https://auction.ikco.ir/auction/details/34?r=294" xr:uid="{5F9E7602-CECE-4DCD-97C4-51702A79E9DF}"/>
    <hyperlink ref="D174" r:id="rId520" display="https://auction.ikco.ir/auction/details/34?r=294" xr:uid="{60D29906-A0EE-4CD7-8147-88DB67D3C709}"/>
    <hyperlink ref="A175" r:id="rId521" display="javascript:void(0)" xr:uid="{52928C18-B510-4764-8BBB-AE5938084B9C}"/>
    <hyperlink ref="C175" r:id="rId522" display="https://auction.ikco.ir/auction/details/34?r=30" xr:uid="{2255CD7E-9D6C-4E8B-82BB-2C615C83D8FA}"/>
    <hyperlink ref="D175" r:id="rId523" display="https://auction.ikco.ir/auction/details/34?r=30" xr:uid="{FE25EB6B-2CE6-4AD6-AA2C-3A5CB0D08452}"/>
    <hyperlink ref="A176" r:id="rId524" display="javascript:void(0)" xr:uid="{222E2A1F-13E1-47E2-8B12-2C948B383DEA}"/>
    <hyperlink ref="C176" r:id="rId525" display="https://auction.ikco.ir/auction/details/34?r=56" xr:uid="{F44DB011-7F72-4657-9426-55A6BDBE689F}"/>
    <hyperlink ref="D176" r:id="rId526" display="https://auction.ikco.ir/auction/details/34?r=56" xr:uid="{5B2CF0B6-1FF2-4B9F-8C9B-9A372247A3C1}"/>
    <hyperlink ref="A177" r:id="rId527" display="javascript:void(0)" xr:uid="{029ECD83-2FC0-4165-93F2-0E908D3EDD7F}"/>
    <hyperlink ref="C177" r:id="rId528" display="https://auction.ikco.ir/auction/details/34?r=508" xr:uid="{FBB5C703-C72C-419B-91A4-D14F6071DBBF}"/>
    <hyperlink ref="D177" r:id="rId529" display="https://auction.ikco.ir/auction/details/34?r=508" xr:uid="{0CBF4E13-116E-4FDB-B32E-868951D33EB3}"/>
    <hyperlink ref="A178" r:id="rId530" display="javascript:void(0)" xr:uid="{B0045C0D-CCC6-47E2-8199-C849FA899250}"/>
    <hyperlink ref="C178" r:id="rId531" display="https://auction.ikco.ir/auction/details/34?r=247" xr:uid="{91A4C6E8-75E6-4EF9-A09A-961D7C83524D}"/>
    <hyperlink ref="D178" r:id="rId532" display="https://auction.ikco.ir/auction/details/34?r=247" xr:uid="{D648CA6D-736E-4172-B516-9334CABA6E08}"/>
    <hyperlink ref="A179" r:id="rId533" display="javascript:void(0)" xr:uid="{AB75A433-59B8-4E59-9644-B7E0E4AC7C94}"/>
    <hyperlink ref="C179" r:id="rId534" display="https://auction.ikco.ir/auction/details/34?r=288" xr:uid="{8B685A53-238D-43D2-8937-2FE918E42602}"/>
    <hyperlink ref="D179" r:id="rId535" display="https://auction.ikco.ir/auction/details/34?r=288" xr:uid="{4FAA0D7D-154E-45F3-86EA-A24F0FDD333A}"/>
    <hyperlink ref="A180" r:id="rId536" display="javascript:void(0)" xr:uid="{FFEFA2DF-DB2E-41DC-9089-5E8FAC949FB2}"/>
    <hyperlink ref="C180" r:id="rId537" display="https://auction.ikco.ir/auction/details/34?r=336" xr:uid="{E05E35F4-FC95-429C-8262-EC8FACE2BEB0}"/>
    <hyperlink ref="D180" r:id="rId538" display="https://auction.ikco.ir/auction/details/34?r=336" xr:uid="{2097A1B5-0EC7-41F8-B26C-ADE5D82F8C7F}"/>
    <hyperlink ref="A181" r:id="rId539" display="javascript:void(0)" xr:uid="{FF4C74D5-5591-4D40-B3F9-8A2EEB3B715B}"/>
    <hyperlink ref="C181" r:id="rId540" display="https://auction.ikco.ir/auction/details/34?r=328" xr:uid="{04B0A1BD-A8EE-459C-B9FA-A285F34C4B7B}"/>
    <hyperlink ref="D181" r:id="rId541" display="https://auction.ikco.ir/auction/details/34?r=328" xr:uid="{80DBEFA5-3182-4D8A-BBA0-6C296162AE57}"/>
    <hyperlink ref="A182" r:id="rId542" display="javascript:void(0)" xr:uid="{DD8A5443-B1B7-48BC-8115-CE9BCAEA4A47}"/>
    <hyperlink ref="C182" r:id="rId543" display="https://auction.ikco.ir/auction/details/34?r=458" xr:uid="{88799D36-0CB9-458A-A436-B1703D7542F6}"/>
    <hyperlink ref="D182" r:id="rId544" display="https://auction.ikco.ir/auction/details/34?r=458" xr:uid="{C1904727-B12D-49D5-AAA7-0299AEFD02E8}"/>
    <hyperlink ref="A183" r:id="rId545" display="javascript:void(0)" xr:uid="{CD7B711B-B1B8-4DA7-82D0-6E773C46A25D}"/>
    <hyperlink ref="C183" r:id="rId546" display="https://auction.ikco.ir/auction/details/34?r=369" xr:uid="{23C89C77-4316-4AC8-81F5-3818DE5ED31F}"/>
    <hyperlink ref="D183" r:id="rId547" display="https://auction.ikco.ir/auction/details/34?r=369" xr:uid="{7288C953-B076-4CB6-AF8E-EF51A0A4DD19}"/>
    <hyperlink ref="A184" r:id="rId548" display="javascript:void(0)" xr:uid="{09D6D31F-AF78-42DC-B364-1939EFC0119B}"/>
    <hyperlink ref="C184" r:id="rId549" display="https://auction.ikco.ir/auction/details/34?r=402" xr:uid="{47C0F59A-935A-4D98-849A-8DB615AEAFF1}"/>
    <hyperlink ref="D184" r:id="rId550" display="https://auction.ikco.ir/auction/details/34?r=402" xr:uid="{D36E8DB3-D522-4F8E-847B-05A9D7F89EA6}"/>
    <hyperlink ref="A185" r:id="rId551" display="javascript:void(0)" xr:uid="{792A6E02-597B-40AD-A687-7F770BAB920A}"/>
    <hyperlink ref="C185" r:id="rId552" display="https://auction.ikco.ir/auction/details/34?r=180" xr:uid="{1BC555EB-196B-45D7-8934-CC31E96A69D2}"/>
    <hyperlink ref="D185" r:id="rId553" display="https://auction.ikco.ir/auction/details/34?r=180" xr:uid="{D669FB90-7E62-4267-BDE3-53589561C7D2}"/>
    <hyperlink ref="A186" r:id="rId554" display="javascript:void(0)" xr:uid="{67373FE7-6DAE-48F1-A629-B691B3099037}"/>
    <hyperlink ref="C186" r:id="rId555" display="https://auction.ikco.ir/auction/details/34?r=291" xr:uid="{FA4E56FB-1D2E-49E7-BFBB-38F6DF1B0A24}"/>
    <hyperlink ref="D186" r:id="rId556" display="https://auction.ikco.ir/auction/details/34?r=291" xr:uid="{A7568230-0768-4DA6-8693-8F4E331B3DE8}"/>
    <hyperlink ref="A187" r:id="rId557" display="javascript:void(0)" xr:uid="{C51C0B52-3D74-4CDC-9B75-FA82DA5978A2}"/>
    <hyperlink ref="C187" r:id="rId558" display="https://auction.ikco.ir/auction/details/34?r=323" xr:uid="{ED57AE44-A347-4BF0-B8B0-2FA9F8C8EB9D}"/>
    <hyperlink ref="D187" r:id="rId559" display="https://auction.ikco.ir/auction/details/34?r=323" xr:uid="{022E4402-71A4-4ABF-AF9F-89EFD9CCF266}"/>
    <hyperlink ref="A188" r:id="rId560" display="javascript:void(0)" xr:uid="{066A9925-77E5-45C6-83FF-B5D6E0EAF52A}"/>
    <hyperlink ref="C188" r:id="rId561" display="https://auction.ikco.ir/auction/details/34?r=337" xr:uid="{20A3EBBB-B40F-4688-BE67-4E23148A26EF}"/>
    <hyperlink ref="D188" r:id="rId562" display="https://auction.ikco.ir/auction/details/34?r=337" xr:uid="{BD967A32-EF90-42C8-B164-45C1EEBF94C1}"/>
    <hyperlink ref="A189" r:id="rId563" display="javascript:void(0)" xr:uid="{6F992D20-86F3-4606-9257-61BF0C15628A}"/>
    <hyperlink ref="C189" r:id="rId564" display="https://auction.ikco.ir/auction/details/34?r=494" xr:uid="{7365424A-65D8-48F1-8988-F4F478D83889}"/>
    <hyperlink ref="D189" r:id="rId565" display="https://auction.ikco.ir/auction/details/34?r=494" xr:uid="{CAD65FA4-192D-419D-B74E-A6422F186378}"/>
    <hyperlink ref="A190" r:id="rId566" display="javascript:void(0)" xr:uid="{FE5BB6C5-436A-408A-9906-12EA542A6FDC}"/>
    <hyperlink ref="C190" r:id="rId567" display="https://auction.ikco.ir/auction/details/34?r=258" xr:uid="{2AA3C9D4-5335-4237-A0F5-CB300938CB86}"/>
    <hyperlink ref="D190" r:id="rId568" display="https://auction.ikco.ir/auction/details/34?r=258" xr:uid="{783C814A-3CF9-4DD2-9916-8EAA54D2F096}"/>
    <hyperlink ref="A191" r:id="rId569" display="javascript:void(0)" xr:uid="{E0C9332E-B693-4736-A76B-A8E4BA08CFB8}"/>
    <hyperlink ref="C191" r:id="rId570" display="https://auction.ikco.ir/auction/details/34?r=232" xr:uid="{DE07D6AA-6CEE-4F88-9C93-672C8209FEB5}"/>
    <hyperlink ref="D191" r:id="rId571" display="https://auction.ikco.ir/auction/details/34?r=232" xr:uid="{3E20EAAD-28D4-44A0-86A9-EADD26F6F1E6}"/>
    <hyperlink ref="A192" r:id="rId572" display="javascript:void(0)" xr:uid="{62A27B2D-5180-41F2-9BEE-D6C73C7F2C15}"/>
    <hyperlink ref="C192" r:id="rId573" display="https://auction.ikco.ir/auction/details/34?r=119" xr:uid="{3C04A150-2B91-4076-8247-CF0DA468DE83}"/>
    <hyperlink ref="D192" r:id="rId574" display="https://auction.ikco.ir/auction/details/34?r=119" xr:uid="{E92D0599-2ED1-47D8-A122-9230534691E2}"/>
    <hyperlink ref="A193" r:id="rId575" display="javascript:void(0)" xr:uid="{60B85EEA-BF3E-42A3-9AEE-AECF29945002}"/>
    <hyperlink ref="C193" r:id="rId576" display="https://auction.ikco.ir/auction/details/34?r=148" xr:uid="{9F726E4A-B474-4AD4-B7FE-527852475437}"/>
    <hyperlink ref="D193" r:id="rId577" display="https://auction.ikco.ir/auction/details/34?r=148" xr:uid="{E286D630-256D-49E6-BACA-FEE34AC887BC}"/>
    <hyperlink ref="A194" r:id="rId578" display="javascript:void(0)" xr:uid="{711FA1CE-8883-4AC1-9A73-6CF2E6458D93}"/>
    <hyperlink ref="C194" r:id="rId579" display="https://auction.ikco.ir/auction/details/34?r=177" xr:uid="{B4756CAF-6FBA-49A1-A6B7-BA9CCFFA45C7}"/>
    <hyperlink ref="D194" r:id="rId580" display="https://auction.ikco.ir/auction/details/34?r=177" xr:uid="{A889481F-29C1-47A5-85DE-02CCDE23EC27}"/>
    <hyperlink ref="A195" r:id="rId581" display="javascript:void(0)" xr:uid="{89321B34-2DA3-4BDD-97F6-084EBCD77C27}"/>
    <hyperlink ref="C195" r:id="rId582" display="https://auction.ikco.ir/auction/details/34?r=351" xr:uid="{CC70DA7C-61BD-4AB1-A854-5D6DA4F02D42}"/>
    <hyperlink ref="D195" r:id="rId583" display="https://auction.ikco.ir/auction/details/34?r=351" xr:uid="{9961A406-3385-4AD9-9124-ED426C919C4C}"/>
    <hyperlink ref="A196" r:id="rId584" display="javascript:void(0)" xr:uid="{6CD2FA95-69F3-4F24-8B12-6849E7C143B8}"/>
    <hyperlink ref="C196" r:id="rId585" display="https://auction.ikco.ir/auction/details/34?r=255" xr:uid="{58E0CFDC-4892-4B69-8472-2490DCCEB54F}"/>
    <hyperlink ref="D196" r:id="rId586" display="https://auction.ikco.ir/auction/details/34?r=255" xr:uid="{1B7EF08E-E723-4214-BC7B-BBC2D215F1CF}"/>
    <hyperlink ref="A197" r:id="rId587" display="javascript:void(0)" xr:uid="{BAD6A9A6-4207-457C-A1D7-86D819435759}"/>
    <hyperlink ref="C197" r:id="rId588" display="https://auction.ikco.ir/auction/details/34?r=235" xr:uid="{B54C5ECC-1B52-4D98-AD39-61E9424E95CF}"/>
    <hyperlink ref="D197" r:id="rId589" display="https://auction.ikco.ir/auction/details/34?r=235" xr:uid="{BCDDDAF4-567D-48BF-B8DF-51993B753DF2}"/>
    <hyperlink ref="A198" r:id="rId590" display="javascript:void(0)" xr:uid="{753525DB-4525-4487-8E51-848EF37BD6AA}"/>
    <hyperlink ref="C198" r:id="rId591" display="https://auction.ikco.ir/auction/details/34?r=243" xr:uid="{274550CA-9B51-476C-94CD-7D1039F9A1F1}"/>
    <hyperlink ref="D198" r:id="rId592" display="https://auction.ikco.ir/auction/details/34?r=243" xr:uid="{F928CFE1-59A9-4FD2-8DFA-31F4DB5642A6}"/>
    <hyperlink ref="A199" r:id="rId593" display="javascript:void(0)" xr:uid="{E54E371F-4D6D-4496-9C3A-A68102961FEF}"/>
    <hyperlink ref="C199" r:id="rId594" display="https://auction.ikco.ir/auction/details/34?r=302" xr:uid="{B4779B3B-F940-40DD-AF44-D31CACD3E915}"/>
    <hyperlink ref="D199" r:id="rId595" display="https://auction.ikco.ir/auction/details/34?r=302" xr:uid="{9E488247-8CBA-42B6-AC24-9229C1A9407A}"/>
    <hyperlink ref="A200" r:id="rId596" display="javascript:void(0)" xr:uid="{F12096C3-B3CD-4F47-9CAB-BEA3AB113F8C}"/>
    <hyperlink ref="C200" r:id="rId597" display="https://auction.ikco.ir/auction/details/34?r=10" xr:uid="{75C9DE1D-F75B-425E-B683-B3664932CA9A}"/>
    <hyperlink ref="D200" r:id="rId598" display="https://auction.ikco.ir/auction/details/34?r=10" xr:uid="{339359E9-3D97-4BD5-A003-53FB634067D9}"/>
    <hyperlink ref="A202" r:id="rId599" display="javascript:void(0)" xr:uid="{AA74393E-E3DA-4F42-B52B-CDB63F0C9EEA}"/>
    <hyperlink ref="A203" r:id="rId600" display="javascript:void(0)" xr:uid="{5E9FAF0F-FD41-4E92-89AB-DC293260F5D0}"/>
    <hyperlink ref="A204" r:id="rId601" display="javascript:void(0)" xr:uid="{F97F7CF8-AB45-42CE-80C5-57E31F28B750}"/>
    <hyperlink ref="A205" r:id="rId602" display="javascript:void(0)" xr:uid="{461B53C0-0D84-4323-86C7-E184725529BA}"/>
    <hyperlink ref="A206" r:id="rId603" display="javascript:void(0)" xr:uid="{AD7DFDB0-93B3-4EBC-8990-D1D43178C0C4}"/>
    <hyperlink ref="A207" r:id="rId604" display="javascript:void(0)" xr:uid="{560ABE60-3334-4E18-B91D-F9907BF2AC64}"/>
    <hyperlink ref="A208" r:id="rId605" display="javascript:void(0)" xr:uid="{A9251DEB-6897-44A7-B2ED-D94ED2F987D7}"/>
    <hyperlink ref="A209" r:id="rId606" display="javascript:void(0)" xr:uid="{3045F61D-AD5C-466A-BBC6-AEAAD28604CB}"/>
    <hyperlink ref="A210" r:id="rId607" display="javascript:void(0)" xr:uid="{82FFEC85-BF27-45EF-BC8F-471DCBCE7D81}"/>
    <hyperlink ref="A211" r:id="rId608" display="javascript:void(0)" xr:uid="{504E3DA0-3D26-4A8A-8964-469485921AE9}"/>
    <hyperlink ref="A212" r:id="rId609" display="javascript:void(0)" xr:uid="{3ECF0F1C-D0D2-439D-BCD6-65D3A3F975DA}"/>
    <hyperlink ref="A213" r:id="rId610" display="javascript:void(0)" xr:uid="{58863E28-B253-4062-9487-4C1B9EB2926D}"/>
    <hyperlink ref="A214" r:id="rId611" display="javascript:void(0)" xr:uid="{DD4BE666-CF1B-49E3-ADE3-90F7F31803EA}"/>
    <hyperlink ref="A215" r:id="rId612" display="javascript:void(0)" xr:uid="{185C2370-D8CC-49B3-9E8E-5CE6F1366D1C}"/>
    <hyperlink ref="A216" r:id="rId613" display="javascript:void(0)" xr:uid="{2EABC07F-F13E-4A34-93A0-9B285F5B631B}"/>
    <hyperlink ref="A217" r:id="rId614" display="javascript:void(0)" xr:uid="{605CB28E-84DC-4D87-B9B5-7A20C94578C8}"/>
    <hyperlink ref="A218" r:id="rId615" display="javascript:void(0)" xr:uid="{1D8CCB5C-6C6D-4451-8D1E-9F8D9DE1AE97}"/>
    <hyperlink ref="A219" r:id="rId616" display="javascript:void(0)" xr:uid="{AC8C0A85-B891-4451-8E32-A1B6DE86F252}"/>
    <hyperlink ref="A220" r:id="rId617" display="javascript:void(0)" xr:uid="{F893B391-A479-4D6D-B435-2110210497A7}"/>
    <hyperlink ref="A221" r:id="rId618" display="javascript:void(0)" xr:uid="{7011E1C3-5516-4CA3-8310-7D9771825870}"/>
    <hyperlink ref="A222" r:id="rId619" display="javascript:void(0)" xr:uid="{968ECC4D-187D-4609-A20B-E833D7D604C3}"/>
    <hyperlink ref="A223" r:id="rId620" display="javascript:void(0)" xr:uid="{D5355C09-C967-4426-A298-34B33FD51312}"/>
    <hyperlink ref="A224" r:id="rId621" display="javascript:void(0)" xr:uid="{6D8C2279-098A-4E06-B6ED-5451F64A5879}"/>
    <hyperlink ref="A225" r:id="rId622" display="javascript:void(0)" xr:uid="{F4F1B82F-B09D-4BF6-AC10-83736B3E34F4}"/>
    <hyperlink ref="A226" r:id="rId623" display="javascript:void(0)" xr:uid="{CA29FE9E-6688-4529-8BF0-03EE5699D87A}"/>
    <hyperlink ref="A227" r:id="rId624" display="javascript:void(0)" xr:uid="{4270F809-645D-4DEC-BEDC-2515D234851A}"/>
    <hyperlink ref="A228" r:id="rId625" display="javascript:void(0)" xr:uid="{5400E5A4-0B4B-4886-B069-4DFA6D9E20D9}"/>
    <hyperlink ref="A229" r:id="rId626" display="javascript:void(0)" xr:uid="{EBBC4B22-2486-4377-AEE9-AF1F0E70E40C}"/>
    <hyperlink ref="A230" r:id="rId627" display="javascript:void(0)" xr:uid="{0FE1BA1F-F8E7-45EF-8E12-4AA6C04E9DB4}"/>
    <hyperlink ref="A231" r:id="rId628" display="javascript:void(0)" xr:uid="{99FB32F9-4A08-4E3C-B295-C416783D860C}"/>
    <hyperlink ref="A232" r:id="rId629" display="javascript:void(0)" xr:uid="{C0F19DD6-76FC-4951-AB48-D99DB7C411AC}"/>
    <hyperlink ref="A233" r:id="rId630" display="javascript:void(0)" xr:uid="{25F86E78-7EF1-4DAA-AD7A-1CF6A6D64162}"/>
    <hyperlink ref="A234" r:id="rId631" display="javascript:void(0)" xr:uid="{BF4CEE4A-2738-4DA2-9E97-5F579515A585}"/>
    <hyperlink ref="A235" r:id="rId632" display="javascript:void(0)" xr:uid="{3774719D-3BB6-455C-96E1-0A7348225D33}"/>
    <hyperlink ref="A236" r:id="rId633" display="javascript:void(0)" xr:uid="{D13761EF-F067-451E-8459-502DF2CE08F8}"/>
    <hyperlink ref="A237" r:id="rId634" display="javascript:void(0)" xr:uid="{FD2ED3F5-5547-4927-8EDF-98D3F2018308}"/>
    <hyperlink ref="A238" r:id="rId635" display="javascript:void(0)" xr:uid="{D4A67966-4FBA-43B8-8AA7-0138E8F5D77B}"/>
    <hyperlink ref="A239" r:id="rId636" display="javascript:void(0)" xr:uid="{818FF67E-E1C8-4D58-9D23-A6A8F9A616A1}"/>
    <hyperlink ref="A240" r:id="rId637" display="javascript:void(0)" xr:uid="{66C287F0-E05A-4129-8A08-2521001A85FD}"/>
    <hyperlink ref="A241" r:id="rId638" display="javascript:void(0)" xr:uid="{3E4483C5-0926-45B6-A7EA-E9EC229ACF0A}"/>
    <hyperlink ref="A242" r:id="rId639" display="javascript:void(0)" xr:uid="{1E162395-AE84-4976-AC73-34EE2517C23C}"/>
    <hyperlink ref="A243" r:id="rId640" display="javascript:void(0)" xr:uid="{9DE67B15-3E30-4C51-9718-A83B50741DB9}"/>
    <hyperlink ref="A244" r:id="rId641" display="javascript:void(0)" xr:uid="{8E22C35A-5C39-4301-926C-DAF0B6F06747}"/>
    <hyperlink ref="A245" r:id="rId642" display="javascript:void(0)" xr:uid="{876BF259-3DC5-4EF1-A848-0CDA15060455}"/>
    <hyperlink ref="A246" r:id="rId643" display="javascript:void(0)" xr:uid="{16CB843B-498B-41C4-9EE7-45B5B69D5DD0}"/>
    <hyperlink ref="A247" r:id="rId644" display="javascript:void(0)" xr:uid="{B4453F88-1528-4732-9BDC-D14A8EC9B55B}"/>
    <hyperlink ref="A248" r:id="rId645" display="javascript:void(0)" xr:uid="{50D0C048-6319-4FB3-8842-10EB2FF4C6C6}"/>
    <hyperlink ref="A249" r:id="rId646" display="javascript:void(0)" xr:uid="{478932EC-F769-4CCD-910A-A38C2D249C90}"/>
    <hyperlink ref="A250" r:id="rId647" display="javascript:void(0)" xr:uid="{824DDDA3-0F10-4E72-8D23-CC3E6EBF784D}"/>
    <hyperlink ref="A251" r:id="rId648" display="javascript:void(0)" xr:uid="{641B7B8B-0BD0-4FEE-893A-D1A3ABA0C1A7}"/>
    <hyperlink ref="A252" r:id="rId649" display="javascript:void(0)" xr:uid="{98DD9AE2-5328-49B4-B9CC-79BF5B881CE7}"/>
    <hyperlink ref="A253" r:id="rId650" display="javascript:void(0)" xr:uid="{C021551D-A1D0-4F1A-8C40-A31571D22BC4}"/>
    <hyperlink ref="A254" r:id="rId651" display="javascript:void(0)" xr:uid="{D856B12F-3700-416F-9C8E-7F1529D30A80}"/>
    <hyperlink ref="A255" r:id="rId652" display="javascript:void(0)" xr:uid="{C79B0766-20D4-4E0D-BCBC-71FA02ACC439}"/>
    <hyperlink ref="A256" r:id="rId653" display="javascript:void(0)" xr:uid="{8975DA67-A0E5-49B9-BB7C-D55AC4321A78}"/>
    <hyperlink ref="A257" r:id="rId654" display="javascript:void(0)" xr:uid="{E8B03E38-7E18-4421-8665-7CD2C32A1136}"/>
    <hyperlink ref="A258" r:id="rId655" display="javascript:void(0)" xr:uid="{23392C47-234C-4400-BC47-F0385211BBC7}"/>
    <hyperlink ref="A259" r:id="rId656" display="javascript:void(0)" xr:uid="{8D18F172-9A38-43E3-A83F-EE2167C74DA1}"/>
    <hyperlink ref="A260" r:id="rId657" display="javascript:void(0)" xr:uid="{55B04AAD-C808-4711-82B2-5CD8A7252ECC}"/>
    <hyperlink ref="A261" r:id="rId658" display="javascript:void(0)" xr:uid="{EF18769E-DE06-4EB1-B4F1-F5DD5DD07FAF}"/>
    <hyperlink ref="A262" r:id="rId659" display="javascript:void(0)" xr:uid="{286319FB-984B-4ACC-9D36-7DED829C118F}"/>
    <hyperlink ref="A263" r:id="rId660" display="javascript:void(0)" xr:uid="{25E516AA-A94F-42E7-9F2F-D68A93D09584}"/>
    <hyperlink ref="A264" r:id="rId661" display="javascript:void(0)" xr:uid="{88BA50D4-B8E6-4463-BE60-C5200D888226}"/>
    <hyperlink ref="A265" r:id="rId662" display="javascript:void(0)" xr:uid="{364D6FBA-69F2-4B24-BF53-A3466E97E5EB}"/>
    <hyperlink ref="A266" r:id="rId663" display="javascript:void(0)" xr:uid="{14DF2991-1228-49E8-B7A8-E0C832996D86}"/>
    <hyperlink ref="A267" r:id="rId664" display="javascript:void(0)" xr:uid="{A8843642-03C2-4F51-A3DF-B6B8152AD74B}"/>
    <hyperlink ref="A268" r:id="rId665" display="javascript:void(0)" xr:uid="{D6AD4FA2-9B6F-4D56-9902-C38CF8DFD90A}"/>
    <hyperlink ref="A269" r:id="rId666" display="javascript:void(0)" xr:uid="{BD6ABB34-B3DB-41A7-93D9-590BCAA6F944}"/>
    <hyperlink ref="A270" r:id="rId667" display="javascript:void(0)" xr:uid="{E7BAA7E8-98FC-43C6-B9C9-5A765DB0AF6D}"/>
    <hyperlink ref="A271" r:id="rId668" display="javascript:void(0)" xr:uid="{77ECDAF6-7387-48D5-999B-6888628BD989}"/>
    <hyperlink ref="A272" r:id="rId669" display="javascript:void(0)" xr:uid="{A1E5885C-8B5B-4D69-BDB8-686593BA5352}"/>
    <hyperlink ref="A273" r:id="rId670" display="javascript:void(0)" xr:uid="{E4C6EE2E-D642-4E42-910C-6AB93289BEDA}"/>
    <hyperlink ref="A274" r:id="rId671" display="javascript:void(0)" xr:uid="{637AFA28-4378-41B7-8D9C-67F9FD15CC1A}"/>
    <hyperlink ref="A275" r:id="rId672" display="javascript:void(0)" xr:uid="{E6F923F7-7203-458C-86EF-9103525DDD9D}"/>
    <hyperlink ref="A276" r:id="rId673" display="javascript:void(0)" xr:uid="{20B3BB20-FEF2-4F51-87C7-9BCAAE637813}"/>
    <hyperlink ref="A277" r:id="rId674" display="javascript:void(0)" xr:uid="{7CBFA100-77A6-4C9E-B483-06F4522B4B06}"/>
    <hyperlink ref="A278" r:id="rId675" display="javascript:void(0)" xr:uid="{D3FCAC08-1F09-4481-84E7-1E0BE3DDF2FF}"/>
    <hyperlink ref="A279" r:id="rId676" display="javascript:void(0)" xr:uid="{05D2A32C-83AA-424B-B508-64E6D4E21532}"/>
    <hyperlink ref="A280" r:id="rId677" display="javascript:void(0)" xr:uid="{FB736208-ADC9-48F1-8257-6A171DA6EFB3}"/>
    <hyperlink ref="A281" r:id="rId678" display="javascript:void(0)" xr:uid="{38AE7C71-A9BA-4F78-AEF2-EFE437912798}"/>
    <hyperlink ref="A282" r:id="rId679" display="javascript:void(0)" xr:uid="{4FE7281B-C237-4538-B452-DDC7406862AD}"/>
    <hyperlink ref="A283" r:id="rId680" display="javascript:void(0)" xr:uid="{296FEBE8-0794-41CE-BED7-6928A64352DD}"/>
    <hyperlink ref="A284" r:id="rId681" display="javascript:void(0)" xr:uid="{B8D20A57-334E-4F90-AEB1-6C304C3EF926}"/>
    <hyperlink ref="A285" r:id="rId682" display="javascript:void(0)" xr:uid="{6518DF86-48D6-4592-AC56-BED82CB2CE9D}"/>
    <hyperlink ref="A286" r:id="rId683" display="javascript:void(0)" xr:uid="{D14C7E70-F84A-49DD-B88D-9022B6E62B82}"/>
    <hyperlink ref="A287" r:id="rId684" display="javascript:void(0)" xr:uid="{C277419B-EB74-4D42-AB3C-C1DEDC1468DF}"/>
    <hyperlink ref="A288" r:id="rId685" display="javascript:void(0)" xr:uid="{2CF235BB-0E39-44ED-ACC7-FB4A5D92126C}"/>
    <hyperlink ref="A289" r:id="rId686" display="javascript:void(0)" xr:uid="{3A2FD733-6F95-456F-BEB2-0549C9C2B6D0}"/>
    <hyperlink ref="A290" r:id="rId687" display="javascript:void(0)" xr:uid="{DD09F1C2-E596-47DB-9ED4-8566DFD4D5F3}"/>
    <hyperlink ref="A291" r:id="rId688" display="javascript:void(0)" xr:uid="{FF495EA0-9DDE-4E95-B86B-A05D26C0EDDF}"/>
    <hyperlink ref="A292" r:id="rId689" display="javascript:void(0)" xr:uid="{BF5D863B-137A-4008-9890-027738571B8E}"/>
    <hyperlink ref="A293" r:id="rId690" display="javascript:void(0)" xr:uid="{1BEEF129-4CBE-44EC-91A7-F583CF468994}"/>
    <hyperlink ref="A294" r:id="rId691" display="javascript:void(0)" xr:uid="{1093C8D8-2438-40F7-90A1-A388EA545751}"/>
    <hyperlink ref="A295" r:id="rId692" display="javascript:void(0)" xr:uid="{7D1A6D77-3861-4C7A-A662-123CC2BEB833}"/>
    <hyperlink ref="A296" r:id="rId693" display="javascript:void(0)" xr:uid="{5CDA807A-C1A8-4E43-ABEC-251DB6A6C0BF}"/>
    <hyperlink ref="A297" r:id="rId694" display="javascript:void(0)" xr:uid="{A1FBE1E1-FAEE-4732-A243-D6FAC40CE08F}"/>
    <hyperlink ref="A298" r:id="rId695" display="javascript:void(0)" xr:uid="{8B96FA4D-154A-4571-865E-60FCC5F24C4F}"/>
    <hyperlink ref="A299" r:id="rId696" display="javascript:void(0)" xr:uid="{542BB6FB-DD3F-44B4-A47E-DC0FC42DB3CA}"/>
    <hyperlink ref="A300" r:id="rId697" display="javascript:void(0)" xr:uid="{C64C985D-6F75-4E92-96CD-A48467B6E1F7}"/>
    <hyperlink ref="C201" r:id="rId698" display="https://auction.ikco.ir/auction/details/34?r=4" xr:uid="{E77C9C57-91E7-45C7-9279-09E8145F01B9}"/>
    <hyperlink ref="D201" r:id="rId699" display="https://auction.ikco.ir/auction/details/34?r=4" xr:uid="{DCD2F275-A14B-45D2-A564-EEC60222CF0A}"/>
    <hyperlink ref="A302" r:id="rId700" display="javascript:void(0)" xr:uid="{99E3C337-000B-4256-8F02-00EB1044CBB5}"/>
    <hyperlink ref="C202" r:id="rId701" display="https://auction.ikco.ir/auction/details/34?r=308" xr:uid="{97613E59-CA74-4DE3-AE2B-8501B2B39A94}"/>
    <hyperlink ref="D202" r:id="rId702" display="https://auction.ikco.ir/auction/details/34?r=308" xr:uid="{04CBF097-1B61-4FB8-9DB1-509FD27E283A}"/>
    <hyperlink ref="A303" r:id="rId703" display="javascript:void(0)" xr:uid="{855D7E92-FB16-4822-971F-8E1E525907F4}"/>
    <hyperlink ref="C203" r:id="rId704" display="https://auction.ikco.ir/auction/details/34?r=26" xr:uid="{DDDCF608-4332-4149-AD7D-7E4553AF5A63}"/>
    <hyperlink ref="D203" r:id="rId705" display="https://auction.ikco.ir/auction/details/34?r=26" xr:uid="{3C5F2C7B-7D32-443B-BDB8-36CE388884DB}"/>
    <hyperlink ref="A304" r:id="rId706" display="javascript:void(0)" xr:uid="{69F232FB-9F30-490A-8BC8-686015BB5EC3}"/>
    <hyperlink ref="C204" r:id="rId707" display="https://auction.ikco.ir/auction/details/34?r=157" xr:uid="{726B1EB6-933E-4BFA-A11F-3D64A56E9E48}"/>
    <hyperlink ref="D204" r:id="rId708" display="https://auction.ikco.ir/auction/details/34?r=157" xr:uid="{D8DF8389-2BBF-487F-9481-03FF3BE5D036}"/>
    <hyperlink ref="A305" r:id="rId709" display="javascript:void(0)" xr:uid="{4FFAE684-84A3-4346-8B4F-6D16BBFBD025}"/>
    <hyperlink ref="C205" r:id="rId710" display="https://auction.ikco.ir/auction/details/34?r=292" xr:uid="{40E735BA-2EEE-486E-87B0-0D4CF6573E0B}"/>
    <hyperlink ref="D205" r:id="rId711" display="https://auction.ikco.ir/auction/details/34?r=292" xr:uid="{9DC0724A-3E88-430F-9DF3-7F965DD96EBA}"/>
    <hyperlink ref="A306" r:id="rId712" display="javascript:void(0)" xr:uid="{200D626A-5EDB-4B35-B489-7AD3034637DD}"/>
    <hyperlink ref="C206" r:id="rId713" display="https://auction.ikco.ir/auction/details/34?r=305" xr:uid="{01C91799-B9FC-416B-9DB4-2C8CC27A08E8}"/>
    <hyperlink ref="D206" r:id="rId714" display="https://auction.ikco.ir/auction/details/34?r=305" xr:uid="{5C2277A0-9EA6-4823-B758-94F99BD2889B}"/>
    <hyperlink ref="A307" r:id="rId715" display="javascript:void(0)" xr:uid="{5F923266-A2D9-422D-AB1D-5748D4A7879E}"/>
    <hyperlink ref="C207" r:id="rId716" display="https://auction.ikco.ir/auction/details/34?r=84" xr:uid="{D9F87EC6-F1DC-4E92-B005-537645B6CF71}"/>
    <hyperlink ref="D207" r:id="rId717" display="https://auction.ikco.ir/auction/details/34?r=84" xr:uid="{4E82C2E1-139B-4F71-BD38-3117F1ACE35F}"/>
    <hyperlink ref="A308" r:id="rId718" display="javascript:void(0)" xr:uid="{93F68B9E-34A1-4F87-A519-3D9A74263B92}"/>
    <hyperlink ref="C208" r:id="rId719" display="https://auction.ikco.ir/auction/details/34?r=419" xr:uid="{00383553-C2B5-4BDE-BE5C-457F22A2C9F7}"/>
    <hyperlink ref="D208" r:id="rId720" display="https://auction.ikco.ir/auction/details/34?r=419" xr:uid="{EA905078-FAB3-4B7D-A449-1D5E447D4177}"/>
    <hyperlink ref="A309" r:id="rId721" display="javascript:void(0)" xr:uid="{1D0CD31B-7520-4603-B874-11573A5F40B2}"/>
    <hyperlink ref="C209" r:id="rId722" display="https://auction.ikco.ir/auction/details/34?r=11" xr:uid="{3FA485D3-B479-4A09-AC60-7303B950C24A}"/>
    <hyperlink ref="D209" r:id="rId723" display="https://auction.ikco.ir/auction/details/34?r=11" xr:uid="{DE523823-D3A0-4567-926C-7C9795CE5AF6}"/>
    <hyperlink ref="A310" r:id="rId724" display="javascript:void(0)" xr:uid="{89566B0A-38B4-46F0-BD7D-C770DBAF41A6}"/>
    <hyperlink ref="C210" r:id="rId725" display="https://auction.ikco.ir/auction/details/34?r=18" xr:uid="{5C6B9AD2-A026-420E-8223-B305BADAE065}"/>
    <hyperlink ref="D210" r:id="rId726" display="https://auction.ikco.ir/auction/details/34?r=18" xr:uid="{DB5AE1BF-4171-4F93-AD94-EEB1AD3E9FA8}"/>
    <hyperlink ref="A311" r:id="rId727" display="javascript:void(0)" xr:uid="{46B0D132-6101-4015-8D74-5E3F1C851199}"/>
    <hyperlink ref="C211" r:id="rId728" display="https://auction.ikco.ir/auction/details/34?r=179" xr:uid="{CF51B13E-F84E-4B32-960A-61AC7410A948}"/>
    <hyperlink ref="D211" r:id="rId729" display="https://auction.ikco.ir/auction/details/34?r=179" xr:uid="{EA248420-63F1-4CE4-992E-2DE40D2D62D5}"/>
    <hyperlink ref="A312" r:id="rId730" display="javascript:void(0)" xr:uid="{6A367852-DBD8-4C81-B8CF-FC32F0095E8C}"/>
    <hyperlink ref="C212" r:id="rId731" display="https://auction.ikco.ir/auction/details/34?r=67" xr:uid="{EEA05A49-5820-45D9-9280-1DA21CE0827F}"/>
    <hyperlink ref="D212" r:id="rId732" display="https://auction.ikco.ir/auction/details/34?r=67" xr:uid="{4109184B-2BCC-4D59-937D-C5FA2094511A}"/>
    <hyperlink ref="A313" r:id="rId733" display="javascript:void(0)" xr:uid="{D5EB267E-EFD7-4C87-AB5D-F307B223FACC}"/>
    <hyperlink ref="C213" r:id="rId734" display="https://auction.ikco.ir/auction/details/34?r=132" xr:uid="{4E5EB19C-8DA5-49F9-B459-F83C57C903F5}"/>
    <hyperlink ref="D213" r:id="rId735" display="https://auction.ikco.ir/auction/details/34?r=132" xr:uid="{1A70B1C9-E3D8-4F31-A71A-EAAC0D218CA9}"/>
    <hyperlink ref="A314" r:id="rId736" display="javascript:void(0)" xr:uid="{4EE05598-721B-4E2B-97B8-F05B99235DA1}"/>
    <hyperlink ref="C214" r:id="rId737" display="https://auction.ikco.ir/auction/details/34?r=143" xr:uid="{0BC96641-BAB7-462D-84CC-3C592E50C829}"/>
    <hyperlink ref="D214" r:id="rId738" display="https://auction.ikco.ir/auction/details/34?r=143" xr:uid="{14BA0AA1-4FD0-467B-8859-022F9D603E89}"/>
    <hyperlink ref="A315" r:id="rId739" display="javascript:void(0)" xr:uid="{641B4CD2-76BE-4674-90B5-DDE4118C8F83}"/>
    <hyperlink ref="C215" r:id="rId740" display="https://auction.ikco.ir/auction/details/34?r=176" xr:uid="{8912E7AF-AE23-4F95-9763-B294E6EC4D92}"/>
    <hyperlink ref="D215" r:id="rId741" display="https://auction.ikco.ir/auction/details/34?r=176" xr:uid="{6B1D9E2E-E987-4E31-AACA-BECA94F72FF8}"/>
    <hyperlink ref="A316" r:id="rId742" display="javascript:void(0)" xr:uid="{7F5E2654-8B21-4007-8255-989F8D62845A}"/>
    <hyperlink ref="C216" r:id="rId743" display="https://auction.ikco.ir/auction/details/34?r=190" xr:uid="{4799C024-61C1-4E8B-9205-0C61C9FFCDDB}"/>
    <hyperlink ref="D216" r:id="rId744" display="https://auction.ikco.ir/auction/details/34?r=190" xr:uid="{6BEA78C2-F4BA-4E7D-BE74-53CFB03CE021}"/>
    <hyperlink ref="A317" r:id="rId745" display="javascript:void(0)" xr:uid="{D6BAA5D8-B70F-4367-86D1-473700C170D7}"/>
    <hyperlink ref="C217" r:id="rId746" display="https://auction.ikco.ir/auction/details/34?r=192" xr:uid="{E730244C-4ACF-48E1-8EF0-532A9B7F003B}"/>
    <hyperlink ref="D217" r:id="rId747" display="https://auction.ikco.ir/auction/details/34?r=192" xr:uid="{0908592E-6C02-45B2-A9CD-7F56D6035DC2}"/>
    <hyperlink ref="A318" r:id="rId748" display="javascript:void(0)" xr:uid="{C3791A42-329C-4553-8FF4-154C69DD7DC7}"/>
    <hyperlink ref="C218" r:id="rId749" display="https://auction.ikco.ir/auction/details/34?r=231" xr:uid="{A3B33BFA-C664-42D2-8C70-5E6EDEE8BB86}"/>
    <hyperlink ref="D218" r:id="rId750" display="https://auction.ikco.ir/auction/details/34?r=231" xr:uid="{B30049A4-F45D-4B96-94DB-3C8E25B48340}"/>
    <hyperlink ref="A319" r:id="rId751" display="javascript:void(0)" xr:uid="{4B8E243C-355D-48CC-8BC0-819BC4F1A4C2}"/>
    <hyperlink ref="C219" r:id="rId752" display="https://auction.ikco.ir/auction/details/34?r=279" xr:uid="{A2649F62-D950-4093-909F-4EDEA5E71EA9}"/>
    <hyperlink ref="D219" r:id="rId753" display="https://auction.ikco.ir/auction/details/34?r=279" xr:uid="{BD202652-0F76-4EC2-A4F8-D16441E15B67}"/>
    <hyperlink ref="A320" r:id="rId754" display="javascript:void(0)" xr:uid="{EEA77CF8-5A68-4CBE-8349-C0CC4A6E64BD}"/>
    <hyperlink ref="C220" r:id="rId755" display="https://auction.ikco.ir/auction/details/34?r=287" xr:uid="{9BB4ED7A-3D00-4524-B299-CF3AA0DBA7FA}"/>
    <hyperlink ref="D220" r:id="rId756" display="https://auction.ikco.ir/auction/details/34?r=287" xr:uid="{9CF71043-693F-4714-B539-22DBF3808D9B}"/>
    <hyperlink ref="A321" r:id="rId757" display="javascript:void(0)" xr:uid="{5F8DEA7F-D201-4122-8A1A-1A23460B84BC}"/>
    <hyperlink ref="C221" r:id="rId758" display="https://auction.ikco.ir/auction/details/34?r=321" xr:uid="{B4C6B96D-FE80-4A08-B0EA-B86E76917D7C}"/>
    <hyperlink ref="D221" r:id="rId759" display="https://auction.ikco.ir/auction/details/34?r=321" xr:uid="{0D78B993-4859-4384-B16E-47D3A8FBAD07}"/>
    <hyperlink ref="A322" r:id="rId760" display="javascript:void(0)" xr:uid="{BB398671-D11C-428E-A0B8-A32987672286}"/>
    <hyperlink ref="C222" r:id="rId761" display="https://auction.ikco.ir/auction/details/34?r=339" xr:uid="{D33E9E64-059C-447B-A7AA-E36713401C9A}"/>
    <hyperlink ref="D222" r:id="rId762" display="https://auction.ikco.ir/auction/details/34?r=339" xr:uid="{6BE166CF-038D-4B6E-AA89-937E110F4716}"/>
    <hyperlink ref="A323" r:id="rId763" display="javascript:void(0)" xr:uid="{2FC82867-C677-4023-A9CE-52596F2768AA}"/>
    <hyperlink ref="C223" r:id="rId764" display="https://auction.ikco.ir/auction/details/34?r=423" xr:uid="{CDB08A27-7C04-41AD-8526-311F886AB9F9}"/>
    <hyperlink ref="D223" r:id="rId765" display="https://auction.ikco.ir/auction/details/34?r=423" xr:uid="{103D7065-31F1-488F-B85A-A04BB57ED6BA}"/>
    <hyperlink ref="A324" r:id="rId766" display="javascript:void(0)" xr:uid="{EDDCBE22-6FCD-4C37-A50D-CF28357E9824}"/>
    <hyperlink ref="C224" r:id="rId767" display="https://auction.ikco.ir/auction/details/34?r=17" xr:uid="{513FEBE4-4AF2-4019-ADD9-69DD0E58EB48}"/>
    <hyperlink ref="D224" r:id="rId768" display="https://auction.ikco.ir/auction/details/34?r=17" xr:uid="{A7A6F46D-D635-4C81-93A7-5D7D8ED218B6}"/>
    <hyperlink ref="A325" r:id="rId769" display="javascript:void(0)" xr:uid="{9C436279-0EFC-423C-A5E1-467A56FDA737}"/>
    <hyperlink ref="C225" r:id="rId770" display="https://auction.ikco.ir/auction/details/34?r=135" xr:uid="{B06C22F8-390D-4E40-A74D-12A36D352B95}"/>
    <hyperlink ref="D225" r:id="rId771" display="https://auction.ikco.ir/auction/details/34?r=135" xr:uid="{8B572FA1-B2DD-4C80-92A3-AB74BEE8DF1C}"/>
    <hyperlink ref="A326" r:id="rId772" display="javascript:void(0)" xr:uid="{093A0C86-FDD7-4750-A94D-61E837B10AB9}"/>
    <hyperlink ref="C226" r:id="rId773" display="https://auction.ikco.ir/auction/details/34?r=199" xr:uid="{B6E330CE-5416-49E9-8616-C450D71ED254}"/>
    <hyperlink ref="D226" r:id="rId774" display="https://auction.ikco.ir/auction/details/34?r=199" xr:uid="{510DF1B1-CF9E-4561-A6A8-7368FCF659D5}"/>
    <hyperlink ref="A327" r:id="rId775" display="javascript:void(0)" xr:uid="{BACC8BA0-295E-4C1E-A9D7-9D2173415B10}"/>
    <hyperlink ref="C227" r:id="rId776" display="https://auction.ikco.ir/auction/details/34?r=212" xr:uid="{BA6A68F0-7925-45B3-A02C-20A6D39673AF}"/>
    <hyperlink ref="D227" r:id="rId777" display="https://auction.ikco.ir/auction/details/34?r=212" xr:uid="{29FA42B8-AC24-4082-AE2A-BB7A58EA0CE1}"/>
    <hyperlink ref="A328" r:id="rId778" display="javascript:void(0)" xr:uid="{E3FBE549-EE03-42AB-8271-F4EDD8F2CC88}"/>
    <hyperlink ref="C228" r:id="rId779" display="https://auction.ikco.ir/auction/details/34?r=238" xr:uid="{EE3A78FB-4F81-4397-B6A6-2651A12369FC}"/>
    <hyperlink ref="D228" r:id="rId780" display="https://auction.ikco.ir/auction/details/34?r=238" xr:uid="{1EEC42F4-D210-4575-9A84-D75AB564C4C7}"/>
    <hyperlink ref="A329" r:id="rId781" display="javascript:void(0)" xr:uid="{1F4B3B89-AB2C-4D74-9638-DBBC56565636}"/>
    <hyperlink ref="C229" r:id="rId782" display="https://auction.ikco.ir/auction/details/34?r=72" xr:uid="{342C8CD4-DCA6-4889-BEA1-785C785290C7}"/>
    <hyperlink ref="D229" r:id="rId783" display="https://auction.ikco.ir/auction/details/34?r=72" xr:uid="{6801C400-83DF-476D-AA76-9DB680A60533}"/>
    <hyperlink ref="A330" r:id="rId784" display="javascript:void(0)" xr:uid="{8525D3BA-F514-4786-9AEE-8932A1A1BEA5}"/>
    <hyperlink ref="C230" r:id="rId785" display="https://auction.ikco.ir/auction/details/34?r=82" xr:uid="{0F9ECDF5-498A-4692-8820-7A80FED137DA}"/>
    <hyperlink ref="D230" r:id="rId786" display="https://auction.ikco.ir/auction/details/34?r=82" xr:uid="{F81363BB-2996-4680-9F60-2FAD4F256953}"/>
    <hyperlink ref="A331" r:id="rId787" display="javascript:void(0)" xr:uid="{3935E162-3DDE-4A9E-A547-84D4082DB68E}"/>
    <hyperlink ref="C231" r:id="rId788" display="https://auction.ikco.ir/auction/details/34?r=158" xr:uid="{88E05329-7E93-4A30-999C-A52B0E86ED47}"/>
    <hyperlink ref="D231" r:id="rId789" display="https://auction.ikco.ir/auction/details/34?r=158" xr:uid="{B6D110A5-BC3B-449B-AC45-C634B23B0E70}"/>
    <hyperlink ref="A332" r:id="rId790" display="javascript:void(0)" xr:uid="{0D088321-DD5E-40B8-B424-C460B7271846}"/>
    <hyperlink ref="C232" r:id="rId791" display="https://auction.ikco.ir/auction/details/34?r=187" xr:uid="{D9D62B1F-8A02-4703-BBC1-E4805A457546}"/>
    <hyperlink ref="D232" r:id="rId792" display="https://auction.ikco.ir/auction/details/34?r=187" xr:uid="{AA9AAB0F-DCD3-4B23-A7D7-66B60437D74C}"/>
    <hyperlink ref="A333" r:id="rId793" display="javascript:void(0)" xr:uid="{6FC9F027-B238-4FB3-90D9-32EBE4ABA0E6}"/>
    <hyperlink ref="C233" r:id="rId794" display="https://auction.ikco.ir/auction/details/34?r=289" xr:uid="{F893D352-DFA9-40CE-B8AD-9451DAEA4423}"/>
    <hyperlink ref="D233" r:id="rId795" display="https://auction.ikco.ir/auction/details/34?r=289" xr:uid="{F895A153-5D51-444F-977E-C7C8AAF062DC}"/>
    <hyperlink ref="A334" r:id="rId796" display="javascript:void(0)" xr:uid="{36A17AD8-E694-4CBB-9370-9A6C71E6D3C6}"/>
    <hyperlink ref="C234" r:id="rId797" display="https://auction.ikco.ir/auction/details/34?r=322" xr:uid="{ADF3C4A2-7D5D-4322-B31F-3D803CEAEA23}"/>
    <hyperlink ref="D234" r:id="rId798" display="https://auction.ikco.ir/auction/details/34?r=322" xr:uid="{7422D9A2-F319-4186-9408-2BAFC1A1B2DF}"/>
    <hyperlink ref="A335" r:id="rId799" display="javascript:void(0)" xr:uid="{2EC68513-5EA9-46FA-9524-483E69C6B7AB}"/>
    <hyperlink ref="C235" r:id="rId800" display="https://auction.ikco.ir/auction/details/34?r=377" xr:uid="{4057617B-B174-44D4-89E9-8C6F640C4C60}"/>
    <hyperlink ref="D235" r:id="rId801" display="https://auction.ikco.ir/auction/details/34?r=377" xr:uid="{06C53930-370B-4E34-AF9E-C50D261ABA06}"/>
    <hyperlink ref="A336" r:id="rId802" display="javascript:void(0)" xr:uid="{921EF525-7625-4712-BAFD-C86AB3EC8B41}"/>
    <hyperlink ref="C236" r:id="rId803" display="https://auction.ikco.ir/auction/details/34?r=36" xr:uid="{B9B54E92-128A-492F-9A43-403149389D06}"/>
    <hyperlink ref="D236" r:id="rId804" display="https://auction.ikco.ir/auction/details/34?r=36" xr:uid="{84D5BB19-199B-42A3-B034-959BA83F756A}"/>
    <hyperlink ref="A337" r:id="rId805" display="javascript:void(0)" xr:uid="{C6E54BB1-E6A4-4FB5-AD50-4354E910D597}"/>
    <hyperlink ref="C237" r:id="rId806" display="https://auction.ikco.ir/auction/details/34?r=44" xr:uid="{BFC88E9A-6F6F-4E7D-84A7-246CEAD7B38A}"/>
    <hyperlink ref="D237" r:id="rId807" display="https://auction.ikco.ir/auction/details/34?r=44" xr:uid="{9A5A24BD-4352-41EA-A867-EDF67C80AE76}"/>
    <hyperlink ref="A338" r:id="rId808" display="javascript:void(0)" xr:uid="{A4A867A1-F92A-4126-BA00-C75D70B4875B}"/>
    <hyperlink ref="C238" r:id="rId809" display="https://auction.ikco.ir/auction/details/34?r=102" xr:uid="{4DEBA1CD-A0CF-455D-B189-3EBD3F5F79E3}"/>
    <hyperlink ref="D238" r:id="rId810" display="https://auction.ikco.ir/auction/details/34?r=102" xr:uid="{C4D553C2-477C-43DE-B577-F2C4143DEBE5}"/>
    <hyperlink ref="A339" r:id="rId811" display="javascript:void(0)" xr:uid="{7F0398BA-F62D-4866-BB10-0945DFF19F67}"/>
    <hyperlink ref="C239" r:id="rId812" display="https://auction.ikco.ir/auction/details/34?r=124" xr:uid="{0516F3BF-39CF-48B7-A5E7-DCAF73683656}"/>
    <hyperlink ref="D239" r:id="rId813" display="https://auction.ikco.ir/auction/details/34?r=124" xr:uid="{257EEB24-B24D-4261-887C-3E9BE4F4ADD0}"/>
    <hyperlink ref="A340" r:id="rId814" display="javascript:void(0)" xr:uid="{E51900B3-2EFF-4FD0-AD50-11C50AD94070}"/>
    <hyperlink ref="C240" r:id="rId815" display="https://auction.ikco.ir/auction/details/34?r=149" xr:uid="{FFE3C1C4-D4AE-4CB9-AFE7-F42D3D029C17}"/>
    <hyperlink ref="D240" r:id="rId816" display="https://auction.ikco.ir/auction/details/34?r=149" xr:uid="{0E0E4C9A-9C27-4E78-9593-52712FED9DF1}"/>
    <hyperlink ref="A341" r:id="rId817" display="javascript:void(0)" xr:uid="{F03815EC-D059-4E78-BB5B-0038B39AD98B}"/>
    <hyperlink ref="C241" r:id="rId818" display="https://auction.ikco.ir/auction/details/34?r=150" xr:uid="{B04ED09A-31F8-49A5-81FC-81886FCF6874}"/>
    <hyperlink ref="D241" r:id="rId819" display="https://auction.ikco.ir/auction/details/34?r=150" xr:uid="{BA48C4EA-D994-44C0-9517-8A5134F5B803}"/>
    <hyperlink ref="A342" r:id="rId820" display="javascript:void(0)" xr:uid="{8F17778D-4172-4734-8208-C8E8859EF0F9}"/>
    <hyperlink ref="C242" r:id="rId821" display="https://auction.ikco.ir/auction/details/34?r=151" xr:uid="{0BD935A4-1AB7-403C-AFED-5C9078028894}"/>
    <hyperlink ref="D242" r:id="rId822" display="https://auction.ikco.ir/auction/details/34?r=151" xr:uid="{315E6002-A741-4172-B676-F142305E098D}"/>
    <hyperlink ref="A343" r:id="rId823" display="javascript:void(0)" xr:uid="{34E4F930-C200-4E15-A101-01328BF034DB}"/>
    <hyperlink ref="C243" r:id="rId824" display="https://auction.ikco.ir/auction/details/34?r=155" xr:uid="{6C02A395-C632-455F-83A9-A29F7B15B969}"/>
    <hyperlink ref="D243" r:id="rId825" display="https://auction.ikco.ir/auction/details/34?r=155" xr:uid="{EDB37A04-3637-4362-BA16-6121311B5895}"/>
    <hyperlink ref="A344" r:id="rId826" display="javascript:void(0)" xr:uid="{1BBB3BEB-05D2-430E-B61B-B285602C9F20}"/>
    <hyperlink ref="C244" r:id="rId827" display="https://auction.ikco.ir/auction/details/34?r=161" xr:uid="{AAD9B18B-D3FF-4814-BCA0-0385B6129A45}"/>
    <hyperlink ref="D244" r:id="rId828" display="https://auction.ikco.ir/auction/details/34?r=161" xr:uid="{870CF4E3-03C2-4B2A-86FF-813716DC919C}"/>
    <hyperlink ref="A345" r:id="rId829" display="javascript:void(0)" xr:uid="{BD586601-A4CE-4586-8B03-3A15046CD3FC}"/>
    <hyperlink ref="C245" r:id="rId830" display="https://auction.ikco.ir/auction/details/34?r=183" xr:uid="{D0E7242F-9423-4B1E-8388-E32E9C3FC073}"/>
    <hyperlink ref="D245" r:id="rId831" display="https://auction.ikco.ir/auction/details/34?r=183" xr:uid="{05947AFE-6900-42D1-A81D-712A205953C7}"/>
    <hyperlink ref="A346" r:id="rId832" display="javascript:void(0)" xr:uid="{0C93ABFE-8AEF-4D9C-8B98-F12FFCB63984}"/>
    <hyperlink ref="C246" r:id="rId833" display="https://auction.ikco.ir/auction/details/34?r=206" xr:uid="{77C12EE7-300A-4D7F-B446-542E642EDAB1}"/>
    <hyperlink ref="D246" r:id="rId834" display="https://auction.ikco.ir/auction/details/34?r=206" xr:uid="{A9C4FD25-5D72-45EC-9E33-65201513839D}"/>
    <hyperlink ref="A347" r:id="rId835" display="javascript:void(0)" xr:uid="{B49F69DB-E224-48B7-BC43-7125201B2EC1}"/>
    <hyperlink ref="C247" r:id="rId836" display="https://auction.ikco.ir/auction/details/34?r=280" xr:uid="{4153059B-4EC0-47FE-AE06-0905D01C8E40}"/>
    <hyperlink ref="D247" r:id="rId837" display="https://auction.ikco.ir/auction/details/34?r=280" xr:uid="{79EB2526-B0F1-4D89-BC27-949BF8074AB9}"/>
    <hyperlink ref="A348" r:id="rId838" display="javascript:void(0)" xr:uid="{3993DDDF-8DD0-4551-9C05-E5F50D85E200}"/>
    <hyperlink ref="C248" r:id="rId839" display="https://auction.ikco.ir/auction/details/34?r=352" xr:uid="{1DF89ACA-EEAC-4AC1-95CB-20417F486702}"/>
    <hyperlink ref="D248" r:id="rId840" display="https://auction.ikco.ir/auction/details/34?r=352" xr:uid="{A8645F81-0E54-417F-8771-8896DB5FB17A}"/>
    <hyperlink ref="A349" r:id="rId841" display="javascript:void(0)" xr:uid="{00775336-4FAF-4466-A1BE-0B31D94B8CF8}"/>
    <hyperlink ref="C249" r:id="rId842" display="https://auction.ikco.ir/auction/details/34?r=12" xr:uid="{03480D4C-D4AE-43B5-89E2-CE1DD490E72E}"/>
    <hyperlink ref="D249" r:id="rId843" display="https://auction.ikco.ir/auction/details/34?r=12" xr:uid="{C515F448-03E2-4F25-9CF4-D006419A7195}"/>
    <hyperlink ref="A350" r:id="rId844" display="javascript:void(0)" xr:uid="{D5C4CE7B-45A0-4B33-A8BC-5B6D0286F55F}"/>
    <hyperlink ref="C250" r:id="rId845" display="https://auction.ikco.ir/auction/details/34?r=13" xr:uid="{4CDBEE8B-FCB9-4351-ADB6-9B4627E88588}"/>
    <hyperlink ref="D250" r:id="rId846" display="https://auction.ikco.ir/auction/details/34?r=13" xr:uid="{89120985-B5E5-4612-A739-B1FF9DCA7C07}"/>
    <hyperlink ref="A351" r:id="rId847" display="javascript:void(0)" xr:uid="{C3BA443C-CC77-4AB1-B86A-658837BE01AE}"/>
    <hyperlink ref="C251" r:id="rId848" display="https://auction.ikco.ir/auction/details/34?r=107" xr:uid="{71CAFB47-45DB-4C53-A883-A624B6FD546A}"/>
    <hyperlink ref="D251" r:id="rId849" display="https://auction.ikco.ir/auction/details/34?r=107" xr:uid="{A831EF9A-0E1B-4FD5-A98C-49BB190045C0}"/>
    <hyperlink ref="A352" r:id="rId850" display="javascript:void(0)" xr:uid="{88AF5C5E-FBE9-4F78-96E0-1CC01131206B}"/>
    <hyperlink ref="C252" r:id="rId851" display="https://auction.ikco.ir/auction/details/34?r=110" xr:uid="{F0CB7E7F-4F68-4A5B-8F2C-784E8B1B1D5B}"/>
    <hyperlink ref="D252" r:id="rId852" display="https://auction.ikco.ir/auction/details/34?r=110" xr:uid="{54EB887D-EAED-4AFC-BCD1-566AB9AEA256}"/>
    <hyperlink ref="A353" r:id="rId853" display="javascript:void(0)" xr:uid="{D7ED18C3-9002-497C-9C3A-516C6DD9F8E6}"/>
    <hyperlink ref="C253" r:id="rId854" display="https://auction.ikco.ir/auction/details/34?r=156" xr:uid="{9A55149A-AE52-443C-A37D-1F9267ABD004}"/>
    <hyperlink ref="D253" r:id="rId855" display="https://auction.ikco.ir/auction/details/34?r=156" xr:uid="{3EB830A8-BD01-428C-9606-18FE75BE1297}"/>
    <hyperlink ref="A354" r:id="rId856" display="javascript:void(0)" xr:uid="{EDF05E67-8E4F-470C-BEE5-8D042A5D6A1A}"/>
    <hyperlink ref="C254" r:id="rId857" display="https://auction.ikco.ir/auction/details/34?r=182" xr:uid="{358A3D13-CC19-40EF-AAEF-CBE47CB4F21C}"/>
    <hyperlink ref="D254" r:id="rId858" display="https://auction.ikco.ir/auction/details/34?r=182" xr:uid="{8F798B27-75A2-4E3A-8031-47CFE798E875}"/>
    <hyperlink ref="A355" r:id="rId859" display="javascript:void(0)" xr:uid="{56C4CE9A-1CF8-416D-A2B9-EBD6E08CB8C5}"/>
    <hyperlink ref="C255" r:id="rId860" display="https://auction.ikco.ir/auction/details/34?r=184" xr:uid="{B7003C68-7C62-4AD0-BBCB-96A79EE153AA}"/>
    <hyperlink ref="D255" r:id="rId861" display="https://auction.ikco.ir/auction/details/34?r=184" xr:uid="{86442E48-5B4B-4C4F-BB02-6D411B4D747A}"/>
    <hyperlink ref="A356" r:id="rId862" display="javascript:void(0)" xr:uid="{21198771-FE07-4221-9139-64B315BD3ADB}"/>
    <hyperlink ref="C256" r:id="rId863" display="https://auction.ikco.ir/auction/details/34?r=196" xr:uid="{5C119F9B-E7E7-4050-94EF-04B7C507D330}"/>
    <hyperlink ref="D256" r:id="rId864" display="https://auction.ikco.ir/auction/details/34?r=196" xr:uid="{B4C1B26C-38CD-4298-8A2F-5821F6C29C0E}"/>
    <hyperlink ref="A357" r:id="rId865" display="javascript:void(0)" xr:uid="{876DE5AA-7384-4D54-8E9C-56A376AE5B7F}"/>
    <hyperlink ref="C257" r:id="rId866" display="https://auction.ikco.ir/auction/details/34?r=208" xr:uid="{F182EA6C-B4B0-4D5B-BDDC-42AC8DFFF36D}"/>
    <hyperlink ref="D257" r:id="rId867" display="https://auction.ikco.ir/auction/details/34?r=208" xr:uid="{0966E3C1-CDED-45B1-9715-A9CDC62C1C58}"/>
    <hyperlink ref="A358" r:id="rId868" display="javascript:void(0)" xr:uid="{69EB5B9A-BF3A-466D-B770-F91E7C496B62}"/>
    <hyperlink ref="C258" r:id="rId869" display="https://auction.ikco.ir/auction/details/34?r=233" xr:uid="{FBFD2F11-AE6C-4E77-AF4C-012F2BC334E8}"/>
    <hyperlink ref="D258" r:id="rId870" display="https://auction.ikco.ir/auction/details/34?r=233" xr:uid="{EA4D18B7-43D3-47A8-9E1F-183BEEDDA20D}"/>
    <hyperlink ref="A359" r:id="rId871" display="javascript:void(0)" xr:uid="{449ACCFF-C122-4FD5-BAFE-9CA46401E70D}"/>
    <hyperlink ref="C259" r:id="rId872" display="https://auction.ikco.ir/auction/details/34?r=327" xr:uid="{D84F34E1-19A5-439B-98E9-96253BFB149D}"/>
    <hyperlink ref="D259" r:id="rId873" display="https://auction.ikco.ir/auction/details/34?r=327" xr:uid="{2497F6F5-B497-4DDC-A4B1-8999487158E8}"/>
    <hyperlink ref="A360" r:id="rId874" display="javascript:void(0)" xr:uid="{4EB82923-6F89-45DF-9DAE-F002BCD571A8}"/>
    <hyperlink ref="C260" r:id="rId875" display="https://auction.ikco.ir/auction/details/34?r=16" xr:uid="{112633B7-F36A-42E5-96F4-25710C32EA11}"/>
    <hyperlink ref="D260" r:id="rId876" display="https://auction.ikco.ir/auction/details/34?r=16" xr:uid="{69291DDB-7F48-4219-8154-7F766E265732}"/>
    <hyperlink ref="A361" r:id="rId877" display="javascript:void(0)" xr:uid="{8B2DAC72-B9E1-4EDA-9B75-84466531F47D}"/>
    <hyperlink ref="C261" r:id="rId878" display="https://auction.ikco.ir/auction/details/34?r=21" xr:uid="{45F57221-A8F9-4C5D-B790-9334B2212F90}"/>
    <hyperlink ref="D261" r:id="rId879" display="https://auction.ikco.ir/auction/details/34?r=21" xr:uid="{2BBDC12C-D969-461C-B79E-D43B7145AA88}"/>
    <hyperlink ref="A362" r:id="rId880" display="javascript:void(0)" xr:uid="{F4F8CFC1-CCC6-47E2-B78D-69DC1CC0043D}"/>
    <hyperlink ref="C262" r:id="rId881" display="https://auction.ikco.ir/auction/details/34?r=64" xr:uid="{6097B01E-DE80-49EB-B41B-8082A734B968}"/>
    <hyperlink ref="D262" r:id="rId882" display="https://auction.ikco.ir/auction/details/34?r=64" xr:uid="{32E1BEED-0FD4-47DF-868A-BDB5702158A7}"/>
    <hyperlink ref="A363" r:id="rId883" display="javascript:void(0)" xr:uid="{47C2C941-F5F0-4C91-B350-1F54704EF11E}"/>
    <hyperlink ref="C263" r:id="rId884" display="https://auction.ikco.ir/auction/details/34?r=79" xr:uid="{8EE7EF62-F80D-4A86-8675-F3048969B4A4}"/>
    <hyperlink ref="D263" r:id="rId885" display="https://auction.ikco.ir/auction/details/34?r=79" xr:uid="{176E181B-3E49-417D-9B57-1D35ED7F16D8}"/>
    <hyperlink ref="A364" r:id="rId886" display="javascript:void(0)" xr:uid="{6347577E-BD3D-49D2-8918-BB3EFA764993}"/>
    <hyperlink ref="C264" r:id="rId887" display="https://auction.ikco.ir/auction/details/34?r=104" xr:uid="{D6C20BC6-647A-4702-9BEE-EEF81EAEF1A9}"/>
    <hyperlink ref="D264" r:id="rId888" display="https://auction.ikco.ir/auction/details/34?r=104" xr:uid="{7EECE4DA-7750-45D4-BB41-E055EB2F3932}"/>
    <hyperlink ref="A365" r:id="rId889" display="javascript:void(0)" xr:uid="{B8A3F126-1E71-47FB-A92B-75A4B68B4A5B}"/>
    <hyperlink ref="C265" r:id="rId890" display="https://auction.ikco.ir/auction/details/34?r=169" xr:uid="{86FD98D0-0FF7-4A39-A07F-D91817DF57A3}"/>
    <hyperlink ref="D265" r:id="rId891" display="https://auction.ikco.ir/auction/details/34?r=169" xr:uid="{DE0E00CF-553F-441E-8CBA-B964681EAE25}"/>
    <hyperlink ref="A366" r:id="rId892" display="javascript:void(0)" xr:uid="{157AE4DB-294B-49CE-8CD5-CC897C63AFBA}"/>
    <hyperlink ref="C266" r:id="rId893" display="https://auction.ikco.ir/auction/details/34?r=214" xr:uid="{47F999F9-E2EF-42FF-9434-A73724C7CE7C}"/>
    <hyperlink ref="D266" r:id="rId894" display="https://auction.ikco.ir/auction/details/34?r=214" xr:uid="{0451E9A5-98A9-40C3-8977-63DEFFAED6B4}"/>
    <hyperlink ref="A367" r:id="rId895" display="javascript:void(0)" xr:uid="{1AD8A331-F1CE-4870-9F30-4BA5316C7578}"/>
    <hyperlink ref="C267" r:id="rId896" display="https://auction.ikco.ir/auction/details/34?r=230" xr:uid="{0FE44083-F590-41DD-BDE6-DD0391AF3941}"/>
    <hyperlink ref="D267" r:id="rId897" display="https://auction.ikco.ir/auction/details/34?r=230" xr:uid="{C533F63E-293F-4159-969A-CFD968E62781}"/>
    <hyperlink ref="A368" r:id="rId898" display="javascript:void(0)" xr:uid="{5B520012-F887-42C6-ACCB-F23F9E49C7F0}"/>
    <hyperlink ref="C268" r:id="rId899" display="https://auction.ikco.ir/auction/details/34?r=306" xr:uid="{78EE5601-828E-4638-9CDB-28673ACC1A35}"/>
    <hyperlink ref="D268" r:id="rId900" display="https://auction.ikco.ir/auction/details/34?r=306" xr:uid="{310AFA7F-EA43-4C57-872F-8603A6304578}"/>
    <hyperlink ref="A369" r:id="rId901" display="javascript:void(0)" xr:uid="{04921DAB-F691-45A7-BD22-1022B77BAA89}"/>
    <hyperlink ref="C269" r:id="rId902" display="https://auction.ikco.ir/auction/details/34?r=338" xr:uid="{EAE35FE4-7EE5-4E1F-9F0B-6853D4F29884}"/>
    <hyperlink ref="D269" r:id="rId903" display="https://auction.ikco.ir/auction/details/34?r=338" xr:uid="{C7F06AFD-83F8-4497-AE57-D87050BFA2C4}"/>
    <hyperlink ref="A370" r:id="rId904" display="javascript:void(0)" xr:uid="{93CA8BD7-46AF-4CDE-A42C-4C11AE422BB4}"/>
    <hyperlink ref="C270" r:id="rId905" display="https://auction.ikco.ir/auction/details/34?r=506" xr:uid="{D6FCCF06-9740-4B12-8A93-FDF52419A9DF}"/>
    <hyperlink ref="D270" r:id="rId906" display="https://auction.ikco.ir/auction/details/34?r=506" xr:uid="{609B2B0F-F5B5-4C11-9595-D2D9EDDEDFCC}"/>
    <hyperlink ref="A371" r:id="rId907" display="javascript:void(0)" xr:uid="{1B5F27B5-C430-44D6-AADE-F467BCF3A100}"/>
    <hyperlink ref="C271" r:id="rId908" display="https://auction.ikco.ir/auction/details/34?r=5" xr:uid="{42CF68A3-0358-4967-ACA4-F5C393DFA310}"/>
    <hyperlink ref="D271" r:id="rId909" display="https://auction.ikco.ir/auction/details/34?r=5" xr:uid="{A94DD534-362D-45D0-9121-8D2EDB374A70}"/>
    <hyperlink ref="A372" r:id="rId910" display="javascript:void(0)" xr:uid="{4E24E29E-0F24-408E-B939-3A2AADC421A3}"/>
    <hyperlink ref="C272" r:id="rId911" display="https://auction.ikco.ir/auction/details/34?r=34" xr:uid="{9A0A4D41-9A09-46B4-A1AA-399138B1A081}"/>
    <hyperlink ref="D272" r:id="rId912" display="https://auction.ikco.ir/auction/details/34?r=34" xr:uid="{35C1D544-EC76-42DF-B6C9-7D56771E88F4}"/>
    <hyperlink ref="A373" r:id="rId913" display="javascript:void(0)" xr:uid="{E23AF440-9450-429E-A6A8-2DE476839606}"/>
    <hyperlink ref="C273" r:id="rId914" display="https://auction.ikco.ir/auction/details/34?r=98" xr:uid="{CA4678FD-E073-40C4-A27D-427D3252EB26}"/>
    <hyperlink ref="D273" r:id="rId915" display="https://auction.ikco.ir/auction/details/34?r=98" xr:uid="{EAB2D0DF-3ED8-49CB-A42D-E5BD4612A80F}"/>
    <hyperlink ref="A374" r:id="rId916" display="javascript:void(0)" xr:uid="{A7774512-696D-415E-961E-70D52B6B2490}"/>
    <hyperlink ref="C274" r:id="rId917" display="https://auction.ikco.ir/auction/details/34?r=115" xr:uid="{86B24FBE-E207-43DB-9813-D3225A8D3B87}"/>
    <hyperlink ref="D274" r:id="rId918" display="https://auction.ikco.ir/auction/details/34?r=115" xr:uid="{B53BD565-695E-4C52-943E-B7E28BFDACED}"/>
    <hyperlink ref="A375" r:id="rId919" display="javascript:void(0)" xr:uid="{15CF2FD4-1C2D-4504-AFCC-618F7A4DC495}"/>
    <hyperlink ref="C275" r:id="rId920" display="https://auction.ikco.ir/auction/details/34?r=117" xr:uid="{21F88EED-51D5-4883-8A07-23F91CEF7481}"/>
    <hyperlink ref="D275" r:id="rId921" display="https://auction.ikco.ir/auction/details/34?r=117" xr:uid="{9C2BE619-04FE-4EFF-8CB7-9D71BAF7D99D}"/>
    <hyperlink ref="A376" r:id="rId922" display="javascript:void(0)" xr:uid="{61F73CF5-35F8-4564-8532-B9F6D6C117F6}"/>
    <hyperlink ref="C276" r:id="rId923" display="https://auction.ikco.ir/auction/details/34?r=126" xr:uid="{BB5D4BDC-008C-4849-AE76-BB48BED91AF5}"/>
    <hyperlink ref="D276" r:id="rId924" display="https://auction.ikco.ir/auction/details/34?r=126" xr:uid="{8D9CF2F3-5392-4324-994B-05BA9E2B6CD6}"/>
    <hyperlink ref="A377" r:id="rId925" display="javascript:void(0)" xr:uid="{243585DD-FF1E-4A7A-A9F6-A1E431698EEE}"/>
    <hyperlink ref="C277" r:id="rId926" display="https://auction.ikco.ir/auction/details/34?r=140" xr:uid="{BF286377-2A05-4789-9999-86474D6FD8D2}"/>
    <hyperlink ref="D277" r:id="rId927" display="https://auction.ikco.ir/auction/details/34?r=140" xr:uid="{201697F4-B9AD-49DE-845F-01575FC89954}"/>
    <hyperlink ref="A378" r:id="rId928" display="javascript:void(0)" xr:uid="{0FAD678D-1DBE-4448-8976-74FDA9D4B48A}"/>
    <hyperlink ref="C278" r:id="rId929" display="https://auction.ikco.ir/auction/details/34?r=159" xr:uid="{F5376A17-0B16-4CF2-9A20-450AD41850B6}"/>
    <hyperlink ref="D278" r:id="rId930" display="https://auction.ikco.ir/auction/details/34?r=159" xr:uid="{7D4C17EE-66A7-49A3-BB1B-9852B64801D3}"/>
    <hyperlink ref="A379" r:id="rId931" display="javascript:void(0)" xr:uid="{80FE1181-530F-4AFB-BB82-1C241123A47E}"/>
    <hyperlink ref="C279" r:id="rId932" display="https://auction.ikco.ir/auction/details/34?r=188" xr:uid="{C967BCA0-83B1-4961-AA10-E63BF94B1118}"/>
    <hyperlink ref="D279" r:id="rId933" display="https://auction.ikco.ir/auction/details/34?r=188" xr:uid="{90ADF1B3-682E-4E9F-90CA-806DED7A1FDB}"/>
    <hyperlink ref="A380" r:id="rId934" display="javascript:void(0)" xr:uid="{6CAFE4E4-5827-4ABB-9629-E5BEA93E27F1}"/>
    <hyperlink ref="C280" r:id="rId935" display="https://auction.ikco.ir/auction/details/34?r=220" xr:uid="{70D5A2D6-8A2C-4323-9D4D-FF629C0C4539}"/>
    <hyperlink ref="D280" r:id="rId936" display="https://auction.ikco.ir/auction/details/34?r=220" xr:uid="{A638352F-FDE8-4646-8E18-96C3EAABAC1D}"/>
    <hyperlink ref="A381" r:id="rId937" display="javascript:void(0)" xr:uid="{B2F01DA2-E459-4C46-8CAB-B1CB7BF364E5}"/>
    <hyperlink ref="C281" r:id="rId938" display="https://auction.ikco.ir/auction/details/34?r=226" xr:uid="{46317C07-6966-4044-B6EB-BA580ABCFD74}"/>
    <hyperlink ref="D281" r:id="rId939" display="https://auction.ikco.ir/auction/details/34?r=226" xr:uid="{410A7D61-7297-4537-B02D-8B89484D6626}"/>
    <hyperlink ref="A382" r:id="rId940" display="javascript:void(0)" xr:uid="{88797040-B771-4F17-AB8B-A6088A29A100}"/>
    <hyperlink ref="C282" r:id="rId941" display="https://auction.ikco.ir/auction/details/34?r=250" xr:uid="{01BE485A-2518-4FCF-95E1-81226AA7E2D6}"/>
    <hyperlink ref="D282" r:id="rId942" display="https://auction.ikco.ir/auction/details/34?r=250" xr:uid="{40CD87AC-A777-4CA2-A701-22DE07DB015E}"/>
    <hyperlink ref="A383" r:id="rId943" display="javascript:void(0)" xr:uid="{DDC445A4-BE18-4D39-81E5-2F4614D6CBC2}"/>
    <hyperlink ref="C283" r:id="rId944" display="https://auction.ikco.ir/auction/details/34?r=260" xr:uid="{5FDF5E05-339C-4A95-A30D-06F066B667DF}"/>
    <hyperlink ref="D283" r:id="rId945" display="https://auction.ikco.ir/auction/details/34?r=260" xr:uid="{E0F46D82-AE67-46B4-B2F9-FC919DEDEBF3}"/>
    <hyperlink ref="A384" r:id="rId946" display="javascript:void(0)" xr:uid="{A793F3E4-14AF-42D8-ACF0-C231CB5CB4E1}"/>
    <hyperlink ref="C284" r:id="rId947" display="https://auction.ikco.ir/auction/details/34?r=349" xr:uid="{E4FD0546-3BB7-4FA6-B2B3-B043E7E78CD7}"/>
    <hyperlink ref="D284" r:id="rId948" display="https://auction.ikco.ir/auction/details/34?r=349" xr:uid="{56D19DF0-2614-4707-9625-210BF76BFDB2}"/>
    <hyperlink ref="A385" r:id="rId949" display="javascript:void(0)" xr:uid="{6F5FAB94-4E13-4359-942D-13BABED9D55A}"/>
    <hyperlink ref="C285" r:id="rId950" display="https://auction.ikco.ir/auction/details/34?r=397" xr:uid="{53C16250-7F68-478A-86A2-69935F010110}"/>
    <hyperlink ref="D285" r:id="rId951" display="https://auction.ikco.ir/auction/details/34?r=397" xr:uid="{A8E62C45-CB24-4283-8B13-19DE4DAB0A1F}"/>
    <hyperlink ref="A386" r:id="rId952" display="javascript:void(0)" xr:uid="{96BE839E-341B-457E-B0B6-BF2AF6D030DB}"/>
    <hyperlink ref="C286" r:id="rId953" display="https://auction.ikco.ir/auction/details/34?r=509" xr:uid="{85FDC768-550B-4427-856F-4534FB1EC2D9}"/>
    <hyperlink ref="D286" r:id="rId954" display="https://auction.ikco.ir/auction/details/34?r=509" xr:uid="{AC4350DF-74EF-4089-A675-7611BD7AC07B}"/>
    <hyperlink ref="A387" r:id="rId955" display="javascript:void(0)" xr:uid="{90DC9BB1-1EF2-411E-9C7F-9C1CAE566610}"/>
    <hyperlink ref="C287" r:id="rId956" display="https://auction.ikco.ir/auction/details/34?r=49" xr:uid="{6DB6DE1D-6DA2-4BF6-A79E-730CB99429F6}"/>
    <hyperlink ref="D287" r:id="rId957" display="https://auction.ikco.ir/auction/details/34?r=49" xr:uid="{D9F99E0F-2706-443A-8495-2D5E3CC8B4FC}"/>
    <hyperlink ref="A388" r:id="rId958" display="javascript:void(0)" xr:uid="{9E63C64B-CC84-496D-B4A2-C020A52AD10A}"/>
    <hyperlink ref="C288" r:id="rId959" display="https://auction.ikco.ir/auction/details/34?r=51" xr:uid="{7A35A3CE-1333-4CB5-B358-F7D1300A4212}"/>
    <hyperlink ref="D288" r:id="rId960" display="https://auction.ikco.ir/auction/details/34?r=51" xr:uid="{05EED171-5D98-4412-9B22-15A7EE6FB6DD}"/>
    <hyperlink ref="A389" r:id="rId961" display="javascript:void(0)" xr:uid="{0399ACFF-6432-416F-BE32-E64252ACD105}"/>
    <hyperlink ref="C289" r:id="rId962" display="https://auction.ikco.ir/auction/details/34?r=54" xr:uid="{4F028A66-8B42-4F4E-8ACF-8976EC4C7C2A}"/>
    <hyperlink ref="D289" r:id="rId963" display="https://auction.ikco.ir/auction/details/34?r=54" xr:uid="{6EB309CE-03BA-4F8E-AD85-B0E93B9D4EB4}"/>
    <hyperlink ref="A390" r:id="rId964" display="javascript:void(0)" xr:uid="{A18B09D9-FFAB-4C08-8262-1C6E5BCEC343}"/>
    <hyperlink ref="C290" r:id="rId965" display="https://auction.ikco.ir/auction/details/34?r=63" xr:uid="{0B79C709-DCAA-4E19-AE74-5A8039CD21CD}"/>
    <hyperlink ref="D290" r:id="rId966" display="https://auction.ikco.ir/auction/details/34?r=63" xr:uid="{C7E20520-0534-4606-80D3-D26EE10A21FE}"/>
    <hyperlink ref="A391" r:id="rId967" display="javascript:void(0)" xr:uid="{89FD8189-1A2A-46CB-A404-C5A6B7D078D0}"/>
    <hyperlink ref="C291" r:id="rId968" display="https://auction.ikco.ir/auction/details/34?r=76" xr:uid="{03C0C043-0FE3-4047-B5BF-241FFC62B8C7}"/>
    <hyperlink ref="D291" r:id="rId969" display="https://auction.ikco.ir/auction/details/34?r=76" xr:uid="{B3F6165D-B8A5-4A46-A489-693106DEBCCC}"/>
    <hyperlink ref="A392" r:id="rId970" display="javascript:void(0)" xr:uid="{6802E333-1EF6-46A3-B9E8-DB49B4825B82}"/>
    <hyperlink ref="C292" r:id="rId971" display="https://auction.ikco.ir/auction/details/34?r=162" xr:uid="{CF220947-B879-49D8-BEB8-2F4C8F4B9707}"/>
    <hyperlink ref="D292" r:id="rId972" display="https://auction.ikco.ir/auction/details/34?r=162" xr:uid="{C4D2387E-C6AE-46C6-BB54-798806157B27}"/>
    <hyperlink ref="A393" r:id="rId973" display="javascript:void(0)" xr:uid="{2C7E69A3-9A08-4DEA-8CB4-6B37359047D3}"/>
    <hyperlink ref="C293" r:id="rId974" display="https://auction.ikco.ir/auction/details/34?r=213" xr:uid="{B0A00862-E1FA-483C-8F3D-DDDE10907731}"/>
    <hyperlink ref="D293" r:id="rId975" display="https://auction.ikco.ir/auction/details/34?r=213" xr:uid="{6C2294D7-A979-45C7-A197-17F92DD04DE3}"/>
    <hyperlink ref="A394" r:id="rId976" display="javascript:void(0)" xr:uid="{C5D2AE6E-0612-449D-A93A-D2BF0F35659D}"/>
    <hyperlink ref="C294" r:id="rId977" display="https://auction.ikco.ir/auction/details/34?r=239" xr:uid="{F1EBA6DC-BA4F-402D-8BC0-A53025BCF722}"/>
    <hyperlink ref="D294" r:id="rId978" display="https://auction.ikco.ir/auction/details/34?r=239" xr:uid="{3BC7EEC9-3610-4C08-9670-764A45566870}"/>
    <hyperlink ref="A395" r:id="rId979" display="javascript:void(0)" xr:uid="{DE997146-3161-4FAF-A8D2-0E8BE0816ECE}"/>
    <hyperlink ref="C295" r:id="rId980" display="https://auction.ikco.ir/auction/details/34?r=267" xr:uid="{448BFB7A-3900-47CB-8024-7CD3B55D24C5}"/>
    <hyperlink ref="D295" r:id="rId981" display="https://auction.ikco.ir/auction/details/34?r=267" xr:uid="{80EC54A9-5EA6-4439-9069-B174BEC598E7}"/>
    <hyperlink ref="A396" r:id="rId982" display="javascript:void(0)" xr:uid="{712911DD-110A-49CF-86E4-81EA2DCEA956}"/>
    <hyperlink ref="C296" r:id="rId983" display="https://auction.ikco.ir/auction/details/34?r=268" xr:uid="{9FEDA5F6-2779-451A-B43C-2974F9F269ED}"/>
    <hyperlink ref="D296" r:id="rId984" display="https://auction.ikco.ir/auction/details/34?r=268" xr:uid="{73B8286F-782E-4A48-9054-15696B91306C}"/>
    <hyperlink ref="A397" r:id="rId985" display="javascript:void(0)" xr:uid="{EAE0AA8F-41F9-4322-B1F5-9B1C08A32414}"/>
    <hyperlink ref="C297" r:id="rId986" display="https://auction.ikco.ir/auction/details/34?r=361" xr:uid="{ABFA5905-D704-48A5-8368-7A68F99BD394}"/>
    <hyperlink ref="D297" r:id="rId987" display="https://auction.ikco.ir/auction/details/34?r=361" xr:uid="{FC03FF1E-894B-4224-879B-29781C453BFF}"/>
    <hyperlink ref="A398" r:id="rId988" display="javascript:void(0)" xr:uid="{04B9F478-4C9E-4FDD-B0BC-FBC743CB3B51}"/>
    <hyperlink ref="C298" r:id="rId989" display="https://auction.ikco.ir/auction/details/34?r=57" xr:uid="{D8ABE60F-0D0B-46C9-9DB4-125D9B620712}"/>
    <hyperlink ref="D298" r:id="rId990" display="https://auction.ikco.ir/auction/details/34?r=57" xr:uid="{0EC098BE-B9B6-40DE-B47B-2A8B77F0C67D}"/>
    <hyperlink ref="A399" r:id="rId991" display="javascript:void(0)" xr:uid="{255D5E73-24AA-4834-8B47-654894CD8AA0}"/>
    <hyperlink ref="C299" r:id="rId992" display="https://auction.ikco.ir/auction/details/34?r=70" xr:uid="{FFE0117B-A698-4FBB-98AD-FD69960E0B36}"/>
    <hyperlink ref="D299" r:id="rId993" display="https://auction.ikco.ir/auction/details/34?r=70" xr:uid="{74267396-598E-4534-BA68-8432F0804099}"/>
    <hyperlink ref="A400" r:id="rId994" display="javascript:void(0)" xr:uid="{0CBDE39D-C70C-4823-A652-73C846EC6BCE}"/>
    <hyperlink ref="C300" r:id="rId995" display="https://auction.ikco.ir/auction/details/34?r=71" xr:uid="{62F1A19C-15B2-4052-93E8-E96A75B1374B}"/>
    <hyperlink ref="D300" r:id="rId996" display="https://auction.ikco.ir/auction/details/34?r=71" xr:uid="{6B3A0432-9D66-4F54-A8DC-8397278B61E2}"/>
    <hyperlink ref="C301" r:id="rId997" display="https://auction.ikco.ir/auction/details/34?r=81" xr:uid="{B8B36385-DBB3-4648-ABBB-3EBC05E45613}"/>
    <hyperlink ref="D301" r:id="rId998" display="https://auction.ikco.ir/auction/details/34?r=81" xr:uid="{8A949972-2B73-4496-945E-27738C937673}"/>
    <hyperlink ref="A402" r:id="rId999" display="javascript:void(0)" xr:uid="{A86B59D9-C403-4E81-807F-C91C2FB7616C}"/>
    <hyperlink ref="C302" r:id="rId1000" display="https://auction.ikco.ir/auction/details/34?r=90" xr:uid="{85C04553-1B73-4F57-8CEE-42650D409A90}"/>
    <hyperlink ref="D302" r:id="rId1001" display="https://auction.ikco.ir/auction/details/34?r=90" xr:uid="{E4121112-14FD-4E3D-9925-D9AB8B398E81}"/>
    <hyperlink ref="A403" r:id="rId1002" display="javascript:void(0)" xr:uid="{338D1F66-D151-4C2E-A34E-C0A2ABF70C73}"/>
    <hyperlink ref="C303" r:id="rId1003" display="https://auction.ikco.ir/auction/details/34?r=92" xr:uid="{3DC91C14-7334-49AC-9E70-6AA386252F00}"/>
    <hyperlink ref="D303" r:id="rId1004" display="https://auction.ikco.ir/auction/details/34?r=92" xr:uid="{74BB824A-2BA8-4DE5-9279-FD5D781BE139}"/>
    <hyperlink ref="A404" r:id="rId1005" display="javascript:void(0)" xr:uid="{3E4D0093-D513-409E-A316-5EE6321DCDF8}"/>
    <hyperlink ref="C304" r:id="rId1006" display="https://auction.ikco.ir/auction/details/34?r=111" xr:uid="{7D14821A-4612-438F-9AF2-1441638DC55E}"/>
    <hyperlink ref="D304" r:id="rId1007" display="https://auction.ikco.ir/auction/details/34?r=111" xr:uid="{86E50D8D-4E45-4183-9C86-1C16230C6D69}"/>
    <hyperlink ref="A405" r:id="rId1008" display="javascript:void(0)" xr:uid="{B03EF460-742C-4DAA-A293-FC28865ED2E2}"/>
    <hyperlink ref="C305" r:id="rId1009" display="https://auction.ikco.ir/auction/details/34?r=123" xr:uid="{DE879826-995D-4335-8B50-A48CE6F0BE34}"/>
    <hyperlink ref="D305" r:id="rId1010" display="https://auction.ikco.ir/auction/details/34?r=123" xr:uid="{73219186-3DA1-44E2-8708-587FEDA4FAC2}"/>
    <hyperlink ref="A406" r:id="rId1011" display="javascript:void(0)" xr:uid="{927C5E62-EEA8-44D5-B27D-8BFBA50CCC15}"/>
    <hyperlink ref="C306" r:id="rId1012" display="https://auction.ikco.ir/auction/details/34?r=144" xr:uid="{A706B8BF-C1AA-4C54-A110-4C5C75867424}"/>
    <hyperlink ref="D306" r:id="rId1013" display="https://auction.ikco.ir/auction/details/34?r=144" xr:uid="{7D6AD856-2218-4933-80C7-0A4CFAB84A91}"/>
    <hyperlink ref="A407" r:id="rId1014" display="javascript:void(0)" xr:uid="{E07AE38C-C722-4BFD-AB9D-B7480A792273}"/>
    <hyperlink ref="C307" r:id="rId1015" display="https://auction.ikco.ir/auction/details/34?r=146" xr:uid="{445EA083-60F5-49BC-BB39-C63BEC99030B}"/>
    <hyperlink ref="D307" r:id="rId1016" display="https://auction.ikco.ir/auction/details/34?r=146" xr:uid="{A334827A-82B8-4FB6-A6B8-28E4BFA9B81F}"/>
    <hyperlink ref="A408" r:id="rId1017" display="javascript:void(0)" xr:uid="{7A19FB16-3D21-405B-8012-DEDC53CC9E74}"/>
    <hyperlink ref="C308" r:id="rId1018" display="https://auction.ikco.ir/auction/details/34?r=147" xr:uid="{3AE435FD-2E01-4439-BED3-456DD52D132E}"/>
    <hyperlink ref="D308" r:id="rId1019" display="https://auction.ikco.ir/auction/details/34?r=147" xr:uid="{377FA616-19AC-4677-9E23-7A53D28D5FDD}"/>
    <hyperlink ref="A409" r:id="rId1020" display="javascript:void(0)" xr:uid="{DCFFFE84-498A-4A7E-BFC5-4B7E1E47C43F}"/>
    <hyperlink ref="C309" r:id="rId1021" display="https://auction.ikco.ir/auction/details/34?r=181" xr:uid="{0730CEE2-6FEA-4955-8B5A-CE0A977FCFB6}"/>
    <hyperlink ref="D309" r:id="rId1022" display="https://auction.ikco.ir/auction/details/34?r=181" xr:uid="{92E7EFA3-CFF3-4B52-A92B-5BCEBBA727D7}"/>
    <hyperlink ref="A410" r:id="rId1023" display="javascript:void(0)" xr:uid="{16367533-71A6-47DF-AC2D-E7298D22C851}"/>
    <hyperlink ref="C310" r:id="rId1024" display="https://auction.ikco.ir/auction/details/34?r=201" xr:uid="{B908F2EF-C11B-479A-B2C8-8E4DD685E355}"/>
    <hyperlink ref="D310" r:id="rId1025" display="https://auction.ikco.ir/auction/details/34?r=201" xr:uid="{22C3A83D-E986-43F0-8D83-E6B902A23F69}"/>
    <hyperlink ref="A411" r:id="rId1026" display="javascript:void(0)" xr:uid="{F6B8ADB6-7B18-48DF-A858-F453ABCC92ED}"/>
    <hyperlink ref="C311" r:id="rId1027" display="https://auction.ikco.ir/auction/details/34?r=211" xr:uid="{74B18F1C-0ED3-469E-8F96-0AA16AD4409E}"/>
    <hyperlink ref="D311" r:id="rId1028" display="https://auction.ikco.ir/auction/details/34?r=211" xr:uid="{5B6A231C-B9C1-4CBF-8D9F-F14991678133}"/>
    <hyperlink ref="A412" r:id="rId1029" display="javascript:void(0)" xr:uid="{8E05AFE4-31B0-4F8A-A6D3-E8C0B53237E4}"/>
    <hyperlink ref="C312" r:id="rId1030" display="https://auction.ikco.ir/auction/details/34?r=215" xr:uid="{24A57F38-7E28-4AD3-A64E-BF7B500B861A}"/>
    <hyperlink ref="D312" r:id="rId1031" display="https://auction.ikco.ir/auction/details/34?r=215" xr:uid="{C61FB13C-02AF-4721-B40D-0F651E8C1051}"/>
    <hyperlink ref="A413" r:id="rId1032" display="javascript:void(0)" xr:uid="{7F043C24-B639-41C6-9EBB-271591801B62}"/>
    <hyperlink ref="C313" r:id="rId1033" display="https://auction.ikco.ir/auction/details/34?r=219" xr:uid="{BB195F02-0FF5-4621-9997-77F52740F922}"/>
    <hyperlink ref="D313" r:id="rId1034" display="https://auction.ikco.ir/auction/details/34?r=219" xr:uid="{D7DCC564-4F71-43F8-97CD-BCF3407F9CDB}"/>
    <hyperlink ref="A414" r:id="rId1035" display="javascript:void(0)" xr:uid="{F4D6D96D-6C2F-4A09-B58E-78191B3B50B6}"/>
    <hyperlink ref="C314" r:id="rId1036" display="https://auction.ikco.ir/auction/details/34?r=222" xr:uid="{FA41CD93-8E79-485F-8A87-1A1A7F1071DD}"/>
    <hyperlink ref="D314" r:id="rId1037" display="https://auction.ikco.ir/auction/details/34?r=222" xr:uid="{13CF674B-346F-4A76-B02E-94B9077FE353}"/>
    <hyperlink ref="A415" r:id="rId1038" display="javascript:void(0)" xr:uid="{E9C8B87E-1078-4758-A500-A8B208EDF630}"/>
    <hyperlink ref="C315" r:id="rId1039" display="https://auction.ikco.ir/auction/details/34?r=234" xr:uid="{EC13AD3D-68B1-432C-AF83-5DEBD7CCC4D8}"/>
    <hyperlink ref="D315" r:id="rId1040" display="https://auction.ikco.ir/auction/details/34?r=234" xr:uid="{7EF5A824-EE7C-4A1B-B391-75FD3B353D1D}"/>
    <hyperlink ref="A416" r:id="rId1041" display="javascript:void(0)" xr:uid="{5918E4AC-BD7D-43D0-8362-668FE3403D11}"/>
    <hyperlink ref="C316" r:id="rId1042" display="https://auction.ikco.ir/auction/details/34?r=353" xr:uid="{3798D501-945B-47C5-ADC6-8254558FC4F6}"/>
    <hyperlink ref="D316" r:id="rId1043" display="https://auction.ikco.ir/auction/details/34?r=353" xr:uid="{87D0D36F-7C33-4F13-833B-4790E4B824A1}"/>
    <hyperlink ref="A417" r:id="rId1044" display="javascript:void(0)" xr:uid="{3ED56E33-6797-42D8-984B-E18C8901718E}"/>
    <hyperlink ref="C317" r:id="rId1045" display="https://auction.ikco.ir/auction/details/34?r=375" xr:uid="{B8B94A12-93ED-4B5C-9462-C2218CB47C4E}"/>
    <hyperlink ref="D317" r:id="rId1046" display="https://auction.ikco.ir/auction/details/34?r=375" xr:uid="{E05D16D9-9812-4ED0-AB12-08515564E698}"/>
    <hyperlink ref="A418" r:id="rId1047" display="javascript:void(0)" xr:uid="{2F424FF0-9230-407F-BA38-7575AF43239F}"/>
    <hyperlink ref="C318" r:id="rId1048" display="https://auction.ikco.ir/auction/details/34?r=15" xr:uid="{B99C4EFA-AD61-4F67-862F-296177F719EC}"/>
    <hyperlink ref="D318" r:id="rId1049" display="https://auction.ikco.ir/auction/details/34?r=15" xr:uid="{1D6E5D02-6E46-47F6-BFC3-E94E5B677B73}"/>
    <hyperlink ref="A419" r:id="rId1050" display="javascript:void(0)" xr:uid="{4F4DCF6D-9F93-420C-82A6-2056BE2E03F1}"/>
    <hyperlink ref="C319" r:id="rId1051" display="https://auction.ikco.ir/auction/details/34?r=20" xr:uid="{D4AFB2E1-CE2E-4C6D-9841-863267CB5B8E}"/>
    <hyperlink ref="D319" r:id="rId1052" display="https://auction.ikco.ir/auction/details/34?r=20" xr:uid="{9FC8B56C-D162-41D3-9A1A-AEAA6767D57B}"/>
    <hyperlink ref="A420" r:id="rId1053" display="javascript:void(0)" xr:uid="{44F6F724-2070-4C2A-A9F2-ED7D400B84C3}"/>
    <hyperlink ref="C320" r:id="rId1054" display="https://auction.ikco.ir/auction/details/34?r=41" xr:uid="{950122C1-D45A-4CA3-A635-363B914507C3}"/>
    <hyperlink ref="D320" r:id="rId1055" display="https://auction.ikco.ir/auction/details/34?r=41" xr:uid="{D9EF3817-029E-4FF8-8824-D62624B4372A}"/>
    <hyperlink ref="A421" r:id="rId1056" display="javascript:void(0)" xr:uid="{1C72F187-23C0-4C8A-8E7F-D75CC96050AC}"/>
    <hyperlink ref="C321" r:id="rId1057" display="https://auction.ikco.ir/auction/details/34?r=86" xr:uid="{FCB22570-ECDB-408F-8DB5-A51A9B1E2D71}"/>
    <hyperlink ref="D321" r:id="rId1058" display="https://auction.ikco.ir/auction/details/34?r=86" xr:uid="{B20BD570-CE2D-4C20-B8C9-2A50B402CEE2}"/>
    <hyperlink ref="A422" r:id="rId1059" display="javascript:void(0)" xr:uid="{3DB09FD8-6B7E-4606-B1F9-50A5BE0984CC}"/>
    <hyperlink ref="C322" r:id="rId1060" display="https://auction.ikco.ir/auction/details/34?r=97" xr:uid="{93F41A3F-B885-493D-98FE-4739A93A094B}"/>
    <hyperlink ref="D322" r:id="rId1061" display="https://auction.ikco.ir/auction/details/34?r=97" xr:uid="{E308D557-60AB-4A17-B2FA-30F313A70575}"/>
    <hyperlink ref="A423" r:id="rId1062" display="javascript:void(0)" xr:uid="{14E9751B-1C00-4C74-A50F-222AF7BB79DD}"/>
    <hyperlink ref="C323" r:id="rId1063" display="https://auction.ikco.ir/auction/details/34?r=100" xr:uid="{65737A92-224C-48B6-B61F-04B5F8D90A36}"/>
    <hyperlink ref="D323" r:id="rId1064" display="https://auction.ikco.ir/auction/details/34?r=100" xr:uid="{7CDF6AF2-E75D-470D-8B20-82FF60B9C8D3}"/>
    <hyperlink ref="A424" r:id="rId1065" display="javascript:void(0)" xr:uid="{EBD4BE50-9C72-4C23-BF6E-E3A56F0558D5}"/>
    <hyperlink ref="C324" r:id="rId1066" display="https://auction.ikco.ir/auction/details/34?r=101" xr:uid="{2BAD001F-BED7-4916-B458-1858E8EB7DEC}"/>
    <hyperlink ref="D324" r:id="rId1067" display="https://auction.ikco.ir/auction/details/34?r=101" xr:uid="{0EEA0479-5497-4C49-BF75-99066144AF8F}"/>
    <hyperlink ref="A425" r:id="rId1068" display="javascript:void(0)" xr:uid="{56BD197F-E619-4877-8777-F9FDFD0FE20C}"/>
    <hyperlink ref="C325" r:id="rId1069" display="https://auction.ikco.ir/auction/details/34?r=105" xr:uid="{01C7D8F1-D570-4DB5-92FB-282139DEACDE}"/>
    <hyperlink ref="D325" r:id="rId1070" display="https://auction.ikco.ir/auction/details/34?r=105" xr:uid="{A1F26EB1-31ED-4552-94A8-1E879C0CE957}"/>
    <hyperlink ref="A426" r:id="rId1071" display="javascript:void(0)" xr:uid="{66DBF687-40E4-49D1-B834-73F98E54B066}"/>
    <hyperlink ref="C326" r:id="rId1072" display="https://auction.ikco.ir/auction/details/34?r=129" xr:uid="{3BB3BF34-905C-404A-A67B-776657F44947}"/>
    <hyperlink ref="D326" r:id="rId1073" display="https://auction.ikco.ir/auction/details/34?r=129" xr:uid="{35725563-59B6-44CF-A685-8762F265532E}"/>
    <hyperlink ref="A427" r:id="rId1074" display="javascript:void(0)" xr:uid="{5CA25328-899E-4F31-88CA-59E370F3BA92}"/>
    <hyperlink ref="C327" r:id="rId1075" display="https://auction.ikco.ir/auction/details/34?r=142" xr:uid="{472E4F1E-8AB4-4CE9-A982-8DF7A1BBDE33}"/>
    <hyperlink ref="D327" r:id="rId1076" display="https://auction.ikco.ir/auction/details/34?r=142" xr:uid="{B19454B5-510B-4C0A-B3FD-F60F9BC961F1}"/>
    <hyperlink ref="A428" r:id="rId1077" display="javascript:void(0)" xr:uid="{B0246CEE-8001-49EB-B656-55DF47713ED9}"/>
    <hyperlink ref="C328" r:id="rId1078" display="https://auction.ikco.ir/auction/details/34?r=172" xr:uid="{76E9C455-5365-416D-B57D-943453F26345}"/>
    <hyperlink ref="D328" r:id="rId1079" display="https://auction.ikco.ir/auction/details/34?r=172" xr:uid="{25E7E094-40F5-4770-91DB-CFFBABBF509F}"/>
    <hyperlink ref="A429" r:id="rId1080" display="javascript:void(0)" xr:uid="{15E34AC2-64C5-403A-8811-253D7388EE12}"/>
    <hyperlink ref="C329" r:id="rId1081" display="https://auction.ikco.ir/auction/details/34?r=173" xr:uid="{D627A051-C28B-4740-8BB4-97E84653E1F8}"/>
    <hyperlink ref="D329" r:id="rId1082" display="https://auction.ikco.ir/auction/details/34?r=173" xr:uid="{FD3FB93A-B68A-4D6C-92BC-75A357EA4063}"/>
    <hyperlink ref="A430" r:id="rId1083" display="javascript:void(0)" xr:uid="{8024217F-383D-4CC1-BE87-D2F98EAD748B}"/>
    <hyperlink ref="C330" r:id="rId1084" display="https://auction.ikco.ir/auction/details/34?r=193" xr:uid="{9EE30B0B-589E-4655-A315-9D75A3EEED52}"/>
    <hyperlink ref="D330" r:id="rId1085" display="https://auction.ikco.ir/auction/details/34?r=193" xr:uid="{E3007B3F-1D03-4DED-AA23-F51C2EAFFAC2}"/>
    <hyperlink ref="A431" r:id="rId1086" display="javascript:void(0)" xr:uid="{3D8D8175-AE21-4783-ABF3-E88CEC2DEF69}"/>
    <hyperlink ref="C331" r:id="rId1087" display="https://auction.ikco.ir/auction/details/34?r=223" xr:uid="{37C6DFB7-22C1-49DA-B333-45DA8E799F2A}"/>
    <hyperlink ref="D331" r:id="rId1088" display="https://auction.ikco.ir/auction/details/34?r=223" xr:uid="{95974D8D-391C-473E-80F7-7C141A946C93}"/>
    <hyperlink ref="A432" r:id="rId1089" display="javascript:void(0)" xr:uid="{62EBE344-55E2-497C-B7F8-7D3A73C82931}"/>
    <hyperlink ref="C332" r:id="rId1090" display="https://auction.ikco.ir/auction/details/34?r=299" xr:uid="{6BE0324B-DCBF-42D0-AFBA-E8D4E78979E9}"/>
    <hyperlink ref="D332" r:id="rId1091" display="https://auction.ikco.ir/auction/details/34?r=299" xr:uid="{C86CE1B2-AEDA-44D1-BF0F-4618D6226CD7}"/>
    <hyperlink ref="A433" r:id="rId1092" display="javascript:void(0)" xr:uid="{55A0BDAD-827E-45AD-981B-DD5BAB9D6095}"/>
    <hyperlink ref="C333" r:id="rId1093" display="https://auction.ikco.ir/auction/details/34?r=362" xr:uid="{48518FCE-F649-4E45-88B3-8E92E88BB1DD}"/>
    <hyperlink ref="D333" r:id="rId1094" display="https://auction.ikco.ir/auction/details/34?r=362" xr:uid="{261C2BB7-768C-424E-87FF-7364C8F1C10B}"/>
    <hyperlink ref="A434" r:id="rId1095" display="javascript:void(0)" xr:uid="{666E4608-B6FB-475A-81DF-F65B553DFC97}"/>
    <hyperlink ref="C334" r:id="rId1096" display="https://auction.ikco.ir/auction/details/34?r=371" xr:uid="{E7907537-D192-4543-B098-373108625D4A}"/>
    <hyperlink ref="D334" r:id="rId1097" display="https://auction.ikco.ir/auction/details/34?r=371" xr:uid="{02ADC50E-8BF0-4A6E-9CB7-ED933B860A95}"/>
    <hyperlink ref="A435" r:id="rId1098" display="javascript:void(0)" xr:uid="{7A3402FA-6F0A-4927-8DC1-EB2907E64217}"/>
    <hyperlink ref="C335" r:id="rId1099" display="https://auction.ikco.ir/auction/details/34?r=373" xr:uid="{4E12ACBB-C4DF-41EB-9684-E7CE81EA5969}"/>
    <hyperlink ref="D335" r:id="rId1100" display="https://auction.ikco.ir/auction/details/34?r=373" xr:uid="{0A558D5F-DA8F-454A-A383-8076639B7BAD}"/>
    <hyperlink ref="A436" r:id="rId1101" display="javascript:void(0)" xr:uid="{8E0325D3-783F-4EC7-84C0-507FB3DF796B}"/>
    <hyperlink ref="C336" r:id="rId1102" display="https://auction.ikco.ir/auction/details/34?r=2" xr:uid="{2FD53103-1B4E-4B04-A55A-3FD803AE0001}"/>
    <hyperlink ref="D336" r:id="rId1103" display="https://auction.ikco.ir/auction/details/34?r=2" xr:uid="{E247A79A-649D-42F9-A27C-001447CCA643}"/>
    <hyperlink ref="A437" r:id="rId1104" display="javascript:void(0)" xr:uid="{F731F397-E61A-4FD5-8BCA-D6DFF21E6366}"/>
    <hyperlink ref="C337" r:id="rId1105" display="https://auction.ikco.ir/auction/details/34?r=28" xr:uid="{C12CD72E-DA1C-492F-B67F-5C50D21E6F7B}"/>
    <hyperlink ref="D337" r:id="rId1106" display="https://auction.ikco.ir/auction/details/34?r=28" xr:uid="{B766C062-CB5E-4FB1-8B39-8694D79EC676}"/>
    <hyperlink ref="A438" r:id="rId1107" display="javascript:void(0)" xr:uid="{964F7130-7579-458C-AEC8-5E57CA8E908E}"/>
    <hyperlink ref="C338" r:id="rId1108" display="https://auction.ikco.ir/auction/details/34?r=40" xr:uid="{EF8BC561-9E2C-4586-9C76-5E6AE7CB7A40}"/>
    <hyperlink ref="D338" r:id="rId1109" display="https://auction.ikco.ir/auction/details/34?r=40" xr:uid="{810162E6-8B2C-4165-A4D3-2049D80737B5}"/>
    <hyperlink ref="A439" r:id="rId1110" display="javascript:void(0)" xr:uid="{781E792C-52DE-463E-8043-CCA815EC69D3}"/>
    <hyperlink ref="C339" r:id="rId1111" display="https://auction.ikco.ir/auction/details/34?r=46" xr:uid="{B5A81195-C1CE-441D-B0D8-135CD7DFA8F1}"/>
    <hyperlink ref="D339" r:id="rId1112" display="https://auction.ikco.ir/auction/details/34?r=46" xr:uid="{E5F10121-D2B1-4B8C-8936-604C5C067020}"/>
    <hyperlink ref="A440" r:id="rId1113" display="javascript:void(0)" xr:uid="{3786385D-B492-4464-9221-DC502FF28FB6}"/>
    <hyperlink ref="C340" r:id="rId1114" display="https://auction.ikco.ir/auction/details/34?r=80" xr:uid="{5B8CDA04-C20C-48AB-AF5D-551DE392DBC9}"/>
    <hyperlink ref="D340" r:id="rId1115" display="https://auction.ikco.ir/auction/details/34?r=80" xr:uid="{09FC8B05-3FB1-4E01-97F3-3EB3D551F9CC}"/>
    <hyperlink ref="A441" r:id="rId1116" display="javascript:void(0)" xr:uid="{D6E3ACFA-B7F8-445F-BCC6-6B6D8AD4914E}"/>
    <hyperlink ref="C341" r:id="rId1117" display="https://auction.ikco.ir/auction/details/34?r=87" xr:uid="{8788E3F1-A881-44A7-AA29-629FF091A8E2}"/>
    <hyperlink ref="D341" r:id="rId1118" display="https://auction.ikco.ir/auction/details/34?r=87" xr:uid="{B8D1D0C6-DEBE-42CF-97D9-F508BE362FD7}"/>
    <hyperlink ref="A442" r:id="rId1119" display="javascript:void(0)" xr:uid="{3A4F9F8B-81F2-43AF-A819-AAE1A1086E0C}"/>
    <hyperlink ref="C342" r:id="rId1120" display="https://auction.ikco.ir/auction/details/34?r=91" xr:uid="{EBAD14B2-DC5A-4647-8E6F-4074C7A98F3C}"/>
    <hyperlink ref="D342" r:id="rId1121" display="https://auction.ikco.ir/auction/details/34?r=91" xr:uid="{481323A6-B8FA-4DEB-B883-51B11EFB003B}"/>
    <hyperlink ref="A443" r:id="rId1122" display="javascript:void(0)" xr:uid="{E40EA357-5F2D-48D1-A95A-C4E87FCED3CB}"/>
    <hyperlink ref="C343" r:id="rId1123" display="https://auction.ikco.ir/auction/details/34?r=93" xr:uid="{3DACC378-16C1-4C48-8957-534768C92A84}"/>
    <hyperlink ref="D343" r:id="rId1124" display="https://auction.ikco.ir/auction/details/34?r=93" xr:uid="{41FC45CE-C1F1-4E88-8391-0C4A173C3186}"/>
    <hyperlink ref="A444" r:id="rId1125" display="javascript:void(0)" xr:uid="{1099D17F-9A87-472D-A4BF-FE3F322F8EA8}"/>
    <hyperlink ref="C344" r:id="rId1126" display="https://auction.ikco.ir/auction/details/34?r=125" xr:uid="{78DE73EA-1937-4CE8-ABB8-5E0F21619DE0}"/>
    <hyperlink ref="D344" r:id="rId1127" display="https://auction.ikco.ir/auction/details/34?r=125" xr:uid="{32FB47B6-D324-42B2-B405-65A5AB65EC55}"/>
    <hyperlink ref="A445" r:id="rId1128" display="javascript:void(0)" xr:uid="{EF01179D-0106-4672-8ACF-A74A871D9A56}"/>
    <hyperlink ref="C345" r:id="rId1129" display="https://auction.ikco.ir/auction/details/34?r=138" xr:uid="{85AAA9CF-0EAC-41AE-82EE-B80E42652AE9}"/>
    <hyperlink ref="D345" r:id="rId1130" display="https://auction.ikco.ir/auction/details/34?r=138" xr:uid="{C967F3CA-BDA7-4D3D-BA06-6B7BD5D1B1DC}"/>
    <hyperlink ref="A446" r:id="rId1131" display="javascript:void(0)" xr:uid="{87197B4E-20FD-4949-852A-342102A74E5C}"/>
    <hyperlink ref="C346" r:id="rId1132" display="https://auction.ikco.ir/auction/details/34?r=152" xr:uid="{DDDFD3D5-F89E-44EA-A7AE-8A5F307ABCC1}"/>
    <hyperlink ref="D346" r:id="rId1133" display="https://auction.ikco.ir/auction/details/34?r=152" xr:uid="{F0BBD04B-E0DC-403B-9DF3-769461603D33}"/>
    <hyperlink ref="A447" r:id="rId1134" display="javascript:void(0)" xr:uid="{FA138E83-E76A-4481-9B77-0134F3D5EAAC}"/>
    <hyperlink ref="C347" r:id="rId1135" display="https://auction.ikco.ir/auction/details/34?r=153" xr:uid="{E5DBD393-84A1-4CA4-A71B-B3B36ACE9927}"/>
    <hyperlink ref="D347" r:id="rId1136" display="https://auction.ikco.ir/auction/details/34?r=153" xr:uid="{BD30ECE2-ECCF-4378-88C6-00471065B28B}"/>
    <hyperlink ref="A448" r:id="rId1137" display="javascript:void(0)" xr:uid="{5EC316F2-42E8-4BD3-88EF-A1F5C4961D16}"/>
    <hyperlink ref="C348" r:id="rId1138" display="https://auction.ikco.ir/auction/details/34?r=178" xr:uid="{4FB8CD6B-7B68-470E-8044-D1EBED85CED9}"/>
    <hyperlink ref="D348" r:id="rId1139" display="https://auction.ikco.ir/auction/details/34?r=178" xr:uid="{ECD6D70C-E6FE-4AA9-92A9-1261AD5DA310}"/>
    <hyperlink ref="A449" r:id="rId1140" display="javascript:void(0)" xr:uid="{D52E710A-7683-4D6D-BCAC-74D95348406D}"/>
    <hyperlink ref="C349" r:id="rId1141" display="https://auction.ikco.ir/auction/details/34?r=185" xr:uid="{664CE5A1-DCCC-48BE-BA35-9FC02AC84A50}"/>
    <hyperlink ref="D349" r:id="rId1142" display="https://auction.ikco.ir/auction/details/34?r=185" xr:uid="{FF6816AD-BD63-40FA-9F2D-DB06DE8D8279}"/>
    <hyperlink ref="A450" r:id="rId1143" display="javascript:void(0)" xr:uid="{4B003FC3-BB37-4CEF-B07B-F18A815027BA}"/>
    <hyperlink ref="C350" r:id="rId1144" display="https://auction.ikco.ir/auction/details/34?r=218" xr:uid="{1E64F097-2432-4B76-840C-4E21F8E81C33}"/>
    <hyperlink ref="D350" r:id="rId1145" display="https://auction.ikco.ir/auction/details/34?r=218" xr:uid="{E26CFFB6-E8FD-46CD-AA56-3073981BD44D}"/>
    <hyperlink ref="A451" r:id="rId1146" display="javascript:void(0)" xr:uid="{B4364CFB-F619-48FA-B94A-7C378DB74BD6}"/>
    <hyperlink ref="C351" r:id="rId1147" display="https://auction.ikco.ir/auction/details/34?r=221" xr:uid="{A6621B83-AADB-4430-A018-30611A041868}"/>
    <hyperlink ref="D351" r:id="rId1148" display="https://auction.ikco.ir/auction/details/34?r=221" xr:uid="{9EB35429-9D98-459D-BBC0-D516BA4E9F03}"/>
    <hyperlink ref="A452" r:id="rId1149" display="javascript:void(0)" xr:uid="{E9269361-7F30-4103-A83E-8727DAD2DCC4}"/>
    <hyperlink ref="C352" r:id="rId1150" display="https://auction.ikco.ir/auction/details/34?r=224" xr:uid="{99D2FF9F-5905-474C-A021-8D979F37FC81}"/>
    <hyperlink ref="D352" r:id="rId1151" display="https://auction.ikco.ir/auction/details/34?r=224" xr:uid="{FE9D5E0B-279E-4276-AAF1-B9924604D142}"/>
    <hyperlink ref="A453" r:id="rId1152" display="javascript:void(0)" xr:uid="{DB15EE37-E790-42E2-9E39-C0696D90F9D1}"/>
    <hyperlink ref="C353" r:id="rId1153" display="https://auction.ikco.ir/auction/details/34?r=225" xr:uid="{5FAE47E9-2775-4E90-B517-854A18945B78}"/>
    <hyperlink ref="D353" r:id="rId1154" display="https://auction.ikco.ir/auction/details/34?r=225" xr:uid="{13DB38F4-6C98-4CF2-AAFD-B94B4624612F}"/>
    <hyperlink ref="A454" r:id="rId1155" display="javascript:void(0)" xr:uid="{57D0DF92-A02B-4A46-9325-4D9917AC9910}"/>
    <hyperlink ref="C354" r:id="rId1156" display="https://auction.ikco.ir/auction/details/34?r=240" xr:uid="{BCC47782-320E-44A0-B628-471568AA0DC3}"/>
    <hyperlink ref="D354" r:id="rId1157" display="https://auction.ikco.ir/auction/details/34?r=240" xr:uid="{349E496F-0892-42F3-BC40-D50DE7ABFA67}"/>
    <hyperlink ref="A455" r:id="rId1158" display="javascript:void(0)" xr:uid="{927FDC64-970D-40C7-AFCD-24BFAD76BF4E}"/>
    <hyperlink ref="C355" r:id="rId1159" display="https://auction.ikco.ir/auction/details/34?r=298" xr:uid="{7BE14652-85F6-43B2-942D-7A04A9374532}"/>
    <hyperlink ref="D355" r:id="rId1160" display="https://auction.ikco.ir/auction/details/34?r=298" xr:uid="{0174D538-A643-4F29-8A81-BBE5BD852CD4}"/>
    <hyperlink ref="A456" r:id="rId1161" display="javascript:void(0)" xr:uid="{A767D3B9-69BF-488F-BDE5-7F831C4C86BF}"/>
    <hyperlink ref="C356" r:id="rId1162" display="https://auction.ikco.ir/auction/details/34?r=366" xr:uid="{53A800A7-C4C0-4773-B387-CD1EA4916C7B}"/>
    <hyperlink ref="D356" r:id="rId1163" display="https://auction.ikco.ir/auction/details/34?r=366" xr:uid="{DEDFAD92-A9C2-4856-AF89-2248DC365E13}"/>
    <hyperlink ref="A457" r:id="rId1164" display="javascript:void(0)" xr:uid="{B212F3E8-F952-41C2-BA38-46A9116A19B1}"/>
    <hyperlink ref="C357" r:id="rId1165" display="https://auction.ikco.ir/auction/details/34?r=405" xr:uid="{7395C6DC-6B98-448E-B11D-8A0A993516F7}"/>
    <hyperlink ref="D357" r:id="rId1166" display="https://auction.ikco.ir/auction/details/34?r=405" xr:uid="{7F4D942A-2240-4C8D-8C9A-313AA5B78753}"/>
    <hyperlink ref="A458" r:id="rId1167" display="javascript:void(0)" xr:uid="{4DB033F3-E1F3-4D73-A18B-1E609B43BFF9}"/>
    <hyperlink ref="C358" r:id="rId1168" display="https://auction.ikco.ir/auction/details/34?r=47" xr:uid="{3BC778AE-423C-43BA-8EB6-EDF901AEF38C}"/>
    <hyperlink ref="D358" r:id="rId1169" display="https://auction.ikco.ir/auction/details/34?r=47" xr:uid="{DAAA3FDD-D309-4E6F-B639-51B2E84DC969}"/>
    <hyperlink ref="A459" r:id="rId1170" display="javascript:void(0)" xr:uid="{4F57159E-F369-40BC-A2C7-B963A4AE9364}"/>
    <hyperlink ref="C359" r:id="rId1171" display="https://auction.ikco.ir/auction/details/34?r=59" xr:uid="{3F99CDC5-37A7-4FE4-8936-793DED865710}"/>
    <hyperlink ref="D359" r:id="rId1172" display="https://auction.ikco.ir/auction/details/34?r=59" xr:uid="{54F615A8-D6CC-4D96-A245-A14A88820335}"/>
    <hyperlink ref="A460" r:id="rId1173" display="javascript:void(0)" xr:uid="{DED0B096-0BAA-49E6-8D44-2BFC32038F89}"/>
    <hyperlink ref="C360" r:id="rId1174" display="https://auction.ikco.ir/auction/details/34?r=74" xr:uid="{C4CBC42D-E42D-4C4D-BB0E-08D62F8328E7}"/>
    <hyperlink ref="D360" r:id="rId1175" display="https://auction.ikco.ir/auction/details/34?r=74" xr:uid="{F9540B1D-3698-43D2-961A-C4E6C81F2BBB}"/>
    <hyperlink ref="A461" r:id="rId1176" display="javascript:void(0)" xr:uid="{F1B4F9A8-E144-4C56-A56B-38FF5418EE09}"/>
    <hyperlink ref="C361" r:id="rId1177" display="https://auction.ikco.ir/auction/details/34?r=75" xr:uid="{EFD8E490-1827-48FB-9C7F-FB6A45D4D659}"/>
    <hyperlink ref="D361" r:id="rId1178" display="https://auction.ikco.ir/auction/details/34?r=75" xr:uid="{F28AEE99-9651-4178-90E0-6717E7ED29FA}"/>
    <hyperlink ref="A462" r:id="rId1179" display="javascript:void(0)" xr:uid="{0E888018-CA3A-4F87-9AB8-0DC7F3DFDEB2}"/>
    <hyperlink ref="C362" r:id="rId1180" display="https://auction.ikco.ir/auction/details/34?r=88" xr:uid="{0FE69020-7347-4D0B-A0D8-62DD21896A11}"/>
    <hyperlink ref="D362" r:id="rId1181" display="https://auction.ikco.ir/auction/details/34?r=88" xr:uid="{34764B39-FD76-46D0-B60C-BE9A722941B4}"/>
    <hyperlink ref="A463" r:id="rId1182" display="javascript:void(0)" xr:uid="{AAB17A60-42AA-473C-8C5C-CA2A7C656807}"/>
    <hyperlink ref="C363" r:id="rId1183" display="https://auction.ikco.ir/auction/details/34?r=113" xr:uid="{2688BD72-781C-4B22-AF3C-FBE78E0A30B3}"/>
    <hyperlink ref="D363" r:id="rId1184" display="https://auction.ikco.ir/auction/details/34?r=113" xr:uid="{DBF65537-B5FE-45C6-91C1-0AA60730711E}"/>
    <hyperlink ref="A464" r:id="rId1185" display="javascript:void(0)" xr:uid="{AC483B1B-8317-4857-8E66-09C5BB1CBEFB}"/>
    <hyperlink ref="C364" r:id="rId1186" display="https://auction.ikco.ir/auction/details/34?r=163" xr:uid="{98BB8B48-0811-4F94-8147-223B42856D54}"/>
    <hyperlink ref="D364" r:id="rId1187" display="https://auction.ikco.ir/auction/details/34?r=163" xr:uid="{FCD0C7DE-04C3-46BB-A23D-22A024114F8C}"/>
    <hyperlink ref="A465" r:id="rId1188" display="javascript:void(0)" xr:uid="{300D532D-6997-4B01-BDEF-BAA18C179694}"/>
    <hyperlink ref="C365" r:id="rId1189" display="https://auction.ikco.ir/auction/details/34?r=189" xr:uid="{FE7CAE82-1A12-4082-A917-9F275C73F7CB}"/>
    <hyperlink ref="D365" r:id="rId1190" display="https://auction.ikco.ir/auction/details/34?r=189" xr:uid="{26A4C39B-9EE4-4839-8371-C6284CBE3FC4}"/>
    <hyperlink ref="A466" r:id="rId1191" display="javascript:void(0)" xr:uid="{DA0B8468-E4B1-44DB-A4BF-861A5CAA77C8}"/>
    <hyperlink ref="C366" r:id="rId1192" display="https://auction.ikco.ir/auction/details/34?r=195" xr:uid="{B841EE62-03CF-48D0-9030-A41BEE187271}"/>
    <hyperlink ref="D366" r:id="rId1193" display="https://auction.ikco.ir/auction/details/34?r=195" xr:uid="{2F092E6B-2F8E-4D47-8672-A07A96B81C9B}"/>
    <hyperlink ref="A467" r:id="rId1194" display="javascript:void(0)" xr:uid="{D338BEDC-DBA0-4CBD-96A6-A298D0BA456D}"/>
    <hyperlink ref="C367" r:id="rId1195" display="https://auction.ikco.ir/auction/details/34?r=237" xr:uid="{87FC3018-641E-4CCE-9116-E8C2EC57D635}"/>
    <hyperlink ref="D367" r:id="rId1196" display="https://auction.ikco.ir/auction/details/34?r=237" xr:uid="{683E4D63-7290-4DB0-9393-9593998A4056}"/>
    <hyperlink ref="A468" r:id="rId1197" display="javascript:void(0)" xr:uid="{F4212E1B-A7CF-410B-9131-0E5CBBBC4F46}"/>
    <hyperlink ref="C368" r:id="rId1198" display="https://auction.ikco.ir/auction/details/34?r=266" xr:uid="{AB214336-D6A9-4E75-B204-4A23B2BF6F57}"/>
    <hyperlink ref="D368" r:id="rId1199" display="https://auction.ikco.ir/auction/details/34?r=266" xr:uid="{CAEF30CD-741E-4D4E-ADE8-F3A130EB7AC9}"/>
    <hyperlink ref="A469" r:id="rId1200" display="javascript:void(0)" xr:uid="{E800E313-AC34-482E-A368-D37D92534D76}"/>
    <hyperlink ref="C369" r:id="rId1201" display="https://auction.ikco.ir/auction/details/34?r=283" xr:uid="{255B34BB-CBEE-4747-9070-25C6F0560B0A}"/>
    <hyperlink ref="D369" r:id="rId1202" display="https://auction.ikco.ir/auction/details/34?r=283" xr:uid="{1482B997-6E0B-4D69-B2AB-654C8187C5C2}"/>
    <hyperlink ref="A470" r:id="rId1203" display="javascript:void(0)" xr:uid="{F70FE6D7-0F37-4271-B771-015A41F22E10}"/>
    <hyperlink ref="C370" r:id="rId1204" display="https://auction.ikco.ir/auction/details/34?r=297" xr:uid="{A6C80D2A-BDEF-4879-BDC1-E756B278DC3C}"/>
    <hyperlink ref="D370" r:id="rId1205" display="https://auction.ikco.ir/auction/details/34?r=297" xr:uid="{521E5696-F51D-4134-B1EB-0A01F61C3B7D}"/>
    <hyperlink ref="A471" r:id="rId1206" display="javascript:void(0)" xr:uid="{0024BB5E-2778-4F34-A806-4FBD4CE9543B}"/>
    <hyperlink ref="C371" r:id="rId1207" display="https://auction.ikco.ir/auction/details/34?r=304" xr:uid="{CD298E69-1583-4D7B-98BA-90FE87F10099}"/>
    <hyperlink ref="D371" r:id="rId1208" display="https://auction.ikco.ir/auction/details/34?r=304" xr:uid="{442C3857-AFB4-4540-85FC-179DEA1A14F3}"/>
    <hyperlink ref="A472" r:id="rId1209" display="javascript:void(0)" xr:uid="{9CE4C76B-5C9F-4C79-B90C-73AEBA2E817C}"/>
    <hyperlink ref="C372" r:id="rId1210" display="https://auction.ikco.ir/auction/details/34?r=325" xr:uid="{48E81601-6A44-4657-91BE-0141C49BB49D}"/>
    <hyperlink ref="D372" r:id="rId1211" display="https://auction.ikco.ir/auction/details/34?r=325" xr:uid="{5F24211A-9454-40DD-8A6D-93D2CFE4E795}"/>
    <hyperlink ref="A473" r:id="rId1212" display="javascript:void(0)" xr:uid="{4D2ED0A8-4985-41A1-A1EA-A126028874BF}"/>
    <hyperlink ref="C373" r:id="rId1213" display="https://auction.ikco.ir/auction/details/34?r=333" xr:uid="{6904E7EF-D4E6-4418-90CA-7135E5AB7A89}"/>
    <hyperlink ref="D373" r:id="rId1214" display="https://auction.ikco.ir/auction/details/34?r=333" xr:uid="{EDBA8C29-2A47-408A-94C5-4361261513D4}"/>
    <hyperlink ref="A474" r:id="rId1215" display="javascript:void(0)" xr:uid="{3331391C-7832-4AFB-862F-4019C32F60AB}"/>
    <hyperlink ref="C374" r:id="rId1216" display="https://auction.ikco.ir/auction/details/34?r=1" xr:uid="{E5EB9A20-9AD7-478E-BBB3-8DCBC1B00A6C}"/>
    <hyperlink ref="D374" r:id="rId1217" display="https://auction.ikco.ir/auction/details/34?r=1" xr:uid="{FFB48118-F5AF-4837-ADF1-37B60CAC1ABE}"/>
    <hyperlink ref="A475" r:id="rId1218" display="javascript:void(0)" xr:uid="{2F6C78EF-7EFB-412D-B1B1-F701030C7E28}"/>
    <hyperlink ref="C375" r:id="rId1219" display="https://auction.ikco.ir/auction/details/34?r=6" xr:uid="{1D4E1C76-1C3F-49AF-AADF-D42A7EEA3B98}"/>
    <hyperlink ref="D375" r:id="rId1220" display="https://auction.ikco.ir/auction/details/34?r=6" xr:uid="{A8DD66A9-8682-4B7D-A75C-83D1715AEE99}"/>
    <hyperlink ref="A476" r:id="rId1221" display="javascript:void(0)" xr:uid="{872543E5-37BC-4EFB-AF5E-71CF73137701}"/>
    <hyperlink ref="C376" r:id="rId1222" display="https://auction.ikco.ir/auction/details/34?r=7" xr:uid="{DB61EBEC-C3AD-413D-807B-D2B05FE6CB28}"/>
    <hyperlink ref="D376" r:id="rId1223" display="https://auction.ikco.ir/auction/details/34?r=7" xr:uid="{4A28C28F-CE59-4E63-8BF1-E3B3D1B6DA93}"/>
    <hyperlink ref="A477" r:id="rId1224" display="javascript:void(0)" xr:uid="{7EF7B96D-F04D-44B4-AE64-B86646C05CB6}"/>
    <hyperlink ref="C377" r:id="rId1225" display="https://auction.ikco.ir/auction/details/34?r=22" xr:uid="{AED13400-4519-4AD7-BAB6-602D5422625A}"/>
    <hyperlink ref="D377" r:id="rId1226" display="https://auction.ikco.ir/auction/details/34?r=22" xr:uid="{32626C00-0308-4238-8F18-E94AEBCCD6EC}"/>
    <hyperlink ref="A478" r:id="rId1227" display="javascript:void(0)" xr:uid="{0E64122A-5FED-48AD-98D2-E22B7BC59C00}"/>
    <hyperlink ref="C378" r:id="rId1228" display="https://auction.ikco.ir/auction/details/34?r=24" xr:uid="{08B17390-1F76-40A6-8F92-F48B8E0A1152}"/>
    <hyperlink ref="D378" r:id="rId1229" display="https://auction.ikco.ir/auction/details/34?r=24" xr:uid="{F37B453D-98EE-4E26-8B11-EE3563816023}"/>
    <hyperlink ref="A479" r:id="rId1230" display="javascript:void(0)" xr:uid="{4DD5C2C5-6B98-4906-B5B2-A39FA36A3BE8}"/>
    <hyperlink ref="C379" r:id="rId1231" display="https://auction.ikco.ir/auction/details/34?r=25" xr:uid="{58F08968-6BCC-489B-AB2F-C92432F07918}"/>
    <hyperlink ref="D379" r:id="rId1232" display="https://auction.ikco.ir/auction/details/34?r=25" xr:uid="{A6FB8B77-B115-4EC4-992E-7909BFC48210}"/>
    <hyperlink ref="A480" r:id="rId1233" display="javascript:void(0)" xr:uid="{11DA1372-834B-415A-B169-07ACA06BA971}"/>
    <hyperlink ref="C380" r:id="rId1234" display="https://auction.ikco.ir/auction/details/34?r=27" xr:uid="{EB25E5BA-728A-473E-B57A-CF6F038E5D6D}"/>
    <hyperlink ref="D380" r:id="rId1235" display="https://auction.ikco.ir/auction/details/34?r=27" xr:uid="{A7B13EAB-8BEB-49F1-9F46-2FE261472A0C}"/>
    <hyperlink ref="A481" r:id="rId1236" display="javascript:void(0)" xr:uid="{D94815FC-B439-44C7-A903-4395566A547F}"/>
    <hyperlink ref="C381" r:id="rId1237" display="https://auction.ikco.ir/auction/details/34?r=31" xr:uid="{04F5116E-0A5A-44EC-A350-940727700627}"/>
    <hyperlink ref="D381" r:id="rId1238" display="https://auction.ikco.ir/auction/details/34?r=31" xr:uid="{FC43B6D0-B359-43A5-BFAA-C8A8D8658849}"/>
    <hyperlink ref="A482" r:id="rId1239" display="javascript:void(0)" xr:uid="{3C97A17E-4A9E-43B4-A2C2-2F722AE4D923}"/>
    <hyperlink ref="C382" r:id="rId1240" display="https://auction.ikco.ir/auction/details/34?r=33" xr:uid="{092D05FD-33C8-4BDA-98CD-9F92F92C57DB}"/>
    <hyperlink ref="D382" r:id="rId1241" display="https://auction.ikco.ir/auction/details/34?r=33" xr:uid="{A6B506E8-DB87-425C-9BB9-0716E77C1F13}"/>
    <hyperlink ref="A483" r:id="rId1242" display="javascript:void(0)" xr:uid="{E47A98D9-8DE7-4B1F-A6FA-9FA892DE693B}"/>
    <hyperlink ref="C383" r:id="rId1243" display="https://auction.ikco.ir/auction/details/34?r=35" xr:uid="{3E4B0300-E891-4C9A-859A-FE1612BA6B3C}"/>
    <hyperlink ref="D383" r:id="rId1244" display="https://auction.ikco.ir/auction/details/34?r=35" xr:uid="{0C68D96A-1076-4BD8-9377-479CC716A419}"/>
    <hyperlink ref="A484" r:id="rId1245" display="javascript:void(0)" xr:uid="{AC7E4B3D-E4A6-421F-84DC-6AB483427EDE}"/>
    <hyperlink ref="C384" r:id="rId1246" display="https://auction.ikco.ir/auction/details/34?r=38" xr:uid="{442B528A-2741-4CCE-9865-3CB9D5DB760E}"/>
    <hyperlink ref="D384" r:id="rId1247" display="https://auction.ikco.ir/auction/details/34?r=38" xr:uid="{68A089D5-8096-4890-9E4A-791CA6A6F7DB}"/>
    <hyperlink ref="A485" r:id="rId1248" display="javascript:void(0)" xr:uid="{49B9C633-3191-436B-AA01-623865E8FF9D}"/>
    <hyperlink ref="C385" r:id="rId1249" display="https://auction.ikco.ir/auction/details/34?r=39" xr:uid="{1740532C-434B-4443-9897-3A913308AD8A}"/>
    <hyperlink ref="D385" r:id="rId1250" display="https://auction.ikco.ir/auction/details/34?r=39" xr:uid="{68A9AB38-BA06-42FC-9D7E-6E2E79504E99}"/>
    <hyperlink ref="A486" r:id="rId1251" display="javascript:void(0)" xr:uid="{AA6C797A-D344-4DC0-BC86-71A926797B66}"/>
    <hyperlink ref="C386" r:id="rId1252" display="https://auction.ikco.ir/auction/details/34?r=53" xr:uid="{2CE17235-C506-492A-BCAD-E3A5B34615D1}"/>
    <hyperlink ref="D386" r:id="rId1253" display="https://auction.ikco.ir/auction/details/34?r=53" xr:uid="{B4CE0087-F7B9-483A-AD8F-75CCF9243277}"/>
    <hyperlink ref="A487" r:id="rId1254" display="javascript:void(0)" xr:uid="{059AAF85-3333-4FBA-A220-7AD42250BC9E}"/>
    <hyperlink ref="C387" r:id="rId1255" display="https://auction.ikco.ir/auction/details/34?r=60" xr:uid="{0E867D28-4680-4E26-ABBD-929793E268C2}"/>
    <hyperlink ref="D387" r:id="rId1256" display="https://auction.ikco.ir/auction/details/34?r=60" xr:uid="{47BA0612-4399-4A55-8BE3-D81379DEE7D0}"/>
    <hyperlink ref="A488" r:id="rId1257" display="javascript:void(0)" xr:uid="{157FD797-3B36-48C0-B7AC-674EBEA74D77}"/>
    <hyperlink ref="C388" r:id="rId1258" display="https://auction.ikco.ir/auction/details/34?r=62" xr:uid="{41763E52-4EE3-4FC2-9413-1E4A1D7FF9D5}"/>
    <hyperlink ref="D388" r:id="rId1259" display="https://auction.ikco.ir/auction/details/34?r=62" xr:uid="{5D25A8F9-AF50-49DB-83D4-F6B2ABD18F8E}"/>
    <hyperlink ref="A489" r:id="rId1260" display="javascript:void(0)" xr:uid="{26E01FED-F719-47B8-9EF4-16414C897BD2}"/>
    <hyperlink ref="C389" r:id="rId1261" display="https://auction.ikco.ir/auction/details/34?r=68" xr:uid="{458EB763-49EA-4008-8235-A053A5715A0B}"/>
    <hyperlink ref="D389" r:id="rId1262" display="https://auction.ikco.ir/auction/details/34?r=68" xr:uid="{786390E3-ECB7-4A5B-AFA7-561D34873313}"/>
    <hyperlink ref="A490" r:id="rId1263" display="javascript:void(0)" xr:uid="{3D773779-69C9-463E-AF08-9AD14A778349}"/>
    <hyperlink ref="C390" r:id="rId1264" display="https://auction.ikco.ir/auction/details/34?r=69" xr:uid="{455465EA-96AD-4415-A15A-EA40BC597368}"/>
    <hyperlink ref="D390" r:id="rId1265" display="https://auction.ikco.ir/auction/details/34?r=69" xr:uid="{EB8AF033-8293-4F2B-B1A1-AF61E2FAF6D2}"/>
    <hyperlink ref="A491" r:id="rId1266" display="javascript:void(0)" xr:uid="{2932D028-E63C-4EDC-ABAB-C2ED2832CAE0}"/>
    <hyperlink ref="C391" r:id="rId1267" display="https://auction.ikco.ir/auction/details/34?r=89" xr:uid="{9B53C09F-ECF9-457D-92F6-23ADF3EDDEBA}"/>
    <hyperlink ref="D391" r:id="rId1268" display="https://auction.ikco.ir/auction/details/34?r=89" xr:uid="{FF64D34E-CC63-4824-B4B8-524AC258081C}"/>
    <hyperlink ref="A492" r:id="rId1269" display="javascript:void(0)" xr:uid="{F060F1F9-C607-40DE-8BC8-C849ECF2358A}"/>
    <hyperlink ref="C392" r:id="rId1270" display="https://auction.ikco.ir/auction/details/34?r=96" xr:uid="{C4F7347D-4944-43D5-B2A2-91302058275B}"/>
    <hyperlink ref="D392" r:id="rId1271" display="https://auction.ikco.ir/auction/details/34?r=96" xr:uid="{BDFE0AD5-32D8-4230-A5F8-676BED7952FB}"/>
    <hyperlink ref="A493" r:id="rId1272" display="javascript:void(0)" xr:uid="{456E7501-4F26-46E1-87CD-0DEC9B065B64}"/>
    <hyperlink ref="C393" r:id="rId1273" display="https://auction.ikco.ir/auction/details/34?r=99" xr:uid="{B5B84DE6-9454-43FB-AE89-50BC5F85622D}"/>
    <hyperlink ref="D393" r:id="rId1274" display="https://auction.ikco.ir/auction/details/34?r=99" xr:uid="{47B87D8C-33B4-4754-B735-D69DE702250D}"/>
    <hyperlink ref="A494" r:id="rId1275" display="javascript:void(0)" xr:uid="{2E6C76F8-A41B-4DA3-884F-38576F7F9A73}"/>
    <hyperlink ref="C394" r:id="rId1276" display="https://auction.ikco.ir/auction/details/34?r=108" xr:uid="{4B724455-4496-48B6-BC1E-6286D9EC98C7}"/>
    <hyperlink ref="D394" r:id="rId1277" display="https://auction.ikco.ir/auction/details/34?r=108" xr:uid="{E8A5FB5A-7937-4B80-8CAB-09DC5F9C1D9A}"/>
    <hyperlink ref="A495" r:id="rId1278" display="javascript:void(0)" xr:uid="{77C49898-3AD2-478D-89F6-09E68921E5EA}"/>
    <hyperlink ref="C395" r:id="rId1279" display="https://auction.ikco.ir/auction/details/34?r=116" xr:uid="{43FEE8C7-3F7C-46DD-A135-A373986CD148}"/>
    <hyperlink ref="D395" r:id="rId1280" display="https://auction.ikco.ir/auction/details/34?r=116" xr:uid="{2F7C79FF-0850-4E1F-A89E-944CC61D051D}"/>
    <hyperlink ref="A496" r:id="rId1281" display="javascript:void(0)" xr:uid="{2D50BBF3-C5E5-438C-8391-1D72BC3789EB}"/>
    <hyperlink ref="C396" r:id="rId1282" display="https://auction.ikco.ir/auction/details/34?r=127" xr:uid="{95730E11-9E11-4190-9E13-0D29A22739C6}"/>
    <hyperlink ref="D396" r:id="rId1283" display="https://auction.ikco.ir/auction/details/34?r=127" xr:uid="{89FDBD22-8855-4AF4-9818-3A233FB81070}"/>
    <hyperlink ref="A497" r:id="rId1284" display="javascript:void(0)" xr:uid="{B31CC092-0E14-45A0-A592-E0FB1AEAC5C0}"/>
    <hyperlink ref="C397" r:id="rId1285" display="https://auction.ikco.ir/auction/details/34?r=130" xr:uid="{FBD02B38-AFE2-4E2C-BB16-C3A9500593CD}"/>
    <hyperlink ref="D397" r:id="rId1286" display="https://auction.ikco.ir/auction/details/34?r=130" xr:uid="{FC8B8711-25F5-401D-9AF5-0EDEFD0DD7A3}"/>
    <hyperlink ref="A498" r:id="rId1287" display="javascript:void(0)" xr:uid="{98AAF104-9F2F-4399-8E35-4CBC73614FD1}"/>
    <hyperlink ref="C398" r:id="rId1288" display="https://auction.ikco.ir/auction/details/34?r=131" xr:uid="{DCD8B867-DB78-42E7-90AE-3AD5754B145E}"/>
    <hyperlink ref="D398" r:id="rId1289" display="https://auction.ikco.ir/auction/details/34?r=131" xr:uid="{497C01F1-4FF7-45E8-B9C4-9D6D9A8F94AE}"/>
    <hyperlink ref="A499" r:id="rId1290" display="javascript:void(0)" xr:uid="{004AB171-8637-42F3-A5D1-DF2D3DADF8B5}"/>
    <hyperlink ref="C399" r:id="rId1291" display="https://auction.ikco.ir/auction/details/34?r=133" xr:uid="{DC3ADF45-53B1-41CA-8886-64105D0F6129}"/>
    <hyperlink ref="D399" r:id="rId1292" display="https://auction.ikco.ir/auction/details/34?r=133" xr:uid="{112FB57F-4C2C-42BF-AC60-F77C048EB155}"/>
    <hyperlink ref="A500" r:id="rId1293" display="javascript:void(0)" xr:uid="{74FF82BA-4E12-44D4-9853-678E44EF5A13}"/>
    <hyperlink ref="C400" r:id="rId1294" display="https://auction.ikco.ir/auction/details/34?r=141" xr:uid="{6F0F6283-4879-4DC3-8E36-8866815DF52E}"/>
    <hyperlink ref="D400" r:id="rId1295" display="https://auction.ikco.ir/auction/details/34?r=141" xr:uid="{62C063C3-0568-44D9-B8E2-0B9A4A62A626}"/>
    <hyperlink ref="C401" r:id="rId1296" display="https://auction.ikco.ir/auction/details/34?r=186" xr:uid="{B656D5EC-9887-4826-9EA1-48166857E586}"/>
    <hyperlink ref="D401" r:id="rId1297" display="https://auction.ikco.ir/auction/details/34?r=186" xr:uid="{AAB19795-C098-4E99-9CDD-66033E233348}"/>
    <hyperlink ref="A502" r:id="rId1298" display="javascript:void(0)" xr:uid="{E06BFED2-3632-4CCE-A752-C29FA89A889E}"/>
    <hyperlink ref="C402" r:id="rId1299" display="https://auction.ikco.ir/auction/details/34?r=203" xr:uid="{9110801D-4BA7-4C55-B703-7491691C0F82}"/>
    <hyperlink ref="D402" r:id="rId1300" display="https://auction.ikco.ir/auction/details/34?r=203" xr:uid="{B2ACB2BF-FE77-475C-9348-6D5DB9879106}"/>
    <hyperlink ref="A503" r:id="rId1301" display="javascript:void(0)" xr:uid="{7141F9D7-B00F-4808-8972-82B819065603}"/>
    <hyperlink ref="C403" r:id="rId1302" display="https://auction.ikco.ir/auction/details/34?r=205" xr:uid="{A718B285-BA5B-4274-9C18-37C37B0BEC13}"/>
    <hyperlink ref="D403" r:id="rId1303" display="https://auction.ikco.ir/auction/details/34?r=205" xr:uid="{B9074D52-CEF8-4632-ADA3-CD42581770CB}"/>
    <hyperlink ref="A504" r:id="rId1304" display="javascript:void(0)" xr:uid="{1167B34A-9182-4622-88A4-15B69FC972DA}"/>
    <hyperlink ref="C404" r:id="rId1305" display="https://auction.ikco.ir/auction/details/34?r=209" xr:uid="{22442761-57FE-425F-A0D2-135DB90BA9D4}"/>
    <hyperlink ref="D404" r:id="rId1306" display="https://auction.ikco.ir/auction/details/34?r=209" xr:uid="{CF2B8627-B476-4135-BB24-D8999118F431}"/>
    <hyperlink ref="A505" r:id="rId1307" display="javascript:void(0)" xr:uid="{6A2433CA-C0C8-48A6-8D76-2B29C5231A9F}"/>
    <hyperlink ref="C405" r:id="rId1308" display="https://auction.ikco.ir/auction/details/34?r=385" xr:uid="{37FCD0AD-CA20-4AA8-97C0-EF28A9796398}"/>
    <hyperlink ref="D405" r:id="rId1309" display="https://auction.ikco.ir/auction/details/34?r=385" xr:uid="{2E005939-373B-48E8-92B1-CF4D9E864D04}"/>
    <hyperlink ref="A506" r:id="rId1310" display="javascript:void(0)" xr:uid="{08337FBF-D27B-454B-80B2-1DFB2A3F4D44}"/>
    <hyperlink ref="C406" r:id="rId1311" display="https://auction.ikco.ir/auction/details/34?r=389" xr:uid="{AB8A8C9B-569C-4BC9-8DE6-86A8DFADC74C}"/>
    <hyperlink ref="D406" r:id="rId1312" display="https://auction.ikco.ir/auction/details/34?r=389" xr:uid="{E3441EA2-4626-4AC2-83C7-CF617905C5B0}"/>
    <hyperlink ref="A507" r:id="rId1313" display="javascript:void(0)" xr:uid="{A279BA8C-4C64-45FF-8A0D-CDE0F9799C78}"/>
    <hyperlink ref="C407" r:id="rId1314" display="https://auction.ikco.ir/auction/details/34?r=3" xr:uid="{1580EE34-4FF1-4B79-8AF0-987981D02859}"/>
    <hyperlink ref="D407" r:id="rId1315" display="https://auction.ikco.ir/auction/details/34?r=3" xr:uid="{F7E81FE9-B66B-4492-9658-7AB853AF8594}"/>
    <hyperlink ref="A508" r:id="rId1316" display="javascript:void(0)" xr:uid="{A07C2977-843B-4E57-957E-195D742F17C2}"/>
    <hyperlink ref="C408" r:id="rId1317" display="https://auction.ikco.ir/auction/details/34?r=65" xr:uid="{8F975FCB-589F-4EA4-8AB8-DBBB1FBFD62F}"/>
    <hyperlink ref="D408" r:id="rId1318" display="https://auction.ikco.ir/auction/details/34?r=65" xr:uid="{DAC9E5D5-D148-41A1-9027-83A02D886CFB}"/>
    <hyperlink ref="A509" r:id="rId1319" display="javascript:void(0)" xr:uid="{A2DD735D-B674-46CE-B14F-792F6DF611F5}"/>
    <hyperlink ref="C409" r:id="rId1320" display="https://auction.ikco.ir/auction/details/34?r=95" xr:uid="{1B344E1C-48B1-47EE-9E93-2F23B9BB6C23}"/>
    <hyperlink ref="D409" r:id="rId1321" display="https://auction.ikco.ir/auction/details/34?r=95" xr:uid="{DE088C67-8CAA-4993-B9A4-CB34C9157D64}"/>
    <hyperlink ref="A510" r:id="rId1322" display="javascript:void(0)" xr:uid="{85A7380F-E27C-49FC-BDC8-7C91E0BFC3B5}"/>
    <hyperlink ref="C410" r:id="rId1323" display="https://auction.ikco.ir/auction/details/34?r=106" xr:uid="{B9B175B6-43A7-46D4-B137-1C9D947AEDB2}"/>
    <hyperlink ref="D410" r:id="rId1324" display="https://auction.ikco.ir/auction/details/34?r=106" xr:uid="{34E9479F-1F6B-48F1-A320-09FC3D49C8C2}"/>
    <hyperlink ref="A511" r:id="rId1325" display="javascript:void(0)" xr:uid="{85B7E168-8FE1-4443-8A11-84235055A080}"/>
    <hyperlink ref="C411" r:id="rId1326" display="https://auction.ikco.ir/auction/details/34?r=112" xr:uid="{59D866E4-2B03-42D2-8774-9086C6D96D11}"/>
    <hyperlink ref="D411" r:id="rId1327" display="https://auction.ikco.ir/auction/details/34?r=112" xr:uid="{1E2D7035-52B6-4806-B07D-294ADC4D776A}"/>
    <hyperlink ref="A512" r:id="rId1328" display="javascript:void(0)" xr:uid="{A6514502-0949-4E4F-93B1-1D763855E620}"/>
    <hyperlink ref="C412" r:id="rId1329" display="https://auction.ikco.ir/auction/details/34?r=128" xr:uid="{83B40650-CB6E-4272-A3D5-B075407D5A0C}"/>
    <hyperlink ref="D412" r:id="rId1330" display="https://auction.ikco.ir/auction/details/34?r=128" xr:uid="{33C66FA6-5860-41F2-9A14-AB439739AC09}"/>
    <hyperlink ref="A513" r:id="rId1331" display="javascript:void(0)" xr:uid="{4BB1E1E4-DA14-4B0E-B4B8-E572FFFF2589}"/>
    <hyperlink ref="C413" r:id="rId1332" display="https://auction.ikco.ir/auction/details/34?r=134" xr:uid="{B8E0652B-0786-4264-B032-8EAB798A3FFC}"/>
    <hyperlink ref="D413" r:id="rId1333" display="https://auction.ikco.ir/auction/details/34?r=134" xr:uid="{526B7830-CDD4-49F0-BB77-266785DDEE18}"/>
    <hyperlink ref="A514" r:id="rId1334" display="javascript:void(0)" xr:uid="{2F507B80-6ED3-4813-9221-CE067C548902}"/>
    <hyperlink ref="C414" r:id="rId1335" display="https://auction.ikco.ir/auction/details/34?r=145" xr:uid="{55CA3703-E063-4DE5-B654-10862BEBE10C}"/>
    <hyperlink ref="D414" r:id="rId1336" display="https://auction.ikco.ir/auction/details/34?r=145" xr:uid="{17FC3AD4-5EE1-4F96-84F6-51126E3F9D62}"/>
    <hyperlink ref="A515" r:id="rId1337" display="javascript:void(0)" xr:uid="{3A3BA092-9A76-4F64-9013-CDCF71BC5621}"/>
    <hyperlink ref="C415" r:id="rId1338" display="https://auction.ikco.ir/auction/details/34?r=174" xr:uid="{8782B8E5-6D25-4D47-BEC5-18E3A829E609}"/>
    <hyperlink ref="D415" r:id="rId1339" display="https://auction.ikco.ir/auction/details/34?r=174" xr:uid="{E2F87597-2507-4AC7-AB41-409F5FD71EEF}"/>
    <hyperlink ref="A516" r:id="rId1340" display="javascript:void(0)" xr:uid="{876411F2-E09A-45C3-9138-A1DC24282786}"/>
    <hyperlink ref="C416" r:id="rId1341" display="https://auction.ikco.ir/auction/details/34?r=200" xr:uid="{40BEE4D1-CCD6-486B-BD3B-4E7681D5551E}"/>
    <hyperlink ref="D416" r:id="rId1342" display="https://auction.ikco.ir/auction/details/34?r=200" xr:uid="{476B5137-7E3E-4F7E-88E9-BDA21015CA5A}"/>
    <hyperlink ref="A517" r:id="rId1343" display="javascript:void(0)" xr:uid="{D81771AD-F163-4AEE-BB07-724DAA132A14}"/>
    <hyperlink ref="C417" r:id="rId1344" display="https://auction.ikco.ir/auction/details/34?r=207" xr:uid="{8277A950-962F-46E3-AF49-0BA7D7F31397}"/>
    <hyperlink ref="D417" r:id="rId1345" display="https://auction.ikco.ir/auction/details/34?r=207" xr:uid="{98A0788C-E854-4DC6-A266-24D5787409CA}"/>
    <hyperlink ref="A518" r:id="rId1346" display="javascript:void(0)" xr:uid="{B6F41CAB-27FD-43E2-8943-C7B53B536B5D}"/>
    <hyperlink ref="C418" r:id="rId1347" display="https://auction.ikco.ir/auction/details/34?r=227" xr:uid="{99854508-22C7-4A29-B5C5-4068E6D99765}"/>
    <hyperlink ref="D418" r:id="rId1348" display="https://auction.ikco.ir/auction/details/34?r=227" xr:uid="{BE6AAC53-96C3-4F04-A7EE-C06467FAE8C4}"/>
    <hyperlink ref="A519" r:id="rId1349" display="javascript:void(0)" xr:uid="{46FD554F-4A40-49E5-9563-7051FC2E432E}"/>
    <hyperlink ref="C419" r:id="rId1350" display="https://auction.ikco.ir/auction/details/34?r=246" xr:uid="{D24BD278-F919-4523-A7AB-3719B98CCBE5}"/>
    <hyperlink ref="D419" r:id="rId1351" display="https://auction.ikco.ir/auction/details/34?r=246" xr:uid="{B9D8D769-1F8C-4C12-B2C4-322086371A4E}"/>
    <hyperlink ref="A520" r:id="rId1352" display="javascript:void(0)" xr:uid="{06A8D6CC-719D-4E05-9764-47FCD2361ECF}"/>
    <hyperlink ref="C420" r:id="rId1353" display="https://auction.ikco.ir/auction/details/34?r=272" xr:uid="{AEB7C36C-9D13-4B78-9BA8-E3D389344749}"/>
    <hyperlink ref="D420" r:id="rId1354" display="https://auction.ikco.ir/auction/details/34?r=272" xr:uid="{09322D35-C541-4EAD-B161-FB9301018808}"/>
    <hyperlink ref="A521" r:id="rId1355" display="javascript:void(0)" xr:uid="{6C3DCF71-F8A2-4B87-807D-372D5C942032}"/>
    <hyperlink ref="C421" r:id="rId1356" display="https://auction.ikco.ir/auction/details/34?r=312" xr:uid="{BD5ECF5C-6625-414C-B6E1-346427D6AB3F}"/>
    <hyperlink ref="D421" r:id="rId1357" display="https://auction.ikco.ir/auction/details/34?r=312" xr:uid="{AF11E2C6-AC6B-4E25-B5EE-A54ADF193C4B}"/>
    <hyperlink ref="A522" r:id="rId1358" display="javascript:void(0)" xr:uid="{EB0FD6F8-93C1-40D0-878E-C3C0B5536F62}"/>
    <hyperlink ref="C422" r:id="rId1359" display="https://auction.ikco.ir/auction/details/34?r=334" xr:uid="{45DD1C13-206C-4FF9-8221-3CDF28782136}"/>
    <hyperlink ref="D422" r:id="rId1360" display="https://auction.ikco.ir/auction/details/34?r=334" xr:uid="{E2B9D9EE-5BA8-4A6D-A223-2F63112025AC}"/>
    <hyperlink ref="A523" r:id="rId1361" display="javascript:void(0)" xr:uid="{4F826083-52ED-42B8-AE61-BCFC98251F89}"/>
    <hyperlink ref="C423" r:id="rId1362" display="https://auction.ikco.ir/auction/details/34?r=9" xr:uid="{ACC4301E-1710-4134-BF00-BB2BE4173537}"/>
    <hyperlink ref="D423" r:id="rId1363" display="https://auction.ikco.ir/auction/details/34?r=9" xr:uid="{E5A2C8F8-866B-40CB-9921-D3C7788436C9}"/>
    <hyperlink ref="A524" r:id="rId1364" display="javascript:void(0)" xr:uid="{DA4A2B81-DBEB-4638-BADD-E1AA3074337A}"/>
    <hyperlink ref="C424" r:id="rId1365" display="https://auction.ikco.ir/auction/details/34?r=19" xr:uid="{8AA2E545-5026-4B2F-9264-3307E47FF360}"/>
    <hyperlink ref="D424" r:id="rId1366" display="https://auction.ikco.ir/auction/details/34?r=19" xr:uid="{221FF869-1B01-4EEF-B864-587125CEA387}"/>
    <hyperlink ref="A525" r:id="rId1367" display="javascript:void(0)" xr:uid="{C85BDA5F-A0BC-4809-AB24-841AEAE33317}"/>
    <hyperlink ref="C425" r:id="rId1368" display="https://auction.ikco.ir/auction/details/34?r=29" xr:uid="{BEEE27B9-C1C6-4E1C-977C-1621C353986E}"/>
    <hyperlink ref="D425" r:id="rId1369" display="https://auction.ikco.ir/auction/details/34?r=29" xr:uid="{8AABF33A-174E-451B-83E8-B9ACDD00DB4D}"/>
    <hyperlink ref="A526" r:id="rId1370" display="javascript:void(0)" xr:uid="{D867A3DD-3921-44B5-8C54-3406AE465EB6}"/>
    <hyperlink ref="C426" r:id="rId1371" display="https://auction.ikco.ir/auction/details/34?r=32" xr:uid="{9BEC6160-0C70-4586-80D8-3E909CF0A530}"/>
    <hyperlink ref="D426" r:id="rId1372" display="https://auction.ikco.ir/auction/details/34?r=32" xr:uid="{FF90664A-4293-4891-98A2-B27EFF163DC1}"/>
    <hyperlink ref="A527" r:id="rId1373" display="javascript:void(0)" xr:uid="{5315F9A1-CBCA-40A3-A13D-6765AB6B8024}"/>
    <hyperlink ref="C427" r:id="rId1374" display="https://auction.ikco.ir/auction/details/34?r=37" xr:uid="{A88E237E-9756-43AF-9756-AE3DD99A32E8}"/>
    <hyperlink ref="D427" r:id="rId1375" display="https://auction.ikco.ir/auction/details/34?r=37" xr:uid="{4774B9B5-FD4F-4847-975F-093AD5F63749}"/>
    <hyperlink ref="A528" r:id="rId1376" display="javascript:void(0)" xr:uid="{5A81AF64-47F6-4D17-BEBD-BA6AB04785A9}"/>
    <hyperlink ref="C428" r:id="rId1377" display="https://auction.ikco.ir/auction/details/34?r=45" xr:uid="{F4D0668F-B59F-41D5-90CE-825A4C23E6DD}"/>
    <hyperlink ref="D428" r:id="rId1378" display="https://auction.ikco.ir/auction/details/34?r=45" xr:uid="{94D19B2C-D51C-42C8-8942-9E2BD285FFE6}"/>
    <hyperlink ref="A529" r:id="rId1379" display="javascript:void(0)" xr:uid="{2A437EE1-C05E-4AA1-BC7B-0B8ECBAE6ED7}"/>
    <hyperlink ref="C429" r:id="rId1380" display="https://auction.ikco.ir/auction/details/34?r=50" xr:uid="{4C477CCA-9622-4E42-86EB-273BDDD4CDAB}"/>
    <hyperlink ref="D429" r:id="rId1381" display="https://auction.ikco.ir/auction/details/34?r=50" xr:uid="{9B1949AC-1C3E-4754-87A3-597B03BED4C5}"/>
    <hyperlink ref="A530" r:id="rId1382" display="javascript:void(0)" xr:uid="{A3E6B665-C6CF-41DB-B33A-DDAD0D4D2337}"/>
    <hyperlink ref="C430" r:id="rId1383" display="https://auction.ikco.ir/auction/details/34?r=52" xr:uid="{CBA6E90C-E1D9-4408-A985-CCEE49D2A1D8}"/>
    <hyperlink ref="D430" r:id="rId1384" display="https://auction.ikco.ir/auction/details/34?r=52" xr:uid="{E7DE7222-4D06-48DE-90CA-48B11C9994CB}"/>
    <hyperlink ref="A531" r:id="rId1385" display="javascript:void(0)" xr:uid="{6B638B23-8910-4C6C-BDA7-404FDBF0D105}"/>
    <hyperlink ref="C431" r:id="rId1386" display="https://auction.ikco.ir/auction/details/34?r=103" xr:uid="{3076A407-3595-4229-998B-8305290B6D6B}"/>
    <hyperlink ref="D431" r:id="rId1387" display="https://auction.ikco.ir/auction/details/34?r=103" xr:uid="{C461CE1A-07D2-4373-B1DD-B76B8009A6BD}"/>
    <hyperlink ref="A532" r:id="rId1388" display="javascript:void(0)" xr:uid="{3FD3029B-C93F-4E4F-AF44-550B889BAAFD}"/>
    <hyperlink ref="C432" r:id="rId1389" display="https://auction.ikco.ir/auction/details/34?r=121" xr:uid="{DB7AF459-3C20-444D-A3F2-4F20269AE7A7}"/>
    <hyperlink ref="D432" r:id="rId1390" display="https://auction.ikco.ir/auction/details/34?r=121" xr:uid="{6E783004-02FE-4279-AB0F-9F3AD9D7AD37}"/>
    <hyperlink ref="A533" r:id="rId1391" display="javascript:void(0)" xr:uid="{C7D00B5C-1160-4322-9961-26C2734EE8B3}"/>
    <hyperlink ref="C433" r:id="rId1392" display="https://auction.ikco.ir/auction/details/34?r=139" xr:uid="{B31830E7-12E4-48E3-91B2-946BA4EA7FFC}"/>
    <hyperlink ref="D433" r:id="rId1393" display="https://auction.ikco.ir/auction/details/34?r=139" xr:uid="{76B4567A-655B-406D-9326-75C68079098B}"/>
    <hyperlink ref="A534" r:id="rId1394" display="javascript:void(0)" xr:uid="{D812DD69-DBE6-48BA-81E2-DDD6C95E8592}"/>
    <hyperlink ref="C434" r:id="rId1395" display="https://auction.ikco.ir/auction/details/34?r=160" xr:uid="{307C11CC-64B9-413F-831C-D28D757F4360}"/>
    <hyperlink ref="D434" r:id="rId1396" display="https://auction.ikco.ir/auction/details/34?r=160" xr:uid="{D560DC08-A8CB-4489-9053-8AAE141122BD}"/>
    <hyperlink ref="A535" r:id="rId1397" display="javascript:void(0)" xr:uid="{6821BA77-2D04-48D6-BD9B-3ADC43DDB4A3}"/>
    <hyperlink ref="C435" r:id="rId1398" display="https://auction.ikco.ir/auction/details/34?r=164" xr:uid="{AF21F507-689F-4960-A008-CAADCF2EDD8E}"/>
    <hyperlink ref="D435" r:id="rId1399" display="https://auction.ikco.ir/auction/details/34?r=164" xr:uid="{BB4E4B34-6A4E-471F-A29E-A7D057650D5C}"/>
    <hyperlink ref="A536" r:id="rId1400" display="javascript:void(0)" xr:uid="{14C6C517-A5E9-4438-8B51-C4FD65BF8F06}"/>
    <hyperlink ref="C436" r:id="rId1401" display="https://auction.ikco.ir/auction/details/34?r=197" xr:uid="{5AAE1EA3-D58F-485B-B943-78681C95DE4A}"/>
    <hyperlink ref="D436" r:id="rId1402" display="https://auction.ikco.ir/auction/details/34?r=197" xr:uid="{EFA6EB42-FB3B-40AF-B388-6BB987EB81D5}"/>
    <hyperlink ref="A537" r:id="rId1403" display="javascript:void(0)" xr:uid="{5D840D48-406E-45BA-BBC3-7DA429167B8E}"/>
    <hyperlink ref="C437" r:id="rId1404" display="https://auction.ikco.ir/auction/details/34?r=198" xr:uid="{FBBF2DB8-A2EC-414C-8916-0A6198D83226}"/>
    <hyperlink ref="D437" r:id="rId1405" display="https://auction.ikco.ir/auction/details/34?r=198" xr:uid="{D2017898-D68D-4CEE-AFC0-F6E4D7C5A7B3}"/>
    <hyperlink ref="A538" r:id="rId1406" display="javascript:void(0)" xr:uid="{FF624FFD-F728-4B6A-BAA1-42636A372F60}"/>
    <hyperlink ref="C438" r:id="rId1407" display="https://auction.ikco.ir/auction/details/34?r=202" xr:uid="{A5F2146D-2AB4-4316-A0DC-80BA3D27D2D7}"/>
    <hyperlink ref="D438" r:id="rId1408" display="https://auction.ikco.ir/auction/details/34?r=202" xr:uid="{1A6195F1-C4B5-463B-8819-26EECD5B13F8}"/>
    <hyperlink ref="A539" r:id="rId1409" display="javascript:void(0)" xr:uid="{E9E97626-A95C-4BE0-AEA9-0CF813F12D50}"/>
    <hyperlink ref="C439" r:id="rId1410" display="https://auction.ikco.ir/auction/details/34?r=204" xr:uid="{028B08BA-3003-40FE-9D8D-C00739FF8B31}"/>
    <hyperlink ref="D439" r:id="rId1411" display="https://auction.ikco.ir/auction/details/34?r=204" xr:uid="{C6D5FE6E-362F-4FED-883C-E5E1C8F755D1}"/>
    <hyperlink ref="A540" r:id="rId1412" display="javascript:void(0)" xr:uid="{39ED9E32-82DB-459A-870B-16F4D3496910}"/>
    <hyperlink ref="C440" r:id="rId1413" display="https://auction.ikco.ir/auction/details/34?r=216" xr:uid="{2389A151-A9DB-4BE8-94D0-A9F9418B6A8A}"/>
    <hyperlink ref="D440" r:id="rId1414" display="https://auction.ikco.ir/auction/details/34?r=216" xr:uid="{64CE7310-19EA-40FB-9617-271D40037A51}"/>
    <hyperlink ref="A541" r:id="rId1415" display="javascript:void(0)" xr:uid="{84B5034C-E70D-4E8B-8E70-3221F480B5F4}"/>
    <hyperlink ref="C441" r:id="rId1416" display="https://auction.ikco.ir/auction/details/34?r=217" xr:uid="{52261263-40B5-4A70-AF69-42D6BA76BEA0}"/>
    <hyperlink ref="D441" r:id="rId1417" display="https://auction.ikco.ir/auction/details/34?r=217" xr:uid="{1061E821-8DD0-4D10-B1E9-D94502DC823B}"/>
    <hyperlink ref="A542" r:id="rId1418" display="javascript:void(0)" xr:uid="{10FF9634-C112-480D-846B-BAC02AD7EB20}"/>
    <hyperlink ref="C442" r:id="rId1419" display="https://auction.ikco.ir/auction/details/34?r=229" xr:uid="{BE02E82C-C665-40A7-9EB3-0B779247BA32}"/>
    <hyperlink ref="D442" r:id="rId1420" display="https://auction.ikco.ir/auction/details/34?r=229" xr:uid="{852D7DD2-A8D5-4210-98BD-EAF83FF6F60E}"/>
    <hyperlink ref="A543" r:id="rId1421" display="javascript:void(0)" xr:uid="{2991143F-085C-4BF6-90A6-0FA61C6AFACA}"/>
    <hyperlink ref="C443" r:id="rId1422" display="https://auction.ikco.ir/auction/details/34?r=262" xr:uid="{D60A518C-AE3A-44CE-9CFB-474A6634B28F}"/>
    <hyperlink ref="D443" r:id="rId1423" display="https://auction.ikco.ir/auction/details/34?r=262" xr:uid="{2B0E42D7-72BC-4DFC-8D74-C26FF90695B2}"/>
    <hyperlink ref="A544" r:id="rId1424" display="javascript:void(0)" xr:uid="{4B0FB7C0-BD1F-455B-ACDB-5F3E7C05F7A1}"/>
    <hyperlink ref="C444" r:id="rId1425" display="https://auction.ikco.ir/auction/details/34?r=282" xr:uid="{A28FBBB1-D7A4-4D19-BF08-14055F4D4D58}"/>
    <hyperlink ref="D444" r:id="rId1426" display="https://auction.ikco.ir/auction/details/34?r=282" xr:uid="{795C9C0E-1C36-4DF6-95B1-11ADB4E477D5}"/>
    <hyperlink ref="A545" r:id="rId1427" display="javascript:void(0)" xr:uid="{0DED9794-07F2-45A8-87AF-EBA018569EED}"/>
    <hyperlink ref="C445" r:id="rId1428" display="https://auction.ikco.ir/auction/details/34?r=301" xr:uid="{48A8F0D3-168B-4D4C-8B9A-FC61094DF48E}"/>
    <hyperlink ref="D445" r:id="rId1429" display="https://auction.ikco.ir/auction/details/34?r=301" xr:uid="{6C5B6D64-A800-4905-830E-976CCF7355C8}"/>
    <hyperlink ref="A546" r:id="rId1430" display="javascript:void(0)" xr:uid="{1CC4D196-7703-46C6-A770-CD1C40DE2BF9}"/>
    <hyperlink ref="C446" r:id="rId1431" display="https://auction.ikco.ir/auction/details/34?r=320" xr:uid="{D4B0F181-ECF5-4AB3-8655-8D736F90318C}"/>
    <hyperlink ref="D446" r:id="rId1432" display="https://auction.ikco.ir/auction/details/34?r=320" xr:uid="{50111E63-D6E0-42E1-A215-7CFB28F0E6D9}"/>
    <hyperlink ref="A547" r:id="rId1433" display="javascript:void(0)" xr:uid="{0FB50432-E153-42EC-BB94-666D816E56BF}"/>
    <hyperlink ref="C447" r:id="rId1434" display="https://auction.ikco.ir/auction/details/34?r=335" xr:uid="{09DCB5DF-52D7-4E8B-9671-203D111B8B61}"/>
    <hyperlink ref="D447" r:id="rId1435" display="https://auction.ikco.ir/auction/details/34?r=335" xr:uid="{B39F2241-B304-43CB-A882-7A5A4E995616}"/>
    <hyperlink ref="A548" r:id="rId1436" display="javascript:void(0)" xr:uid="{08E475B7-F0DD-443F-9B84-C9D9B76313BE}"/>
    <hyperlink ref="C448" r:id="rId1437" display="https://auction.ikco.ir/auction/details/34?r=356" xr:uid="{5E165CFB-202C-4723-91E0-42EAFEA760DE}"/>
    <hyperlink ref="D448" r:id="rId1438" display="https://auction.ikco.ir/auction/details/34?r=356" xr:uid="{849AE791-E8AD-4EDA-9EF5-AFB96A12C1EE}"/>
    <hyperlink ref="A549" r:id="rId1439" display="javascript:void(0)" xr:uid="{AB4861D2-C393-4EBC-8E92-F4D5E51A4979}"/>
    <hyperlink ref="C449" r:id="rId1440" display="https://auction.ikco.ir/auction/details/34?r=365" xr:uid="{024ED798-83CF-4AB8-9B05-899BB974F306}"/>
    <hyperlink ref="D449" r:id="rId1441" display="https://auction.ikco.ir/auction/details/34?r=365" xr:uid="{15E9F392-F1C2-49A1-AE7B-C1F9DEA4D406}"/>
    <hyperlink ref="A550" r:id="rId1442" display="javascript:void(0)" xr:uid="{CB90996B-CBCF-4EAA-9EE7-EA6F380C48E8}"/>
    <hyperlink ref="C450" r:id="rId1443" display="https://auction.ikco.ir/auction/details/34?r=379" xr:uid="{6DFFE034-6705-440F-AD16-EC76AD77A650}"/>
    <hyperlink ref="D450" r:id="rId1444" display="https://auction.ikco.ir/auction/details/34?r=379" xr:uid="{89FE1859-09DE-4057-878C-7D8D0A567929}"/>
    <hyperlink ref="A551" r:id="rId1445" display="javascript:void(0)" xr:uid="{52345FA6-0632-412D-8C25-B33E5412A9CB}"/>
    <hyperlink ref="C451" r:id="rId1446" display="https://auction.ikco.ir/auction/details/34?r=14" xr:uid="{AE389D49-C797-42BE-9158-076D75495DB4}"/>
    <hyperlink ref="D451" r:id="rId1447" display="https://auction.ikco.ir/auction/details/34?r=14" xr:uid="{C863107C-171E-42C6-85AD-86B271CE61BC}"/>
    <hyperlink ref="A552" r:id="rId1448" display="javascript:void(0)" xr:uid="{94A324EF-B470-4C8F-A4FF-77E37B23D813}"/>
    <hyperlink ref="C452" r:id="rId1449" display="https://auction.ikco.ir/auction/details/34?r=78" xr:uid="{E972042A-BC69-4E3C-A7C5-8ED8F4997948}"/>
    <hyperlink ref="D452" r:id="rId1450" display="https://auction.ikco.ir/auction/details/34?r=78" xr:uid="{F8459FF9-CE79-418B-9970-1A91ECEC35E2}"/>
    <hyperlink ref="A553" r:id="rId1451" display="javascript:void(0)" xr:uid="{79D571A7-AF3C-4904-B1F6-FF70F266D00E}"/>
    <hyperlink ref="C453" r:id="rId1452" display="https://auction.ikco.ir/auction/details/34?r=114" xr:uid="{093379DC-839C-4028-A71D-DD859B0FFE2F}"/>
    <hyperlink ref="D453" r:id="rId1453" display="https://auction.ikco.ir/auction/details/34?r=114" xr:uid="{509C5C39-F292-4FF9-A95A-C3C25C222A0A}"/>
    <hyperlink ref="A554" r:id="rId1454" display="javascript:void(0)" xr:uid="{B9F1574F-80BC-48A5-86B4-C70134CA7375}"/>
    <hyperlink ref="C454" r:id="rId1455" display="https://auction.ikco.ir/auction/details/34?r=118" xr:uid="{389EAAD7-63A4-4284-9B51-AF2DB8108E36}"/>
    <hyperlink ref="D454" r:id="rId1456" display="https://auction.ikco.ir/auction/details/34?r=118" xr:uid="{CA975AE5-5729-4533-A2B9-04DC9F2626AF}"/>
    <hyperlink ref="A555" r:id="rId1457" display="javascript:void(0)" xr:uid="{93640892-477D-42E1-977B-7F8A9EEF11B5}"/>
    <hyperlink ref="C455" r:id="rId1458" display="https://auction.ikco.ir/auction/details/34?r=210" xr:uid="{6890234E-8C88-4EFB-B4FB-4616076DBD1C}"/>
    <hyperlink ref="D455" r:id="rId1459" display="https://auction.ikco.ir/auction/details/34?r=210" xr:uid="{44CAB646-BE33-41E7-A2E7-636C2D7C04C0}"/>
    <hyperlink ref="A556" r:id="rId1460" display="javascript:void(0)" xr:uid="{EC396A20-34C8-44DA-B8B8-940DAA42C688}"/>
    <hyperlink ref="C456" r:id="rId1461" display="https://auction.ikco.ir/auction/details/34?r=285" xr:uid="{E498BDE1-08B4-42D0-A3C4-A202B253F792}"/>
    <hyperlink ref="D456" r:id="rId1462" display="https://auction.ikco.ir/auction/details/34?r=285" xr:uid="{D7F70DDD-5C25-4667-8899-F59A05A92881}"/>
    <hyperlink ref="A557" r:id="rId1463" display="javascript:void(0)" xr:uid="{6BE9E783-8E49-4008-9433-7284A44CCFC8}"/>
    <hyperlink ref="C457" r:id="rId1464" display="https://auction.ikco.ir/auction/details/34?r=344" xr:uid="{D39173F0-4936-435A-B83E-04E0AABDC0CA}"/>
    <hyperlink ref="D457" r:id="rId1465" display="https://auction.ikco.ir/auction/details/34?r=344" xr:uid="{7D8F1675-B33D-47AC-854D-E1226F07B6EC}"/>
    <hyperlink ref="A558" r:id="rId1466" display="javascript:void(0)" xr:uid="{A9BE466A-4627-48AF-8BBE-61DCA4D2F21E}"/>
    <hyperlink ref="C458" r:id="rId1467" display="https://auction.ikco.ir/auction/details/34?r=381" xr:uid="{63FBE9F8-9C0B-44D8-8654-298CA029A1F0}"/>
    <hyperlink ref="D458" r:id="rId1468" display="https://auction.ikco.ir/auction/details/34?r=381" xr:uid="{53F305F8-BAE8-4E8E-BC5B-D4161512E434}"/>
    <hyperlink ref="A559" r:id="rId1469" display="javascript:void(0)" xr:uid="{68AC5C72-D776-4CA1-B2C0-2A014DB583FC}"/>
    <hyperlink ref="C459" r:id="rId1470" display="https://auction.ikco.ir/auction/details/34?r=392" xr:uid="{F4596622-9DE0-44EE-B386-C7A8E56AD947}"/>
    <hyperlink ref="D459" r:id="rId1471" display="https://auction.ikco.ir/auction/details/34?r=392" xr:uid="{80EEC773-AE33-4F83-B746-48D9B65B5B32}"/>
    <hyperlink ref="A560" r:id="rId1472" display="javascript:void(0)" xr:uid="{CAF77F06-BF21-463B-986F-3156C1DF262A}"/>
    <hyperlink ref="C460" r:id="rId1473" display="https://auction.ikco.ir/auction/details/34?r=395" xr:uid="{73840E83-29F3-4EE4-93A6-14FABCACDF15}"/>
    <hyperlink ref="D460" r:id="rId1474" display="https://auction.ikco.ir/auction/details/34?r=395" xr:uid="{532BD085-523A-4649-9771-CF18AD050CCA}"/>
    <hyperlink ref="A561" r:id="rId1475" display="javascript:void(0)" xr:uid="{FC5F6126-085A-485E-972B-200D6F663D14}"/>
    <hyperlink ref="C461" r:id="rId1476" display="https://auction.ikco.ir/auction/details/34?r=484" xr:uid="{FD9FE7C6-63D5-4752-AA21-4F7BCADB882C}"/>
    <hyperlink ref="D461" r:id="rId1477" display="https://auction.ikco.ir/auction/details/34?r=484" xr:uid="{3F94B513-CF6B-475D-BD7F-3B3C49336670}"/>
    <hyperlink ref="A562" r:id="rId1478" display="javascript:void(0)" xr:uid="{CDBA1407-ADA1-441B-8773-B035C97D7A5E}"/>
    <hyperlink ref="C462" r:id="rId1479" display="https://auction.ikco.ir/auction/details/34?r=8" xr:uid="{0098353B-71AB-4C01-9F95-5630D505654D}"/>
    <hyperlink ref="D462" r:id="rId1480" display="https://auction.ikco.ir/auction/details/34?r=8" xr:uid="{52615E72-69FB-4B13-9707-E9D2C0E72811}"/>
    <hyperlink ref="A563" r:id="rId1481" display="javascript:void(0)" xr:uid="{71756752-255A-4F85-9218-E332E85CC83D}"/>
    <hyperlink ref="C463" r:id="rId1482" display="https://auction.ikco.ir/auction/details/34?r=43" xr:uid="{1DB22F05-3204-4E62-9D87-0C4ED6F60A7C}"/>
    <hyperlink ref="D463" r:id="rId1483" display="https://auction.ikco.ir/auction/details/34?r=43" xr:uid="{94B28665-A311-4253-885E-1000A7DDF664}"/>
    <hyperlink ref="A564" r:id="rId1484" display="javascript:void(0)" xr:uid="{43C1008E-A08E-478D-88C2-98474C45E672}"/>
    <hyperlink ref="C464" r:id="rId1485" display="https://auction.ikco.ir/auction/details/34?r=48" xr:uid="{ED70C06C-38AC-4F19-B213-3CFC9D2A49E0}"/>
    <hyperlink ref="D464" r:id="rId1486" display="https://auction.ikco.ir/auction/details/34?r=48" xr:uid="{CC7597C1-1E73-4F5D-9EE5-19C7E67DDBB6}"/>
    <hyperlink ref="A565" r:id="rId1487" display="javascript:void(0)" xr:uid="{908E1225-849F-433B-B93E-A4AD4809738F}"/>
    <hyperlink ref="C465" r:id="rId1488" display="https://auction.ikco.ir/auction/details/34?r=55" xr:uid="{66A4B7E1-EB3C-4B32-B31B-E7B793AE0697}"/>
    <hyperlink ref="D465" r:id="rId1489" display="https://auction.ikco.ir/auction/details/34?r=55" xr:uid="{880F2B3A-C820-45F8-9837-9BFFE7A351D9}"/>
    <hyperlink ref="A566" r:id="rId1490" display="javascript:void(0)" xr:uid="{2EE9862B-CF10-408A-9271-DF20557DEBCF}"/>
    <hyperlink ref="C466" r:id="rId1491" display="https://auction.ikco.ir/auction/details/34?r=58" xr:uid="{2415377D-1731-44B0-82A8-94D4C3F9ECA7}"/>
    <hyperlink ref="D466" r:id="rId1492" display="https://auction.ikco.ir/auction/details/34?r=58" xr:uid="{784713D8-E048-4F04-AC1D-3050FA4F8A11}"/>
    <hyperlink ref="A567" r:id="rId1493" display="javascript:void(0)" xr:uid="{DEDDA4A2-461B-4A8E-8C80-23D1DCF49D90}"/>
    <hyperlink ref="C467" r:id="rId1494" display="https://auction.ikco.ir/auction/details/34?r=94" xr:uid="{AA1A064A-6DD5-45F7-8033-A0BD09A733F8}"/>
    <hyperlink ref="D467" r:id="rId1495" display="https://auction.ikco.ir/auction/details/34?r=94" xr:uid="{E82179EC-7384-450D-9FA4-0A7FD9B966B9}"/>
    <hyperlink ref="A568" r:id="rId1496" display="javascript:void(0)" xr:uid="{8EF348BE-9931-4216-94A2-4B9998C132FE}"/>
    <hyperlink ref="C468" r:id="rId1497" display="https://auction.ikco.ir/auction/details/34?r=109" xr:uid="{B6EADB36-50C7-4B87-9B0C-727B6ED54016}"/>
    <hyperlink ref="D468" r:id="rId1498" display="https://auction.ikco.ir/auction/details/34?r=109" xr:uid="{554108C1-0E7D-47E3-A56F-D1543EC48342}"/>
    <hyperlink ref="A569" r:id="rId1499" display="javascript:void(0)" xr:uid="{40FFEF55-04F0-4A75-B6C7-2D6E22317C6C}"/>
    <hyperlink ref="C469" r:id="rId1500" display="https://auction.ikco.ir/auction/details/34?r=252" xr:uid="{C7AF8A91-4663-4FD7-968F-B872D9D5259E}"/>
    <hyperlink ref="D469" r:id="rId1501" display="https://auction.ikco.ir/auction/details/34?r=252" xr:uid="{102FAB25-45F5-406A-8C87-D867A975A59C}"/>
    <hyperlink ref="A570" r:id="rId1502" display="javascript:void(0)" xr:uid="{56B6708E-3EAE-4645-BAD8-1E3C63CD9617}"/>
    <hyperlink ref="C470" r:id="rId1503" display="https://auction.ikco.ir/auction/details/34?r=316" xr:uid="{248F5AE3-C181-4A0B-93E1-3A6952A7A424}"/>
    <hyperlink ref="D470" r:id="rId1504" display="https://auction.ikco.ir/auction/details/34?r=316" xr:uid="{2DC9B587-7D7D-4921-BEE6-7C4E55D33AB6}"/>
    <hyperlink ref="A571" r:id="rId1505" display="javascript:void(0)" xr:uid="{74B82661-081F-4652-B8B6-E5F8D34A66FA}"/>
    <hyperlink ref="C471" r:id="rId1506" display="https://auction.ikco.ir/auction/details/34?r=360" xr:uid="{093B0155-3C44-4523-8BC2-197D8CB25E14}"/>
    <hyperlink ref="D471" r:id="rId1507" display="https://auction.ikco.ir/auction/details/34?r=360" xr:uid="{20C8C175-9AD8-4DD7-9A6D-F9498E1BEDA5}"/>
    <hyperlink ref="A572" r:id="rId1508" display="javascript:void(0)" xr:uid="{5DCC4DEA-043B-4729-999C-3C70FD90A043}"/>
    <hyperlink ref="C472" r:id="rId1509" display="https://auction.ikco.ir/auction/details/34?r=367" xr:uid="{19B713D6-0CF6-4A87-979B-7C80935D2294}"/>
    <hyperlink ref="D472" r:id="rId1510" display="https://auction.ikco.ir/auction/details/34?r=367" xr:uid="{9BAF180F-C040-4030-B5FF-F0EA81544BDD}"/>
    <hyperlink ref="A573" r:id="rId1511" display="javascript:void(0)" xr:uid="{5677C98E-48B6-46D3-9A87-1A9EED6D5F33}"/>
    <hyperlink ref="C473" r:id="rId1512" display="https://auction.ikco.ir/auction/details/34?r=42" xr:uid="{587F5946-331E-44CC-9211-1486C905CFCE}"/>
    <hyperlink ref="D473" r:id="rId1513" display="https://auction.ikco.ir/auction/details/34?r=42" xr:uid="{CA1C6193-D771-4444-A435-C6364C781F70}"/>
    <hyperlink ref="A574" r:id="rId1514" display="javascript:void(0)" xr:uid="{823B810E-D664-4F8A-A7A5-A4DEFF5F7E42}"/>
    <hyperlink ref="C474" r:id="rId1515" display="https://auction.ikco.ir/auction/details/34?r=73" xr:uid="{C2FC7CA0-88B1-486F-8494-36F1CD630243}"/>
    <hyperlink ref="D474" r:id="rId1516" display="https://auction.ikco.ir/auction/details/34?r=73" xr:uid="{6345AE91-49CB-4757-8373-97EDA41FD754}"/>
    <hyperlink ref="A575" r:id="rId1517" display="javascript:void(0)" xr:uid="{6C8067B7-32DC-42CA-9BC3-83BBC7D8A01C}"/>
    <hyperlink ref="C475" r:id="rId1518" display="https://auction.ikco.ir/auction/details/34?r=77" xr:uid="{911D24E1-CAD9-426D-8DC6-1D7D1CC6F2C0}"/>
    <hyperlink ref="D475" r:id="rId1519" display="https://auction.ikco.ir/auction/details/34?r=77" xr:uid="{1E161C1C-6127-4CD7-ABEB-69ADB2F5190F}"/>
    <hyperlink ref="A576" r:id="rId1520" display="javascript:void(0)" xr:uid="{244174C5-719A-420B-BB7E-87DCA3B31A89}"/>
    <hyperlink ref="C476" r:id="rId1521" display="https://auction.ikco.ir/auction/details/34?r=166" xr:uid="{022939FB-4BC1-48C0-AC5C-2E731DEA8EED}"/>
    <hyperlink ref="D476" r:id="rId1522" display="https://auction.ikco.ir/auction/details/34?r=166" xr:uid="{10A5F5E1-0BF1-457A-8771-EFA5535F830F}"/>
    <hyperlink ref="A577" r:id="rId1523" display="javascript:void(0)" xr:uid="{96F4EDE7-C00D-4456-ACD5-6DDD45E4BB88}"/>
    <hyperlink ref="C477" r:id="rId1524" display="https://auction.ikco.ir/auction/details/34?r=171" xr:uid="{D7BF3D82-986C-4029-9EF1-45C030A6B7A6}"/>
    <hyperlink ref="D477" r:id="rId1525" display="https://auction.ikco.ir/auction/details/34?r=171" xr:uid="{EE2017A5-A2FA-45DD-A181-4B6F1D553E07}"/>
    <hyperlink ref="A578" r:id="rId1526" display="javascript:void(0)" xr:uid="{C118AA55-0289-4F22-952E-1CB21FFF22F3}"/>
    <hyperlink ref="C478" r:id="rId1527" display="https://auction.ikco.ir/auction/details/34?r=191" xr:uid="{B81C22E8-247D-47EF-9514-CD19E5CBB498}"/>
    <hyperlink ref="D478" r:id="rId1528" display="https://auction.ikco.ir/auction/details/34?r=191" xr:uid="{A95C2C6F-15BD-491F-AF4B-5BBAB4AE2B47}"/>
    <hyperlink ref="A579" r:id="rId1529" display="javascript:void(0)" xr:uid="{0823D7E6-4D88-4CC7-ADBC-333A539374B6}"/>
    <hyperlink ref="C479" r:id="rId1530" display="https://auction.ikco.ir/auction/details/34?r=259" xr:uid="{D5870F0B-80DA-4176-B815-32B91F137F29}"/>
    <hyperlink ref="D479" r:id="rId1531" display="https://auction.ikco.ir/auction/details/34?r=259" xr:uid="{75214244-0CA4-444D-AAAB-6AC2D78CFCF5}"/>
    <hyperlink ref="A580" r:id="rId1532" display="javascript:void(0)" xr:uid="{4A045914-6F2E-4B5F-91BE-F33FC52BD0A4}"/>
    <hyperlink ref="C480" r:id="rId1533" display="https://auction.ikco.ir/auction/details/34?r=274" xr:uid="{D87AC1C6-F2AD-4F48-91C6-8CACA22D1664}"/>
    <hyperlink ref="D480" r:id="rId1534" display="https://auction.ikco.ir/auction/details/34?r=274" xr:uid="{0DEC363C-0EE5-4261-848F-64CD0604CA30}"/>
    <hyperlink ref="A581" r:id="rId1535" display="javascript:void(0)" xr:uid="{FA689765-0CFD-47F7-974A-129CB6415A7C}"/>
    <hyperlink ref="C481" r:id="rId1536" display="https://auction.ikco.ir/auction/details/34?r=330" xr:uid="{2661DDA9-9173-469B-A770-982409F778CE}"/>
    <hyperlink ref="D481" r:id="rId1537" display="https://auction.ikco.ir/auction/details/34?r=330" xr:uid="{67C2A8B7-33EB-4568-9E68-3D22C16A9AC1}"/>
    <hyperlink ref="A582" r:id="rId1538" display="javascript:void(0)" xr:uid="{7D9B8ADC-A423-4B5B-ADB4-BC4380B4A48B}"/>
    <hyperlink ref="C482" r:id="rId1539" display="https://auction.ikco.ir/auction/details/34?r=342" xr:uid="{E1199D05-BE25-4096-9C18-EB25BAC824A5}"/>
    <hyperlink ref="D482" r:id="rId1540" display="https://auction.ikco.ir/auction/details/34?r=342" xr:uid="{B2A1EF74-0C94-4DB7-B074-9E1956C746C4}"/>
    <hyperlink ref="A583" r:id="rId1541" display="javascript:void(0)" xr:uid="{45E6127B-26FB-43DC-AF3E-554E5A784CC9}"/>
    <hyperlink ref="C483" r:id="rId1542" display="https://auction.ikco.ir/auction/details/34?r=364" xr:uid="{F4EF1C45-0842-4670-9B91-0A40C167D659}"/>
    <hyperlink ref="D483" r:id="rId1543" display="https://auction.ikco.ir/auction/details/34?r=364" xr:uid="{B796FEC7-D9A9-4297-995B-B409F23A37BB}"/>
    <hyperlink ref="A584" r:id="rId1544" display="javascript:void(0)" xr:uid="{5EBADA57-8006-4C62-B420-746D21FD33E5}"/>
    <hyperlink ref="C484" r:id="rId1545" display="https://auction.ikco.ir/auction/details/34?r=136" xr:uid="{A0B7E82F-054B-48B6-A52D-04B5B3370385}"/>
    <hyperlink ref="D484" r:id="rId1546" display="https://auction.ikco.ir/auction/details/34?r=136" xr:uid="{F1E0B6C9-D570-42A3-BABF-1BEDC98B1B6A}"/>
    <hyperlink ref="A585" r:id="rId1547" display="javascript:void(0)" xr:uid="{3CDE1E67-F6A0-499F-9A8F-8F639225F528}"/>
    <hyperlink ref="C485" r:id="rId1548" display="https://auction.ikco.ir/auction/details/34?r=167" xr:uid="{DD191E04-57CA-4BED-B65D-B2D3D12B41D7}"/>
    <hyperlink ref="D485" r:id="rId1549" display="https://auction.ikco.ir/auction/details/34?r=167" xr:uid="{239CC4DE-3C79-4429-B658-ED76431803F8}"/>
    <hyperlink ref="A586" r:id="rId1550" display="javascript:void(0)" xr:uid="{A7C9AD76-E461-41D1-B62F-9570602498E2}"/>
    <hyperlink ref="C486" r:id="rId1551" display="https://auction.ikco.ir/auction/details/34?r=170" xr:uid="{5EFF3581-5C86-4C24-8D67-29736B6D3F80}"/>
    <hyperlink ref="D486" r:id="rId1552" display="https://auction.ikco.ir/auction/details/34?r=170" xr:uid="{73DC1ED9-FCA4-4C9C-9C0C-011B0B9F3B99}"/>
    <hyperlink ref="A587" r:id="rId1553" display="javascript:void(0)" xr:uid="{24DCE508-7945-4FAA-B521-3452FE797BA2}"/>
    <hyperlink ref="C487" r:id="rId1554" display="https://auction.ikco.ir/auction/details/34?r=242" xr:uid="{97F56987-8767-4EE5-8A04-C3CCDC97D9DF}"/>
    <hyperlink ref="D487" r:id="rId1555" display="https://auction.ikco.ir/auction/details/34?r=242" xr:uid="{4BAD7E1C-08A3-485D-AD23-7CECC85AF9FE}"/>
    <hyperlink ref="A588" r:id="rId1556" display="javascript:void(0)" xr:uid="{4BE860E5-1229-4D16-865C-49EB5FC9DEDA}"/>
    <hyperlink ref="C488" r:id="rId1557" display="https://auction.ikco.ir/auction/details/34?r=254" xr:uid="{7C18FED9-9DEC-4A3B-B73E-CD8A9EAF17B1}"/>
    <hyperlink ref="D488" r:id="rId1558" display="https://auction.ikco.ir/auction/details/34?r=254" xr:uid="{32FE9F4A-7FCD-4450-B23D-01D8A1EF41D6}"/>
    <hyperlink ref="A589" r:id="rId1559" display="javascript:void(0)" xr:uid="{74AF2A93-5F54-43DB-B5B2-3BBA67777519}"/>
    <hyperlink ref="C489" r:id="rId1560" display="https://auction.ikco.ir/auction/details/34?r=264" xr:uid="{24BA3573-5157-46A8-BC5F-2668435DCB6B}"/>
    <hyperlink ref="D489" r:id="rId1561" display="https://auction.ikco.ir/auction/details/34?r=264" xr:uid="{BC7FAE5F-4B66-4181-88C9-D287F0B28360}"/>
    <hyperlink ref="A590" r:id="rId1562" display="javascript:void(0)" xr:uid="{E6C59CD4-0540-495E-9ED2-7985E27126CF}"/>
    <hyperlink ref="C490" r:id="rId1563" display="https://auction.ikco.ir/auction/details/34?r=307" xr:uid="{C0230215-43DF-4303-A013-90D4B95A8162}"/>
    <hyperlink ref="D490" r:id="rId1564" display="https://auction.ikco.ir/auction/details/34?r=307" xr:uid="{7973BEEE-AC74-44A6-827D-09D0D490460D}"/>
    <hyperlink ref="A591" r:id="rId1565" display="javascript:void(0)" xr:uid="{394446A3-340F-42C5-B163-9351A39DF2CE}"/>
    <hyperlink ref="C491" r:id="rId1566" display="https://auction.ikco.ir/auction/details/34?r=363" xr:uid="{F8A4BBBB-C9AC-4627-AA5E-9A2889942872}"/>
    <hyperlink ref="D491" r:id="rId1567" display="https://auction.ikco.ir/auction/details/34?r=363" xr:uid="{6733E644-1C76-4CC8-B05C-037BFC47066A}"/>
    <hyperlink ref="A592" r:id="rId1568" display="javascript:void(0)" xr:uid="{054D2756-A79F-46AC-B44B-B6E76B63C64A}"/>
    <hyperlink ref="C492" r:id="rId1569" display="https://auction.ikco.ir/auction/details/34?r=368" xr:uid="{9E886AFD-BCFD-41FF-B489-F9713848600F}"/>
    <hyperlink ref="D492" r:id="rId1570" display="https://auction.ikco.ir/auction/details/34?r=368" xr:uid="{D5E1BA34-372E-45C0-B9DE-95DE80038164}"/>
    <hyperlink ref="A593" r:id="rId1571" display="javascript:void(0)" xr:uid="{37668A51-B1D8-4DF5-94CD-0F59F7A06D35}"/>
    <hyperlink ref="C493" r:id="rId1572" display="https://auction.ikco.ir/auction/details/34?r=374" xr:uid="{6A327AF8-04F6-4DA3-90C5-4C8D81F553F2}"/>
    <hyperlink ref="D493" r:id="rId1573" display="https://auction.ikco.ir/auction/details/34?r=374" xr:uid="{94FB8B4A-39F1-4C0E-93DD-19C5B353CBE6}"/>
    <hyperlink ref="A594" r:id="rId1574" display="javascript:void(0)" xr:uid="{1A8B2F78-DD09-4CD9-8020-6395BF88ABE6}"/>
    <hyperlink ref="C494" r:id="rId1575" display="https://auction.ikco.ir/auction/details/34?r=406" xr:uid="{E0CB1BE5-1D1A-4EDF-BED3-B588AF628D65}"/>
    <hyperlink ref="D494" r:id="rId1576" display="https://auction.ikco.ir/auction/details/34?r=406" xr:uid="{5AB97B88-32D5-4EFA-BCDE-D9AD6D92AB57}"/>
    <hyperlink ref="A595" r:id="rId1577" display="javascript:void(0)" xr:uid="{3BD0A5B5-D046-42B9-A539-4BBC7C052129}"/>
    <hyperlink ref="C495" r:id="rId1578" display="https://auction.ikco.ir/auction/details/34?r=483" xr:uid="{DCC6BA07-22AF-4E43-9760-726A3EF63064}"/>
    <hyperlink ref="D495" r:id="rId1579" display="https://auction.ikco.ir/auction/details/34?r=483" xr:uid="{98BDCFD8-13ED-4CA9-AF60-0257F329C25B}"/>
    <hyperlink ref="A596" r:id="rId1580" display="javascript:void(0)" xr:uid="{A66A1ED0-636B-4B7D-A630-5EFF8BF28D01}"/>
    <hyperlink ref="C496" r:id="rId1581" display="https://auction.ikco.ir/auction/details/34?r=83" xr:uid="{68833BBD-CC9C-4E9F-B123-87BD562C7789}"/>
    <hyperlink ref="D496" r:id="rId1582" display="https://auction.ikco.ir/auction/details/34?r=83" xr:uid="{5B63D773-490C-4D56-B7EB-391B4DC565EA}"/>
    <hyperlink ref="A597" r:id="rId1583" display="javascript:void(0)" xr:uid="{1CC2A57B-6958-4975-A708-3A4D7323BD12}"/>
    <hyperlink ref="C497" r:id="rId1584" display="https://auction.ikco.ir/auction/details/34?r=175" xr:uid="{299CFB55-3B6D-46EA-96F0-717005CB9841}"/>
    <hyperlink ref="D497" r:id="rId1585" display="https://auction.ikco.ir/auction/details/34?r=175" xr:uid="{928BB3A4-D457-4D2D-9F9F-28D7899D87CE}"/>
    <hyperlink ref="A598" r:id="rId1586" display="javascript:void(0)" xr:uid="{389E1D44-D36B-41D5-AFA8-21E7357E8A05}"/>
    <hyperlink ref="C498" r:id="rId1587" display="https://auction.ikco.ir/auction/details/34?r=245" xr:uid="{D91FE990-750B-47B9-8BDC-DC97884F233A}"/>
    <hyperlink ref="D498" r:id="rId1588" display="https://auction.ikco.ir/auction/details/34?r=245" xr:uid="{3A761353-533A-48EB-8EE4-626CB2760C09}"/>
    <hyperlink ref="A599" r:id="rId1589" display="javascript:void(0)" xr:uid="{F805890E-255C-48DE-BDD2-C10AC835C43E}"/>
    <hyperlink ref="C499" r:id="rId1590" display="https://auction.ikco.ir/auction/details/34?r=331" xr:uid="{F29AEF19-1F6C-407C-A645-5D03EF2442D0}"/>
    <hyperlink ref="D499" r:id="rId1591" display="https://auction.ikco.ir/auction/details/34?r=331" xr:uid="{5EB750BF-432A-49AA-A148-D4A23D52E64C}"/>
    <hyperlink ref="A600" r:id="rId1592" display="javascript:void(0)" xr:uid="{748BA012-303C-406A-B293-E498DEFDFAE5}"/>
    <hyperlink ref="C500" r:id="rId1593" display="https://auction.ikco.ir/auction/details/34?r=236" xr:uid="{7EC2FD5F-92FF-4C53-B494-DE8474B05194}"/>
    <hyperlink ref="D500" r:id="rId1594" display="https://auction.ikco.ir/auction/details/34?r=236" xr:uid="{1EA2035B-3F56-4BB6-857D-664371109E72}"/>
    <hyperlink ref="C501" r:id="rId1595" display="https://auction.ikco.ir/auction/details/34?r=514" xr:uid="{D88227DA-E9A3-4DD0-896F-C657E094C08B}"/>
    <hyperlink ref="D501" r:id="rId1596" display="https://auction.ikco.ir/auction/details/34?r=514" xr:uid="{C363684C-0391-4952-9404-22F7378431A4}"/>
    <hyperlink ref="A602" r:id="rId1597" display="javascript:void(0)" xr:uid="{188E2B4C-E3DC-4ACA-B624-CF5CDD7C4646}"/>
    <hyperlink ref="C502" r:id="rId1598" display="https://auction.ikco.ir/auction/details/34?r=122" xr:uid="{92217A91-780F-43F9-AA9D-DA2F3BE0F4AB}"/>
    <hyperlink ref="D502" r:id="rId1599" display="https://auction.ikco.ir/auction/details/34?r=122" xr:uid="{C1A968A3-5A88-4E9D-B03F-52D5C5D6F262}"/>
    <hyperlink ref="A603" r:id="rId1600" display="javascript:void(0)" xr:uid="{6193B6FD-D436-464A-8AC7-13C49DC45B69}"/>
    <hyperlink ref="C503" r:id="rId1601" display="https://auction.ikco.ir/auction/details/34?r=168" xr:uid="{E9ADBCB7-37F5-4191-BB4A-79CE035155F8}"/>
    <hyperlink ref="D503" r:id="rId1602" display="https://auction.ikco.ir/auction/details/34?r=168" xr:uid="{0E5D2525-31D0-4DDA-82EB-BF58ACDAB3DA}"/>
    <hyperlink ref="A604" r:id="rId1603" display="javascript:void(0)" xr:uid="{BCCDCAF0-3586-4146-BA99-FD8AE762044D}"/>
    <hyperlink ref="C504" r:id="rId1604" display="https://auction.ikco.ir/auction/details/34?r=248" xr:uid="{6766086A-57AD-424E-B73A-82166A5C4528}"/>
    <hyperlink ref="D504" r:id="rId1605" display="https://auction.ikco.ir/auction/details/34?r=248" xr:uid="{94181824-1B61-427A-9F54-BB7788206E68}"/>
    <hyperlink ref="A605" r:id="rId1606" display="javascript:void(0)" xr:uid="{78D903F5-01CB-4F28-B0B6-4EA44AF32120}"/>
    <hyperlink ref="C505" r:id="rId1607" display="https://auction.ikco.ir/auction/details/34?r=269" xr:uid="{BBC5AE86-6D34-4939-9914-55334907152D}"/>
    <hyperlink ref="D505" r:id="rId1608" display="https://auction.ikco.ir/auction/details/34?r=269" xr:uid="{8DCA9052-EA1A-4FD4-B110-CF229187864D}"/>
    <hyperlink ref="A606" r:id="rId1609" display="javascript:void(0)" xr:uid="{BB880EDA-7A30-432B-B26B-330916C4BC24}"/>
    <hyperlink ref="C506" r:id="rId1610" display="https://auction.ikco.ir/auction/details/34?r=359" xr:uid="{4C7F767B-F92B-4462-A85B-5A5257E3AE59}"/>
    <hyperlink ref="D506" r:id="rId1611" display="https://auction.ikco.ir/auction/details/34?r=359" xr:uid="{98D35F40-1775-487F-8A36-15762AF77293}"/>
    <hyperlink ref="A607" r:id="rId1612" display="javascript:void(0)" xr:uid="{235ABFF2-61F0-4B1F-BB22-A35D0EFBC646}"/>
    <hyperlink ref="C507" r:id="rId1613" display="https://auction.ikco.ir/auction/details/34?r=241" xr:uid="{B5A607E1-DBF3-43D8-88B4-F44976A5358E}"/>
    <hyperlink ref="D507" r:id="rId1614" display="https://auction.ikco.ir/auction/details/34?r=241" xr:uid="{2B3634B5-F10C-4E94-A655-DC3317CF2BFE}"/>
    <hyperlink ref="A608" r:id="rId1615" display="javascript:void(0)" xr:uid="{1D13BA26-0B4D-498B-AB45-9ED488CCBDD1}"/>
    <hyperlink ref="C508" r:id="rId1616" display="https://auction.ikco.ir/auction/details/34?r=393" xr:uid="{045D394E-36E4-4053-84EF-DED17102F23F}"/>
    <hyperlink ref="D508" r:id="rId1617" display="https://auction.ikco.ir/auction/details/34?r=393" xr:uid="{8AD671C7-E778-4D6C-B746-7BB7D1981E04}"/>
    <hyperlink ref="A609" r:id="rId1618" display="javascript:void(0)" xr:uid="{2BCFA456-2948-488B-BDAF-DF018B942C0D}"/>
    <hyperlink ref="C509" r:id="rId1619" display="https://auction.ikco.ir/auction/details/34?r=263" xr:uid="{51067F3C-8E4D-4200-B07F-521CD2E6F4BC}"/>
    <hyperlink ref="D509" r:id="rId1620" display="https://auction.ikco.ir/auction/details/34?r=263" xr:uid="{89093AC8-3B7D-441F-A392-65AF08EF2E42}"/>
    <hyperlink ref="A610" r:id="rId1621" display="javascript:void(0)" xr:uid="{C5A27482-8383-4FD8-A1CD-AD4F1ADB11BA}"/>
    <hyperlink ref="C510" r:id="rId1622" display="https://auction.ikco.ir/auction/details/34?r=271" xr:uid="{80BF5A64-79E3-479D-AB7B-FDAC423ED8A0}"/>
    <hyperlink ref="D510" r:id="rId1623" display="https://auction.ikco.ir/auction/details/34?r=271" xr:uid="{A86C1E9F-83D4-4E95-AE91-BBD9778982C5}"/>
    <hyperlink ref="A611" r:id="rId1624" display="javascript:void(0)" xr:uid="{1220256E-ED79-4828-9664-50B4E335C52A}"/>
    <hyperlink ref="C511" r:id="rId1625" display="https://auction.ikco.ir/auction/details/34?r=427" xr:uid="{7461498A-DD29-4FBE-B889-284216199C70}"/>
    <hyperlink ref="D511" r:id="rId1626" display="https://auction.ikco.ir/auction/details/34?r=427" xr:uid="{7DBAFBE6-3233-458C-87AB-BCA4607879D0}"/>
    <hyperlink ref="A612" r:id="rId1627" display="javascript:void(0)" xr:uid="{11CF9146-7DF3-40DF-96D8-E983DBF623BB}"/>
    <hyperlink ref="C512" r:id="rId1628" display="https://auction.ikco.ir/auction/details/34?r=416" xr:uid="{88559BA6-69CD-4423-AA25-472A67C73FC7}"/>
    <hyperlink ref="D512" r:id="rId1629" display="https://auction.ikco.ir/auction/details/34?r=416" xr:uid="{78DF0BCC-5D66-4EB1-BA44-C5CE553E4502}"/>
    <hyperlink ref="A613" r:id="rId1630" display="javascript:void(0)" xr:uid="{3FC9FB46-52D4-4764-BFF4-F10C67929D89}"/>
    <hyperlink ref="C513" r:id="rId1631" display="https://auction.ikco.ir/auction/details/34?r=386" xr:uid="{A02F8E79-E9C6-4F44-AF2C-6F220067D156}"/>
    <hyperlink ref="D513" r:id="rId1632" display="https://auction.ikco.ir/auction/details/34?r=386" xr:uid="{83E835EB-88B9-4CF3-BA6A-699599030315}"/>
    <hyperlink ref="A614" r:id="rId1633" display="javascript:void(0)" xr:uid="{BAC73CE7-B3DD-4364-AAC1-C57433BA67C1}"/>
    <hyperlink ref="C514" r:id="rId1634" display="https://auction.ikco.ir/auction/details/34?r=380" xr:uid="{638D0178-3D61-4ACF-AE3E-6D56146CB9F2}"/>
    <hyperlink ref="D514" r:id="rId1635" display="https://auction.ikco.ir/auction/details/34?r=380" xr:uid="{61A07A94-D3FC-4B1C-BFF6-84AD0BC012E7}"/>
    <hyperlink ref="A615" r:id="rId1636" display="javascript:void(0)" xr:uid="{9A7C91F8-C4F5-4939-A4C7-0742184AC157}"/>
    <hyperlink ref="C515" r:id="rId1637" display="https://auction.ikco.ir/auction/details/34?r=428" xr:uid="{62DF8CD0-577F-4222-B2C0-A2DA16B7A293}"/>
    <hyperlink ref="D515" r:id="rId1638" display="https://auction.ikco.ir/auction/details/34?r=428" xr:uid="{64093AC7-2C78-4319-8541-68CCDBDF5C8B}"/>
    <hyperlink ref="A616" r:id="rId1639" display="javascript:void(0)" xr:uid="{B6B68BB1-1F75-4F47-A20F-25F08B3DB3C4}"/>
    <hyperlink ref="C516" r:id="rId1640" display="https://auction.ikco.ir/auction/details/34?r=454" xr:uid="{1D95CED4-2A06-49F5-BBB4-79EDA95E17EC}"/>
    <hyperlink ref="D516" r:id="rId1641" display="https://auction.ikco.ir/auction/details/34?r=454" xr:uid="{BB45C778-9338-435F-A995-8F36EB2A534D}"/>
    <hyperlink ref="A617" r:id="rId1642" display="javascript:void(0)" xr:uid="{BDE744E3-C6F4-48B3-915E-BD43E35DEEF1}"/>
    <hyperlink ref="C517" r:id="rId1643" display="https://auction.ikco.ir/auction/details/34?r=456" xr:uid="{E93C40B3-1BFE-477E-AD49-CEF966987B7B}"/>
    <hyperlink ref="D517" r:id="rId1644" display="https://auction.ikco.ir/auction/details/34?r=456" xr:uid="{930387C4-3A9D-48B9-9FA5-97E5BAED658E}"/>
    <hyperlink ref="A618" r:id="rId1645" display="javascript:void(0)" xr:uid="{661C23AC-1DF2-4816-B332-75182FE1C709}"/>
    <hyperlink ref="C518" r:id="rId1646" display="https://auction.ikco.ir/auction/details/34?r=165" xr:uid="{6284BA20-3B8C-4EE0-BD9B-445CD6B1D812}"/>
    <hyperlink ref="D518" r:id="rId1647" display="https://auction.ikco.ir/auction/details/34?r=165" xr:uid="{891795FD-FB7B-4786-89B6-308185E31572}"/>
    <hyperlink ref="A619" r:id="rId1648" display="javascript:void(0)" xr:uid="{C6F40D15-3657-4A7B-ACEF-7B34CCC03114}"/>
    <hyperlink ref="C519" r:id="rId1649" display="https://auction.ikco.ir/auction/details/34?r=194" xr:uid="{7A5BB775-E68C-4330-A3A9-36CEC0AD4080}"/>
    <hyperlink ref="D519" r:id="rId1650" display="https://auction.ikco.ir/auction/details/34?r=194" xr:uid="{B9D2B010-6FD5-41CA-A0E8-D688E48CF63C}"/>
    <hyperlink ref="A620" r:id="rId1651" display="javascript:void(0)" xr:uid="{DC0BD041-7D92-4325-815E-D86E3E273021}"/>
    <hyperlink ref="C520" r:id="rId1652" display="https://auction.ikco.ir/auction/details/34?r=391" xr:uid="{3D4C5A82-C8EA-404C-B52E-F351D5323571}"/>
    <hyperlink ref="D520" r:id="rId1653" display="https://auction.ikco.ir/auction/details/34?r=391" xr:uid="{26225074-3B5F-45EA-83E4-9FB26D11A58D}"/>
    <hyperlink ref="A621" r:id="rId1654" display="javascript:void(0)" xr:uid="{8A42C5A0-B941-4F79-AF75-F795E37978EB}"/>
    <hyperlink ref="C521" r:id="rId1655" display="https://auction.ikco.ir/auction/details/34?r=426" xr:uid="{E80D2F92-93C0-4327-BCC3-0540966855C1}"/>
    <hyperlink ref="D521" r:id="rId1656" display="https://auction.ikco.ir/auction/details/34?r=426" xr:uid="{29C29CC4-70E7-4FBB-94EC-C8DBAE9791A8}"/>
    <hyperlink ref="A622" r:id="rId1657" display="javascript:void(0)" xr:uid="{FF7250BF-3C51-429F-98B3-1BB2E7DD3752}"/>
    <hyperlink ref="C522" r:id="rId1658" display="https://auction.ikco.ir/auction/details/34?r=85" xr:uid="{92DDC07E-000B-4662-89C0-882AD3F572D7}"/>
    <hyperlink ref="D522" r:id="rId1659" display="https://auction.ikco.ir/auction/details/34?r=85" xr:uid="{A27F02C9-62C8-4590-A1D1-C78E1A2C5560}"/>
    <hyperlink ref="A623" r:id="rId1660" display="javascript:void(0)" xr:uid="{FCEE9DCC-FD7B-4483-827E-A0F9B2CB6491}"/>
    <hyperlink ref="C523" r:id="rId1661" display="https://auction.ikco.ir/auction/details/34?r=265" xr:uid="{C2A6B29A-B7A5-4081-AF7A-0ACAAE4E9390}"/>
    <hyperlink ref="D523" r:id="rId1662" display="https://auction.ikco.ir/auction/details/34?r=265" xr:uid="{CE0BD166-A25D-4767-A2DB-CE99CFEF0E43}"/>
    <hyperlink ref="A624" r:id="rId1663" display="javascript:void(0)" xr:uid="{C2651E92-BF7A-417E-82E6-DFFBC74AAFA1}"/>
    <hyperlink ref="C524" r:id="rId1664" display="https://auction.ikco.ir/auction/details/34?r=515" xr:uid="{BD1C9684-32C8-4A48-A10E-E593F7544029}"/>
    <hyperlink ref="D524" r:id="rId1665" display="https://auction.ikco.ir/auction/details/34?r=515" xr:uid="{5478C91E-661E-4E21-8A5A-D43B40F35F2D}"/>
    <hyperlink ref="A625" r:id="rId1666" display="javascript:void(0)" xr:uid="{091746C9-6361-4686-9883-2C50E5AD1162}"/>
    <hyperlink ref="C525" r:id="rId1667" display="https://auction.ikco.ir/auction/details/34?r=516" xr:uid="{03473804-0FB2-4F0D-969A-94E6035E7D50}"/>
    <hyperlink ref="D525" r:id="rId1668" display="https://auction.ikco.ir/auction/details/34?r=516" xr:uid="{F97FA7AC-C5FB-448C-99D4-ED16C97C8EBC}"/>
    <hyperlink ref="A626" r:id="rId1669" display="javascript:void(0)" xr:uid="{C2EED8E7-ECC6-432E-928D-BF63C9A8801A}"/>
    <hyperlink ref="C526" r:id="rId1670" display="https://auction.ikco.ir/auction/details/34?r=457" xr:uid="{F7E3F5F2-7CD8-4C6C-8F46-6609E4A43369}"/>
    <hyperlink ref="D526" r:id="rId1671" display="https://auction.ikco.ir/auction/details/34?r=457" xr:uid="{131AB44C-22CC-42E7-A509-CA33DC8649A5}"/>
    <hyperlink ref="A627" r:id="rId1672" display="javascript:void(0)" xr:uid="{BD5E7007-5C51-477E-B1E4-17CEAD5036FB}"/>
    <hyperlink ref="C527" r:id="rId1673" display="https://auction.ikco.ir/auction/details/34?r=425" xr:uid="{AEF3EE67-5A1B-4DE1-9925-E0A3941DC16B}"/>
    <hyperlink ref="D527" r:id="rId1674" display="https://auction.ikco.ir/auction/details/34?r=425" xr:uid="{756BFFAC-6DCD-4751-A4EF-CC51D82B17C3}"/>
    <hyperlink ref="A628" r:id="rId1675" display="javascript:void(0)" xr:uid="{1689771B-A6E9-4BCC-8B60-15D6528D69DD}"/>
    <hyperlink ref="C528" r:id="rId1676" display="https://auction.ikco.ir/auction/details/34?r=517" xr:uid="{5191D057-2B61-4E52-BAE8-CC243076A37B}"/>
    <hyperlink ref="D528" r:id="rId1677" display="https://auction.ikco.ir/auction/details/34?r=517" xr:uid="{B8B98220-5BDC-4047-B845-DB72286A739D}"/>
    <hyperlink ref="A629" r:id="rId1678" display="javascript:void(0)" xr:uid="{368A558F-48F5-4A62-96DB-DC75670B7E01}"/>
    <hyperlink ref="C529" r:id="rId1679" display="https://auction.ikco.ir/auction/details/34?r=481" xr:uid="{F1AFA35D-6720-4D77-8E74-99EC55A39725}"/>
    <hyperlink ref="D529" r:id="rId1680" display="https://auction.ikco.ir/auction/details/34?r=481" xr:uid="{ADD31DC4-F09C-493B-B994-63D196A2B5DE}"/>
    <hyperlink ref="A630" r:id="rId1681" display="javascript:void(0)" xr:uid="{5A488FE8-09A8-4C32-9F7C-E740559E02C8}"/>
    <hyperlink ref="C530" r:id="rId1682" display="https://auction.ikco.ir/auction/details/34?r=518" xr:uid="{5A106B9A-B3BF-40F5-8F7A-5C618DC60156}"/>
    <hyperlink ref="D530" r:id="rId1683" display="https://auction.ikco.ir/auction/details/34?r=518" xr:uid="{E351ACBF-141F-4CB5-87E4-F10F1C752BD2}"/>
    <hyperlink ref="A631" r:id="rId1684" display="javascript:void(0)" xr:uid="{EE928B59-4B1B-4E10-897D-2CCD519F2F38}"/>
    <hyperlink ref="C531" r:id="rId1685" display="https://auction.ikco.ir/auction/details/34?r=519" xr:uid="{04CA4356-1AE6-4301-8276-B76947ADA09A}"/>
    <hyperlink ref="D531" r:id="rId1686" display="https://auction.ikco.ir/auction/details/34?r=519" xr:uid="{574B0F97-4CF9-436B-8333-078233C73398}"/>
  </hyperlinks>
  <pageMargins left="0.7" right="0.7" top="0.75" bottom="0.75" header="0.3" footer="0.3"/>
  <pageSetup orientation="portrait" r:id="rId1687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915-4CE9-43B6-B150-23527195AE2E}">
  <sheetPr codeName="Sheet2"/>
  <dimension ref="A3:D16"/>
  <sheetViews>
    <sheetView topLeftCell="C1" workbookViewId="0">
      <selection activeCell="M14" sqref="M14"/>
    </sheetView>
  </sheetViews>
  <sheetFormatPr defaultRowHeight="15" x14ac:dyDescent="0.25"/>
  <cols>
    <col min="1" max="1" width="20.5703125" bestFit="1" customWidth="1"/>
    <col min="2" max="2" width="16.28515625" bestFit="1" customWidth="1"/>
    <col min="3" max="3" width="15.42578125" bestFit="1" customWidth="1"/>
    <col min="4" max="4" width="22.85546875" bestFit="1" customWidth="1"/>
    <col min="5" max="5" width="11.28515625" bestFit="1" customWidth="1"/>
  </cols>
  <sheetData>
    <row r="3" spans="1:4" x14ac:dyDescent="0.25">
      <c r="A3" s="2" t="s">
        <v>7901</v>
      </c>
      <c r="B3" s="2" t="s">
        <v>0</v>
      </c>
    </row>
    <row r="4" spans="1:4" x14ac:dyDescent="0.25">
      <c r="A4" s="2" t="s">
        <v>14</v>
      </c>
      <c r="B4" t="s">
        <v>7902</v>
      </c>
      <c r="C4" t="s">
        <v>7903</v>
      </c>
      <c r="D4" t="s">
        <v>7904</v>
      </c>
    </row>
    <row r="5" spans="1:4" x14ac:dyDescent="0.25">
      <c r="A5" s="3" t="s">
        <v>7905</v>
      </c>
    </row>
    <row r="6" spans="1:4" x14ac:dyDescent="0.25">
      <c r="A6" s="4" t="s">
        <v>7906</v>
      </c>
      <c r="B6" s="5">
        <v>2.4701327696363681E-2</v>
      </c>
      <c r="C6" s="5">
        <v>1.0797342192691031</v>
      </c>
      <c r="D6" s="5">
        <v>0.35182679296346414</v>
      </c>
    </row>
    <row r="7" spans="1:4" x14ac:dyDescent="0.25">
      <c r="A7" s="4" t="s">
        <v>7907</v>
      </c>
      <c r="B7" s="5">
        <v>3.7568584773046754E-2</v>
      </c>
      <c r="C7" s="5">
        <v>1</v>
      </c>
      <c r="D7" s="5">
        <v>0.40376850605652759</v>
      </c>
    </row>
    <row r="8" spans="1:4" x14ac:dyDescent="0.25">
      <c r="A8" s="4" t="s">
        <v>7908</v>
      </c>
      <c r="B8" s="5">
        <v>1.2012012012012012E-2</v>
      </c>
      <c r="C8" s="5">
        <v>0.43612108773730118</v>
      </c>
      <c r="D8" s="5">
        <v>0.15887850467289719</v>
      </c>
    </row>
    <row r="9" spans="1:4" x14ac:dyDescent="0.25">
      <c r="A9" s="4" t="s">
        <v>7909</v>
      </c>
      <c r="B9" s="5">
        <v>2.8177943714557431E-2</v>
      </c>
      <c r="C9" s="5">
        <v>1.0380622837370241</v>
      </c>
      <c r="D9" s="5">
        <v>0.36945812807881773</v>
      </c>
    </row>
    <row r="10" spans="1:4" x14ac:dyDescent="0.25">
      <c r="A10" s="4" t="s">
        <v>7910</v>
      </c>
      <c r="B10" s="5">
        <v>3.961572744379519E-3</v>
      </c>
      <c r="C10" s="5">
        <v>0.16794625719769674</v>
      </c>
      <c r="D10" s="5">
        <v>3.7293553542887589E-2</v>
      </c>
    </row>
    <row r="11" spans="1:4" x14ac:dyDescent="0.25">
      <c r="A11" s="3" t="s">
        <v>7911</v>
      </c>
      <c r="B11" s="5"/>
      <c r="C11" s="5"/>
      <c r="D11" s="5"/>
    </row>
    <row r="12" spans="1:4" x14ac:dyDescent="0.25">
      <c r="A12" s="4" t="s">
        <v>7912</v>
      </c>
      <c r="B12" s="5">
        <v>1.8022036445063201E-3</v>
      </c>
      <c r="C12" s="5">
        <v>5.9238196789289731E-2</v>
      </c>
      <c r="D12" s="5">
        <v>2.6624068157614485E-2</v>
      </c>
    </row>
    <row r="13" spans="1:4" x14ac:dyDescent="0.25">
      <c r="A13" s="4" t="s">
        <v>7913</v>
      </c>
      <c r="B13" s="5">
        <v>1.9750371759601768E-3</v>
      </c>
      <c r="C13" s="5">
        <v>5.8999370673379486E-2</v>
      </c>
      <c r="D13" s="5">
        <v>2.0733982998133942E-2</v>
      </c>
    </row>
    <row r="14" spans="1:4" x14ac:dyDescent="0.25">
      <c r="A14" s="4" t="s">
        <v>7914</v>
      </c>
      <c r="B14" s="5">
        <v>2.1395252490723454E-3</v>
      </c>
      <c r="C14" s="5">
        <v>6.0654851836739195E-2</v>
      </c>
      <c r="D14" s="5">
        <v>1.73877305850181E-2</v>
      </c>
    </row>
    <row r="15" spans="1:4" x14ac:dyDescent="0.25">
      <c r="A15" s="4" t="s">
        <v>7915</v>
      </c>
      <c r="B15" s="5">
        <v>1.0613450824233958E-3</v>
      </c>
      <c r="C15" s="5">
        <v>4.1884338303608146E-2</v>
      </c>
      <c r="D15" s="5">
        <v>9.556803249313104E-3</v>
      </c>
    </row>
    <row r="16" spans="1:4" x14ac:dyDescent="0.25">
      <c r="A16" s="4" t="s">
        <v>7916</v>
      </c>
      <c r="B16" s="5">
        <v>1.5068609261543967E-3</v>
      </c>
      <c r="C16" s="5">
        <v>7.4688176861602812E-2</v>
      </c>
      <c r="D16" s="5">
        <v>2.8868360277136258E-2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A33FD-124C-4861-8F63-E8159F0733C0}">
  <sheetPr codeName="Sheet1"/>
  <dimension ref="A1:U1852"/>
  <sheetViews>
    <sheetView topLeftCell="A1791" zoomScale="130" zoomScaleNormal="130" workbookViewId="0">
      <selection activeCell="A1796" sqref="A1796"/>
    </sheetView>
  </sheetViews>
  <sheetFormatPr defaultRowHeight="15" x14ac:dyDescent="0.25"/>
  <cols>
    <col min="1" max="1" width="22.5703125" customWidth="1"/>
    <col min="4" max="4" width="14.5703125" customWidth="1"/>
  </cols>
  <sheetData>
    <row r="1" spans="1:21" x14ac:dyDescent="0.25">
      <c r="A1" s="9"/>
      <c r="B1" s="10"/>
      <c r="C1" s="10"/>
      <c r="D1" s="10"/>
      <c r="E1" s="10"/>
      <c r="F1" s="1"/>
      <c r="G1" s="6"/>
    </row>
    <row r="2" spans="1:21" x14ac:dyDescent="0.25">
      <c r="B2" s="11" t="s">
        <v>7917</v>
      </c>
      <c r="C2" s="11" t="s">
        <v>7918</v>
      </c>
      <c r="D2" s="12" t="s">
        <v>7919</v>
      </c>
      <c r="E2" s="12" t="s">
        <v>7920</v>
      </c>
      <c r="F2" s="1" t="s">
        <v>7921</v>
      </c>
      <c r="G2" s="6" t="s">
        <v>7922</v>
      </c>
      <c r="H2" t="s">
        <v>7923</v>
      </c>
    </row>
    <row r="3" spans="1:21" x14ac:dyDescent="0.25">
      <c r="A3" t="s">
        <v>74</v>
      </c>
      <c r="B3" s="11">
        <v>14</v>
      </c>
      <c r="C3" s="11" t="s">
        <v>192</v>
      </c>
      <c r="D3" s="12" t="s">
        <v>191</v>
      </c>
      <c r="E3" s="12">
        <v>999999</v>
      </c>
      <c r="F3" s="1">
        <v>800000000</v>
      </c>
      <c r="G3" s="6">
        <v>2330000021</v>
      </c>
      <c r="H3">
        <v>14</v>
      </c>
      <c r="I3" t="s">
        <v>7924</v>
      </c>
    </row>
    <row r="4" spans="1:21" x14ac:dyDescent="0.25">
      <c r="A4" t="s">
        <v>74</v>
      </c>
      <c r="B4" s="11">
        <v>37</v>
      </c>
      <c r="C4" s="11" t="s">
        <v>622</v>
      </c>
      <c r="D4" s="12" t="s">
        <v>621</v>
      </c>
      <c r="E4" s="12">
        <v>999999</v>
      </c>
      <c r="F4" s="1">
        <v>2000000000</v>
      </c>
      <c r="G4" s="6">
        <v>2610000000</v>
      </c>
      <c r="H4">
        <v>37</v>
      </c>
      <c r="I4" t="s">
        <v>7925</v>
      </c>
    </row>
    <row r="5" spans="1:21" x14ac:dyDescent="0.25">
      <c r="A5" t="s">
        <v>74</v>
      </c>
      <c r="B5" s="11">
        <v>45</v>
      </c>
      <c r="C5" s="11" t="s">
        <v>4436</v>
      </c>
      <c r="D5" t="s">
        <v>3521</v>
      </c>
      <c r="E5" s="13">
        <v>999999</v>
      </c>
      <c r="F5" s="1">
        <v>3700000000</v>
      </c>
      <c r="G5" s="6">
        <v>4780999999</v>
      </c>
      <c r="H5">
        <v>45</v>
      </c>
      <c r="I5" t="s">
        <v>7926</v>
      </c>
    </row>
    <row r="6" spans="1:21" x14ac:dyDescent="0.25">
      <c r="A6" t="s">
        <v>74</v>
      </c>
      <c r="B6" s="11">
        <v>460</v>
      </c>
      <c r="C6" s="11" t="s">
        <v>62</v>
      </c>
      <c r="D6" s="12" t="s">
        <v>61</v>
      </c>
      <c r="E6" s="12">
        <v>999999</v>
      </c>
      <c r="F6" s="1">
        <v>70000000</v>
      </c>
      <c r="G6" s="6">
        <v>101000000</v>
      </c>
      <c r="H6">
        <v>484</v>
      </c>
      <c r="I6" t="s">
        <v>7927</v>
      </c>
      <c r="U6" s="12"/>
    </row>
    <row r="7" spans="1:21" x14ac:dyDescent="0.25">
      <c r="A7" t="s">
        <v>74</v>
      </c>
      <c r="B7" s="11">
        <v>462</v>
      </c>
      <c r="C7" s="11" t="s">
        <v>154</v>
      </c>
      <c r="D7" s="12" t="s">
        <v>153</v>
      </c>
      <c r="E7" s="12">
        <v>999999</v>
      </c>
      <c r="F7" s="1">
        <v>500000000</v>
      </c>
      <c r="G7" s="6">
        <v>738900000</v>
      </c>
      <c r="H7">
        <v>486</v>
      </c>
      <c r="I7" t="s">
        <v>7928</v>
      </c>
    </row>
    <row r="8" spans="1:21" x14ac:dyDescent="0.25">
      <c r="A8" t="s">
        <v>74</v>
      </c>
      <c r="B8" s="11">
        <v>463</v>
      </c>
      <c r="C8" s="11" t="s">
        <v>76</v>
      </c>
      <c r="D8" s="12" t="s">
        <v>75</v>
      </c>
      <c r="E8" s="13">
        <v>999999</v>
      </c>
      <c r="F8" s="1">
        <v>250000000</v>
      </c>
      <c r="G8" s="6">
        <v>388900000</v>
      </c>
      <c r="H8">
        <v>487</v>
      </c>
      <c r="I8" t="s">
        <v>7929</v>
      </c>
    </row>
    <row r="9" spans="1:21" x14ac:dyDescent="0.25">
      <c r="A9" t="s">
        <v>74</v>
      </c>
      <c r="B9" s="11">
        <v>464</v>
      </c>
      <c r="C9" s="11" t="s">
        <v>297</v>
      </c>
      <c r="D9" s="12" t="s">
        <v>296</v>
      </c>
      <c r="E9" s="12">
        <v>999999</v>
      </c>
      <c r="F9" s="1">
        <v>1600000000</v>
      </c>
      <c r="G9" s="6">
        <v>2106700000</v>
      </c>
      <c r="H9">
        <v>488</v>
      </c>
      <c r="I9" t="s">
        <v>7930</v>
      </c>
    </row>
    <row r="10" spans="1:21" x14ac:dyDescent="0.25">
      <c r="A10" t="s">
        <v>74</v>
      </c>
      <c r="B10" s="11">
        <v>30</v>
      </c>
      <c r="C10" s="11" t="s">
        <v>258</v>
      </c>
      <c r="D10" s="12" t="s">
        <v>7931</v>
      </c>
      <c r="E10" s="13">
        <v>274640</v>
      </c>
      <c r="F10" s="1">
        <v>1350000000</v>
      </c>
      <c r="G10" s="6">
        <v>2310000000</v>
      </c>
      <c r="H10">
        <v>30</v>
      </c>
      <c r="I10" t="s">
        <v>7932</v>
      </c>
    </row>
    <row r="11" spans="1:21" x14ac:dyDescent="0.25">
      <c r="A11" t="s">
        <v>74</v>
      </c>
      <c r="B11" s="11">
        <v>51</v>
      </c>
      <c r="C11" s="11">
        <v>40414546</v>
      </c>
      <c r="D11" s="12" t="s">
        <v>7933</v>
      </c>
      <c r="E11" s="12">
        <v>200151</v>
      </c>
      <c r="F11" s="1">
        <v>700000000</v>
      </c>
      <c r="G11" s="6">
        <v>1210000000</v>
      </c>
      <c r="H11">
        <v>51</v>
      </c>
      <c r="I11" t="s">
        <v>7934</v>
      </c>
    </row>
    <row r="12" spans="1:21" x14ac:dyDescent="0.25">
      <c r="A12" t="s">
        <v>74</v>
      </c>
      <c r="B12" s="11">
        <v>52</v>
      </c>
      <c r="C12" s="11" t="s">
        <v>186</v>
      </c>
      <c r="D12" s="12" t="s">
        <v>7935</v>
      </c>
      <c r="E12" s="12">
        <v>181095</v>
      </c>
      <c r="F12" s="1">
        <v>750000000</v>
      </c>
      <c r="G12" s="6">
        <v>1279999999</v>
      </c>
      <c r="H12">
        <v>52</v>
      </c>
      <c r="I12" t="s">
        <v>7936</v>
      </c>
    </row>
    <row r="13" spans="1:21" x14ac:dyDescent="0.25">
      <c r="A13" t="s">
        <v>74</v>
      </c>
      <c r="B13" s="11">
        <v>53</v>
      </c>
      <c r="C13" s="11">
        <v>83341282</v>
      </c>
      <c r="D13" s="12" t="s">
        <v>130</v>
      </c>
      <c r="E13" s="12">
        <v>143579</v>
      </c>
      <c r="F13" s="1">
        <v>500000000</v>
      </c>
      <c r="G13" s="6">
        <v>1155555555</v>
      </c>
      <c r="H13">
        <v>53</v>
      </c>
      <c r="I13" t="s">
        <v>7937</v>
      </c>
    </row>
    <row r="14" spans="1:21" x14ac:dyDescent="0.25">
      <c r="A14" t="s">
        <v>74</v>
      </c>
      <c r="B14" s="11">
        <v>26</v>
      </c>
      <c r="C14" s="11" t="s">
        <v>419</v>
      </c>
      <c r="D14" s="12" t="s">
        <v>418</v>
      </c>
      <c r="E14" s="12">
        <v>133162</v>
      </c>
      <c r="F14" s="1">
        <v>1900000000</v>
      </c>
      <c r="G14" s="6">
        <v>2560000000</v>
      </c>
      <c r="H14">
        <v>26</v>
      </c>
      <c r="I14" t="s">
        <v>7938</v>
      </c>
    </row>
    <row r="15" spans="1:21" x14ac:dyDescent="0.25">
      <c r="A15" t="s">
        <v>74</v>
      </c>
      <c r="B15" s="11">
        <v>38</v>
      </c>
      <c r="C15" s="11" t="s">
        <v>2451</v>
      </c>
      <c r="D15" s="12" t="s">
        <v>2450</v>
      </c>
      <c r="E15" s="12">
        <v>52167</v>
      </c>
      <c r="F15" s="1">
        <v>2200000000</v>
      </c>
      <c r="G15" s="6">
        <v>3134736252</v>
      </c>
      <c r="H15">
        <v>38</v>
      </c>
      <c r="I15" t="s">
        <v>7939</v>
      </c>
    </row>
    <row r="16" spans="1:21" x14ac:dyDescent="0.25">
      <c r="A16" t="s">
        <v>74</v>
      </c>
      <c r="B16" s="11">
        <v>40</v>
      </c>
      <c r="C16" s="11" t="s">
        <v>2941</v>
      </c>
      <c r="D16" s="12" t="s">
        <v>2940</v>
      </c>
      <c r="E16" s="12">
        <v>49567</v>
      </c>
      <c r="F16" s="1">
        <v>2550000000</v>
      </c>
      <c r="G16" s="6">
        <v>3666666666</v>
      </c>
      <c r="H16">
        <v>40</v>
      </c>
      <c r="I16" t="s">
        <v>7940</v>
      </c>
    </row>
    <row r="17" spans="1:9" x14ac:dyDescent="0.25">
      <c r="A17" t="s">
        <v>74</v>
      </c>
      <c r="B17" s="11">
        <v>49</v>
      </c>
      <c r="C17" s="11" t="s">
        <v>3536</v>
      </c>
      <c r="D17" s="12" t="s">
        <v>3521</v>
      </c>
      <c r="E17" s="12">
        <v>48525</v>
      </c>
      <c r="F17" s="1">
        <v>3300000000</v>
      </c>
      <c r="G17" s="6">
        <v>4267099999</v>
      </c>
      <c r="H17">
        <v>49</v>
      </c>
      <c r="I17" t="s">
        <v>7941</v>
      </c>
    </row>
    <row r="18" spans="1:9" x14ac:dyDescent="0.25">
      <c r="A18" t="s">
        <v>74</v>
      </c>
      <c r="B18" s="11">
        <v>36</v>
      </c>
      <c r="C18" s="11">
        <v>31666895</v>
      </c>
      <c r="D18" s="12" t="s">
        <v>123</v>
      </c>
      <c r="E18" s="13">
        <v>43923</v>
      </c>
      <c r="F18" s="1">
        <v>500000000</v>
      </c>
      <c r="G18" s="6">
        <v>989999999</v>
      </c>
      <c r="H18">
        <v>36</v>
      </c>
      <c r="I18" t="s">
        <v>7942</v>
      </c>
    </row>
    <row r="19" spans="1:9" x14ac:dyDescent="0.25">
      <c r="A19" t="s">
        <v>74</v>
      </c>
      <c r="B19" s="11">
        <v>39</v>
      </c>
      <c r="C19" s="11" t="s">
        <v>3068</v>
      </c>
      <c r="D19" s="12" t="s">
        <v>2940</v>
      </c>
      <c r="E19" s="12">
        <v>42307</v>
      </c>
      <c r="F19" s="1">
        <v>2650000000</v>
      </c>
      <c r="G19" s="6">
        <v>3680000000</v>
      </c>
      <c r="H19">
        <v>39</v>
      </c>
      <c r="I19" t="s">
        <v>7943</v>
      </c>
    </row>
    <row r="20" spans="1:9" x14ac:dyDescent="0.25">
      <c r="A20" t="s">
        <v>74</v>
      </c>
      <c r="B20" s="11">
        <v>27</v>
      </c>
      <c r="C20" s="11" t="s">
        <v>268</v>
      </c>
      <c r="D20" s="12" t="s">
        <v>267</v>
      </c>
      <c r="E20" s="13">
        <v>40281</v>
      </c>
      <c r="F20" s="1">
        <v>1500000000</v>
      </c>
      <c r="G20" s="6">
        <v>2712200000</v>
      </c>
      <c r="H20">
        <v>27</v>
      </c>
      <c r="I20" t="s">
        <v>7944</v>
      </c>
    </row>
    <row r="21" spans="1:9" x14ac:dyDescent="0.25">
      <c r="A21" t="s">
        <v>74</v>
      </c>
      <c r="B21" s="11">
        <v>1</v>
      </c>
      <c r="C21" s="11" t="s">
        <v>3458</v>
      </c>
      <c r="D21" s="12" t="s">
        <v>87</v>
      </c>
      <c r="E21" s="13">
        <v>38283</v>
      </c>
      <c r="F21" s="1">
        <v>3200000000</v>
      </c>
      <c r="G21" s="6">
        <v>3750000000</v>
      </c>
      <c r="H21">
        <v>1</v>
      </c>
      <c r="I21" t="s">
        <v>7945</v>
      </c>
    </row>
    <row r="22" spans="1:9" x14ac:dyDescent="0.25">
      <c r="A22" t="s">
        <v>74</v>
      </c>
      <c r="B22" s="11">
        <v>5</v>
      </c>
      <c r="C22" s="11" t="s">
        <v>2190</v>
      </c>
      <c r="D22" s="12" t="s">
        <v>2189</v>
      </c>
      <c r="E22" s="12">
        <v>36239</v>
      </c>
      <c r="F22" s="1">
        <v>2100000000</v>
      </c>
      <c r="G22" s="6">
        <v>2737199999</v>
      </c>
      <c r="H22">
        <v>5</v>
      </c>
      <c r="I22" t="s">
        <v>7946</v>
      </c>
    </row>
    <row r="23" spans="1:9" x14ac:dyDescent="0.25">
      <c r="A23" t="s">
        <v>74</v>
      </c>
      <c r="B23" s="11">
        <v>23</v>
      </c>
      <c r="C23" s="11" t="s">
        <v>5614</v>
      </c>
      <c r="D23" s="12" t="s">
        <v>5613</v>
      </c>
      <c r="E23" s="13">
        <v>27498</v>
      </c>
      <c r="F23" s="1">
        <v>7500000000</v>
      </c>
      <c r="G23" s="6">
        <v>8911700000</v>
      </c>
      <c r="H23">
        <v>23</v>
      </c>
      <c r="I23" t="s">
        <v>7947</v>
      </c>
    </row>
    <row r="24" spans="1:9" x14ac:dyDescent="0.25">
      <c r="A24" t="s">
        <v>74</v>
      </c>
      <c r="B24" s="11">
        <v>35</v>
      </c>
      <c r="C24" s="11">
        <v>22103755</v>
      </c>
      <c r="D24" s="12" t="s">
        <v>96</v>
      </c>
      <c r="E24" s="13">
        <v>25858</v>
      </c>
      <c r="F24" s="1">
        <v>400000000</v>
      </c>
      <c r="G24" s="6">
        <v>999999999</v>
      </c>
      <c r="H24">
        <v>35</v>
      </c>
      <c r="I24" t="s">
        <v>7948</v>
      </c>
    </row>
    <row r="25" spans="1:9" x14ac:dyDescent="0.25">
      <c r="A25" t="s">
        <v>74</v>
      </c>
      <c r="B25" s="11">
        <v>33</v>
      </c>
      <c r="C25" s="11" t="s">
        <v>3302</v>
      </c>
      <c r="D25" s="12" t="s">
        <v>3242</v>
      </c>
      <c r="E25" s="13">
        <v>19144</v>
      </c>
      <c r="F25" s="1">
        <v>3000000000</v>
      </c>
      <c r="G25" s="6">
        <v>3963333333</v>
      </c>
      <c r="H25">
        <v>33</v>
      </c>
      <c r="I25" t="s">
        <v>7949</v>
      </c>
    </row>
    <row r="26" spans="1:9" x14ac:dyDescent="0.25">
      <c r="A26" t="s">
        <v>74</v>
      </c>
      <c r="B26" s="11">
        <v>29</v>
      </c>
      <c r="C26" s="11" t="s">
        <v>2145</v>
      </c>
      <c r="D26" s="13" t="s">
        <v>2144</v>
      </c>
      <c r="E26" s="13">
        <v>19029</v>
      </c>
      <c r="F26" s="1">
        <v>2100000000</v>
      </c>
      <c r="G26" s="6">
        <v>2866666666</v>
      </c>
      <c r="H26">
        <v>29</v>
      </c>
      <c r="I26" t="s">
        <v>7950</v>
      </c>
    </row>
    <row r="27" spans="1:9" x14ac:dyDescent="0.25">
      <c r="A27" t="s">
        <v>74</v>
      </c>
      <c r="B27" s="11">
        <v>13</v>
      </c>
      <c r="C27" s="11" t="s">
        <v>3226</v>
      </c>
      <c r="D27" s="13" t="s">
        <v>191</v>
      </c>
      <c r="E27" s="13">
        <v>16041</v>
      </c>
      <c r="F27" s="1">
        <v>2900000000</v>
      </c>
      <c r="G27" s="6">
        <v>3312525200</v>
      </c>
      <c r="H27">
        <v>13</v>
      </c>
      <c r="I27" t="s">
        <v>7951</v>
      </c>
    </row>
    <row r="28" spans="1:9" x14ac:dyDescent="0.25">
      <c r="A28" t="s">
        <v>74</v>
      </c>
      <c r="B28" s="11">
        <v>24</v>
      </c>
      <c r="C28" s="11" t="s">
        <v>5605</v>
      </c>
      <c r="D28" s="12" t="s">
        <v>5604</v>
      </c>
      <c r="E28" s="13">
        <v>15486</v>
      </c>
      <c r="F28" s="1">
        <v>7300000000</v>
      </c>
      <c r="G28" s="6">
        <v>8802700000</v>
      </c>
      <c r="H28">
        <v>24</v>
      </c>
      <c r="I28" t="s">
        <v>7952</v>
      </c>
    </row>
    <row r="29" spans="1:9" x14ac:dyDescent="0.25">
      <c r="A29" t="s">
        <v>74</v>
      </c>
      <c r="B29" s="11">
        <v>50</v>
      </c>
      <c r="C29" s="11" t="s">
        <v>3522</v>
      </c>
      <c r="D29" s="12" t="s">
        <v>3521</v>
      </c>
      <c r="E29" s="13">
        <v>13245</v>
      </c>
      <c r="F29" s="1">
        <v>3250000000</v>
      </c>
      <c r="G29" s="6">
        <v>4509999999</v>
      </c>
      <c r="H29">
        <v>50</v>
      </c>
      <c r="I29" t="s">
        <v>7953</v>
      </c>
    </row>
    <row r="30" spans="1:9" x14ac:dyDescent="0.25">
      <c r="A30" t="s">
        <v>74</v>
      </c>
      <c r="B30" s="11">
        <v>48</v>
      </c>
      <c r="C30" s="11" t="s">
        <v>4319</v>
      </c>
      <c r="D30" s="12" t="s">
        <v>4318</v>
      </c>
      <c r="E30" s="13">
        <v>12506</v>
      </c>
      <c r="F30" s="1">
        <v>3550000000</v>
      </c>
      <c r="G30" s="6">
        <v>4737999999</v>
      </c>
      <c r="H30">
        <v>48</v>
      </c>
      <c r="I30" t="s">
        <v>7954</v>
      </c>
    </row>
    <row r="31" spans="1:9" x14ac:dyDescent="0.25">
      <c r="A31" t="s">
        <v>74</v>
      </c>
      <c r="B31">
        <v>42</v>
      </c>
      <c r="C31" t="s">
        <v>3754</v>
      </c>
      <c r="D31" t="s">
        <v>3521</v>
      </c>
      <c r="E31">
        <v>11533</v>
      </c>
      <c r="F31" s="6">
        <v>3400000000</v>
      </c>
      <c r="G31" s="6">
        <v>4578999999</v>
      </c>
      <c r="H31">
        <v>42</v>
      </c>
      <c r="I31" t="s">
        <v>7955</v>
      </c>
    </row>
    <row r="32" spans="1:9" x14ac:dyDescent="0.25">
      <c r="A32" t="s">
        <v>74</v>
      </c>
      <c r="B32">
        <v>16</v>
      </c>
      <c r="C32" t="s">
        <v>615</v>
      </c>
      <c r="D32" t="s">
        <v>614</v>
      </c>
      <c r="E32">
        <v>9612</v>
      </c>
      <c r="F32" s="6">
        <v>2000000000</v>
      </c>
      <c r="G32" s="6">
        <v>2717777777</v>
      </c>
      <c r="H32">
        <v>16</v>
      </c>
      <c r="I32" t="s">
        <v>7956</v>
      </c>
    </row>
    <row r="33" spans="1:9" x14ac:dyDescent="0.25">
      <c r="A33" t="s">
        <v>74</v>
      </c>
      <c r="B33">
        <v>44</v>
      </c>
      <c r="C33" t="s">
        <v>4618</v>
      </c>
      <c r="D33" t="s">
        <v>3478</v>
      </c>
      <c r="E33">
        <v>8372</v>
      </c>
      <c r="F33" s="6">
        <v>3900000000</v>
      </c>
      <c r="G33" s="6">
        <v>5056999999</v>
      </c>
      <c r="H33">
        <v>44</v>
      </c>
      <c r="I33" t="s">
        <v>7957</v>
      </c>
    </row>
    <row r="34" spans="1:9" x14ac:dyDescent="0.25">
      <c r="A34" t="s">
        <v>74</v>
      </c>
      <c r="B34">
        <v>3</v>
      </c>
      <c r="C34" t="s">
        <v>3740</v>
      </c>
      <c r="D34" t="s">
        <v>87</v>
      </c>
      <c r="E34">
        <v>8287</v>
      </c>
      <c r="F34" s="6">
        <v>3400000000</v>
      </c>
      <c r="G34" s="6">
        <v>4025123214</v>
      </c>
      <c r="H34">
        <v>3</v>
      </c>
      <c r="I34" t="s">
        <v>7958</v>
      </c>
    </row>
    <row r="35" spans="1:9" x14ac:dyDescent="0.25">
      <c r="A35" t="s">
        <v>74</v>
      </c>
      <c r="B35">
        <v>366</v>
      </c>
      <c r="C35" t="s">
        <v>3661</v>
      </c>
      <c r="D35" t="s">
        <v>3660</v>
      </c>
      <c r="E35">
        <v>7651</v>
      </c>
      <c r="F35" s="6">
        <v>3300000000</v>
      </c>
      <c r="G35" s="6">
        <v>3911000012</v>
      </c>
      <c r="H35">
        <v>390</v>
      </c>
      <c r="I35" t="s">
        <v>7959</v>
      </c>
    </row>
    <row r="36" spans="1:9" x14ac:dyDescent="0.25">
      <c r="A36" t="s">
        <v>74</v>
      </c>
      <c r="B36">
        <v>9</v>
      </c>
      <c r="C36" t="s">
        <v>2428</v>
      </c>
      <c r="D36" t="s">
        <v>2189</v>
      </c>
      <c r="E36">
        <v>7255</v>
      </c>
      <c r="F36" s="6">
        <v>2150000000</v>
      </c>
      <c r="G36" s="6">
        <v>2888000000</v>
      </c>
      <c r="H36">
        <v>9</v>
      </c>
      <c r="I36" t="s">
        <v>7960</v>
      </c>
    </row>
    <row r="37" spans="1:9" x14ac:dyDescent="0.25">
      <c r="A37" t="s">
        <v>74</v>
      </c>
      <c r="B37">
        <v>34</v>
      </c>
      <c r="C37" t="s">
        <v>5687</v>
      </c>
      <c r="D37" t="s">
        <v>7961</v>
      </c>
      <c r="E37">
        <v>6109</v>
      </c>
      <c r="F37" s="6">
        <v>9800000000</v>
      </c>
      <c r="G37" s="6">
        <v>13222222222</v>
      </c>
      <c r="H37">
        <v>34</v>
      </c>
      <c r="I37" t="s">
        <v>7962</v>
      </c>
    </row>
    <row r="38" spans="1:9" x14ac:dyDescent="0.25">
      <c r="A38" t="s">
        <v>74</v>
      </c>
      <c r="B38">
        <v>46</v>
      </c>
      <c r="C38" t="s">
        <v>4771</v>
      </c>
      <c r="D38" t="s">
        <v>3521</v>
      </c>
      <c r="E38">
        <v>5874</v>
      </c>
      <c r="F38" s="6">
        <v>4000000000</v>
      </c>
      <c r="G38" s="6">
        <v>5399000000</v>
      </c>
      <c r="H38">
        <v>46</v>
      </c>
      <c r="I38" t="s">
        <v>7963</v>
      </c>
    </row>
    <row r="39" spans="1:9" x14ac:dyDescent="0.25">
      <c r="A39" t="s">
        <v>74</v>
      </c>
      <c r="B39">
        <v>21</v>
      </c>
      <c r="C39" t="s">
        <v>2595</v>
      </c>
      <c r="D39" t="s">
        <v>2476</v>
      </c>
      <c r="E39">
        <v>5500</v>
      </c>
      <c r="F39" s="6">
        <v>2370000000</v>
      </c>
      <c r="G39" s="6">
        <v>3081000000</v>
      </c>
      <c r="H39">
        <v>21</v>
      </c>
      <c r="I39" t="s">
        <v>7964</v>
      </c>
    </row>
    <row r="40" spans="1:9" x14ac:dyDescent="0.25">
      <c r="A40" t="s">
        <v>74</v>
      </c>
      <c r="B40">
        <v>20</v>
      </c>
      <c r="C40" t="s">
        <v>2550</v>
      </c>
      <c r="D40" t="s">
        <v>2487</v>
      </c>
      <c r="E40">
        <v>5481</v>
      </c>
      <c r="F40" s="6">
        <v>2350000000</v>
      </c>
      <c r="G40" s="6">
        <v>3318050000</v>
      </c>
      <c r="H40">
        <v>20</v>
      </c>
      <c r="I40" t="s">
        <v>7965</v>
      </c>
    </row>
    <row r="41" spans="1:9" x14ac:dyDescent="0.25">
      <c r="A41" t="s">
        <v>74</v>
      </c>
      <c r="B41">
        <v>309</v>
      </c>
      <c r="C41" t="s">
        <v>2666</v>
      </c>
      <c r="D41" t="s">
        <v>2476</v>
      </c>
      <c r="E41">
        <v>5298</v>
      </c>
      <c r="F41" s="6">
        <v>2400000000</v>
      </c>
      <c r="G41" s="6">
        <v>2577777777</v>
      </c>
      <c r="H41">
        <v>333</v>
      </c>
      <c r="I41" t="s">
        <v>7966</v>
      </c>
    </row>
    <row r="42" spans="1:9" x14ac:dyDescent="0.25">
      <c r="A42" t="s">
        <v>74</v>
      </c>
      <c r="B42">
        <v>43</v>
      </c>
      <c r="C42" t="s">
        <v>4742</v>
      </c>
      <c r="D42" t="s">
        <v>3521</v>
      </c>
      <c r="E42">
        <v>5124</v>
      </c>
      <c r="F42" s="6">
        <v>3950000000</v>
      </c>
      <c r="G42" s="6">
        <v>5375000000</v>
      </c>
      <c r="H42">
        <v>43</v>
      </c>
      <c r="I42" t="s">
        <v>7967</v>
      </c>
    </row>
    <row r="43" spans="1:9" x14ac:dyDescent="0.25">
      <c r="A43" t="s">
        <v>74</v>
      </c>
      <c r="B43">
        <v>6</v>
      </c>
      <c r="C43" t="s">
        <v>3548</v>
      </c>
      <c r="D43" t="s">
        <v>3210</v>
      </c>
      <c r="E43">
        <v>4855</v>
      </c>
      <c r="F43" s="6">
        <v>3300000000</v>
      </c>
      <c r="G43" s="6">
        <v>4127777770</v>
      </c>
      <c r="H43">
        <v>6</v>
      </c>
      <c r="I43" t="s">
        <v>7968</v>
      </c>
    </row>
    <row r="44" spans="1:9" x14ac:dyDescent="0.25">
      <c r="A44" t="s">
        <v>74</v>
      </c>
      <c r="B44">
        <v>314</v>
      </c>
      <c r="C44" t="s">
        <v>2585</v>
      </c>
      <c r="D44" t="s">
        <v>2476</v>
      </c>
      <c r="E44">
        <v>3603</v>
      </c>
      <c r="F44" s="6">
        <v>2350000000</v>
      </c>
      <c r="G44" s="6">
        <v>2644400001</v>
      </c>
      <c r="H44">
        <v>338</v>
      </c>
      <c r="I44" t="s">
        <v>7969</v>
      </c>
    </row>
    <row r="45" spans="1:9" x14ac:dyDescent="0.25">
      <c r="A45" t="s">
        <v>74</v>
      </c>
      <c r="B45">
        <v>10</v>
      </c>
      <c r="C45" t="s">
        <v>3295</v>
      </c>
      <c r="D45" t="s">
        <v>191</v>
      </c>
      <c r="E45">
        <v>3381</v>
      </c>
      <c r="F45" s="6">
        <v>3000000000</v>
      </c>
      <c r="G45" s="6">
        <v>3735991111</v>
      </c>
      <c r="H45">
        <v>10</v>
      </c>
      <c r="I45" t="s">
        <v>7970</v>
      </c>
    </row>
    <row r="46" spans="1:9" x14ac:dyDescent="0.25">
      <c r="A46" t="s">
        <v>74</v>
      </c>
      <c r="B46">
        <v>12</v>
      </c>
      <c r="C46" t="s">
        <v>3390</v>
      </c>
      <c r="D46" t="s">
        <v>191</v>
      </c>
      <c r="E46">
        <v>3270</v>
      </c>
      <c r="F46" s="6">
        <v>3100000000</v>
      </c>
      <c r="G46" s="6">
        <v>3666666666</v>
      </c>
      <c r="H46">
        <v>12</v>
      </c>
      <c r="I46" t="s">
        <v>7971</v>
      </c>
    </row>
    <row r="47" spans="1:9" x14ac:dyDescent="0.25">
      <c r="A47" t="s">
        <v>74</v>
      </c>
      <c r="B47">
        <v>337</v>
      </c>
      <c r="C47" t="s">
        <v>2519</v>
      </c>
      <c r="D47" t="s">
        <v>2476</v>
      </c>
      <c r="E47">
        <v>3221</v>
      </c>
      <c r="F47" s="6">
        <v>2300000000</v>
      </c>
      <c r="G47" s="6">
        <v>2911111111</v>
      </c>
      <c r="H47">
        <v>361</v>
      </c>
      <c r="I47" t="s">
        <v>7972</v>
      </c>
    </row>
    <row r="48" spans="1:9" x14ac:dyDescent="0.25">
      <c r="A48" t="s">
        <v>74</v>
      </c>
      <c r="B48">
        <v>441</v>
      </c>
      <c r="C48" t="s">
        <v>3412</v>
      </c>
      <c r="D48" t="s">
        <v>3411</v>
      </c>
      <c r="E48">
        <v>3188</v>
      </c>
      <c r="F48" s="6">
        <v>3100000000</v>
      </c>
      <c r="G48" s="6">
        <v>3970000000</v>
      </c>
      <c r="H48">
        <v>465</v>
      </c>
      <c r="I48" t="s">
        <v>7973</v>
      </c>
    </row>
    <row r="49" spans="1:9" x14ac:dyDescent="0.25">
      <c r="A49" t="s">
        <v>74</v>
      </c>
      <c r="B49">
        <v>17</v>
      </c>
      <c r="C49" t="s">
        <v>385</v>
      </c>
      <c r="D49" t="s">
        <v>384</v>
      </c>
      <c r="E49">
        <v>3081</v>
      </c>
      <c r="F49" s="6">
        <v>1800000000</v>
      </c>
      <c r="G49" s="6">
        <v>2580000000</v>
      </c>
      <c r="H49">
        <v>17</v>
      </c>
      <c r="I49" t="s">
        <v>7974</v>
      </c>
    </row>
    <row r="50" spans="1:9" x14ac:dyDescent="0.25">
      <c r="A50" t="s">
        <v>74</v>
      </c>
      <c r="B50">
        <v>411</v>
      </c>
      <c r="C50" t="s">
        <v>2590</v>
      </c>
      <c r="D50" t="s">
        <v>325</v>
      </c>
      <c r="E50">
        <v>3062</v>
      </c>
      <c r="F50" s="6">
        <v>2350000000</v>
      </c>
      <c r="G50" s="6">
        <v>3080111111</v>
      </c>
      <c r="H50">
        <v>435</v>
      </c>
      <c r="I50" t="s">
        <v>7975</v>
      </c>
    </row>
    <row r="51" spans="1:9" x14ac:dyDescent="0.25">
      <c r="A51" t="s">
        <v>74</v>
      </c>
      <c r="B51">
        <v>2</v>
      </c>
      <c r="C51" t="s">
        <v>3733</v>
      </c>
      <c r="D51" t="s">
        <v>87</v>
      </c>
      <c r="E51">
        <v>2974</v>
      </c>
      <c r="F51" s="6">
        <v>3400000000</v>
      </c>
      <c r="G51" s="6">
        <v>4066999999</v>
      </c>
      <c r="H51">
        <v>2</v>
      </c>
      <c r="I51" t="s">
        <v>7976</v>
      </c>
    </row>
    <row r="52" spans="1:9" x14ac:dyDescent="0.25">
      <c r="A52" t="s">
        <v>74</v>
      </c>
      <c r="B52">
        <v>47</v>
      </c>
      <c r="C52" t="s">
        <v>4753</v>
      </c>
      <c r="D52" t="s">
        <v>3521</v>
      </c>
      <c r="E52">
        <v>2520</v>
      </c>
      <c r="F52" s="6">
        <v>3950000000</v>
      </c>
      <c r="G52" s="6">
        <v>5080000000</v>
      </c>
      <c r="H52">
        <v>47</v>
      </c>
      <c r="I52" t="s">
        <v>7977</v>
      </c>
    </row>
    <row r="53" spans="1:9" x14ac:dyDescent="0.25">
      <c r="A53" t="s">
        <v>74</v>
      </c>
      <c r="B53">
        <v>311</v>
      </c>
      <c r="C53" t="s">
        <v>2757</v>
      </c>
      <c r="D53" t="s">
        <v>2476</v>
      </c>
      <c r="E53">
        <v>2393</v>
      </c>
      <c r="F53" s="6">
        <v>2450000000</v>
      </c>
      <c r="G53" s="6">
        <v>2862555555</v>
      </c>
      <c r="H53">
        <v>335</v>
      </c>
      <c r="I53" t="s">
        <v>7978</v>
      </c>
    </row>
    <row r="54" spans="1:9" x14ac:dyDescent="0.25">
      <c r="A54" t="s">
        <v>74</v>
      </c>
      <c r="B54">
        <v>461</v>
      </c>
      <c r="C54" t="s">
        <v>88</v>
      </c>
      <c r="D54" t="s">
        <v>87</v>
      </c>
      <c r="E54">
        <v>2377</v>
      </c>
      <c r="F54" s="6">
        <v>300000000</v>
      </c>
      <c r="G54" s="6">
        <v>568900000</v>
      </c>
      <c r="H54">
        <v>485</v>
      </c>
      <c r="I54" t="s">
        <v>7979</v>
      </c>
    </row>
    <row r="55" spans="1:9" x14ac:dyDescent="0.25">
      <c r="A55" t="s">
        <v>74</v>
      </c>
      <c r="B55">
        <v>307</v>
      </c>
      <c r="C55" t="s">
        <v>2524</v>
      </c>
      <c r="D55" t="s">
        <v>2476</v>
      </c>
      <c r="E55">
        <v>2082</v>
      </c>
      <c r="F55" s="6">
        <v>2300000000</v>
      </c>
      <c r="G55" s="6">
        <v>2790000000</v>
      </c>
      <c r="H55">
        <v>331</v>
      </c>
      <c r="I55" t="s">
        <v>7980</v>
      </c>
    </row>
    <row r="56" spans="1:9" x14ac:dyDescent="0.25">
      <c r="A56" t="s">
        <v>74</v>
      </c>
      <c r="B56">
        <v>310</v>
      </c>
      <c r="C56" t="s">
        <v>2534</v>
      </c>
      <c r="D56" t="s">
        <v>2476</v>
      </c>
      <c r="E56">
        <v>1781</v>
      </c>
      <c r="F56" s="6">
        <v>2300000000</v>
      </c>
      <c r="G56" s="6">
        <v>2830000000</v>
      </c>
      <c r="H56">
        <v>334</v>
      </c>
      <c r="I56" t="s">
        <v>7981</v>
      </c>
    </row>
    <row r="57" spans="1:9" x14ac:dyDescent="0.25">
      <c r="A57" t="s">
        <v>74</v>
      </c>
      <c r="B57">
        <v>19</v>
      </c>
      <c r="C57" t="s">
        <v>2488</v>
      </c>
      <c r="D57" t="s">
        <v>2487</v>
      </c>
      <c r="E57">
        <v>1738</v>
      </c>
      <c r="F57" s="6">
        <v>2300000000</v>
      </c>
      <c r="G57" s="6">
        <v>3013333333</v>
      </c>
      <c r="H57">
        <v>19</v>
      </c>
      <c r="I57" t="s">
        <v>7982</v>
      </c>
    </row>
    <row r="58" spans="1:9" x14ac:dyDescent="0.25">
      <c r="A58" t="s">
        <v>74</v>
      </c>
      <c r="B58">
        <v>500</v>
      </c>
      <c r="C58" t="s">
        <v>2435</v>
      </c>
      <c r="D58" t="s">
        <v>1418</v>
      </c>
      <c r="E58">
        <v>1693</v>
      </c>
      <c r="F58" s="6">
        <v>2150000000</v>
      </c>
      <c r="G58" s="6">
        <v>2672000000</v>
      </c>
      <c r="H58">
        <v>537</v>
      </c>
      <c r="I58" t="s">
        <v>7983</v>
      </c>
    </row>
    <row r="59" spans="1:9" x14ac:dyDescent="0.25">
      <c r="A59" t="s">
        <v>74</v>
      </c>
      <c r="B59">
        <v>497</v>
      </c>
      <c r="C59" t="s">
        <v>2904</v>
      </c>
      <c r="D59" t="s">
        <v>2706</v>
      </c>
      <c r="E59">
        <v>1618</v>
      </c>
      <c r="F59" s="6">
        <v>2500000000</v>
      </c>
      <c r="G59" s="6">
        <v>3171000000</v>
      </c>
      <c r="H59">
        <v>534</v>
      </c>
      <c r="I59" t="s">
        <v>7984</v>
      </c>
    </row>
    <row r="60" spans="1:9" x14ac:dyDescent="0.25">
      <c r="A60" t="s">
        <v>74</v>
      </c>
      <c r="B60">
        <v>457</v>
      </c>
      <c r="C60" t="s">
        <v>4250</v>
      </c>
      <c r="D60" t="s">
        <v>3242</v>
      </c>
      <c r="E60">
        <v>1159</v>
      </c>
      <c r="F60" s="6">
        <v>3500000000</v>
      </c>
      <c r="G60" s="6">
        <v>4160000000</v>
      </c>
      <c r="H60">
        <v>481</v>
      </c>
      <c r="I60" t="s">
        <v>7985</v>
      </c>
    </row>
    <row r="61" spans="1:9" x14ac:dyDescent="0.25">
      <c r="A61" t="s">
        <v>74</v>
      </c>
      <c r="B61">
        <v>18</v>
      </c>
      <c r="C61" t="s">
        <v>361</v>
      </c>
      <c r="D61" t="s">
        <v>360</v>
      </c>
      <c r="E61">
        <v>1135</v>
      </c>
      <c r="F61" s="6">
        <v>1800000000</v>
      </c>
      <c r="G61" s="6">
        <v>2872310000</v>
      </c>
      <c r="H61">
        <v>18</v>
      </c>
      <c r="I61" t="s">
        <v>7986</v>
      </c>
    </row>
    <row r="62" spans="1:9" x14ac:dyDescent="0.25">
      <c r="A62" t="s">
        <v>74</v>
      </c>
      <c r="B62">
        <v>388</v>
      </c>
      <c r="C62" t="s">
        <v>2676</v>
      </c>
      <c r="D62" t="s">
        <v>316</v>
      </c>
      <c r="E62">
        <v>1120</v>
      </c>
      <c r="F62" s="6">
        <v>2400000000</v>
      </c>
      <c r="G62" s="6">
        <v>2928999899</v>
      </c>
      <c r="H62">
        <v>412</v>
      </c>
      <c r="I62" t="s">
        <v>7987</v>
      </c>
    </row>
    <row r="63" spans="1:9" x14ac:dyDescent="0.25">
      <c r="A63" t="s">
        <v>74</v>
      </c>
      <c r="B63">
        <v>313</v>
      </c>
      <c r="C63" t="s">
        <v>2417</v>
      </c>
      <c r="D63" t="s">
        <v>2416</v>
      </c>
      <c r="E63">
        <v>1087</v>
      </c>
      <c r="F63" s="6">
        <v>2100000000</v>
      </c>
      <c r="G63" s="6">
        <v>2890000000</v>
      </c>
      <c r="H63">
        <v>337</v>
      </c>
      <c r="I63" t="s">
        <v>7988</v>
      </c>
    </row>
    <row r="64" spans="1:9" x14ac:dyDescent="0.25">
      <c r="A64" t="s">
        <v>74</v>
      </c>
      <c r="B64">
        <v>340</v>
      </c>
      <c r="C64" t="s">
        <v>4442</v>
      </c>
      <c r="D64" t="s">
        <v>4397</v>
      </c>
      <c r="E64">
        <v>1081</v>
      </c>
      <c r="F64" s="6">
        <v>3700000000</v>
      </c>
      <c r="G64" s="6">
        <v>4785000000</v>
      </c>
      <c r="H64">
        <v>364</v>
      </c>
      <c r="I64" t="s">
        <v>7989</v>
      </c>
    </row>
    <row r="65" spans="1:9" x14ac:dyDescent="0.25">
      <c r="A65" t="s">
        <v>74</v>
      </c>
      <c r="B65">
        <v>508</v>
      </c>
      <c r="C65" t="s">
        <v>2529</v>
      </c>
      <c r="D65" t="s">
        <v>1418</v>
      </c>
      <c r="E65">
        <v>986</v>
      </c>
      <c r="F65" s="6">
        <v>2300000000</v>
      </c>
      <c r="G65" s="6">
        <v>2763339999</v>
      </c>
      <c r="H65">
        <v>545</v>
      </c>
      <c r="I65" t="s">
        <v>7990</v>
      </c>
    </row>
    <row r="66" spans="1:9" x14ac:dyDescent="0.25">
      <c r="A66" t="s">
        <v>74</v>
      </c>
      <c r="B66">
        <v>397</v>
      </c>
      <c r="C66" t="s">
        <v>5217</v>
      </c>
      <c r="D66" t="s">
        <v>7991</v>
      </c>
      <c r="E66">
        <v>952</v>
      </c>
      <c r="F66" s="6">
        <v>4680000000</v>
      </c>
      <c r="G66" s="6">
        <v>5136666666</v>
      </c>
      <c r="H66">
        <v>421</v>
      </c>
      <c r="I66" t="s">
        <v>7992</v>
      </c>
    </row>
    <row r="67" spans="1:9" x14ac:dyDescent="0.25">
      <c r="A67" t="s">
        <v>74</v>
      </c>
      <c r="B67">
        <v>31</v>
      </c>
      <c r="C67" t="s">
        <v>3464</v>
      </c>
      <c r="D67" t="s">
        <v>3242</v>
      </c>
      <c r="E67">
        <v>919</v>
      </c>
      <c r="F67" s="6">
        <v>3200000000</v>
      </c>
      <c r="G67" s="6">
        <v>4199999999</v>
      </c>
      <c r="H67">
        <v>31</v>
      </c>
      <c r="I67" t="s">
        <v>7993</v>
      </c>
    </row>
    <row r="68" spans="1:9" x14ac:dyDescent="0.25">
      <c r="A68" t="s">
        <v>74</v>
      </c>
      <c r="B68">
        <v>532</v>
      </c>
      <c r="C68" t="s">
        <v>3366</v>
      </c>
      <c r="D68" t="s">
        <v>191</v>
      </c>
      <c r="E68">
        <v>799</v>
      </c>
      <c r="F68" s="6">
        <v>3000000000</v>
      </c>
      <c r="G68" s="6">
        <v>3578888888</v>
      </c>
      <c r="H68">
        <v>569</v>
      </c>
      <c r="I68" t="s">
        <v>7994</v>
      </c>
    </row>
    <row r="69" spans="1:9" x14ac:dyDescent="0.25">
      <c r="A69" t="s">
        <v>74</v>
      </c>
      <c r="B69">
        <v>316</v>
      </c>
      <c r="C69" t="s">
        <v>2671</v>
      </c>
      <c r="D69" t="s">
        <v>2476</v>
      </c>
      <c r="E69">
        <v>732</v>
      </c>
      <c r="F69" s="6">
        <v>2400000000</v>
      </c>
      <c r="G69" s="6">
        <v>3075555555</v>
      </c>
      <c r="H69">
        <v>340</v>
      </c>
      <c r="I69" t="s">
        <v>7995</v>
      </c>
    </row>
    <row r="70" spans="1:9" x14ac:dyDescent="0.25">
      <c r="A70" t="s">
        <v>74</v>
      </c>
      <c r="B70">
        <v>317</v>
      </c>
      <c r="C70" t="s">
        <v>2983</v>
      </c>
      <c r="D70" t="s">
        <v>2476</v>
      </c>
      <c r="E70">
        <v>731</v>
      </c>
      <c r="F70" s="6">
        <v>2550000000</v>
      </c>
      <c r="G70" s="6">
        <v>2798000001</v>
      </c>
      <c r="H70">
        <v>341</v>
      </c>
      <c r="I70" t="s">
        <v>7996</v>
      </c>
    </row>
    <row r="71" spans="1:9" x14ac:dyDescent="0.25">
      <c r="A71" t="s">
        <v>74</v>
      </c>
      <c r="B71">
        <v>308</v>
      </c>
      <c r="C71" t="s">
        <v>2909</v>
      </c>
      <c r="D71" t="s">
        <v>2476</v>
      </c>
      <c r="E71">
        <v>725</v>
      </c>
      <c r="F71" s="6">
        <v>2500000000</v>
      </c>
      <c r="G71" s="6">
        <v>2853332220</v>
      </c>
      <c r="H71">
        <v>332</v>
      </c>
      <c r="I71" t="s">
        <v>7997</v>
      </c>
    </row>
    <row r="72" spans="1:9" x14ac:dyDescent="0.25">
      <c r="A72" t="s">
        <v>74</v>
      </c>
      <c r="B72">
        <v>32</v>
      </c>
      <c r="C72" t="s">
        <v>3471</v>
      </c>
      <c r="D72" t="s">
        <v>3242</v>
      </c>
      <c r="E72">
        <v>681</v>
      </c>
      <c r="F72" s="6">
        <v>3200000000</v>
      </c>
      <c r="G72" s="6">
        <v>4232900000</v>
      </c>
      <c r="H72">
        <v>32</v>
      </c>
      <c r="I72" t="s">
        <v>7998</v>
      </c>
    </row>
    <row r="73" spans="1:9" x14ac:dyDescent="0.25">
      <c r="A73" t="s">
        <v>74</v>
      </c>
      <c r="B73">
        <v>548</v>
      </c>
      <c r="C73" t="s">
        <v>3269</v>
      </c>
      <c r="D73" t="s">
        <v>191</v>
      </c>
      <c r="E73">
        <v>675</v>
      </c>
      <c r="F73" s="6">
        <v>2900000000</v>
      </c>
      <c r="G73" s="6">
        <v>3410000000</v>
      </c>
      <c r="H73">
        <v>585</v>
      </c>
      <c r="I73" t="s">
        <v>7999</v>
      </c>
    </row>
    <row r="74" spans="1:9" x14ac:dyDescent="0.25">
      <c r="A74" t="s">
        <v>74</v>
      </c>
      <c r="B74">
        <v>442</v>
      </c>
      <c r="C74" t="s">
        <v>4255</v>
      </c>
      <c r="D74" t="s">
        <v>3242</v>
      </c>
      <c r="E74">
        <v>587</v>
      </c>
      <c r="F74" s="6">
        <v>3500000000</v>
      </c>
      <c r="G74" s="6">
        <v>4261500000</v>
      </c>
      <c r="H74">
        <v>466</v>
      </c>
      <c r="I74" t="s">
        <v>8000</v>
      </c>
    </row>
    <row r="75" spans="1:9" x14ac:dyDescent="0.25">
      <c r="A75" t="s">
        <v>74</v>
      </c>
      <c r="B75">
        <v>323</v>
      </c>
      <c r="C75" t="s">
        <v>3150</v>
      </c>
      <c r="D75" t="s">
        <v>2476</v>
      </c>
      <c r="E75">
        <v>581</v>
      </c>
      <c r="F75" s="6">
        <v>2700000000</v>
      </c>
      <c r="G75" s="6">
        <v>3088523333</v>
      </c>
      <c r="H75">
        <v>347</v>
      </c>
      <c r="I75" t="s">
        <v>8001</v>
      </c>
    </row>
    <row r="76" spans="1:9" x14ac:dyDescent="0.25">
      <c r="A76" t="s">
        <v>74</v>
      </c>
      <c r="B76">
        <v>325</v>
      </c>
      <c r="C76" t="s">
        <v>2477</v>
      </c>
      <c r="D76" t="s">
        <v>2476</v>
      </c>
      <c r="E76">
        <v>572</v>
      </c>
      <c r="F76" s="6">
        <v>2200000000</v>
      </c>
      <c r="G76" s="6">
        <v>3109876549</v>
      </c>
      <c r="H76">
        <v>349</v>
      </c>
      <c r="I76" t="s">
        <v>8002</v>
      </c>
    </row>
    <row r="77" spans="1:9" x14ac:dyDescent="0.25">
      <c r="A77" t="s">
        <v>74</v>
      </c>
      <c r="B77">
        <v>546</v>
      </c>
      <c r="C77" t="s">
        <v>3357</v>
      </c>
      <c r="D77" t="s">
        <v>3356</v>
      </c>
      <c r="E77">
        <v>572</v>
      </c>
      <c r="F77" s="6">
        <v>3000000000</v>
      </c>
      <c r="G77" s="6">
        <v>3387800000</v>
      </c>
      <c r="H77">
        <v>583</v>
      </c>
      <c r="I77" t="s">
        <v>8003</v>
      </c>
    </row>
    <row r="78" spans="1:9" x14ac:dyDescent="0.25">
      <c r="A78" t="s">
        <v>74</v>
      </c>
      <c r="B78">
        <v>547</v>
      </c>
      <c r="C78" t="s">
        <v>3222</v>
      </c>
      <c r="D78" t="s">
        <v>191</v>
      </c>
      <c r="E78">
        <v>567</v>
      </c>
      <c r="F78" s="6">
        <v>2850000000</v>
      </c>
      <c r="G78" s="6">
        <v>3310000008</v>
      </c>
      <c r="H78">
        <v>584</v>
      </c>
      <c r="I78" t="s">
        <v>8004</v>
      </c>
    </row>
    <row r="79" spans="1:9" x14ac:dyDescent="0.25">
      <c r="A79" t="s">
        <v>74</v>
      </c>
      <c r="B79">
        <v>41</v>
      </c>
      <c r="C79" t="s">
        <v>4467</v>
      </c>
      <c r="D79" t="s">
        <v>3446</v>
      </c>
      <c r="E79">
        <v>488</v>
      </c>
      <c r="F79" s="6">
        <v>3800000000</v>
      </c>
      <c r="G79" s="6">
        <v>5140000000</v>
      </c>
      <c r="H79">
        <v>41</v>
      </c>
      <c r="I79" t="s">
        <v>8005</v>
      </c>
    </row>
    <row r="80" spans="1:9" x14ac:dyDescent="0.25">
      <c r="A80" t="s">
        <v>74</v>
      </c>
      <c r="B80">
        <v>234</v>
      </c>
      <c r="C80" t="s">
        <v>1419</v>
      </c>
      <c r="D80" t="s">
        <v>1418</v>
      </c>
      <c r="E80">
        <v>465</v>
      </c>
      <c r="F80" s="6">
        <v>2000000000</v>
      </c>
      <c r="G80" s="6">
        <v>2759999999</v>
      </c>
      <c r="H80">
        <v>258</v>
      </c>
      <c r="I80" t="s">
        <v>8006</v>
      </c>
    </row>
    <row r="81" spans="1:9" x14ac:dyDescent="0.25">
      <c r="A81" t="s">
        <v>74</v>
      </c>
      <c r="B81">
        <v>563</v>
      </c>
      <c r="C81" t="s">
        <v>3511</v>
      </c>
      <c r="D81" t="s">
        <v>3431</v>
      </c>
      <c r="E81">
        <v>437</v>
      </c>
      <c r="F81" s="6">
        <v>3200000000</v>
      </c>
      <c r="G81" s="6">
        <v>3833000000</v>
      </c>
      <c r="H81">
        <v>600</v>
      </c>
      <c r="I81" t="s">
        <v>8007</v>
      </c>
    </row>
    <row r="82" spans="1:9" x14ac:dyDescent="0.25">
      <c r="A82" t="s">
        <v>74</v>
      </c>
      <c r="B82">
        <v>562</v>
      </c>
      <c r="C82" t="s">
        <v>3370</v>
      </c>
      <c r="D82" t="s">
        <v>191</v>
      </c>
      <c r="E82">
        <v>389</v>
      </c>
      <c r="F82" s="6">
        <v>3000000000</v>
      </c>
      <c r="G82" s="6">
        <v>3800000000</v>
      </c>
      <c r="H82">
        <v>599</v>
      </c>
      <c r="I82" t="s">
        <v>8008</v>
      </c>
    </row>
    <row r="83" spans="1:9" x14ac:dyDescent="0.25">
      <c r="A83" t="s">
        <v>74</v>
      </c>
      <c r="B83">
        <v>501</v>
      </c>
      <c r="C83" t="s">
        <v>2914</v>
      </c>
      <c r="D83" t="s">
        <v>2706</v>
      </c>
      <c r="E83">
        <v>333</v>
      </c>
      <c r="F83" s="6">
        <v>2500000000</v>
      </c>
      <c r="G83" s="6">
        <v>3080000123</v>
      </c>
      <c r="H83">
        <v>538</v>
      </c>
      <c r="I83" t="s">
        <v>8009</v>
      </c>
    </row>
    <row r="84" spans="1:9" x14ac:dyDescent="0.25">
      <c r="A84" t="s">
        <v>74</v>
      </c>
      <c r="B84">
        <v>459</v>
      </c>
      <c r="C84" t="s">
        <v>5650</v>
      </c>
      <c r="D84" t="s">
        <v>5649</v>
      </c>
      <c r="E84">
        <v>294</v>
      </c>
      <c r="F84" s="6">
        <v>8450000000</v>
      </c>
      <c r="G84" s="6">
        <v>10210000000</v>
      </c>
      <c r="H84">
        <v>483</v>
      </c>
      <c r="I84" t="s">
        <v>8010</v>
      </c>
    </row>
    <row r="85" spans="1:9" x14ac:dyDescent="0.25">
      <c r="A85" t="s">
        <v>74</v>
      </c>
      <c r="B85">
        <v>399</v>
      </c>
      <c r="C85" t="s">
        <v>5202</v>
      </c>
      <c r="D85" t="s">
        <v>8011</v>
      </c>
      <c r="E85">
        <v>293</v>
      </c>
      <c r="F85" s="6">
        <v>4600000000</v>
      </c>
      <c r="G85" s="6">
        <v>5131090000</v>
      </c>
      <c r="H85">
        <v>423</v>
      </c>
      <c r="I85" t="s">
        <v>8012</v>
      </c>
    </row>
    <row r="86" spans="1:9" x14ac:dyDescent="0.25">
      <c r="A86" t="s">
        <v>74</v>
      </c>
      <c r="B86">
        <v>526</v>
      </c>
      <c r="C86" t="s">
        <v>3375</v>
      </c>
      <c r="D86" t="s">
        <v>191</v>
      </c>
      <c r="E86">
        <v>288</v>
      </c>
      <c r="F86" s="6">
        <v>3000000000</v>
      </c>
      <c r="G86" s="6">
        <v>3180000000</v>
      </c>
      <c r="H86">
        <v>563</v>
      </c>
      <c r="I86" t="s">
        <v>8013</v>
      </c>
    </row>
    <row r="87" spans="1:9" x14ac:dyDescent="0.25">
      <c r="A87" t="s">
        <v>74</v>
      </c>
      <c r="B87">
        <v>561</v>
      </c>
      <c r="C87" t="s">
        <v>3361</v>
      </c>
      <c r="D87" t="s">
        <v>191</v>
      </c>
      <c r="E87">
        <v>282</v>
      </c>
      <c r="F87" s="6">
        <v>3000000000</v>
      </c>
      <c r="G87" s="6">
        <v>3720000000</v>
      </c>
      <c r="H87">
        <v>598</v>
      </c>
      <c r="I87" t="s">
        <v>8014</v>
      </c>
    </row>
    <row r="88" spans="1:9" x14ac:dyDescent="0.25">
      <c r="A88" t="s">
        <v>74</v>
      </c>
      <c r="B88">
        <v>11</v>
      </c>
      <c r="C88" t="s">
        <v>3277</v>
      </c>
      <c r="D88" t="s">
        <v>191</v>
      </c>
      <c r="E88">
        <v>268</v>
      </c>
      <c r="F88" s="6">
        <v>2950000000</v>
      </c>
      <c r="G88" s="6">
        <v>3749000000</v>
      </c>
      <c r="H88">
        <v>11</v>
      </c>
      <c r="I88" t="s">
        <v>8015</v>
      </c>
    </row>
    <row r="89" spans="1:9" x14ac:dyDescent="0.25">
      <c r="A89" t="s">
        <v>74</v>
      </c>
      <c r="B89">
        <v>7</v>
      </c>
      <c r="C89" t="s">
        <v>3560</v>
      </c>
      <c r="D89" t="s">
        <v>3210</v>
      </c>
      <c r="E89">
        <v>254</v>
      </c>
      <c r="F89" s="6">
        <v>3300000000</v>
      </c>
      <c r="G89" s="6">
        <v>4422000000</v>
      </c>
      <c r="H89">
        <v>7</v>
      </c>
      <c r="I89" t="s">
        <v>8016</v>
      </c>
    </row>
    <row r="90" spans="1:9" x14ac:dyDescent="0.25">
      <c r="A90" t="s">
        <v>74</v>
      </c>
      <c r="B90">
        <v>345</v>
      </c>
      <c r="C90" t="s">
        <v>3418</v>
      </c>
      <c r="D90" t="s">
        <v>404</v>
      </c>
      <c r="E90">
        <v>208</v>
      </c>
      <c r="F90" s="6">
        <v>3100000000</v>
      </c>
      <c r="G90" s="6">
        <v>3680088088</v>
      </c>
      <c r="H90">
        <v>369</v>
      </c>
      <c r="I90" t="s">
        <v>8017</v>
      </c>
    </row>
    <row r="91" spans="1:9" x14ac:dyDescent="0.25">
      <c r="A91" t="s">
        <v>74</v>
      </c>
      <c r="B91">
        <v>344</v>
      </c>
      <c r="C91" t="s">
        <v>3436</v>
      </c>
      <c r="D91" t="s">
        <v>404</v>
      </c>
      <c r="E91">
        <v>194</v>
      </c>
      <c r="F91" s="6">
        <v>3130000000</v>
      </c>
      <c r="G91" s="6">
        <v>3499999999</v>
      </c>
      <c r="H91">
        <v>368</v>
      </c>
      <c r="I91" t="s">
        <v>8018</v>
      </c>
    </row>
    <row r="92" spans="1:9" x14ac:dyDescent="0.25">
      <c r="A92" t="s">
        <v>74</v>
      </c>
      <c r="B92">
        <v>400</v>
      </c>
      <c r="C92" t="s">
        <v>5254</v>
      </c>
      <c r="D92" t="s">
        <v>7991</v>
      </c>
      <c r="E92">
        <v>191</v>
      </c>
      <c r="F92" s="6">
        <v>4750000000</v>
      </c>
      <c r="G92" s="6">
        <v>5118000000</v>
      </c>
      <c r="H92">
        <v>424</v>
      </c>
      <c r="I92" t="s">
        <v>8019</v>
      </c>
    </row>
    <row r="93" spans="1:9" x14ac:dyDescent="0.25">
      <c r="A93" t="s">
        <v>74</v>
      </c>
      <c r="B93">
        <v>361</v>
      </c>
      <c r="C93" t="s">
        <v>5634</v>
      </c>
      <c r="D93" t="s">
        <v>5585</v>
      </c>
      <c r="E93">
        <v>171</v>
      </c>
      <c r="F93" s="6">
        <v>7700000000</v>
      </c>
      <c r="G93" s="6">
        <v>8778766880</v>
      </c>
      <c r="H93">
        <v>385</v>
      </c>
      <c r="I93" t="s">
        <v>8020</v>
      </c>
    </row>
    <row r="94" spans="1:9" x14ac:dyDescent="0.25">
      <c r="A94" t="s">
        <v>74</v>
      </c>
      <c r="B94">
        <v>342</v>
      </c>
      <c r="C94" t="s">
        <v>3441</v>
      </c>
      <c r="D94" t="s">
        <v>404</v>
      </c>
      <c r="E94">
        <v>157</v>
      </c>
      <c r="F94" s="6">
        <v>3150000000</v>
      </c>
      <c r="G94" s="6">
        <v>3645000000</v>
      </c>
      <c r="H94">
        <v>366</v>
      </c>
      <c r="I94" t="s">
        <v>8021</v>
      </c>
    </row>
    <row r="95" spans="1:9" x14ac:dyDescent="0.25">
      <c r="A95" t="s">
        <v>74</v>
      </c>
      <c r="B95">
        <v>564</v>
      </c>
      <c r="C95" t="s">
        <v>4245</v>
      </c>
      <c r="D95" t="s">
        <v>3431</v>
      </c>
      <c r="E95">
        <v>150</v>
      </c>
      <c r="F95" s="6">
        <v>3500000000</v>
      </c>
      <c r="G95" s="6">
        <v>4316500001</v>
      </c>
      <c r="H95">
        <v>601</v>
      </c>
      <c r="I95" t="s">
        <v>8022</v>
      </c>
    </row>
    <row r="96" spans="1:9" x14ac:dyDescent="0.25">
      <c r="A96" t="s">
        <v>74</v>
      </c>
      <c r="B96">
        <v>527</v>
      </c>
      <c r="C96" t="s">
        <v>3380</v>
      </c>
      <c r="D96" t="s">
        <v>191</v>
      </c>
      <c r="E96">
        <v>143</v>
      </c>
      <c r="F96" s="6">
        <v>3000000000</v>
      </c>
      <c r="G96" s="6">
        <v>3772200000</v>
      </c>
      <c r="H96">
        <v>564</v>
      </c>
      <c r="I96" t="s">
        <v>8023</v>
      </c>
    </row>
    <row r="97" spans="1:9" x14ac:dyDescent="0.25">
      <c r="A97" t="s">
        <v>74</v>
      </c>
      <c r="B97">
        <v>522</v>
      </c>
      <c r="C97" t="s">
        <v>3407</v>
      </c>
      <c r="D97" t="s">
        <v>191</v>
      </c>
      <c r="E97">
        <v>137</v>
      </c>
      <c r="F97" s="6">
        <v>3100000000</v>
      </c>
      <c r="G97" s="6">
        <v>3835000000</v>
      </c>
      <c r="H97">
        <v>559</v>
      </c>
      <c r="I97" t="s">
        <v>8024</v>
      </c>
    </row>
    <row r="98" spans="1:9" x14ac:dyDescent="0.25">
      <c r="A98" t="s">
        <v>74</v>
      </c>
      <c r="B98">
        <v>488</v>
      </c>
      <c r="C98" t="s">
        <v>2988</v>
      </c>
      <c r="D98" t="s">
        <v>2568</v>
      </c>
      <c r="E98">
        <v>129</v>
      </c>
      <c r="F98" s="6">
        <v>2550000000</v>
      </c>
      <c r="G98" s="6">
        <v>3081111111</v>
      </c>
      <c r="H98">
        <v>525</v>
      </c>
      <c r="I98" t="s">
        <v>8025</v>
      </c>
    </row>
    <row r="99" spans="1:9" x14ac:dyDescent="0.25">
      <c r="A99" t="s">
        <v>74</v>
      </c>
      <c r="B99">
        <v>259</v>
      </c>
      <c r="C99" t="s">
        <v>4739</v>
      </c>
      <c r="D99" t="s">
        <v>8026</v>
      </c>
      <c r="E99">
        <v>116</v>
      </c>
      <c r="F99" s="6">
        <v>3900000000</v>
      </c>
      <c r="G99" s="6">
        <v>4837870000</v>
      </c>
      <c r="H99">
        <v>283</v>
      </c>
      <c r="I99" t="s">
        <v>8027</v>
      </c>
    </row>
    <row r="100" spans="1:9" x14ac:dyDescent="0.25">
      <c r="A100" t="s">
        <v>74</v>
      </c>
      <c r="B100">
        <v>521</v>
      </c>
      <c r="C100" t="s">
        <v>3423</v>
      </c>
      <c r="D100" t="s">
        <v>191</v>
      </c>
      <c r="E100">
        <v>116</v>
      </c>
      <c r="F100" s="6">
        <v>3100000000</v>
      </c>
      <c r="G100" s="6">
        <v>3811200000</v>
      </c>
      <c r="H100">
        <v>558</v>
      </c>
      <c r="I100" t="s">
        <v>8028</v>
      </c>
    </row>
    <row r="101" spans="1:9" x14ac:dyDescent="0.25">
      <c r="A101" t="s">
        <v>74</v>
      </c>
      <c r="B101">
        <v>15</v>
      </c>
      <c r="C101" t="s">
        <v>2543</v>
      </c>
      <c r="D101" t="s">
        <v>2476</v>
      </c>
      <c r="E101">
        <v>114</v>
      </c>
      <c r="F101" s="6">
        <v>2350000000</v>
      </c>
      <c r="G101" s="6">
        <v>3256789874</v>
      </c>
      <c r="H101">
        <v>15</v>
      </c>
      <c r="I101" t="s">
        <v>8029</v>
      </c>
    </row>
    <row r="102" spans="1:9" x14ac:dyDescent="0.25">
      <c r="A102" t="s">
        <v>74</v>
      </c>
      <c r="B102">
        <v>383</v>
      </c>
      <c r="C102" t="s">
        <v>2681</v>
      </c>
      <c r="D102" t="s">
        <v>316</v>
      </c>
      <c r="E102">
        <v>113</v>
      </c>
      <c r="F102" s="6">
        <v>2400000000</v>
      </c>
      <c r="G102" s="6">
        <v>2988999999</v>
      </c>
      <c r="H102">
        <v>407</v>
      </c>
      <c r="I102" t="s">
        <v>8030</v>
      </c>
    </row>
    <row r="103" spans="1:9" x14ac:dyDescent="0.25">
      <c r="A103" t="s">
        <v>74</v>
      </c>
      <c r="B103" t="s">
        <v>7917</v>
      </c>
      <c r="C103" t="s">
        <v>7918</v>
      </c>
      <c r="D103" t="s">
        <v>7919</v>
      </c>
      <c r="E103" t="s">
        <v>7920</v>
      </c>
      <c r="F103" t="s">
        <v>7921</v>
      </c>
      <c r="G103" t="s">
        <v>7922</v>
      </c>
      <c r="H103" t="s">
        <v>7923</v>
      </c>
    </row>
    <row r="104" spans="1:9" x14ac:dyDescent="0.25">
      <c r="A104" t="s">
        <v>74</v>
      </c>
      <c r="B104">
        <v>505</v>
      </c>
      <c r="C104" t="s">
        <v>2747</v>
      </c>
      <c r="D104" t="s">
        <v>1418</v>
      </c>
      <c r="E104">
        <v>113</v>
      </c>
      <c r="F104" s="6">
        <v>2450000000</v>
      </c>
      <c r="G104" s="6">
        <v>3035000000</v>
      </c>
      <c r="H104">
        <v>542</v>
      </c>
      <c r="I104" t="s">
        <v>8031</v>
      </c>
    </row>
    <row r="105" spans="1:9" x14ac:dyDescent="0.25">
      <c r="A105" t="s">
        <v>74</v>
      </c>
      <c r="B105">
        <v>328</v>
      </c>
      <c r="C105" t="s">
        <v>3217</v>
      </c>
      <c r="D105" t="s">
        <v>3139</v>
      </c>
      <c r="E105">
        <v>112</v>
      </c>
      <c r="F105" s="6">
        <v>2800000000</v>
      </c>
      <c r="G105" s="6">
        <v>3450799999</v>
      </c>
      <c r="H105">
        <v>352</v>
      </c>
      <c r="I105" t="s">
        <v>8032</v>
      </c>
    </row>
    <row r="106" spans="1:9" x14ac:dyDescent="0.25">
      <c r="A106" t="s">
        <v>74</v>
      </c>
      <c r="B106">
        <v>406</v>
      </c>
      <c r="C106" t="s">
        <v>5196</v>
      </c>
      <c r="D106" t="s">
        <v>8033</v>
      </c>
      <c r="E106">
        <v>111</v>
      </c>
      <c r="F106" s="6">
        <v>4600000000</v>
      </c>
      <c r="G106" s="6">
        <v>4999999999</v>
      </c>
      <c r="H106">
        <v>430</v>
      </c>
      <c r="I106" t="s">
        <v>8034</v>
      </c>
    </row>
    <row r="107" spans="1:9" x14ac:dyDescent="0.25">
      <c r="A107" t="s">
        <v>74</v>
      </c>
      <c r="B107">
        <v>285</v>
      </c>
      <c r="C107" t="s">
        <v>4690</v>
      </c>
      <c r="D107" t="s">
        <v>8035</v>
      </c>
      <c r="E107">
        <v>110</v>
      </c>
      <c r="F107" s="6">
        <v>3900000000</v>
      </c>
      <c r="G107" s="6">
        <v>4858756000</v>
      </c>
      <c r="H107">
        <v>309</v>
      </c>
      <c r="I107" t="s">
        <v>8036</v>
      </c>
    </row>
    <row r="108" spans="1:9" x14ac:dyDescent="0.25">
      <c r="A108" t="s">
        <v>74</v>
      </c>
      <c r="B108">
        <v>542</v>
      </c>
      <c r="C108" t="s">
        <v>3625</v>
      </c>
      <c r="D108" t="s">
        <v>3356</v>
      </c>
      <c r="E108">
        <v>109</v>
      </c>
      <c r="F108" s="6">
        <v>3300000000</v>
      </c>
      <c r="G108" s="6">
        <v>3911200000</v>
      </c>
      <c r="H108">
        <v>579</v>
      </c>
      <c r="I108" t="s">
        <v>8037</v>
      </c>
    </row>
    <row r="109" spans="1:9" x14ac:dyDescent="0.25">
      <c r="A109" t="s">
        <v>74</v>
      </c>
      <c r="B109">
        <v>434</v>
      </c>
      <c r="C109" t="s">
        <v>4693</v>
      </c>
      <c r="D109" t="s">
        <v>8026</v>
      </c>
      <c r="E109">
        <v>104</v>
      </c>
      <c r="F109" s="6">
        <v>3900000000</v>
      </c>
      <c r="G109" s="6">
        <v>4990000000</v>
      </c>
      <c r="H109">
        <v>458</v>
      </c>
      <c r="I109" t="s">
        <v>8038</v>
      </c>
    </row>
    <row r="110" spans="1:9" x14ac:dyDescent="0.25">
      <c r="A110" t="s">
        <v>74</v>
      </c>
      <c r="B110">
        <v>351</v>
      </c>
      <c r="C110" t="s">
        <v>5091</v>
      </c>
      <c r="D110" t="s">
        <v>3521</v>
      </c>
      <c r="E110">
        <v>101</v>
      </c>
      <c r="F110" s="6">
        <v>4200000000</v>
      </c>
      <c r="G110" s="6">
        <v>5367129999</v>
      </c>
      <c r="H110">
        <v>375</v>
      </c>
      <c r="I110" t="s">
        <v>8039</v>
      </c>
    </row>
    <row r="111" spans="1:9" x14ac:dyDescent="0.25">
      <c r="A111" t="s">
        <v>74</v>
      </c>
      <c r="B111">
        <v>486</v>
      </c>
      <c r="C111" t="s">
        <v>2970</v>
      </c>
      <c r="D111" t="s">
        <v>2969</v>
      </c>
      <c r="E111">
        <v>101</v>
      </c>
      <c r="F111" s="6">
        <v>2550000000</v>
      </c>
      <c r="G111" s="6">
        <v>3141140000</v>
      </c>
      <c r="H111">
        <v>523</v>
      </c>
      <c r="I111" t="s">
        <v>8040</v>
      </c>
    </row>
    <row r="112" spans="1:9" x14ac:dyDescent="0.25">
      <c r="A112" t="s">
        <v>74</v>
      </c>
      <c r="B112">
        <v>222</v>
      </c>
      <c r="C112" t="s">
        <v>428</v>
      </c>
      <c r="D112" t="s">
        <v>325</v>
      </c>
      <c r="E112">
        <v>100</v>
      </c>
      <c r="F112" s="6">
        <v>1900000000</v>
      </c>
      <c r="G112" s="6">
        <v>2655555500</v>
      </c>
      <c r="H112">
        <v>246</v>
      </c>
      <c r="I112" t="s">
        <v>8041</v>
      </c>
    </row>
    <row r="113" spans="1:9" x14ac:dyDescent="0.25">
      <c r="A113" t="s">
        <v>74</v>
      </c>
      <c r="B113">
        <v>223</v>
      </c>
      <c r="C113" t="s">
        <v>490</v>
      </c>
      <c r="D113" t="s">
        <v>325</v>
      </c>
      <c r="E113">
        <v>100</v>
      </c>
      <c r="F113" s="6">
        <v>1950000000</v>
      </c>
      <c r="G113" s="6">
        <v>2913333333</v>
      </c>
      <c r="H113">
        <v>247</v>
      </c>
      <c r="I113" t="s">
        <v>8042</v>
      </c>
    </row>
    <row r="114" spans="1:9" x14ac:dyDescent="0.25">
      <c r="A114" t="s">
        <v>74</v>
      </c>
      <c r="B114">
        <v>236</v>
      </c>
      <c r="C114" t="s">
        <v>397</v>
      </c>
      <c r="D114" t="s">
        <v>396</v>
      </c>
      <c r="E114">
        <v>100</v>
      </c>
      <c r="F114" s="6">
        <v>1800000000</v>
      </c>
      <c r="G114" s="6">
        <v>2633999999</v>
      </c>
      <c r="H114">
        <v>260</v>
      </c>
      <c r="I114" t="s">
        <v>8043</v>
      </c>
    </row>
    <row r="115" spans="1:9" x14ac:dyDescent="0.25">
      <c r="A115" t="s">
        <v>74</v>
      </c>
      <c r="B115">
        <v>239</v>
      </c>
      <c r="C115" t="s">
        <v>4698</v>
      </c>
      <c r="D115" t="s">
        <v>3446</v>
      </c>
      <c r="E115">
        <v>100</v>
      </c>
      <c r="F115" s="6">
        <v>3900000000</v>
      </c>
      <c r="G115" s="6">
        <v>4869999999</v>
      </c>
      <c r="H115">
        <v>263</v>
      </c>
      <c r="I115" t="s">
        <v>8044</v>
      </c>
    </row>
    <row r="116" spans="1:9" x14ac:dyDescent="0.25">
      <c r="A116" t="s">
        <v>74</v>
      </c>
      <c r="B116">
        <v>241</v>
      </c>
      <c r="C116" t="s">
        <v>405</v>
      </c>
      <c r="D116" t="s">
        <v>404</v>
      </c>
      <c r="E116">
        <v>100</v>
      </c>
      <c r="F116" s="6">
        <v>1800000000</v>
      </c>
      <c r="G116" s="6">
        <v>2736000000</v>
      </c>
      <c r="H116">
        <v>265</v>
      </c>
      <c r="I116" t="s">
        <v>8045</v>
      </c>
    </row>
    <row r="117" spans="1:9" x14ac:dyDescent="0.25">
      <c r="A117" t="s">
        <v>74</v>
      </c>
      <c r="B117">
        <v>435</v>
      </c>
      <c r="C117" t="s">
        <v>3823</v>
      </c>
      <c r="D117" t="s">
        <v>3497</v>
      </c>
      <c r="E117">
        <v>100</v>
      </c>
      <c r="F117" s="6">
        <v>3400000000</v>
      </c>
      <c r="G117" s="6">
        <v>3922000000</v>
      </c>
      <c r="H117">
        <v>459</v>
      </c>
      <c r="I117" t="s">
        <v>8046</v>
      </c>
    </row>
    <row r="118" spans="1:9" x14ac:dyDescent="0.25">
      <c r="A118" t="s">
        <v>74</v>
      </c>
      <c r="B118">
        <v>492</v>
      </c>
      <c r="C118" t="s">
        <v>2964</v>
      </c>
      <c r="D118" t="s">
        <v>2898</v>
      </c>
      <c r="E118">
        <v>100</v>
      </c>
      <c r="F118" s="6">
        <v>2550000000</v>
      </c>
      <c r="G118" s="6">
        <v>3165000000</v>
      </c>
      <c r="H118">
        <v>529</v>
      </c>
      <c r="I118" t="s">
        <v>8047</v>
      </c>
    </row>
    <row r="119" spans="1:9" x14ac:dyDescent="0.25">
      <c r="A119" t="s">
        <v>74</v>
      </c>
      <c r="B119">
        <v>578</v>
      </c>
      <c r="C119" t="s">
        <v>4240</v>
      </c>
      <c r="D119" t="s">
        <v>3210</v>
      </c>
      <c r="E119">
        <v>100</v>
      </c>
      <c r="F119" s="6">
        <v>3500000000</v>
      </c>
      <c r="G119" s="6">
        <v>4319999888</v>
      </c>
      <c r="H119">
        <v>615</v>
      </c>
      <c r="I119" t="s">
        <v>8048</v>
      </c>
    </row>
    <row r="120" spans="1:9" x14ac:dyDescent="0.25">
      <c r="A120" t="s">
        <v>74</v>
      </c>
      <c r="B120">
        <v>365</v>
      </c>
      <c r="C120" t="s">
        <v>3713</v>
      </c>
      <c r="D120" t="s">
        <v>3712</v>
      </c>
      <c r="E120">
        <v>99</v>
      </c>
      <c r="F120" s="6">
        <v>3350000000</v>
      </c>
      <c r="G120" s="6">
        <v>4227800000</v>
      </c>
      <c r="H120">
        <v>389</v>
      </c>
      <c r="I120" t="s">
        <v>8049</v>
      </c>
    </row>
    <row r="121" spans="1:9" x14ac:dyDescent="0.25">
      <c r="A121" t="s">
        <v>74</v>
      </c>
      <c r="B121">
        <v>479</v>
      </c>
      <c r="C121" t="s">
        <v>3191</v>
      </c>
      <c r="D121" t="s">
        <v>3179</v>
      </c>
      <c r="E121">
        <v>99</v>
      </c>
      <c r="F121" s="6">
        <v>2750000000</v>
      </c>
      <c r="G121" s="6">
        <v>3356789999</v>
      </c>
      <c r="H121">
        <v>516</v>
      </c>
      <c r="I121" t="s">
        <v>8050</v>
      </c>
    </row>
    <row r="122" spans="1:9" x14ac:dyDescent="0.25">
      <c r="A122" t="s">
        <v>74</v>
      </c>
      <c r="B122">
        <v>615</v>
      </c>
      <c r="C122" t="s">
        <v>4235</v>
      </c>
      <c r="D122" t="s">
        <v>3431</v>
      </c>
      <c r="E122">
        <v>99</v>
      </c>
      <c r="F122" s="6">
        <v>3500000000</v>
      </c>
      <c r="G122" s="6">
        <v>4505555110</v>
      </c>
      <c r="H122">
        <v>652</v>
      </c>
      <c r="I122" t="s">
        <v>8051</v>
      </c>
    </row>
    <row r="123" spans="1:9" x14ac:dyDescent="0.25">
      <c r="A123" t="s">
        <v>74</v>
      </c>
      <c r="B123">
        <v>253</v>
      </c>
      <c r="C123" t="s">
        <v>4604</v>
      </c>
      <c r="D123" t="s">
        <v>8026</v>
      </c>
      <c r="E123">
        <v>97</v>
      </c>
      <c r="F123" s="6">
        <v>3890000000</v>
      </c>
      <c r="G123" s="6">
        <v>4688787000</v>
      </c>
      <c r="H123">
        <v>277</v>
      </c>
      <c r="I123" t="s">
        <v>8052</v>
      </c>
    </row>
    <row r="124" spans="1:9" x14ac:dyDescent="0.25">
      <c r="A124" t="s">
        <v>74</v>
      </c>
      <c r="B124">
        <v>276</v>
      </c>
      <c r="C124" t="s">
        <v>4658</v>
      </c>
      <c r="D124" t="s">
        <v>8035</v>
      </c>
      <c r="E124">
        <v>96</v>
      </c>
      <c r="F124" s="6">
        <v>3900000000</v>
      </c>
      <c r="G124" s="6">
        <v>4858756000</v>
      </c>
      <c r="H124">
        <v>300</v>
      </c>
      <c r="I124" t="s">
        <v>8053</v>
      </c>
    </row>
    <row r="125" spans="1:9" x14ac:dyDescent="0.25">
      <c r="A125" t="s">
        <v>74</v>
      </c>
      <c r="B125">
        <v>297</v>
      </c>
      <c r="C125" t="s">
        <v>4585</v>
      </c>
      <c r="D125" t="s">
        <v>8035</v>
      </c>
      <c r="E125">
        <v>96</v>
      </c>
      <c r="F125" s="6">
        <v>3880000000</v>
      </c>
      <c r="G125" s="6">
        <v>4361999999</v>
      </c>
      <c r="H125">
        <v>321</v>
      </c>
      <c r="I125" t="s">
        <v>8054</v>
      </c>
    </row>
    <row r="126" spans="1:9" x14ac:dyDescent="0.25">
      <c r="A126" t="s">
        <v>74</v>
      </c>
      <c r="B126">
        <v>440</v>
      </c>
      <c r="C126" t="s">
        <v>3629</v>
      </c>
      <c r="D126" t="s">
        <v>3579</v>
      </c>
      <c r="E126">
        <v>96</v>
      </c>
      <c r="F126" s="6">
        <v>3300000000</v>
      </c>
      <c r="G126" s="6">
        <v>4081000500</v>
      </c>
      <c r="H126">
        <v>464</v>
      </c>
      <c r="I126" t="s">
        <v>8055</v>
      </c>
    </row>
    <row r="127" spans="1:9" x14ac:dyDescent="0.25">
      <c r="A127" t="s">
        <v>74</v>
      </c>
      <c r="B127">
        <v>602</v>
      </c>
      <c r="C127" t="s">
        <v>3643</v>
      </c>
      <c r="D127" t="s">
        <v>3431</v>
      </c>
      <c r="E127">
        <v>96</v>
      </c>
      <c r="F127" s="6">
        <v>3300000000</v>
      </c>
      <c r="G127" s="6">
        <v>3988888888</v>
      </c>
      <c r="H127">
        <v>639</v>
      </c>
      <c r="I127" t="s">
        <v>8056</v>
      </c>
    </row>
    <row r="128" spans="1:9" x14ac:dyDescent="0.25">
      <c r="A128" t="s">
        <v>74</v>
      </c>
      <c r="B128">
        <v>334</v>
      </c>
      <c r="C128" t="s">
        <v>2752</v>
      </c>
      <c r="D128" t="s">
        <v>2476</v>
      </c>
      <c r="E128">
        <v>95</v>
      </c>
      <c r="F128" s="6">
        <v>2450000000</v>
      </c>
      <c r="G128" s="6">
        <v>3126666600</v>
      </c>
      <c r="H128">
        <v>358</v>
      </c>
      <c r="I128" t="s">
        <v>8057</v>
      </c>
    </row>
    <row r="129" spans="1:9" x14ac:dyDescent="0.25">
      <c r="A129" t="s">
        <v>74</v>
      </c>
      <c r="B129">
        <v>428</v>
      </c>
      <c r="C129" t="s">
        <v>4702</v>
      </c>
      <c r="D129" t="s">
        <v>8035</v>
      </c>
      <c r="E129">
        <v>95</v>
      </c>
      <c r="F129" s="6">
        <v>3900000000</v>
      </c>
      <c r="G129" s="6">
        <v>5155555599</v>
      </c>
      <c r="H129">
        <v>452</v>
      </c>
      <c r="I129" t="s">
        <v>8058</v>
      </c>
    </row>
    <row r="130" spans="1:9" x14ac:dyDescent="0.25">
      <c r="A130" t="s">
        <v>74</v>
      </c>
      <c r="B130">
        <v>523</v>
      </c>
      <c r="C130" t="s">
        <v>3403</v>
      </c>
      <c r="D130" t="s">
        <v>191</v>
      </c>
      <c r="E130">
        <v>95</v>
      </c>
      <c r="F130" s="6">
        <v>3100000000</v>
      </c>
      <c r="G130" s="6">
        <v>3885200000</v>
      </c>
      <c r="H130">
        <v>560</v>
      </c>
      <c r="I130" t="s">
        <v>8059</v>
      </c>
    </row>
    <row r="131" spans="1:9" x14ac:dyDescent="0.25">
      <c r="A131" t="s">
        <v>74</v>
      </c>
      <c r="B131">
        <v>483</v>
      </c>
      <c r="C131" t="s">
        <v>3196</v>
      </c>
      <c r="D131" t="s">
        <v>3126</v>
      </c>
      <c r="E131">
        <v>94</v>
      </c>
      <c r="F131" s="6">
        <v>2750000000</v>
      </c>
      <c r="G131" s="6">
        <v>3469876521</v>
      </c>
      <c r="H131">
        <v>520</v>
      </c>
      <c r="I131" t="s">
        <v>8060</v>
      </c>
    </row>
    <row r="132" spans="1:9" x14ac:dyDescent="0.25">
      <c r="A132" t="s">
        <v>74</v>
      </c>
      <c r="B132">
        <v>525</v>
      </c>
      <c r="C132" t="s">
        <v>3503</v>
      </c>
      <c r="D132" t="s">
        <v>191</v>
      </c>
      <c r="E132">
        <v>94</v>
      </c>
      <c r="F132" s="6">
        <v>3200000000</v>
      </c>
      <c r="G132" s="6">
        <v>3226000000</v>
      </c>
      <c r="H132">
        <v>562</v>
      </c>
      <c r="I132" t="s">
        <v>8061</v>
      </c>
    </row>
    <row r="133" spans="1:9" x14ac:dyDescent="0.25">
      <c r="A133" t="s">
        <v>74</v>
      </c>
      <c r="B133">
        <v>494</v>
      </c>
      <c r="C133" t="s">
        <v>2974</v>
      </c>
      <c r="D133" t="s">
        <v>2568</v>
      </c>
      <c r="E133">
        <v>92</v>
      </c>
      <c r="F133" s="6">
        <v>2550000000</v>
      </c>
      <c r="G133" s="6">
        <v>3205990000</v>
      </c>
      <c r="H133">
        <v>531</v>
      </c>
      <c r="I133" t="s">
        <v>8062</v>
      </c>
    </row>
    <row r="134" spans="1:9" x14ac:dyDescent="0.25">
      <c r="A134" t="s">
        <v>74</v>
      </c>
      <c r="B134">
        <v>298</v>
      </c>
      <c r="C134" t="s">
        <v>4661</v>
      </c>
      <c r="D134" t="s">
        <v>8035</v>
      </c>
      <c r="E134">
        <v>91</v>
      </c>
      <c r="F134" s="6">
        <v>3900000000</v>
      </c>
      <c r="G134" s="6">
        <v>4875000000</v>
      </c>
      <c r="H134">
        <v>322</v>
      </c>
      <c r="I134" t="s">
        <v>8063</v>
      </c>
    </row>
    <row r="135" spans="1:9" x14ac:dyDescent="0.25">
      <c r="A135" t="s">
        <v>74</v>
      </c>
      <c r="B135">
        <v>544</v>
      </c>
      <c r="C135" t="s">
        <v>3648</v>
      </c>
      <c r="D135" t="s">
        <v>3647</v>
      </c>
      <c r="E135">
        <v>90</v>
      </c>
      <c r="F135" s="6">
        <v>3300000000</v>
      </c>
      <c r="G135" s="6">
        <v>3663000000</v>
      </c>
      <c r="H135">
        <v>581</v>
      </c>
      <c r="I135" t="s">
        <v>8064</v>
      </c>
    </row>
    <row r="136" spans="1:9" x14ac:dyDescent="0.25">
      <c r="A136" t="s">
        <v>74</v>
      </c>
      <c r="B136">
        <v>254</v>
      </c>
      <c r="C136" t="s">
        <v>4503</v>
      </c>
      <c r="D136" t="s">
        <v>8026</v>
      </c>
      <c r="E136">
        <v>89</v>
      </c>
      <c r="F136" s="6">
        <v>3800000000</v>
      </c>
      <c r="G136" s="6">
        <v>4481540369</v>
      </c>
      <c r="H136">
        <v>278</v>
      </c>
      <c r="I136" t="s">
        <v>8065</v>
      </c>
    </row>
    <row r="137" spans="1:9" x14ac:dyDescent="0.25">
      <c r="A137" t="s">
        <v>74</v>
      </c>
      <c r="B137">
        <v>262</v>
      </c>
      <c r="C137" t="s">
        <v>4706</v>
      </c>
      <c r="D137" t="s">
        <v>8026</v>
      </c>
      <c r="E137">
        <v>89</v>
      </c>
      <c r="F137" s="6">
        <v>3900000000</v>
      </c>
      <c r="G137" s="6">
        <v>4495210000</v>
      </c>
      <c r="H137">
        <v>286</v>
      </c>
      <c r="I137" t="s">
        <v>8066</v>
      </c>
    </row>
    <row r="138" spans="1:9" x14ac:dyDescent="0.25">
      <c r="A138" t="s">
        <v>74</v>
      </c>
      <c r="B138">
        <v>499</v>
      </c>
      <c r="C138" t="s">
        <v>2887</v>
      </c>
      <c r="D138" t="s">
        <v>2706</v>
      </c>
      <c r="E138">
        <v>89</v>
      </c>
      <c r="F138" s="6">
        <v>2500000000</v>
      </c>
      <c r="G138" s="6">
        <v>3010000000</v>
      </c>
      <c r="H138">
        <v>536</v>
      </c>
      <c r="I138" t="s">
        <v>8067</v>
      </c>
    </row>
    <row r="139" spans="1:9" x14ac:dyDescent="0.25">
      <c r="A139" t="s">
        <v>74</v>
      </c>
      <c r="B139">
        <v>384</v>
      </c>
      <c r="C139" t="s">
        <v>2613</v>
      </c>
      <c r="D139" t="s">
        <v>316</v>
      </c>
      <c r="E139">
        <v>88</v>
      </c>
      <c r="F139" s="6">
        <v>2380000000</v>
      </c>
      <c r="G139" s="6">
        <v>2959999999</v>
      </c>
      <c r="H139">
        <v>408</v>
      </c>
      <c r="I139" t="s">
        <v>8068</v>
      </c>
    </row>
    <row r="140" spans="1:9" x14ac:dyDescent="0.25">
      <c r="A140" t="s">
        <v>74</v>
      </c>
      <c r="B140">
        <v>516</v>
      </c>
      <c r="C140" t="s">
        <v>2580</v>
      </c>
      <c r="D140" t="s">
        <v>1418</v>
      </c>
      <c r="E140">
        <v>87</v>
      </c>
      <c r="F140" s="6">
        <v>2350000000</v>
      </c>
      <c r="G140" s="6">
        <v>3035000000</v>
      </c>
      <c r="H140">
        <v>553</v>
      </c>
      <c r="I140" t="s">
        <v>8069</v>
      </c>
    </row>
    <row r="141" spans="1:9" x14ac:dyDescent="0.25">
      <c r="A141" t="s">
        <v>74</v>
      </c>
      <c r="B141">
        <v>277</v>
      </c>
      <c r="C141" t="s">
        <v>4572</v>
      </c>
      <c r="D141" t="s">
        <v>8026</v>
      </c>
      <c r="E141">
        <v>85</v>
      </c>
      <c r="F141" s="6">
        <v>3870000000</v>
      </c>
      <c r="G141" s="6">
        <v>4477777000</v>
      </c>
      <c r="H141">
        <v>301</v>
      </c>
      <c r="I141" t="s">
        <v>8070</v>
      </c>
    </row>
    <row r="142" spans="1:9" x14ac:dyDescent="0.25">
      <c r="A142" t="s">
        <v>74</v>
      </c>
      <c r="B142">
        <v>246</v>
      </c>
      <c r="C142" t="s">
        <v>4829</v>
      </c>
      <c r="D142" t="s">
        <v>8026</v>
      </c>
      <c r="E142">
        <v>84</v>
      </c>
      <c r="F142" s="6">
        <v>4030000000</v>
      </c>
      <c r="G142" s="6">
        <v>4755000000</v>
      </c>
      <c r="H142">
        <v>270</v>
      </c>
      <c r="I142" t="s">
        <v>8071</v>
      </c>
    </row>
    <row r="143" spans="1:9" x14ac:dyDescent="0.25">
      <c r="A143" t="s">
        <v>74</v>
      </c>
      <c r="B143">
        <v>370</v>
      </c>
      <c r="C143" t="s">
        <v>3678</v>
      </c>
      <c r="D143" t="s">
        <v>3677</v>
      </c>
      <c r="E143">
        <v>84</v>
      </c>
      <c r="F143" s="6">
        <v>3330000000</v>
      </c>
      <c r="G143" s="6">
        <v>4194000000</v>
      </c>
      <c r="H143">
        <v>394</v>
      </c>
      <c r="I143" t="s">
        <v>8072</v>
      </c>
    </row>
    <row r="144" spans="1:9" x14ac:dyDescent="0.25">
      <c r="A144" t="s">
        <v>74</v>
      </c>
      <c r="B144">
        <v>248</v>
      </c>
      <c r="C144" t="s">
        <v>4508</v>
      </c>
      <c r="D144" t="s">
        <v>8026</v>
      </c>
      <c r="E144">
        <v>83</v>
      </c>
      <c r="F144" s="6">
        <v>3800000000</v>
      </c>
      <c r="G144" s="6">
        <v>4988888888</v>
      </c>
      <c r="H144">
        <v>272</v>
      </c>
      <c r="I144" t="s">
        <v>8073</v>
      </c>
    </row>
    <row r="145" spans="1:9" x14ac:dyDescent="0.25">
      <c r="A145" t="s">
        <v>74</v>
      </c>
      <c r="B145">
        <v>343</v>
      </c>
      <c r="C145" t="s">
        <v>3453</v>
      </c>
      <c r="D145" t="s">
        <v>404</v>
      </c>
      <c r="E145">
        <v>83</v>
      </c>
      <c r="F145" s="6">
        <v>3170000000</v>
      </c>
      <c r="G145" s="6">
        <v>3705000000</v>
      </c>
      <c r="H145">
        <v>367</v>
      </c>
      <c r="I145" t="s">
        <v>8074</v>
      </c>
    </row>
    <row r="146" spans="1:9" x14ac:dyDescent="0.25">
      <c r="A146" t="s">
        <v>74</v>
      </c>
      <c r="B146">
        <v>251</v>
      </c>
      <c r="C146" t="s">
        <v>4665</v>
      </c>
      <c r="D146" t="s">
        <v>8035</v>
      </c>
      <c r="E146">
        <v>81</v>
      </c>
      <c r="F146" s="6">
        <v>3900000000</v>
      </c>
      <c r="G146" s="6">
        <v>5129983269</v>
      </c>
      <c r="H146">
        <v>275</v>
      </c>
      <c r="I146" t="s">
        <v>8075</v>
      </c>
    </row>
    <row r="147" spans="1:9" x14ac:dyDescent="0.25">
      <c r="A147" t="s">
        <v>74</v>
      </c>
      <c r="B147">
        <v>390</v>
      </c>
      <c r="C147" t="s">
        <v>4710</v>
      </c>
      <c r="D147" t="s">
        <v>8035</v>
      </c>
      <c r="E147">
        <v>80</v>
      </c>
      <c r="F147" s="6">
        <v>3900000000</v>
      </c>
      <c r="G147" s="6">
        <v>5069843720</v>
      </c>
      <c r="H147">
        <v>414</v>
      </c>
      <c r="I147" t="s">
        <v>8076</v>
      </c>
    </row>
    <row r="148" spans="1:9" x14ac:dyDescent="0.25">
      <c r="A148" t="s">
        <v>74</v>
      </c>
      <c r="B148">
        <v>103</v>
      </c>
      <c r="C148" t="s">
        <v>1408</v>
      </c>
      <c r="D148" t="s">
        <v>376</v>
      </c>
      <c r="E148">
        <v>79</v>
      </c>
      <c r="F148" s="6">
        <v>2000000000</v>
      </c>
      <c r="G148" s="6">
        <v>2150007890</v>
      </c>
      <c r="H148">
        <v>103</v>
      </c>
      <c r="I148" t="s">
        <v>8077</v>
      </c>
    </row>
    <row r="149" spans="1:9" x14ac:dyDescent="0.25">
      <c r="A149" t="s">
        <v>74</v>
      </c>
      <c r="B149">
        <v>481</v>
      </c>
      <c r="C149" t="s">
        <v>3161</v>
      </c>
      <c r="D149" t="s">
        <v>3160</v>
      </c>
      <c r="E149">
        <v>79</v>
      </c>
      <c r="F149" s="6">
        <v>2720000000</v>
      </c>
      <c r="G149" s="6">
        <v>3235000000</v>
      </c>
      <c r="H149">
        <v>518</v>
      </c>
      <c r="I149" t="s">
        <v>8078</v>
      </c>
    </row>
    <row r="150" spans="1:9" x14ac:dyDescent="0.25">
      <c r="A150" t="s">
        <v>74</v>
      </c>
      <c r="B150">
        <v>536</v>
      </c>
      <c r="C150" t="s">
        <v>3264</v>
      </c>
      <c r="D150" t="s">
        <v>191</v>
      </c>
      <c r="E150">
        <v>79</v>
      </c>
      <c r="F150" s="6">
        <v>2900000000</v>
      </c>
      <c r="G150" s="6">
        <v>3112500000</v>
      </c>
      <c r="H150">
        <v>573</v>
      </c>
      <c r="I150" t="s">
        <v>8079</v>
      </c>
    </row>
    <row r="151" spans="1:9" x14ac:dyDescent="0.25">
      <c r="A151" t="s">
        <v>74</v>
      </c>
      <c r="B151">
        <v>250</v>
      </c>
      <c r="C151" t="s">
        <v>4715</v>
      </c>
      <c r="D151" t="s">
        <v>8035</v>
      </c>
      <c r="E151">
        <v>78</v>
      </c>
      <c r="F151" s="6">
        <v>3900000000</v>
      </c>
      <c r="G151" s="6">
        <v>5052000000</v>
      </c>
      <c r="H151">
        <v>274</v>
      </c>
      <c r="I151" t="s">
        <v>8080</v>
      </c>
    </row>
    <row r="152" spans="1:9" x14ac:dyDescent="0.25">
      <c r="A152" t="s">
        <v>74</v>
      </c>
      <c r="B152">
        <v>426</v>
      </c>
      <c r="C152" t="s">
        <v>4670</v>
      </c>
      <c r="D152" t="s">
        <v>8035</v>
      </c>
      <c r="E152">
        <v>76</v>
      </c>
      <c r="F152" s="6">
        <v>3900000000</v>
      </c>
      <c r="G152" s="6">
        <v>4731600000</v>
      </c>
      <c r="H152">
        <v>450</v>
      </c>
      <c r="I152" t="s">
        <v>8081</v>
      </c>
    </row>
    <row r="153" spans="1:9" x14ac:dyDescent="0.25">
      <c r="A153" t="s">
        <v>74</v>
      </c>
      <c r="B153">
        <v>520</v>
      </c>
      <c r="C153" t="s">
        <v>3507</v>
      </c>
      <c r="D153" t="s">
        <v>191</v>
      </c>
      <c r="E153">
        <v>76</v>
      </c>
      <c r="F153" s="6">
        <v>3200000000</v>
      </c>
      <c r="G153" s="6">
        <v>3500000000</v>
      </c>
      <c r="H153">
        <v>557</v>
      </c>
      <c r="I153" t="s">
        <v>8082</v>
      </c>
    </row>
    <row r="154" spans="1:9" x14ac:dyDescent="0.25">
      <c r="A154" t="s">
        <v>74</v>
      </c>
      <c r="B154">
        <v>269</v>
      </c>
      <c r="C154" t="s">
        <v>4810</v>
      </c>
      <c r="D154" t="s">
        <v>8035</v>
      </c>
      <c r="E154">
        <v>74</v>
      </c>
      <c r="F154" s="6">
        <v>4000000000</v>
      </c>
      <c r="G154" s="6">
        <v>4776000000</v>
      </c>
      <c r="H154">
        <v>293</v>
      </c>
      <c r="I154" t="s">
        <v>8083</v>
      </c>
    </row>
    <row r="155" spans="1:9" x14ac:dyDescent="0.25">
      <c r="A155" t="s">
        <v>74</v>
      </c>
      <c r="B155">
        <v>436</v>
      </c>
      <c r="C155" t="s">
        <v>4512</v>
      </c>
      <c r="D155" t="s">
        <v>8026</v>
      </c>
      <c r="E155">
        <v>74</v>
      </c>
      <c r="F155" s="6">
        <v>3800000000</v>
      </c>
      <c r="G155" s="6">
        <v>4450000000</v>
      </c>
      <c r="H155">
        <v>460</v>
      </c>
      <c r="I155" t="s">
        <v>8084</v>
      </c>
    </row>
    <row r="156" spans="1:9" x14ac:dyDescent="0.25">
      <c r="A156" t="s">
        <v>74</v>
      </c>
      <c r="B156">
        <v>453</v>
      </c>
      <c r="C156" t="s">
        <v>3634</v>
      </c>
      <c r="D156" t="s">
        <v>3242</v>
      </c>
      <c r="E156">
        <v>73</v>
      </c>
      <c r="F156" s="6">
        <v>3300000000</v>
      </c>
      <c r="G156" s="6">
        <v>4109999999</v>
      </c>
      <c r="H156">
        <v>477</v>
      </c>
      <c r="I156" t="s">
        <v>8085</v>
      </c>
    </row>
    <row r="157" spans="1:9" x14ac:dyDescent="0.25">
      <c r="A157" t="s">
        <v>74</v>
      </c>
      <c r="B157">
        <v>491</v>
      </c>
      <c r="C157" t="s">
        <v>2899</v>
      </c>
      <c r="D157" t="s">
        <v>2898</v>
      </c>
      <c r="E157">
        <v>73</v>
      </c>
      <c r="F157" s="6">
        <v>2500000000</v>
      </c>
      <c r="G157" s="6">
        <v>2920009000</v>
      </c>
      <c r="H157">
        <v>528</v>
      </c>
      <c r="I157" t="s">
        <v>8086</v>
      </c>
    </row>
    <row r="158" spans="1:9" x14ac:dyDescent="0.25">
      <c r="A158" t="s">
        <v>74</v>
      </c>
      <c r="B158">
        <v>271</v>
      </c>
      <c r="C158" t="s">
        <v>4563</v>
      </c>
      <c r="D158" t="s">
        <v>8026</v>
      </c>
      <c r="E158">
        <v>72</v>
      </c>
      <c r="F158" s="6">
        <v>3870000000</v>
      </c>
      <c r="G158" s="6">
        <v>4588888888</v>
      </c>
      <c r="H158">
        <v>295</v>
      </c>
      <c r="I158" t="s">
        <v>8087</v>
      </c>
    </row>
    <row r="159" spans="1:9" x14ac:dyDescent="0.25">
      <c r="A159" t="s">
        <v>74</v>
      </c>
      <c r="B159">
        <v>539</v>
      </c>
      <c r="C159" t="s">
        <v>3343</v>
      </c>
      <c r="D159" t="s">
        <v>191</v>
      </c>
      <c r="E159">
        <v>72</v>
      </c>
      <c r="F159" s="6">
        <v>3000000000</v>
      </c>
      <c r="G159" s="6">
        <v>3700000000</v>
      </c>
      <c r="H159">
        <v>576</v>
      </c>
      <c r="I159" t="s">
        <v>8088</v>
      </c>
    </row>
    <row r="160" spans="1:9" x14ac:dyDescent="0.25">
      <c r="A160" t="s">
        <v>74</v>
      </c>
      <c r="B160">
        <v>543</v>
      </c>
      <c r="C160" t="s">
        <v>3639</v>
      </c>
      <c r="D160" t="s">
        <v>191</v>
      </c>
      <c r="E160">
        <v>72</v>
      </c>
      <c r="F160" s="6">
        <v>3300000000</v>
      </c>
      <c r="G160" s="6">
        <v>3855590000</v>
      </c>
      <c r="H160">
        <v>580</v>
      </c>
      <c r="I160" t="s">
        <v>8089</v>
      </c>
    </row>
    <row r="161" spans="1:9" x14ac:dyDescent="0.25">
      <c r="A161" t="s">
        <v>74</v>
      </c>
      <c r="B161">
        <v>381</v>
      </c>
      <c r="C161" t="s">
        <v>2514</v>
      </c>
      <c r="D161" t="s">
        <v>316</v>
      </c>
      <c r="E161">
        <v>71</v>
      </c>
      <c r="F161" s="6">
        <v>2300000000</v>
      </c>
      <c r="G161" s="6">
        <v>2789900000</v>
      </c>
      <c r="H161">
        <v>405</v>
      </c>
      <c r="I161" t="s">
        <v>8090</v>
      </c>
    </row>
    <row r="162" spans="1:9" x14ac:dyDescent="0.25">
      <c r="A162" t="s">
        <v>74</v>
      </c>
      <c r="B162">
        <v>408</v>
      </c>
      <c r="C162" t="s">
        <v>5270</v>
      </c>
      <c r="D162" t="s">
        <v>8011</v>
      </c>
      <c r="E162">
        <v>71</v>
      </c>
      <c r="F162" s="6">
        <v>4800000000</v>
      </c>
      <c r="G162" s="6">
        <v>5524850000</v>
      </c>
      <c r="H162">
        <v>432</v>
      </c>
      <c r="I162" t="s">
        <v>8091</v>
      </c>
    </row>
    <row r="163" spans="1:9" x14ac:dyDescent="0.25">
      <c r="A163" t="s">
        <v>74</v>
      </c>
      <c r="B163">
        <v>485</v>
      </c>
      <c r="C163" t="s">
        <v>2979</v>
      </c>
      <c r="D163" t="s">
        <v>2568</v>
      </c>
      <c r="E163">
        <v>71</v>
      </c>
      <c r="F163" s="6">
        <v>2550000000</v>
      </c>
      <c r="G163" s="6">
        <v>3176000000</v>
      </c>
      <c r="H163">
        <v>522</v>
      </c>
      <c r="I163" t="s">
        <v>8092</v>
      </c>
    </row>
    <row r="164" spans="1:9" x14ac:dyDescent="0.25">
      <c r="A164" t="s">
        <v>74</v>
      </c>
      <c r="B164">
        <v>261</v>
      </c>
      <c r="C164" t="s">
        <v>4814</v>
      </c>
      <c r="D164" t="s">
        <v>8026</v>
      </c>
      <c r="E164">
        <v>70</v>
      </c>
      <c r="F164" s="6">
        <v>4000000000</v>
      </c>
      <c r="G164" s="6">
        <v>4650000000</v>
      </c>
      <c r="H164">
        <v>285</v>
      </c>
      <c r="I164" t="s">
        <v>8093</v>
      </c>
    </row>
    <row r="165" spans="1:9" x14ac:dyDescent="0.25">
      <c r="A165" t="s">
        <v>74</v>
      </c>
      <c r="B165">
        <v>405</v>
      </c>
      <c r="C165" t="s">
        <v>5279</v>
      </c>
      <c r="D165" t="s">
        <v>8094</v>
      </c>
      <c r="E165">
        <v>70</v>
      </c>
      <c r="F165" s="6">
        <v>4800000000</v>
      </c>
      <c r="G165" s="6">
        <v>5535966666</v>
      </c>
      <c r="H165">
        <v>429</v>
      </c>
      <c r="I165" t="s">
        <v>8095</v>
      </c>
    </row>
    <row r="166" spans="1:9" x14ac:dyDescent="0.25">
      <c r="A166" t="s">
        <v>74</v>
      </c>
      <c r="B166">
        <v>327</v>
      </c>
      <c r="C166" t="s">
        <v>3045</v>
      </c>
      <c r="D166" t="s">
        <v>2476</v>
      </c>
      <c r="E166">
        <v>69</v>
      </c>
      <c r="F166" s="6">
        <v>2600000000</v>
      </c>
      <c r="G166" s="6">
        <v>3321599999</v>
      </c>
      <c r="H166">
        <v>351</v>
      </c>
      <c r="I166" t="s">
        <v>8096</v>
      </c>
    </row>
    <row r="167" spans="1:9" x14ac:dyDescent="0.25">
      <c r="A167" t="s">
        <v>74</v>
      </c>
      <c r="B167">
        <v>350</v>
      </c>
      <c r="C167" t="s">
        <v>4957</v>
      </c>
      <c r="D167" t="s">
        <v>3446</v>
      </c>
      <c r="E167">
        <v>68</v>
      </c>
      <c r="F167" s="6">
        <v>4100000000</v>
      </c>
      <c r="G167" s="6">
        <v>5425500000</v>
      </c>
      <c r="H167">
        <v>374</v>
      </c>
      <c r="I167" t="s">
        <v>8097</v>
      </c>
    </row>
    <row r="168" spans="1:9" x14ac:dyDescent="0.25">
      <c r="A168" t="s">
        <v>74</v>
      </c>
      <c r="B168">
        <v>291</v>
      </c>
      <c r="C168" t="s">
        <v>4674</v>
      </c>
      <c r="D168" t="s">
        <v>8035</v>
      </c>
      <c r="E168">
        <v>67</v>
      </c>
      <c r="F168" s="6">
        <v>3900000000</v>
      </c>
      <c r="G168" s="6">
        <v>4715550777</v>
      </c>
      <c r="H168">
        <v>315</v>
      </c>
      <c r="I168" t="s">
        <v>8098</v>
      </c>
    </row>
    <row r="169" spans="1:9" x14ac:dyDescent="0.25">
      <c r="A169" t="s">
        <v>74</v>
      </c>
      <c r="B169">
        <v>286</v>
      </c>
      <c r="C169" t="s">
        <v>4550</v>
      </c>
      <c r="D169" t="s">
        <v>8026</v>
      </c>
      <c r="E169">
        <v>66</v>
      </c>
      <c r="F169" s="6">
        <v>3850000000</v>
      </c>
      <c r="G169" s="6">
        <v>4416666666</v>
      </c>
      <c r="H169">
        <v>310</v>
      </c>
      <c r="I169" t="s">
        <v>8099</v>
      </c>
    </row>
    <row r="170" spans="1:9" x14ac:dyDescent="0.25">
      <c r="A170" t="s">
        <v>74</v>
      </c>
      <c r="B170">
        <v>531</v>
      </c>
      <c r="C170" t="s">
        <v>3338</v>
      </c>
      <c r="D170" t="s">
        <v>191</v>
      </c>
      <c r="E170">
        <v>66</v>
      </c>
      <c r="F170" s="6">
        <v>3000000000</v>
      </c>
      <c r="G170" s="6">
        <v>3828000000</v>
      </c>
      <c r="H170">
        <v>568</v>
      </c>
      <c r="I170" t="s">
        <v>8100</v>
      </c>
    </row>
    <row r="171" spans="1:9" x14ac:dyDescent="0.25">
      <c r="A171" t="s">
        <v>74</v>
      </c>
      <c r="B171">
        <v>541</v>
      </c>
      <c r="C171" t="s">
        <v>3652</v>
      </c>
      <c r="D171" t="s">
        <v>3647</v>
      </c>
      <c r="E171">
        <v>66</v>
      </c>
      <c r="F171" s="6">
        <v>3300000000</v>
      </c>
      <c r="G171" s="6">
        <v>3717999999</v>
      </c>
      <c r="H171">
        <v>578</v>
      </c>
      <c r="I171" t="s">
        <v>8101</v>
      </c>
    </row>
    <row r="172" spans="1:9" x14ac:dyDescent="0.25">
      <c r="A172" t="s">
        <v>74</v>
      </c>
      <c r="B172">
        <v>263</v>
      </c>
      <c r="C172" t="s">
        <v>4567</v>
      </c>
      <c r="D172" t="s">
        <v>8035</v>
      </c>
      <c r="E172">
        <v>65</v>
      </c>
      <c r="F172" s="6">
        <v>3870000000</v>
      </c>
      <c r="G172" s="6">
        <v>4550000999</v>
      </c>
      <c r="H172">
        <v>287</v>
      </c>
      <c r="I172" t="s">
        <v>8102</v>
      </c>
    </row>
    <row r="173" spans="1:9" x14ac:dyDescent="0.25">
      <c r="A173" t="s">
        <v>74</v>
      </c>
      <c r="B173">
        <v>535</v>
      </c>
      <c r="C173" t="s">
        <v>3347</v>
      </c>
      <c r="D173" t="s">
        <v>191</v>
      </c>
      <c r="E173">
        <v>65</v>
      </c>
      <c r="F173" s="6">
        <v>3000000000</v>
      </c>
      <c r="G173" s="6">
        <v>3825550000</v>
      </c>
      <c r="H173">
        <v>572</v>
      </c>
      <c r="I173" t="s">
        <v>8103</v>
      </c>
    </row>
    <row r="174" spans="1:9" x14ac:dyDescent="0.25">
      <c r="A174" t="s">
        <v>74</v>
      </c>
      <c r="B174">
        <v>295</v>
      </c>
      <c r="C174" t="s">
        <v>4576</v>
      </c>
      <c r="D174" t="s">
        <v>8035</v>
      </c>
      <c r="E174">
        <v>64</v>
      </c>
      <c r="F174" s="6">
        <v>3880000000</v>
      </c>
      <c r="G174" s="6">
        <v>4480000000</v>
      </c>
      <c r="H174">
        <v>319</v>
      </c>
      <c r="I174" t="s">
        <v>8104</v>
      </c>
    </row>
    <row r="175" spans="1:9" x14ac:dyDescent="0.25">
      <c r="A175" t="s">
        <v>74</v>
      </c>
      <c r="B175">
        <v>243</v>
      </c>
      <c r="C175" t="s">
        <v>4719</v>
      </c>
      <c r="D175" t="s">
        <v>8035</v>
      </c>
      <c r="E175">
        <v>63</v>
      </c>
      <c r="F175" s="6">
        <v>3900000000</v>
      </c>
      <c r="G175" s="6">
        <v>5000000000</v>
      </c>
      <c r="H175">
        <v>267</v>
      </c>
      <c r="I175" t="s">
        <v>8105</v>
      </c>
    </row>
    <row r="176" spans="1:9" x14ac:dyDescent="0.25">
      <c r="A176" t="s">
        <v>74</v>
      </c>
      <c r="B176">
        <v>385</v>
      </c>
      <c r="C176" t="s">
        <v>2608</v>
      </c>
      <c r="D176" t="s">
        <v>316</v>
      </c>
      <c r="E176">
        <v>63</v>
      </c>
      <c r="F176" s="6">
        <v>2370000000</v>
      </c>
      <c r="G176" s="6">
        <v>2920089400</v>
      </c>
      <c r="H176">
        <v>409</v>
      </c>
      <c r="I176" t="s">
        <v>8106</v>
      </c>
    </row>
    <row r="177" spans="1:9" x14ac:dyDescent="0.25">
      <c r="A177" t="s">
        <v>74</v>
      </c>
      <c r="B177">
        <v>530</v>
      </c>
      <c r="C177" t="s">
        <v>3351</v>
      </c>
      <c r="D177" t="s">
        <v>191</v>
      </c>
      <c r="E177">
        <v>63</v>
      </c>
      <c r="F177" s="6">
        <v>3000000000</v>
      </c>
      <c r="G177" s="6">
        <v>3663663663</v>
      </c>
      <c r="H177">
        <v>567</v>
      </c>
      <c r="I177" t="s">
        <v>8107</v>
      </c>
    </row>
    <row r="178" spans="1:9" x14ac:dyDescent="0.25">
      <c r="A178" t="s">
        <v>74</v>
      </c>
      <c r="B178">
        <v>395</v>
      </c>
      <c r="C178" t="s">
        <v>5258</v>
      </c>
      <c r="D178" t="s">
        <v>8011</v>
      </c>
      <c r="E178">
        <v>62</v>
      </c>
      <c r="F178" s="6">
        <v>4780000000</v>
      </c>
      <c r="G178" s="6">
        <v>5319000000</v>
      </c>
      <c r="H178">
        <v>419</v>
      </c>
      <c r="I178" t="s">
        <v>8108</v>
      </c>
    </row>
    <row r="179" spans="1:9" x14ac:dyDescent="0.25">
      <c r="A179" t="s">
        <v>74</v>
      </c>
      <c r="B179">
        <v>293</v>
      </c>
      <c r="C179" t="s">
        <v>4590</v>
      </c>
      <c r="D179" t="s">
        <v>8026</v>
      </c>
      <c r="E179">
        <v>61</v>
      </c>
      <c r="F179" s="6">
        <v>3880000000</v>
      </c>
      <c r="G179" s="6">
        <v>4090000000</v>
      </c>
      <c r="H179">
        <v>317</v>
      </c>
      <c r="I179" t="s">
        <v>8109</v>
      </c>
    </row>
    <row r="180" spans="1:9" x14ac:dyDescent="0.25">
      <c r="A180" t="s">
        <v>74</v>
      </c>
      <c r="B180">
        <v>394</v>
      </c>
      <c r="C180" t="s">
        <v>5275</v>
      </c>
      <c r="D180" t="s">
        <v>8110</v>
      </c>
      <c r="E180">
        <v>61</v>
      </c>
      <c r="F180" s="6">
        <v>4800000000</v>
      </c>
      <c r="G180" s="6">
        <v>5351000000</v>
      </c>
      <c r="H180">
        <v>418</v>
      </c>
      <c r="I180" t="s">
        <v>8111</v>
      </c>
    </row>
    <row r="181" spans="1:9" x14ac:dyDescent="0.25">
      <c r="A181" t="s">
        <v>74</v>
      </c>
      <c r="B181">
        <v>302</v>
      </c>
      <c r="C181" t="s">
        <v>4723</v>
      </c>
      <c r="D181" t="s">
        <v>8026</v>
      </c>
      <c r="E181">
        <v>60</v>
      </c>
      <c r="F181" s="6">
        <v>3900000000</v>
      </c>
      <c r="G181" s="6">
        <v>4858756000</v>
      </c>
      <c r="H181">
        <v>326</v>
      </c>
      <c r="I181" t="s">
        <v>8112</v>
      </c>
    </row>
    <row r="182" spans="1:9" x14ac:dyDescent="0.25">
      <c r="A182" t="s">
        <v>74</v>
      </c>
      <c r="B182">
        <v>355</v>
      </c>
      <c r="C182" t="s">
        <v>4864</v>
      </c>
      <c r="D182" t="s">
        <v>4318</v>
      </c>
      <c r="E182">
        <v>60</v>
      </c>
      <c r="F182" s="6">
        <v>4050000000</v>
      </c>
      <c r="G182" s="6">
        <v>5050000000</v>
      </c>
      <c r="H182">
        <v>379</v>
      </c>
      <c r="I182" t="s">
        <v>8113</v>
      </c>
    </row>
    <row r="183" spans="1:9" x14ac:dyDescent="0.25">
      <c r="A183" t="s">
        <v>74</v>
      </c>
      <c r="B183">
        <v>357</v>
      </c>
      <c r="C183" t="s">
        <v>4962</v>
      </c>
      <c r="D183" t="s">
        <v>3446</v>
      </c>
      <c r="E183">
        <v>60</v>
      </c>
      <c r="F183" s="6">
        <v>4100000000</v>
      </c>
      <c r="G183" s="6">
        <v>5355500000</v>
      </c>
      <c r="H183">
        <v>381</v>
      </c>
      <c r="I183" t="s">
        <v>8114</v>
      </c>
    </row>
    <row r="184" spans="1:9" x14ac:dyDescent="0.25">
      <c r="A184" t="s">
        <v>74</v>
      </c>
      <c r="B184">
        <v>484</v>
      </c>
      <c r="C184" t="s">
        <v>3006</v>
      </c>
      <c r="D184" t="s">
        <v>2898</v>
      </c>
      <c r="E184">
        <v>60</v>
      </c>
      <c r="F184" s="6">
        <v>2580000000</v>
      </c>
      <c r="G184" s="6">
        <v>3215111111</v>
      </c>
      <c r="H184">
        <v>521</v>
      </c>
      <c r="I184" t="s">
        <v>8115</v>
      </c>
    </row>
    <row r="185" spans="1:9" x14ac:dyDescent="0.25">
      <c r="A185" t="s">
        <v>74</v>
      </c>
      <c r="B185">
        <v>529</v>
      </c>
      <c r="C185" t="s">
        <v>3656</v>
      </c>
      <c r="D185" t="s">
        <v>3250</v>
      </c>
      <c r="E185">
        <v>60</v>
      </c>
      <c r="F185" s="6">
        <v>3300000000</v>
      </c>
      <c r="G185" s="6">
        <v>3737800000</v>
      </c>
      <c r="H185">
        <v>566</v>
      </c>
      <c r="I185" t="s">
        <v>8116</v>
      </c>
    </row>
    <row r="186" spans="1:9" x14ac:dyDescent="0.25">
      <c r="A186" t="s">
        <v>74</v>
      </c>
      <c r="B186">
        <v>89</v>
      </c>
      <c r="C186" t="s">
        <v>1413</v>
      </c>
      <c r="D186" t="s">
        <v>376</v>
      </c>
      <c r="E186">
        <v>59</v>
      </c>
      <c r="F186" s="6">
        <v>2000000000</v>
      </c>
      <c r="G186" s="6">
        <v>2160999999</v>
      </c>
      <c r="H186">
        <v>89</v>
      </c>
      <c r="I186" t="s">
        <v>8117</v>
      </c>
    </row>
    <row r="187" spans="1:9" x14ac:dyDescent="0.25">
      <c r="A187" t="s">
        <v>74</v>
      </c>
      <c r="B187">
        <v>221</v>
      </c>
      <c r="C187" t="s">
        <v>342</v>
      </c>
      <c r="D187" t="s">
        <v>316</v>
      </c>
      <c r="E187">
        <v>59</v>
      </c>
      <c r="F187" s="6">
        <v>1700000000</v>
      </c>
      <c r="G187" s="6">
        <v>2751414141</v>
      </c>
      <c r="H187">
        <v>245</v>
      </c>
      <c r="I187" t="s">
        <v>8118</v>
      </c>
    </row>
    <row r="188" spans="1:9" x14ac:dyDescent="0.25">
      <c r="A188" t="s">
        <v>74</v>
      </c>
      <c r="B188">
        <v>347</v>
      </c>
      <c r="C188" t="s">
        <v>4952</v>
      </c>
      <c r="D188" t="s">
        <v>3521</v>
      </c>
      <c r="E188">
        <v>59</v>
      </c>
      <c r="F188" s="6">
        <v>4100000000</v>
      </c>
      <c r="G188" s="6">
        <v>5235000000</v>
      </c>
      <c r="H188">
        <v>371</v>
      </c>
      <c r="I188" t="s">
        <v>8119</v>
      </c>
    </row>
    <row r="189" spans="1:9" x14ac:dyDescent="0.25">
      <c r="A189" t="s">
        <v>74</v>
      </c>
      <c r="B189">
        <v>244</v>
      </c>
      <c r="C189" t="s">
        <v>4869</v>
      </c>
      <c r="D189" t="s">
        <v>8026</v>
      </c>
      <c r="E189">
        <v>57</v>
      </c>
      <c r="F189" s="6">
        <v>4050000000</v>
      </c>
      <c r="G189" s="6">
        <v>4755555555</v>
      </c>
      <c r="H189">
        <v>268</v>
      </c>
      <c r="I189" t="s">
        <v>8120</v>
      </c>
    </row>
    <row r="190" spans="1:9" x14ac:dyDescent="0.25">
      <c r="A190" t="s">
        <v>74</v>
      </c>
      <c r="B190">
        <v>386</v>
      </c>
      <c r="C190" t="s">
        <v>3012</v>
      </c>
      <c r="D190" t="s">
        <v>3011</v>
      </c>
      <c r="E190">
        <v>57</v>
      </c>
      <c r="F190" s="6">
        <v>2580000000</v>
      </c>
      <c r="G190" s="6">
        <v>2965000000</v>
      </c>
      <c r="H190">
        <v>410</v>
      </c>
      <c r="I190" t="s">
        <v>8121</v>
      </c>
    </row>
    <row r="191" spans="1:9" x14ac:dyDescent="0.25">
      <c r="A191" t="s">
        <v>74</v>
      </c>
      <c r="B191">
        <v>425</v>
      </c>
      <c r="C191" t="s">
        <v>4727</v>
      </c>
      <c r="D191" t="s">
        <v>8035</v>
      </c>
      <c r="E191">
        <v>57</v>
      </c>
      <c r="F191" s="6">
        <v>3900000000</v>
      </c>
      <c r="G191" s="6">
        <v>5105555555</v>
      </c>
      <c r="H191">
        <v>449</v>
      </c>
      <c r="I191" t="s">
        <v>8122</v>
      </c>
    </row>
    <row r="192" spans="1:9" x14ac:dyDescent="0.25">
      <c r="A192" t="s">
        <v>74</v>
      </c>
      <c r="B192">
        <v>432</v>
      </c>
      <c r="C192" t="s">
        <v>4679</v>
      </c>
      <c r="D192" t="s">
        <v>8026</v>
      </c>
      <c r="E192">
        <v>57</v>
      </c>
      <c r="F192" s="6">
        <v>3900000000</v>
      </c>
      <c r="G192" s="6">
        <v>4601000000</v>
      </c>
      <c r="H192">
        <v>456</v>
      </c>
      <c r="I192" t="s">
        <v>8123</v>
      </c>
    </row>
    <row r="193" spans="1:9" x14ac:dyDescent="0.25">
      <c r="A193" t="s">
        <v>74</v>
      </c>
      <c r="B193">
        <v>303</v>
      </c>
      <c r="C193" t="s">
        <v>4595</v>
      </c>
      <c r="D193" t="s">
        <v>8035</v>
      </c>
      <c r="E193">
        <v>56</v>
      </c>
      <c r="F193" s="6">
        <v>3880000000</v>
      </c>
      <c r="G193" s="6">
        <v>4459999999</v>
      </c>
      <c r="H193">
        <v>327</v>
      </c>
      <c r="I193" t="s">
        <v>8124</v>
      </c>
    </row>
    <row r="194" spans="1:9" x14ac:dyDescent="0.25">
      <c r="A194" t="s">
        <v>74</v>
      </c>
      <c r="B194">
        <v>433</v>
      </c>
      <c r="C194" t="s">
        <v>4683</v>
      </c>
      <c r="D194" t="s">
        <v>8035</v>
      </c>
      <c r="E194">
        <v>56</v>
      </c>
      <c r="F194" s="6">
        <v>3900000000</v>
      </c>
      <c r="G194" s="6">
        <v>4756990000</v>
      </c>
      <c r="H194">
        <v>457</v>
      </c>
      <c r="I194" t="s">
        <v>8125</v>
      </c>
    </row>
    <row r="195" spans="1:9" x14ac:dyDescent="0.25">
      <c r="A195" t="s">
        <v>74</v>
      </c>
      <c r="B195">
        <v>455</v>
      </c>
      <c r="C195" t="s">
        <v>3828</v>
      </c>
      <c r="D195" t="s">
        <v>3497</v>
      </c>
      <c r="E195">
        <v>56</v>
      </c>
      <c r="F195" s="6">
        <v>3400000000</v>
      </c>
      <c r="G195" s="6">
        <v>4800000999</v>
      </c>
      <c r="H195">
        <v>479</v>
      </c>
      <c r="I195" t="s">
        <v>8126</v>
      </c>
    </row>
    <row r="196" spans="1:9" x14ac:dyDescent="0.25">
      <c r="A196" t="s">
        <v>74</v>
      </c>
      <c r="B196">
        <v>200</v>
      </c>
      <c r="C196" t="s">
        <v>585</v>
      </c>
      <c r="D196" t="s">
        <v>376</v>
      </c>
      <c r="E196">
        <v>55</v>
      </c>
      <c r="F196" s="6">
        <v>1980000000</v>
      </c>
      <c r="G196" s="6">
        <v>2169999999</v>
      </c>
      <c r="H196">
        <v>200</v>
      </c>
      <c r="I196" t="s">
        <v>8127</v>
      </c>
    </row>
    <row r="197" spans="1:9" x14ac:dyDescent="0.25">
      <c r="A197" t="s">
        <v>74</v>
      </c>
      <c r="B197">
        <v>625</v>
      </c>
      <c r="C197" t="s">
        <v>3833</v>
      </c>
      <c r="D197" t="s">
        <v>3210</v>
      </c>
      <c r="E197">
        <v>55</v>
      </c>
      <c r="F197" s="6">
        <v>3400000000</v>
      </c>
      <c r="G197" s="6">
        <v>4159999999</v>
      </c>
      <c r="H197">
        <v>662</v>
      </c>
      <c r="I197" t="s">
        <v>8128</v>
      </c>
    </row>
    <row r="198" spans="1:9" x14ac:dyDescent="0.25">
      <c r="A198" t="s">
        <v>74</v>
      </c>
      <c r="B198">
        <v>273</v>
      </c>
      <c r="C198" t="s">
        <v>4687</v>
      </c>
      <c r="D198" t="s">
        <v>8026</v>
      </c>
      <c r="E198">
        <v>54</v>
      </c>
      <c r="F198" s="6">
        <v>3900000000</v>
      </c>
      <c r="G198" s="6">
        <v>4665839999</v>
      </c>
      <c r="H198">
        <v>297</v>
      </c>
      <c r="I198" t="s">
        <v>8129</v>
      </c>
    </row>
    <row r="199" spans="1:9" x14ac:dyDescent="0.25">
      <c r="A199" t="s">
        <v>74</v>
      </c>
      <c r="B199">
        <v>288</v>
      </c>
      <c r="C199" t="s">
        <v>4732</v>
      </c>
      <c r="D199" t="s">
        <v>8035</v>
      </c>
      <c r="E199">
        <v>54</v>
      </c>
      <c r="F199" s="6">
        <v>3900000000</v>
      </c>
      <c r="G199" s="6">
        <v>4985756000</v>
      </c>
      <c r="H199">
        <v>312</v>
      </c>
      <c r="I199" t="s">
        <v>8130</v>
      </c>
    </row>
    <row r="200" spans="1:9" x14ac:dyDescent="0.25">
      <c r="A200" t="s">
        <v>74</v>
      </c>
      <c r="B200">
        <v>416</v>
      </c>
      <c r="C200" t="s">
        <v>2893</v>
      </c>
      <c r="D200" t="s">
        <v>2892</v>
      </c>
      <c r="E200">
        <v>54</v>
      </c>
      <c r="F200" s="6">
        <v>2500000000</v>
      </c>
      <c r="G200" s="6">
        <v>2979999999</v>
      </c>
      <c r="H200">
        <v>440</v>
      </c>
      <c r="I200" t="s">
        <v>8131</v>
      </c>
    </row>
    <row r="201" spans="1:9" x14ac:dyDescent="0.25">
      <c r="A201" t="s">
        <v>74</v>
      </c>
      <c r="B201">
        <v>264</v>
      </c>
      <c r="C201" t="s">
        <v>4873</v>
      </c>
      <c r="D201" t="s">
        <v>8026</v>
      </c>
      <c r="E201">
        <v>53</v>
      </c>
      <c r="F201" s="6">
        <v>4050000000</v>
      </c>
      <c r="G201" s="6">
        <v>4619553250</v>
      </c>
      <c r="H201">
        <v>288</v>
      </c>
      <c r="I201" t="s">
        <v>8132</v>
      </c>
    </row>
    <row r="202" spans="1:9" x14ac:dyDescent="0.25">
      <c r="A202" t="s">
        <v>74</v>
      </c>
      <c r="B202">
        <v>279</v>
      </c>
      <c r="C202" t="s">
        <v>4581</v>
      </c>
      <c r="D202" t="s">
        <v>8026</v>
      </c>
      <c r="E202">
        <v>53</v>
      </c>
      <c r="F202" s="6">
        <v>3880000000</v>
      </c>
      <c r="G202" s="6">
        <v>4617897897</v>
      </c>
      <c r="H202">
        <v>303</v>
      </c>
      <c r="I202" t="s">
        <v>8133</v>
      </c>
    </row>
    <row r="203" spans="1:9" x14ac:dyDescent="0.25">
      <c r="A203" t="s">
        <v>74</v>
      </c>
      <c r="B203">
        <v>391</v>
      </c>
      <c r="C203" t="s">
        <v>4735</v>
      </c>
      <c r="D203" t="s">
        <v>8035</v>
      </c>
      <c r="E203">
        <v>53</v>
      </c>
      <c r="F203" s="6">
        <v>3900000000</v>
      </c>
      <c r="G203" s="6">
        <v>5093214652</v>
      </c>
      <c r="H203">
        <v>415</v>
      </c>
      <c r="I203" t="s">
        <v>8134</v>
      </c>
    </row>
    <row r="204" spans="1:9" x14ac:dyDescent="0.25">
      <c r="A204" t="s">
        <v>74</v>
      </c>
      <c r="B204">
        <v>126</v>
      </c>
      <c r="C204" t="s">
        <v>1191</v>
      </c>
      <c r="D204" t="s">
        <v>376</v>
      </c>
      <c r="E204">
        <v>52</v>
      </c>
      <c r="F204" s="6">
        <v>2000000000</v>
      </c>
      <c r="G204" s="6">
        <v>2126789999</v>
      </c>
      <c r="H204">
        <v>126</v>
      </c>
      <c r="I204" t="s">
        <v>8135</v>
      </c>
    </row>
    <row r="205" spans="1:9" x14ac:dyDescent="0.25">
      <c r="A205" t="s">
        <v>74</v>
      </c>
      <c r="B205">
        <v>559</v>
      </c>
      <c r="C205" t="s">
        <v>3620</v>
      </c>
      <c r="D205" t="s">
        <v>3250</v>
      </c>
      <c r="E205">
        <v>52</v>
      </c>
      <c r="F205" s="6">
        <v>3300000000</v>
      </c>
      <c r="G205" s="6">
        <v>3637373000</v>
      </c>
      <c r="H205">
        <v>596</v>
      </c>
      <c r="I205" t="s">
        <v>8136</v>
      </c>
    </row>
    <row r="206" spans="1:9" x14ac:dyDescent="0.25">
      <c r="A206" t="s">
        <v>74</v>
      </c>
      <c r="B206">
        <v>133</v>
      </c>
      <c r="C206" t="s">
        <v>1196</v>
      </c>
      <c r="D206" t="s">
        <v>376</v>
      </c>
      <c r="E206">
        <v>50</v>
      </c>
      <c r="F206" s="6">
        <v>2000000000</v>
      </c>
      <c r="G206" s="6">
        <v>2183000000</v>
      </c>
      <c r="H206">
        <v>133</v>
      </c>
      <c r="I206" t="s">
        <v>8137</v>
      </c>
    </row>
    <row r="207" spans="1:9" x14ac:dyDescent="0.25">
      <c r="A207" t="s">
        <v>74</v>
      </c>
      <c r="B207">
        <v>360</v>
      </c>
      <c r="C207" t="s">
        <v>5630</v>
      </c>
      <c r="D207" t="s">
        <v>5629</v>
      </c>
      <c r="E207">
        <v>50</v>
      </c>
      <c r="F207" s="6">
        <v>7700000000</v>
      </c>
      <c r="G207" s="6">
        <v>9050000000</v>
      </c>
      <c r="H207">
        <v>384</v>
      </c>
      <c r="I207" t="s">
        <v>8138</v>
      </c>
    </row>
    <row r="208" spans="1:9" x14ac:dyDescent="0.25">
      <c r="A208" t="s">
        <v>74</v>
      </c>
      <c r="B208">
        <v>446</v>
      </c>
      <c r="C208" t="s">
        <v>3813</v>
      </c>
      <c r="D208" t="s">
        <v>3497</v>
      </c>
      <c r="E208">
        <v>50</v>
      </c>
      <c r="F208" s="6">
        <v>3400000000</v>
      </c>
      <c r="G208" s="6">
        <v>3913000000</v>
      </c>
      <c r="H208">
        <v>470</v>
      </c>
      <c r="I208" t="s">
        <v>8139</v>
      </c>
    </row>
    <row r="209" spans="1:9" x14ac:dyDescent="0.25">
      <c r="A209" t="s">
        <v>74</v>
      </c>
      <c r="B209">
        <v>452</v>
      </c>
      <c r="C209" t="s">
        <v>3498</v>
      </c>
      <c r="D209" t="s">
        <v>3497</v>
      </c>
      <c r="E209">
        <v>50</v>
      </c>
      <c r="F209" s="6">
        <v>3200000000</v>
      </c>
      <c r="G209" s="6">
        <v>4115000000</v>
      </c>
      <c r="H209">
        <v>476</v>
      </c>
      <c r="I209" t="s">
        <v>8140</v>
      </c>
    </row>
    <row r="210" spans="1:9" x14ac:dyDescent="0.25">
      <c r="A210" t="s">
        <v>74</v>
      </c>
      <c r="B210">
        <v>456</v>
      </c>
      <c r="C210" t="s">
        <v>3818</v>
      </c>
      <c r="D210" t="s">
        <v>3242</v>
      </c>
      <c r="E210">
        <v>50</v>
      </c>
      <c r="F210" s="6">
        <v>3400000000</v>
      </c>
      <c r="G210" s="6">
        <v>4141414141</v>
      </c>
      <c r="H210">
        <v>480</v>
      </c>
      <c r="I210" t="s">
        <v>8141</v>
      </c>
    </row>
    <row r="211" spans="1:9" x14ac:dyDescent="0.25">
      <c r="A211" t="s">
        <v>74</v>
      </c>
      <c r="B211">
        <v>469</v>
      </c>
      <c r="C211" t="s">
        <v>640</v>
      </c>
      <c r="D211" t="s">
        <v>376</v>
      </c>
      <c r="E211">
        <v>50</v>
      </c>
      <c r="F211" s="6">
        <v>2000000000</v>
      </c>
      <c r="G211" s="6">
        <v>2246750000</v>
      </c>
      <c r="H211">
        <v>493</v>
      </c>
      <c r="I211" t="s">
        <v>8142</v>
      </c>
    </row>
    <row r="212" spans="1:9" x14ac:dyDescent="0.25">
      <c r="A212" t="s">
        <v>74</v>
      </c>
      <c r="B212">
        <v>601</v>
      </c>
      <c r="C212" t="s">
        <v>3493</v>
      </c>
      <c r="D212" t="s">
        <v>3431</v>
      </c>
      <c r="E212">
        <v>50</v>
      </c>
      <c r="F212" s="6">
        <v>3200000000</v>
      </c>
      <c r="G212" s="6">
        <v>3773924157</v>
      </c>
      <c r="H212">
        <v>638</v>
      </c>
      <c r="I212" t="s">
        <v>8143</v>
      </c>
    </row>
    <row r="213" spans="1:9" x14ac:dyDescent="0.25">
      <c r="A213" t="s">
        <v>74</v>
      </c>
      <c r="B213">
        <v>80</v>
      </c>
      <c r="C213" t="s">
        <v>1308</v>
      </c>
      <c r="D213" t="s">
        <v>376</v>
      </c>
      <c r="E213">
        <v>49</v>
      </c>
      <c r="F213" s="6">
        <v>2000000000</v>
      </c>
      <c r="G213" s="6">
        <v>2160000000</v>
      </c>
      <c r="H213">
        <v>80</v>
      </c>
      <c r="I213" t="s">
        <v>8144</v>
      </c>
    </row>
    <row r="214" spans="1:9" x14ac:dyDescent="0.25">
      <c r="A214" t="s">
        <v>74</v>
      </c>
      <c r="B214">
        <v>85</v>
      </c>
      <c r="C214" t="s">
        <v>1201</v>
      </c>
      <c r="D214" t="s">
        <v>376</v>
      </c>
      <c r="E214">
        <v>49</v>
      </c>
      <c r="F214" s="6">
        <v>2000000000</v>
      </c>
      <c r="G214" s="6">
        <v>2177440001</v>
      </c>
      <c r="H214">
        <v>85</v>
      </c>
      <c r="I214" t="s">
        <v>8145</v>
      </c>
    </row>
    <row r="215" spans="1:9" x14ac:dyDescent="0.25">
      <c r="A215" t="s">
        <v>74</v>
      </c>
      <c r="B215">
        <v>95</v>
      </c>
      <c r="C215" t="s">
        <v>1313</v>
      </c>
      <c r="D215" t="s">
        <v>376</v>
      </c>
      <c r="E215">
        <v>49</v>
      </c>
      <c r="F215" s="6">
        <v>2000000000</v>
      </c>
      <c r="G215" s="6">
        <v>2199990000</v>
      </c>
      <c r="H215">
        <v>95</v>
      </c>
      <c r="I215" t="s">
        <v>8146</v>
      </c>
    </row>
    <row r="216" spans="1:9" x14ac:dyDescent="0.25">
      <c r="A216" t="s">
        <v>74</v>
      </c>
      <c r="B216">
        <v>125</v>
      </c>
      <c r="C216" t="s">
        <v>1207</v>
      </c>
      <c r="D216" t="s">
        <v>376</v>
      </c>
      <c r="E216">
        <v>49</v>
      </c>
      <c r="F216" s="6">
        <v>2000000000</v>
      </c>
      <c r="G216" s="6">
        <v>2088888888</v>
      </c>
      <c r="H216">
        <v>125</v>
      </c>
      <c r="I216" t="s">
        <v>8147</v>
      </c>
    </row>
    <row r="217" spans="1:9" x14ac:dyDescent="0.25">
      <c r="A217" t="s">
        <v>74</v>
      </c>
      <c r="B217">
        <v>393</v>
      </c>
      <c r="C217" t="s">
        <v>4344</v>
      </c>
      <c r="D217" t="s">
        <v>4343</v>
      </c>
      <c r="E217">
        <v>49</v>
      </c>
      <c r="F217" s="6">
        <v>3550000000</v>
      </c>
      <c r="G217" s="6">
        <v>4444440000</v>
      </c>
      <c r="H217">
        <v>417</v>
      </c>
      <c r="I217" t="s">
        <v>8148</v>
      </c>
    </row>
    <row r="218" spans="1:9" x14ac:dyDescent="0.25">
      <c r="A218" t="s">
        <v>74</v>
      </c>
      <c r="B218">
        <v>448</v>
      </c>
      <c r="C218" t="s">
        <v>3935</v>
      </c>
      <c r="D218" t="s">
        <v>3497</v>
      </c>
      <c r="E218">
        <v>49</v>
      </c>
      <c r="F218" s="6">
        <v>3480000000</v>
      </c>
      <c r="G218" s="6">
        <v>4189999999</v>
      </c>
      <c r="H218">
        <v>472</v>
      </c>
      <c r="I218" t="s">
        <v>8149</v>
      </c>
    </row>
    <row r="219" spans="1:9" x14ac:dyDescent="0.25">
      <c r="A219" t="s">
        <v>74</v>
      </c>
      <c r="B219">
        <v>59</v>
      </c>
      <c r="C219" t="s">
        <v>684</v>
      </c>
      <c r="D219" t="s">
        <v>376</v>
      </c>
      <c r="E219">
        <v>48</v>
      </c>
      <c r="F219" s="6">
        <v>2000000000</v>
      </c>
      <c r="G219" s="6">
        <v>2217770000</v>
      </c>
      <c r="H219">
        <v>59</v>
      </c>
      <c r="I219" t="s">
        <v>8150</v>
      </c>
    </row>
    <row r="220" spans="1:9" x14ac:dyDescent="0.25">
      <c r="A220" t="s">
        <v>74</v>
      </c>
      <c r="B220">
        <v>105</v>
      </c>
      <c r="C220" t="s">
        <v>1212</v>
      </c>
      <c r="D220" t="s">
        <v>376</v>
      </c>
      <c r="E220">
        <v>48</v>
      </c>
      <c r="F220" s="6">
        <v>2000000000</v>
      </c>
      <c r="G220" s="6">
        <v>2277777777</v>
      </c>
      <c r="H220">
        <v>105</v>
      </c>
      <c r="I220" t="s">
        <v>8151</v>
      </c>
    </row>
    <row r="221" spans="1:9" x14ac:dyDescent="0.25">
      <c r="A221" t="s">
        <v>74</v>
      </c>
      <c r="B221">
        <v>214</v>
      </c>
      <c r="C221" t="s">
        <v>1319</v>
      </c>
      <c r="D221" t="s">
        <v>376</v>
      </c>
      <c r="E221">
        <v>48</v>
      </c>
      <c r="F221" s="6">
        <v>2000000000</v>
      </c>
      <c r="G221" s="6">
        <v>2202999999</v>
      </c>
      <c r="H221">
        <v>230</v>
      </c>
      <c r="I221" t="s">
        <v>8152</v>
      </c>
    </row>
    <row r="222" spans="1:9" x14ac:dyDescent="0.25">
      <c r="A222" t="s">
        <v>74</v>
      </c>
      <c r="B222">
        <v>242</v>
      </c>
      <c r="C222" t="s">
        <v>5586</v>
      </c>
      <c r="D222" t="s">
        <v>5585</v>
      </c>
      <c r="E222">
        <v>48</v>
      </c>
      <c r="F222" s="6">
        <v>6500000000</v>
      </c>
      <c r="G222" s="6">
        <v>7520000000</v>
      </c>
      <c r="H222">
        <v>266</v>
      </c>
      <c r="I222" t="s">
        <v>8153</v>
      </c>
    </row>
    <row r="223" spans="1:9" x14ac:dyDescent="0.25">
      <c r="A223" t="s">
        <v>74</v>
      </c>
      <c r="B223">
        <v>252</v>
      </c>
      <c r="C223" t="s">
        <v>4541</v>
      </c>
      <c r="D223" t="s">
        <v>8035</v>
      </c>
      <c r="E223">
        <v>48</v>
      </c>
      <c r="F223" s="6">
        <v>3850000000</v>
      </c>
      <c r="G223" s="6">
        <v>4381111111</v>
      </c>
      <c r="H223">
        <v>276</v>
      </c>
      <c r="I223" t="s">
        <v>8154</v>
      </c>
    </row>
    <row r="224" spans="1:9" x14ac:dyDescent="0.25">
      <c r="A224" t="s">
        <v>74</v>
      </c>
      <c r="B224">
        <v>369</v>
      </c>
      <c r="C224" t="s">
        <v>4210</v>
      </c>
      <c r="D224" t="s">
        <v>3677</v>
      </c>
      <c r="E224">
        <v>48</v>
      </c>
      <c r="F224" s="6">
        <v>3500000000</v>
      </c>
      <c r="G224" s="6">
        <v>4850011111</v>
      </c>
      <c r="H224">
        <v>393</v>
      </c>
      <c r="I224" t="s">
        <v>8155</v>
      </c>
    </row>
    <row r="225" spans="1:9" x14ac:dyDescent="0.25">
      <c r="A225" t="s">
        <v>74</v>
      </c>
      <c r="B225">
        <v>444</v>
      </c>
      <c r="C225" t="s">
        <v>3918</v>
      </c>
      <c r="D225" t="s">
        <v>3497</v>
      </c>
      <c r="E225">
        <v>48</v>
      </c>
      <c r="F225" s="6">
        <v>3450000000</v>
      </c>
      <c r="G225" s="6">
        <v>4240000000</v>
      </c>
      <c r="H225">
        <v>468</v>
      </c>
      <c r="I225" t="s">
        <v>8156</v>
      </c>
    </row>
    <row r="226" spans="1:9" x14ac:dyDescent="0.25">
      <c r="A226" t="s">
        <v>74</v>
      </c>
      <c r="B226">
        <v>454</v>
      </c>
      <c r="C226" t="s">
        <v>3913</v>
      </c>
      <c r="D226" t="s">
        <v>3242</v>
      </c>
      <c r="E226">
        <v>48</v>
      </c>
      <c r="F226" s="6">
        <v>3450000000</v>
      </c>
      <c r="G226" s="6">
        <v>4220001111</v>
      </c>
      <c r="H226">
        <v>478</v>
      </c>
      <c r="I226" t="s">
        <v>8157</v>
      </c>
    </row>
    <row r="227" spans="1:9" x14ac:dyDescent="0.25">
      <c r="A227" t="s">
        <v>74</v>
      </c>
      <c r="B227">
        <v>458</v>
      </c>
      <c r="C227" t="s">
        <v>3923</v>
      </c>
      <c r="D227" t="s">
        <v>3242</v>
      </c>
      <c r="E227">
        <v>48</v>
      </c>
      <c r="F227" s="6">
        <v>3450000000</v>
      </c>
      <c r="G227" s="6">
        <v>4001000000</v>
      </c>
      <c r="H227">
        <v>482</v>
      </c>
      <c r="I227" t="s">
        <v>8158</v>
      </c>
    </row>
    <row r="228" spans="1:9" x14ac:dyDescent="0.25">
      <c r="A228" t="s">
        <v>74</v>
      </c>
      <c r="B228">
        <v>102</v>
      </c>
      <c r="C228" t="s">
        <v>1218</v>
      </c>
      <c r="D228" t="s">
        <v>376</v>
      </c>
      <c r="E228">
        <v>47</v>
      </c>
      <c r="F228" s="6">
        <v>2000000000</v>
      </c>
      <c r="G228" s="6">
        <v>2170007890</v>
      </c>
      <c r="H228">
        <v>102</v>
      </c>
      <c r="I228" t="s">
        <v>8159</v>
      </c>
    </row>
    <row r="229" spans="1:9" x14ac:dyDescent="0.25">
      <c r="A229" t="s">
        <v>74</v>
      </c>
      <c r="B229">
        <v>118</v>
      </c>
      <c r="C229" t="s">
        <v>1324</v>
      </c>
      <c r="D229" t="s">
        <v>376</v>
      </c>
      <c r="E229">
        <v>47</v>
      </c>
      <c r="F229" s="6">
        <v>2000000000</v>
      </c>
      <c r="G229" s="6">
        <v>2126660000</v>
      </c>
      <c r="H229">
        <v>118</v>
      </c>
      <c r="I229" t="s">
        <v>8160</v>
      </c>
    </row>
    <row r="230" spans="1:9" x14ac:dyDescent="0.25">
      <c r="A230" t="s">
        <v>74</v>
      </c>
      <c r="B230">
        <v>149</v>
      </c>
      <c r="C230" t="s">
        <v>1223</v>
      </c>
      <c r="D230" t="s">
        <v>376</v>
      </c>
      <c r="E230">
        <v>47</v>
      </c>
      <c r="F230" s="6">
        <v>2000000000</v>
      </c>
      <c r="G230" s="6">
        <v>2181000000</v>
      </c>
      <c r="H230">
        <v>149</v>
      </c>
      <c r="I230" t="s">
        <v>8161</v>
      </c>
    </row>
    <row r="231" spans="1:9" x14ac:dyDescent="0.25">
      <c r="A231" t="s">
        <v>74</v>
      </c>
      <c r="B231">
        <v>210</v>
      </c>
      <c r="C231" t="s">
        <v>561</v>
      </c>
      <c r="D231" t="s">
        <v>376</v>
      </c>
      <c r="E231">
        <v>47</v>
      </c>
      <c r="F231" s="6">
        <v>1980000000</v>
      </c>
      <c r="G231" s="6">
        <v>2122999999</v>
      </c>
      <c r="H231">
        <v>210</v>
      </c>
      <c r="I231" t="s">
        <v>8162</v>
      </c>
    </row>
    <row r="232" spans="1:9" x14ac:dyDescent="0.25">
      <c r="A232" t="s">
        <v>74</v>
      </c>
      <c r="B232">
        <v>551</v>
      </c>
      <c r="C232" t="s">
        <v>3616</v>
      </c>
      <c r="D232" t="s">
        <v>191</v>
      </c>
      <c r="E232">
        <v>47</v>
      </c>
      <c r="F232" s="6">
        <v>3300000000</v>
      </c>
      <c r="G232" s="6">
        <v>3871200000</v>
      </c>
      <c r="H232">
        <v>588</v>
      </c>
      <c r="I232" t="s">
        <v>8163</v>
      </c>
    </row>
    <row r="233" spans="1:9" x14ac:dyDescent="0.25">
      <c r="A233" t="s">
        <v>74</v>
      </c>
      <c r="B233">
        <v>99</v>
      </c>
      <c r="C233" t="s">
        <v>1330</v>
      </c>
      <c r="D233" t="s">
        <v>376</v>
      </c>
      <c r="E233">
        <v>46</v>
      </c>
      <c r="F233" s="6">
        <v>2000000000</v>
      </c>
      <c r="G233" s="6">
        <v>2311111111</v>
      </c>
      <c r="H233">
        <v>99</v>
      </c>
      <c r="I233" t="s">
        <v>8164</v>
      </c>
    </row>
    <row r="234" spans="1:9" x14ac:dyDescent="0.25">
      <c r="A234" t="s">
        <v>74</v>
      </c>
      <c r="B234">
        <v>119</v>
      </c>
      <c r="C234" t="s">
        <v>1228</v>
      </c>
      <c r="D234" t="s">
        <v>376</v>
      </c>
      <c r="E234">
        <v>46</v>
      </c>
      <c r="F234" s="6">
        <v>2000000000</v>
      </c>
      <c r="G234" s="6">
        <v>2131000000</v>
      </c>
      <c r="H234">
        <v>119</v>
      </c>
      <c r="I234" t="s">
        <v>8165</v>
      </c>
    </row>
    <row r="235" spans="1:9" x14ac:dyDescent="0.25">
      <c r="A235" t="s">
        <v>74</v>
      </c>
      <c r="B235">
        <v>201</v>
      </c>
      <c r="C235" t="s">
        <v>1335</v>
      </c>
      <c r="D235" t="s">
        <v>376</v>
      </c>
      <c r="E235">
        <v>46</v>
      </c>
      <c r="F235" s="6">
        <v>2000000000</v>
      </c>
      <c r="G235" s="6">
        <v>2177000000</v>
      </c>
      <c r="H235">
        <v>201</v>
      </c>
      <c r="I235" t="s">
        <v>8166</v>
      </c>
    </row>
    <row r="236" spans="1:9" x14ac:dyDescent="0.25">
      <c r="A236" t="s">
        <v>74</v>
      </c>
      <c r="B236">
        <v>260</v>
      </c>
      <c r="C236" t="s">
        <v>4888</v>
      </c>
      <c r="D236" t="s">
        <v>8026</v>
      </c>
      <c r="E236">
        <v>46</v>
      </c>
      <c r="F236" s="6">
        <v>4070000000</v>
      </c>
      <c r="G236" s="6">
        <v>4767000000</v>
      </c>
      <c r="H236">
        <v>284</v>
      </c>
      <c r="I236" t="s">
        <v>8167</v>
      </c>
    </row>
    <row r="237" spans="1:9" x14ac:dyDescent="0.25">
      <c r="A237" t="s">
        <v>74</v>
      </c>
      <c r="B237">
        <v>315</v>
      </c>
      <c r="C237" t="s">
        <v>2661</v>
      </c>
      <c r="D237" t="s">
        <v>2416</v>
      </c>
      <c r="E237">
        <v>46</v>
      </c>
      <c r="F237" s="6">
        <v>2400000000</v>
      </c>
      <c r="G237" s="6">
        <v>2867799999</v>
      </c>
      <c r="H237">
        <v>339</v>
      </c>
      <c r="I237" t="s">
        <v>8168</v>
      </c>
    </row>
    <row r="238" spans="1:9" x14ac:dyDescent="0.25">
      <c r="A238" t="s">
        <v>74</v>
      </c>
      <c r="B238">
        <v>363</v>
      </c>
      <c r="C238" t="s">
        <v>5621</v>
      </c>
      <c r="D238" t="s">
        <v>5585</v>
      </c>
      <c r="E238">
        <v>46</v>
      </c>
      <c r="F238" s="6">
        <v>7650000000</v>
      </c>
      <c r="G238" s="6">
        <v>8821000000</v>
      </c>
      <c r="H238">
        <v>387</v>
      </c>
      <c r="I238" t="s">
        <v>8169</v>
      </c>
    </row>
    <row r="239" spans="1:9" x14ac:dyDescent="0.25">
      <c r="A239" t="s">
        <v>74</v>
      </c>
      <c r="B239">
        <v>475</v>
      </c>
      <c r="C239" t="s">
        <v>1340</v>
      </c>
      <c r="D239" t="s">
        <v>376</v>
      </c>
      <c r="E239">
        <v>46</v>
      </c>
      <c r="F239" s="6">
        <v>2000000000</v>
      </c>
      <c r="G239" s="6">
        <v>2210000000</v>
      </c>
      <c r="H239">
        <v>499</v>
      </c>
      <c r="I239" t="s">
        <v>8170</v>
      </c>
    </row>
    <row r="240" spans="1:9" x14ac:dyDescent="0.25">
      <c r="A240" t="s">
        <v>74</v>
      </c>
      <c r="B240">
        <v>476</v>
      </c>
      <c r="C240" t="s">
        <v>1233</v>
      </c>
      <c r="D240" t="s">
        <v>376</v>
      </c>
      <c r="E240">
        <v>46</v>
      </c>
      <c r="F240" s="6">
        <v>2000000000</v>
      </c>
      <c r="G240" s="6">
        <v>2250000000</v>
      </c>
      <c r="H240">
        <v>500</v>
      </c>
      <c r="I240" t="s">
        <v>8171</v>
      </c>
    </row>
    <row r="241" spans="1:9" x14ac:dyDescent="0.25">
      <c r="A241" t="s">
        <v>74</v>
      </c>
      <c r="B241">
        <v>57</v>
      </c>
      <c r="C241" t="s">
        <v>674</v>
      </c>
      <c r="D241" t="s">
        <v>376</v>
      </c>
      <c r="E241">
        <v>45</v>
      </c>
      <c r="F241" s="6">
        <v>2000000000</v>
      </c>
      <c r="G241" s="6">
        <v>2111999999</v>
      </c>
      <c r="H241">
        <v>57</v>
      </c>
      <c r="I241" t="s">
        <v>8172</v>
      </c>
    </row>
    <row r="242" spans="1:9" x14ac:dyDescent="0.25">
      <c r="A242" t="s">
        <v>74</v>
      </c>
      <c r="B242">
        <v>67</v>
      </c>
      <c r="C242" t="s">
        <v>733</v>
      </c>
      <c r="D242" t="s">
        <v>376</v>
      </c>
      <c r="E242">
        <v>45</v>
      </c>
      <c r="F242" s="6">
        <v>2000000000</v>
      </c>
      <c r="G242" s="6">
        <v>2200000000</v>
      </c>
      <c r="H242">
        <v>67</v>
      </c>
      <c r="I242" t="s">
        <v>8173</v>
      </c>
    </row>
    <row r="243" spans="1:9" x14ac:dyDescent="0.25">
      <c r="A243" t="s">
        <v>74</v>
      </c>
      <c r="B243">
        <v>72</v>
      </c>
      <c r="C243" t="s">
        <v>758</v>
      </c>
      <c r="D243" t="s">
        <v>376</v>
      </c>
      <c r="E243">
        <v>45</v>
      </c>
      <c r="F243" s="6">
        <v>2000000000</v>
      </c>
      <c r="G243" s="6">
        <v>2224999999</v>
      </c>
      <c r="H243">
        <v>72</v>
      </c>
      <c r="I243" t="s">
        <v>8174</v>
      </c>
    </row>
    <row r="244" spans="1:9" x14ac:dyDescent="0.25">
      <c r="A244" t="s">
        <v>74</v>
      </c>
      <c r="B244">
        <v>114</v>
      </c>
      <c r="C244" t="s">
        <v>1238</v>
      </c>
      <c r="D244" t="s">
        <v>376</v>
      </c>
      <c r="E244">
        <v>45</v>
      </c>
      <c r="F244" s="6">
        <v>2000000000</v>
      </c>
      <c r="G244" s="6">
        <v>2161616161</v>
      </c>
      <c r="H244">
        <v>114</v>
      </c>
      <c r="I244" t="s">
        <v>8175</v>
      </c>
    </row>
    <row r="245" spans="1:9" x14ac:dyDescent="0.25">
      <c r="A245" t="s">
        <v>74</v>
      </c>
      <c r="B245">
        <v>131</v>
      </c>
      <c r="C245" t="s">
        <v>567</v>
      </c>
      <c r="D245" t="s">
        <v>376</v>
      </c>
      <c r="E245">
        <v>45</v>
      </c>
      <c r="F245" s="6">
        <v>1980000000</v>
      </c>
      <c r="G245" s="6">
        <v>2212000000</v>
      </c>
      <c r="H245">
        <v>131</v>
      </c>
      <c r="I245" t="s">
        <v>8176</v>
      </c>
    </row>
    <row r="246" spans="1:9" x14ac:dyDescent="0.25">
      <c r="A246" t="s">
        <v>74</v>
      </c>
      <c r="B246">
        <v>198</v>
      </c>
      <c r="C246" t="s">
        <v>1243</v>
      </c>
      <c r="D246" t="s">
        <v>376</v>
      </c>
      <c r="E246">
        <v>45</v>
      </c>
      <c r="F246" s="6">
        <v>2000000000</v>
      </c>
      <c r="G246" s="6">
        <v>2179999999</v>
      </c>
      <c r="H246">
        <v>198</v>
      </c>
      <c r="I246" t="s">
        <v>8177</v>
      </c>
    </row>
    <row r="247" spans="1:9" x14ac:dyDescent="0.25">
      <c r="A247" t="s">
        <v>74</v>
      </c>
      <c r="B247">
        <v>209</v>
      </c>
      <c r="C247" t="s">
        <v>573</v>
      </c>
      <c r="D247" t="s">
        <v>376</v>
      </c>
      <c r="E247">
        <v>45</v>
      </c>
      <c r="F247" s="6">
        <v>1980000000</v>
      </c>
      <c r="G247" s="6">
        <v>2100000000</v>
      </c>
      <c r="H247">
        <v>209</v>
      </c>
      <c r="I247" t="s">
        <v>8178</v>
      </c>
    </row>
    <row r="248" spans="1:9" x14ac:dyDescent="0.25">
      <c r="A248" t="s">
        <v>74</v>
      </c>
      <c r="B248">
        <v>216</v>
      </c>
      <c r="C248" t="s">
        <v>473</v>
      </c>
      <c r="D248" t="s">
        <v>376</v>
      </c>
      <c r="E248">
        <v>45</v>
      </c>
      <c r="F248" s="6">
        <v>1950000000</v>
      </c>
      <c r="G248" s="6">
        <v>2120055110</v>
      </c>
      <c r="H248">
        <v>232</v>
      </c>
      <c r="I248" t="s">
        <v>8179</v>
      </c>
    </row>
    <row r="249" spans="1:9" x14ac:dyDescent="0.25">
      <c r="A249" t="s">
        <v>74</v>
      </c>
      <c r="B249">
        <v>249</v>
      </c>
      <c r="C249" t="s">
        <v>4855</v>
      </c>
      <c r="D249" t="s">
        <v>8026</v>
      </c>
      <c r="E249">
        <v>45</v>
      </c>
      <c r="F249" s="6">
        <v>4050000000</v>
      </c>
      <c r="G249" s="6">
        <v>4760000000</v>
      </c>
      <c r="H249">
        <v>273</v>
      </c>
      <c r="I249" t="s">
        <v>8180</v>
      </c>
    </row>
    <row r="250" spans="1:9" x14ac:dyDescent="0.25">
      <c r="A250" t="s">
        <v>74</v>
      </c>
      <c r="B250">
        <v>278</v>
      </c>
      <c r="C250" t="s">
        <v>4647</v>
      </c>
      <c r="D250" t="s">
        <v>8026</v>
      </c>
      <c r="E250">
        <v>45</v>
      </c>
      <c r="F250" s="6">
        <v>3900000000</v>
      </c>
      <c r="G250" s="6">
        <v>4910000000</v>
      </c>
      <c r="H250">
        <v>302</v>
      </c>
      <c r="I250" t="s">
        <v>8181</v>
      </c>
    </row>
    <row r="251" spans="1:9" x14ac:dyDescent="0.25">
      <c r="A251" t="s">
        <v>74</v>
      </c>
      <c r="B251">
        <v>336</v>
      </c>
      <c r="C251" t="s">
        <v>2882</v>
      </c>
      <c r="D251" t="s">
        <v>2476</v>
      </c>
      <c r="E251">
        <v>45</v>
      </c>
      <c r="F251" s="6">
        <v>2500000000</v>
      </c>
      <c r="G251" s="6">
        <v>3030000000</v>
      </c>
      <c r="H251">
        <v>360</v>
      </c>
      <c r="I251" t="s">
        <v>8182</v>
      </c>
    </row>
    <row r="252" spans="1:9" x14ac:dyDescent="0.25">
      <c r="A252" t="s">
        <v>74</v>
      </c>
      <c r="B252">
        <v>404</v>
      </c>
      <c r="C252" t="s">
        <v>5305</v>
      </c>
      <c r="D252" t="s">
        <v>8183</v>
      </c>
      <c r="E252">
        <v>45</v>
      </c>
      <c r="F252" s="6">
        <v>4950000000</v>
      </c>
      <c r="G252" s="6">
        <v>5735005555</v>
      </c>
      <c r="H252">
        <v>428</v>
      </c>
      <c r="I252" t="s">
        <v>8184</v>
      </c>
    </row>
    <row r="253" spans="1:9" x14ac:dyDescent="0.25">
      <c r="A253" t="s">
        <v>74</v>
      </c>
      <c r="B253">
        <v>451</v>
      </c>
      <c r="C253" t="s">
        <v>3940</v>
      </c>
      <c r="D253" t="s">
        <v>3497</v>
      </c>
      <c r="E253">
        <v>45</v>
      </c>
      <c r="F253" s="6">
        <v>3480000000</v>
      </c>
      <c r="G253" s="6">
        <v>4775000000</v>
      </c>
      <c r="H253">
        <v>475</v>
      </c>
      <c r="I253" t="s">
        <v>8185</v>
      </c>
    </row>
    <row r="254" spans="1:9" x14ac:dyDescent="0.25">
      <c r="A254" t="s">
        <v>74</v>
      </c>
      <c r="B254">
        <v>574</v>
      </c>
      <c r="C254" t="s">
        <v>4215</v>
      </c>
      <c r="D254" t="s">
        <v>3210</v>
      </c>
      <c r="E254">
        <v>45</v>
      </c>
      <c r="F254" s="6">
        <v>3500000000</v>
      </c>
      <c r="G254" s="6">
        <v>4335000000</v>
      </c>
      <c r="H254">
        <v>611</v>
      </c>
      <c r="I254" t="s">
        <v>8186</v>
      </c>
    </row>
    <row r="255" spans="1:9" x14ac:dyDescent="0.25">
      <c r="A255" t="s">
        <v>74</v>
      </c>
      <c r="B255">
        <v>106</v>
      </c>
      <c r="C255" t="s">
        <v>1346</v>
      </c>
      <c r="D255" t="s">
        <v>376</v>
      </c>
      <c r="E255">
        <v>44</v>
      </c>
      <c r="F255" s="6">
        <v>2000000000</v>
      </c>
      <c r="G255" s="6">
        <v>2288888898</v>
      </c>
      <c r="H255">
        <v>106</v>
      </c>
      <c r="I255" t="s">
        <v>8187</v>
      </c>
    </row>
    <row r="256" spans="1:9" x14ac:dyDescent="0.25">
      <c r="A256" t="s">
        <v>74</v>
      </c>
      <c r="B256">
        <v>148</v>
      </c>
      <c r="C256" t="s">
        <v>1248</v>
      </c>
      <c r="D256" t="s">
        <v>376</v>
      </c>
      <c r="E256">
        <v>44</v>
      </c>
      <c r="F256" s="6">
        <v>2000000000</v>
      </c>
      <c r="G256" s="6">
        <v>2222000000</v>
      </c>
      <c r="H256">
        <v>148</v>
      </c>
      <c r="I256" t="s">
        <v>8188</v>
      </c>
    </row>
    <row r="257" spans="1:9" x14ac:dyDescent="0.25">
      <c r="A257" t="s">
        <v>74</v>
      </c>
      <c r="B257">
        <v>296</v>
      </c>
      <c r="C257" t="s">
        <v>4498</v>
      </c>
      <c r="D257" t="s">
        <v>8026</v>
      </c>
      <c r="E257">
        <v>44</v>
      </c>
      <c r="F257" s="6">
        <v>3800000000</v>
      </c>
      <c r="G257" s="6">
        <v>4463335551</v>
      </c>
      <c r="H257">
        <v>320</v>
      </c>
      <c r="I257" t="s">
        <v>8189</v>
      </c>
    </row>
    <row r="258" spans="1:9" x14ac:dyDescent="0.25">
      <c r="A258" t="s">
        <v>74</v>
      </c>
      <c r="B258">
        <v>305</v>
      </c>
      <c r="C258" t="s">
        <v>4650</v>
      </c>
      <c r="D258" t="s">
        <v>8026</v>
      </c>
      <c r="E258">
        <v>44</v>
      </c>
      <c r="F258" s="6">
        <v>3900000000</v>
      </c>
      <c r="G258" s="6">
        <v>4897979000</v>
      </c>
      <c r="H258">
        <v>329</v>
      </c>
      <c r="I258" t="s">
        <v>8190</v>
      </c>
    </row>
    <row r="259" spans="1:9" x14ac:dyDescent="0.25">
      <c r="A259" t="s">
        <v>74</v>
      </c>
      <c r="B259">
        <v>341</v>
      </c>
      <c r="C259" t="s">
        <v>3385</v>
      </c>
      <c r="D259" t="s">
        <v>404</v>
      </c>
      <c r="E259">
        <v>44</v>
      </c>
      <c r="F259" s="6">
        <v>3050000000</v>
      </c>
      <c r="G259" s="6">
        <v>3550000000</v>
      </c>
      <c r="H259">
        <v>365</v>
      </c>
      <c r="I259" t="s">
        <v>8191</v>
      </c>
    </row>
    <row r="260" spans="1:9" x14ac:dyDescent="0.25">
      <c r="A260" t="s">
        <v>74</v>
      </c>
      <c r="B260">
        <v>473</v>
      </c>
      <c r="C260" t="s">
        <v>1253</v>
      </c>
      <c r="D260" t="s">
        <v>376</v>
      </c>
      <c r="E260">
        <v>44</v>
      </c>
      <c r="F260" s="6">
        <v>2000000000</v>
      </c>
      <c r="G260" s="6">
        <v>2122999999</v>
      </c>
      <c r="H260">
        <v>497</v>
      </c>
      <c r="I260" t="s">
        <v>8192</v>
      </c>
    </row>
    <row r="261" spans="1:9" x14ac:dyDescent="0.25">
      <c r="A261" t="s">
        <v>74</v>
      </c>
      <c r="B261">
        <v>509</v>
      </c>
      <c r="C261" t="s">
        <v>2742</v>
      </c>
      <c r="D261" t="s">
        <v>2706</v>
      </c>
      <c r="E261">
        <v>44</v>
      </c>
      <c r="F261" s="6">
        <v>2450000000</v>
      </c>
      <c r="G261" s="6">
        <v>2809999990</v>
      </c>
      <c r="H261">
        <v>546</v>
      </c>
      <c r="I261" t="s">
        <v>8193</v>
      </c>
    </row>
    <row r="262" spans="1:9" x14ac:dyDescent="0.25">
      <c r="A262" t="s">
        <v>74</v>
      </c>
      <c r="B262">
        <v>134</v>
      </c>
      <c r="C262" t="s">
        <v>609</v>
      </c>
      <c r="D262" t="s">
        <v>376</v>
      </c>
      <c r="E262">
        <v>43</v>
      </c>
      <c r="F262" s="6">
        <v>2000000000</v>
      </c>
      <c r="G262" s="6">
        <v>2222000000</v>
      </c>
      <c r="H262">
        <v>134</v>
      </c>
      <c r="I262" t="s">
        <v>8194</v>
      </c>
    </row>
    <row r="263" spans="1:9" x14ac:dyDescent="0.25">
      <c r="A263" t="s">
        <v>74</v>
      </c>
      <c r="B263">
        <v>179</v>
      </c>
      <c r="C263" t="s">
        <v>1351</v>
      </c>
      <c r="D263" t="s">
        <v>376</v>
      </c>
      <c r="E263">
        <v>43</v>
      </c>
      <c r="F263" s="6">
        <v>2000000000</v>
      </c>
      <c r="G263" s="6">
        <v>2056099999</v>
      </c>
      <c r="H263">
        <v>179</v>
      </c>
      <c r="I263" t="s">
        <v>8195</v>
      </c>
    </row>
    <row r="264" spans="1:9" x14ac:dyDescent="0.25">
      <c r="A264" t="s">
        <v>74</v>
      </c>
      <c r="B264">
        <v>180</v>
      </c>
      <c r="C264" t="s">
        <v>1258</v>
      </c>
      <c r="D264" t="s">
        <v>376</v>
      </c>
      <c r="E264">
        <v>43</v>
      </c>
      <c r="F264" s="6">
        <v>2000000000</v>
      </c>
      <c r="G264" s="6">
        <v>2157999000</v>
      </c>
      <c r="H264">
        <v>180</v>
      </c>
      <c r="I264" t="s">
        <v>8196</v>
      </c>
    </row>
    <row r="265" spans="1:9" x14ac:dyDescent="0.25">
      <c r="A265" t="s">
        <v>74</v>
      </c>
      <c r="B265">
        <v>182</v>
      </c>
      <c r="C265" t="s">
        <v>579</v>
      </c>
      <c r="D265" t="s">
        <v>376</v>
      </c>
      <c r="E265">
        <v>43</v>
      </c>
      <c r="F265" s="6">
        <v>1980000000</v>
      </c>
      <c r="G265" s="6">
        <v>2035500000</v>
      </c>
      <c r="H265">
        <v>182</v>
      </c>
      <c r="I265" t="s">
        <v>8197</v>
      </c>
    </row>
    <row r="266" spans="1:9" x14ac:dyDescent="0.25">
      <c r="A266" t="s">
        <v>74</v>
      </c>
      <c r="B266">
        <v>289</v>
      </c>
      <c r="C266" t="s">
        <v>4654</v>
      </c>
      <c r="D266" t="s">
        <v>8035</v>
      </c>
      <c r="E266">
        <v>43</v>
      </c>
      <c r="F266" s="6">
        <v>3900000000</v>
      </c>
      <c r="G266" s="6">
        <v>4858756000</v>
      </c>
      <c r="H266">
        <v>313</v>
      </c>
      <c r="I266" t="s">
        <v>8198</v>
      </c>
    </row>
    <row r="267" spans="1:9" x14ac:dyDescent="0.25">
      <c r="A267" t="s">
        <v>74</v>
      </c>
      <c r="B267">
        <v>376</v>
      </c>
      <c r="C267" t="s">
        <v>2603</v>
      </c>
      <c r="D267" t="s">
        <v>316</v>
      </c>
      <c r="E267">
        <v>43</v>
      </c>
      <c r="F267" s="6">
        <v>2370000000</v>
      </c>
      <c r="G267" s="6">
        <v>2956666666</v>
      </c>
      <c r="H267">
        <v>400</v>
      </c>
      <c r="I267" t="s">
        <v>8199</v>
      </c>
    </row>
    <row r="268" spans="1:9" x14ac:dyDescent="0.25">
      <c r="A268" t="s">
        <v>74</v>
      </c>
      <c r="B268">
        <v>421</v>
      </c>
      <c r="C268" t="s">
        <v>2877</v>
      </c>
      <c r="D268" t="s">
        <v>325</v>
      </c>
      <c r="E268">
        <v>43</v>
      </c>
      <c r="F268" s="6">
        <v>2500000000</v>
      </c>
      <c r="G268" s="6">
        <v>3028999999</v>
      </c>
      <c r="H268">
        <v>445</v>
      </c>
      <c r="I268" t="s">
        <v>8200</v>
      </c>
    </row>
    <row r="269" spans="1:9" x14ac:dyDescent="0.25">
      <c r="A269" t="s">
        <v>74</v>
      </c>
      <c r="B269">
        <v>430</v>
      </c>
      <c r="C269" t="s">
        <v>4859</v>
      </c>
      <c r="D269" t="s">
        <v>8026</v>
      </c>
      <c r="E269">
        <v>43</v>
      </c>
      <c r="F269" s="6">
        <v>4050000000</v>
      </c>
      <c r="G269" s="6">
        <v>4539999999</v>
      </c>
      <c r="H269">
        <v>454</v>
      </c>
      <c r="I269" t="s">
        <v>8201</v>
      </c>
    </row>
    <row r="270" spans="1:9" x14ac:dyDescent="0.25">
      <c r="A270" t="s">
        <v>74</v>
      </c>
      <c r="B270">
        <v>449</v>
      </c>
      <c r="C270" t="s">
        <v>4220</v>
      </c>
      <c r="D270" t="s">
        <v>3242</v>
      </c>
      <c r="E270">
        <v>43</v>
      </c>
      <c r="F270" s="6">
        <v>3500000000</v>
      </c>
      <c r="G270" s="6">
        <v>4175000000</v>
      </c>
      <c r="H270">
        <v>473</v>
      </c>
      <c r="I270" t="s">
        <v>8202</v>
      </c>
    </row>
    <row r="271" spans="1:9" x14ac:dyDescent="0.25">
      <c r="A271" t="s">
        <v>74</v>
      </c>
      <c r="B271">
        <v>450</v>
      </c>
      <c r="C271" t="s">
        <v>4225</v>
      </c>
      <c r="D271" t="s">
        <v>3497</v>
      </c>
      <c r="E271">
        <v>43</v>
      </c>
      <c r="F271" s="6">
        <v>3500000000</v>
      </c>
      <c r="G271" s="6">
        <v>4219999999</v>
      </c>
      <c r="H271">
        <v>474</v>
      </c>
      <c r="I271" t="s">
        <v>8203</v>
      </c>
    </row>
    <row r="272" spans="1:9" x14ac:dyDescent="0.25">
      <c r="A272" t="s">
        <v>74</v>
      </c>
      <c r="B272">
        <v>79</v>
      </c>
      <c r="C272" t="s">
        <v>1263</v>
      </c>
      <c r="D272" t="s">
        <v>376</v>
      </c>
      <c r="E272">
        <v>42</v>
      </c>
      <c r="F272" s="6">
        <v>2000000000</v>
      </c>
      <c r="G272" s="6">
        <v>2129298929</v>
      </c>
      <c r="H272">
        <v>79</v>
      </c>
      <c r="I272" t="s">
        <v>8204</v>
      </c>
    </row>
    <row r="273" spans="1:9" x14ac:dyDescent="0.25">
      <c r="A273" t="s">
        <v>74</v>
      </c>
      <c r="B273">
        <v>82</v>
      </c>
      <c r="C273" t="s">
        <v>1357</v>
      </c>
      <c r="D273" t="s">
        <v>376</v>
      </c>
      <c r="E273">
        <v>42</v>
      </c>
      <c r="F273" s="6">
        <v>2000000000</v>
      </c>
      <c r="G273" s="6">
        <v>2202000000</v>
      </c>
      <c r="H273">
        <v>82</v>
      </c>
      <c r="I273" t="s">
        <v>8205</v>
      </c>
    </row>
    <row r="274" spans="1:9" x14ac:dyDescent="0.25">
      <c r="A274" t="s">
        <v>74</v>
      </c>
      <c r="B274">
        <v>92</v>
      </c>
      <c r="C274" t="s">
        <v>1268</v>
      </c>
      <c r="D274" t="s">
        <v>376</v>
      </c>
      <c r="E274">
        <v>42</v>
      </c>
      <c r="F274" s="6">
        <v>2000000000</v>
      </c>
      <c r="G274" s="6">
        <v>2250000999</v>
      </c>
      <c r="H274">
        <v>92</v>
      </c>
      <c r="I274" t="s">
        <v>8206</v>
      </c>
    </row>
    <row r="275" spans="1:9" x14ac:dyDescent="0.25">
      <c r="A275" t="s">
        <v>74</v>
      </c>
      <c r="B275">
        <v>96</v>
      </c>
      <c r="C275" t="s">
        <v>1362</v>
      </c>
      <c r="D275" t="s">
        <v>376</v>
      </c>
      <c r="E275">
        <v>42</v>
      </c>
      <c r="F275" s="6">
        <v>2000000000</v>
      </c>
      <c r="G275" s="6">
        <v>2220000000</v>
      </c>
      <c r="H275">
        <v>96</v>
      </c>
      <c r="I275" t="s">
        <v>8207</v>
      </c>
    </row>
    <row r="276" spans="1:9" x14ac:dyDescent="0.25">
      <c r="A276" t="s">
        <v>74</v>
      </c>
      <c r="B276">
        <v>101</v>
      </c>
      <c r="C276" t="s">
        <v>1273</v>
      </c>
      <c r="D276" t="s">
        <v>376</v>
      </c>
      <c r="E276">
        <v>42</v>
      </c>
      <c r="F276" s="6">
        <v>2000000000</v>
      </c>
      <c r="G276" s="6">
        <v>2108785000</v>
      </c>
      <c r="H276">
        <v>101</v>
      </c>
      <c r="I276" t="s">
        <v>8208</v>
      </c>
    </row>
    <row r="277" spans="1:9" x14ac:dyDescent="0.25">
      <c r="A277" t="s">
        <v>74</v>
      </c>
      <c r="B277">
        <v>117</v>
      </c>
      <c r="C277" t="s">
        <v>1367</v>
      </c>
      <c r="D277" t="s">
        <v>376</v>
      </c>
      <c r="E277">
        <v>42</v>
      </c>
      <c r="F277" s="6">
        <v>2000000000</v>
      </c>
      <c r="G277" s="6">
        <v>2150000000</v>
      </c>
      <c r="H277">
        <v>117</v>
      </c>
      <c r="I277" t="s">
        <v>8209</v>
      </c>
    </row>
    <row r="278" spans="1:9" x14ac:dyDescent="0.25">
      <c r="A278" t="s">
        <v>74</v>
      </c>
      <c r="B278">
        <v>121</v>
      </c>
      <c r="C278" t="s">
        <v>1278</v>
      </c>
      <c r="D278" t="s">
        <v>376</v>
      </c>
      <c r="E278">
        <v>42</v>
      </c>
      <c r="F278" s="6">
        <v>2000000000</v>
      </c>
      <c r="G278" s="6">
        <v>2235000000</v>
      </c>
      <c r="H278">
        <v>121</v>
      </c>
      <c r="I278" t="s">
        <v>8210</v>
      </c>
    </row>
    <row r="279" spans="1:9" x14ac:dyDescent="0.25">
      <c r="A279" t="s">
        <v>74</v>
      </c>
      <c r="B279">
        <v>144</v>
      </c>
      <c r="C279" t="s">
        <v>1372</v>
      </c>
      <c r="D279" t="s">
        <v>376</v>
      </c>
      <c r="E279">
        <v>42</v>
      </c>
      <c r="F279" s="6">
        <v>2000000000</v>
      </c>
      <c r="G279" s="6">
        <v>2150000000</v>
      </c>
      <c r="H279">
        <v>144</v>
      </c>
      <c r="I279" t="s">
        <v>8211</v>
      </c>
    </row>
    <row r="280" spans="1:9" x14ac:dyDescent="0.25">
      <c r="A280" t="s">
        <v>74</v>
      </c>
      <c r="B280">
        <v>158</v>
      </c>
      <c r="C280" t="s">
        <v>1282</v>
      </c>
      <c r="D280" t="s">
        <v>376</v>
      </c>
      <c r="E280">
        <v>42</v>
      </c>
      <c r="F280" s="6">
        <v>2000000000</v>
      </c>
      <c r="G280" s="6">
        <v>2222222222</v>
      </c>
      <c r="H280">
        <v>158</v>
      </c>
      <c r="I280" t="s">
        <v>8212</v>
      </c>
    </row>
    <row r="281" spans="1:9" x14ac:dyDescent="0.25">
      <c r="A281" t="s">
        <v>74</v>
      </c>
      <c r="B281">
        <v>176</v>
      </c>
      <c r="C281" t="s">
        <v>1377</v>
      </c>
      <c r="D281" t="s">
        <v>376</v>
      </c>
      <c r="E281">
        <v>42</v>
      </c>
      <c r="F281" s="6">
        <v>2000000000</v>
      </c>
      <c r="G281" s="6">
        <v>2169999999</v>
      </c>
      <c r="H281">
        <v>176</v>
      </c>
      <c r="I281" t="s">
        <v>8213</v>
      </c>
    </row>
    <row r="282" spans="1:9" x14ac:dyDescent="0.25">
      <c r="A282" t="s">
        <v>74</v>
      </c>
      <c r="B282">
        <v>191</v>
      </c>
      <c r="C282" t="s">
        <v>555</v>
      </c>
      <c r="D282" t="s">
        <v>376</v>
      </c>
      <c r="E282">
        <v>42</v>
      </c>
      <c r="F282" s="6">
        <v>1980000000</v>
      </c>
      <c r="G282" s="6">
        <v>2067990000</v>
      </c>
      <c r="H282">
        <v>191</v>
      </c>
      <c r="I282" t="s">
        <v>8214</v>
      </c>
    </row>
    <row r="283" spans="1:9" x14ac:dyDescent="0.25">
      <c r="A283" t="s">
        <v>74</v>
      </c>
      <c r="B283">
        <v>215</v>
      </c>
      <c r="C283" t="s">
        <v>479</v>
      </c>
      <c r="D283" t="s">
        <v>376</v>
      </c>
      <c r="E283">
        <v>42</v>
      </c>
      <c r="F283" s="6">
        <v>1950000000</v>
      </c>
      <c r="G283" s="6">
        <v>2188660000</v>
      </c>
      <c r="H283">
        <v>231</v>
      </c>
      <c r="I283" t="s">
        <v>8215</v>
      </c>
    </row>
    <row r="284" spans="1:9" x14ac:dyDescent="0.25">
      <c r="A284" t="s">
        <v>74</v>
      </c>
      <c r="B284">
        <v>282</v>
      </c>
      <c r="C284" t="s">
        <v>4559</v>
      </c>
      <c r="D284" t="s">
        <v>8035</v>
      </c>
      <c r="E284">
        <v>42</v>
      </c>
      <c r="F284" s="6">
        <v>3870000000</v>
      </c>
      <c r="G284" s="6">
        <v>5019999999</v>
      </c>
      <c r="H284">
        <v>306</v>
      </c>
      <c r="I284" t="s">
        <v>8216</v>
      </c>
    </row>
    <row r="285" spans="1:9" x14ac:dyDescent="0.25">
      <c r="A285" t="s">
        <v>74</v>
      </c>
      <c r="B285">
        <v>284</v>
      </c>
      <c r="C285" t="s">
        <v>4546</v>
      </c>
      <c r="D285" t="s">
        <v>8035</v>
      </c>
      <c r="E285">
        <v>42</v>
      </c>
      <c r="F285" s="6">
        <v>3850000000</v>
      </c>
      <c r="G285" s="6">
        <v>4401099999</v>
      </c>
      <c r="H285">
        <v>308</v>
      </c>
      <c r="I285" t="s">
        <v>8217</v>
      </c>
    </row>
    <row r="286" spans="1:9" x14ac:dyDescent="0.25">
      <c r="A286" t="s">
        <v>74</v>
      </c>
      <c r="B286">
        <v>346</v>
      </c>
      <c r="C286" t="s">
        <v>3328</v>
      </c>
      <c r="D286" t="s">
        <v>3327</v>
      </c>
      <c r="E286">
        <v>42</v>
      </c>
      <c r="F286" s="6">
        <v>3000000000</v>
      </c>
      <c r="G286" s="6">
        <v>3680000000</v>
      </c>
      <c r="H286">
        <v>370</v>
      </c>
      <c r="I286" t="s">
        <v>8218</v>
      </c>
    </row>
    <row r="287" spans="1:9" x14ac:dyDescent="0.25">
      <c r="A287" t="s">
        <v>74</v>
      </c>
      <c r="B287">
        <v>471</v>
      </c>
      <c r="C287" t="s">
        <v>1382</v>
      </c>
      <c r="D287" t="s">
        <v>376</v>
      </c>
      <c r="E287">
        <v>42</v>
      </c>
      <c r="F287" s="6">
        <v>2000000000</v>
      </c>
      <c r="G287" s="6">
        <v>2220000000</v>
      </c>
      <c r="H287">
        <v>495</v>
      </c>
      <c r="I287" t="s">
        <v>8219</v>
      </c>
    </row>
    <row r="288" spans="1:9" x14ac:dyDescent="0.25">
      <c r="A288" t="s">
        <v>74</v>
      </c>
      <c r="B288">
        <v>474</v>
      </c>
      <c r="C288" t="s">
        <v>1287</v>
      </c>
      <c r="D288" t="s">
        <v>376</v>
      </c>
      <c r="E288">
        <v>42</v>
      </c>
      <c r="F288" s="6">
        <v>2000000000</v>
      </c>
      <c r="G288" s="6">
        <v>2177440001</v>
      </c>
      <c r="H288">
        <v>498</v>
      </c>
      <c r="I288" t="s">
        <v>8220</v>
      </c>
    </row>
    <row r="289" spans="1:9" x14ac:dyDescent="0.25">
      <c r="A289" t="s">
        <v>74</v>
      </c>
      <c r="B289">
        <v>617</v>
      </c>
      <c r="C289" t="s">
        <v>4230</v>
      </c>
      <c r="D289" t="s">
        <v>3210</v>
      </c>
      <c r="E289">
        <v>42</v>
      </c>
      <c r="F289" s="6">
        <v>3500000000</v>
      </c>
      <c r="G289" s="6">
        <v>4300000000</v>
      </c>
      <c r="H289">
        <v>654</v>
      </c>
      <c r="I289" t="s">
        <v>8221</v>
      </c>
    </row>
    <row r="290" spans="1:9" x14ac:dyDescent="0.25">
      <c r="A290" t="s">
        <v>74</v>
      </c>
      <c r="B290">
        <v>100</v>
      </c>
      <c r="C290" t="s">
        <v>1293</v>
      </c>
      <c r="D290" t="s">
        <v>376</v>
      </c>
      <c r="E290">
        <v>41</v>
      </c>
      <c r="F290" s="6">
        <v>2000000000</v>
      </c>
      <c r="G290" s="6">
        <v>2301111111</v>
      </c>
      <c r="H290">
        <v>100</v>
      </c>
      <c r="I290" t="s">
        <v>8222</v>
      </c>
    </row>
    <row r="291" spans="1:9" x14ac:dyDescent="0.25">
      <c r="A291" t="s">
        <v>74</v>
      </c>
      <c r="B291">
        <v>116</v>
      </c>
      <c r="C291" t="s">
        <v>1387</v>
      </c>
      <c r="D291" t="s">
        <v>376</v>
      </c>
      <c r="E291">
        <v>41</v>
      </c>
      <c r="F291" s="6">
        <v>2000000000</v>
      </c>
      <c r="G291" s="6">
        <v>2126660000</v>
      </c>
      <c r="H291">
        <v>116</v>
      </c>
      <c r="I291" t="s">
        <v>8223</v>
      </c>
    </row>
    <row r="292" spans="1:9" x14ac:dyDescent="0.25">
      <c r="A292" t="s">
        <v>74</v>
      </c>
      <c r="B292">
        <v>122</v>
      </c>
      <c r="C292" t="s">
        <v>1298</v>
      </c>
      <c r="D292" t="s">
        <v>376</v>
      </c>
      <c r="E292">
        <v>41</v>
      </c>
      <c r="F292" s="6">
        <v>2000000000</v>
      </c>
      <c r="G292" s="6">
        <v>2106000000</v>
      </c>
      <c r="H292">
        <v>122</v>
      </c>
      <c r="I292" t="s">
        <v>8224</v>
      </c>
    </row>
    <row r="293" spans="1:9" x14ac:dyDescent="0.25">
      <c r="A293" t="s">
        <v>74</v>
      </c>
      <c r="B293">
        <v>129</v>
      </c>
      <c r="C293" t="s">
        <v>1392</v>
      </c>
      <c r="D293" t="s">
        <v>376</v>
      </c>
      <c r="E293">
        <v>41</v>
      </c>
      <c r="F293" s="6">
        <v>2000000000</v>
      </c>
      <c r="G293" s="6">
        <v>2266600000</v>
      </c>
      <c r="H293">
        <v>129</v>
      </c>
      <c r="I293" t="s">
        <v>8225</v>
      </c>
    </row>
    <row r="294" spans="1:9" x14ac:dyDescent="0.25">
      <c r="A294" t="s">
        <v>74</v>
      </c>
      <c r="B294">
        <v>189</v>
      </c>
      <c r="C294" t="s">
        <v>520</v>
      </c>
      <c r="D294" t="s">
        <v>376</v>
      </c>
      <c r="E294">
        <v>41</v>
      </c>
      <c r="F294" s="6">
        <v>1970000000</v>
      </c>
      <c r="G294" s="6">
        <v>2109999000</v>
      </c>
      <c r="H294">
        <v>189</v>
      </c>
      <c r="I294" t="s">
        <v>8226</v>
      </c>
    </row>
    <row r="295" spans="1:9" x14ac:dyDescent="0.25">
      <c r="A295" t="s">
        <v>74</v>
      </c>
      <c r="B295">
        <v>206</v>
      </c>
      <c r="C295" t="s">
        <v>484</v>
      </c>
      <c r="D295" t="s">
        <v>376</v>
      </c>
      <c r="E295">
        <v>41</v>
      </c>
      <c r="F295" s="6">
        <v>1950000000</v>
      </c>
      <c r="G295" s="6">
        <v>2389451545</v>
      </c>
      <c r="H295">
        <v>206</v>
      </c>
      <c r="I295" t="s">
        <v>8227</v>
      </c>
    </row>
    <row r="296" spans="1:9" x14ac:dyDescent="0.25">
      <c r="A296" t="s">
        <v>74</v>
      </c>
      <c r="B296">
        <v>256</v>
      </c>
      <c r="C296" t="s">
        <v>4948</v>
      </c>
      <c r="D296" t="s">
        <v>8026</v>
      </c>
      <c r="E296">
        <v>41</v>
      </c>
      <c r="F296" s="6">
        <v>4100000000</v>
      </c>
      <c r="G296" s="6">
        <v>4759999999</v>
      </c>
      <c r="H296">
        <v>280</v>
      </c>
      <c r="I296" t="s">
        <v>8228</v>
      </c>
    </row>
    <row r="297" spans="1:9" x14ac:dyDescent="0.25">
      <c r="A297" t="s">
        <v>74</v>
      </c>
      <c r="B297">
        <v>322</v>
      </c>
      <c r="C297" t="s">
        <v>3145</v>
      </c>
      <c r="D297" t="s">
        <v>2476</v>
      </c>
      <c r="E297">
        <v>41</v>
      </c>
      <c r="F297" s="6">
        <v>2700000000</v>
      </c>
      <c r="G297" s="6">
        <v>3310021000</v>
      </c>
      <c r="H297">
        <v>346</v>
      </c>
      <c r="I297" t="s">
        <v>8229</v>
      </c>
    </row>
    <row r="298" spans="1:9" x14ac:dyDescent="0.25">
      <c r="A298" t="s">
        <v>74</v>
      </c>
      <c r="B298">
        <v>338</v>
      </c>
      <c r="C298" t="s">
        <v>4398</v>
      </c>
      <c r="D298" t="s">
        <v>4397</v>
      </c>
      <c r="E298">
        <v>41</v>
      </c>
      <c r="F298" s="6">
        <v>3600000000</v>
      </c>
      <c r="G298" s="6">
        <v>4580000000</v>
      </c>
      <c r="H298">
        <v>362</v>
      </c>
      <c r="I298" t="s">
        <v>8230</v>
      </c>
    </row>
    <row r="299" spans="1:9" x14ac:dyDescent="0.25">
      <c r="A299" t="s">
        <v>74</v>
      </c>
      <c r="B299">
        <v>466</v>
      </c>
      <c r="C299" t="s">
        <v>3333</v>
      </c>
      <c r="D299" t="s">
        <v>3242</v>
      </c>
      <c r="E299">
        <v>41</v>
      </c>
      <c r="F299" s="6">
        <v>3000000000</v>
      </c>
      <c r="G299" s="6">
        <v>3732900000</v>
      </c>
      <c r="H299">
        <v>490</v>
      </c>
      <c r="I299" t="s">
        <v>8231</v>
      </c>
    </row>
    <row r="300" spans="1:9" x14ac:dyDescent="0.25">
      <c r="A300" t="s">
        <v>74</v>
      </c>
      <c r="B300">
        <v>62</v>
      </c>
      <c r="C300" t="s">
        <v>699</v>
      </c>
      <c r="D300" t="s">
        <v>376</v>
      </c>
      <c r="E300">
        <v>40</v>
      </c>
      <c r="F300" s="6">
        <v>2000000000</v>
      </c>
      <c r="G300" s="6">
        <v>2167689229</v>
      </c>
      <c r="H300">
        <v>62</v>
      </c>
      <c r="I300" t="s">
        <v>8232</v>
      </c>
    </row>
    <row r="301" spans="1:9" x14ac:dyDescent="0.25">
      <c r="A301" t="s">
        <v>74</v>
      </c>
      <c r="B301">
        <v>83</v>
      </c>
      <c r="C301" t="s">
        <v>1397</v>
      </c>
      <c r="D301" t="s">
        <v>376</v>
      </c>
      <c r="E301">
        <v>40</v>
      </c>
      <c r="F301" s="6">
        <v>2000000000</v>
      </c>
      <c r="G301" s="6">
        <v>2207639929</v>
      </c>
      <c r="H301">
        <v>83</v>
      </c>
      <c r="I301" t="s">
        <v>8233</v>
      </c>
    </row>
    <row r="302" spans="1:9" x14ac:dyDescent="0.25">
      <c r="A302" t="s">
        <v>74</v>
      </c>
      <c r="B302">
        <v>84</v>
      </c>
      <c r="C302" t="s">
        <v>1303</v>
      </c>
      <c r="D302" t="s">
        <v>376</v>
      </c>
      <c r="E302">
        <v>40</v>
      </c>
      <c r="F302" s="6">
        <v>2000000000</v>
      </c>
      <c r="G302" s="6">
        <v>2150000000</v>
      </c>
      <c r="H302">
        <v>84</v>
      </c>
      <c r="I302" t="s">
        <v>8234</v>
      </c>
    </row>
    <row r="303" spans="1:9" x14ac:dyDescent="0.25">
      <c r="A303" t="s">
        <v>74</v>
      </c>
      <c r="B303">
        <v>91</v>
      </c>
      <c r="C303" t="s">
        <v>1402</v>
      </c>
      <c r="D303" t="s">
        <v>376</v>
      </c>
      <c r="E303">
        <v>40</v>
      </c>
      <c r="F303" s="6">
        <v>2000000000</v>
      </c>
      <c r="G303" s="6">
        <v>2128888888</v>
      </c>
      <c r="H303">
        <v>91</v>
      </c>
      <c r="I303" t="s">
        <v>8235</v>
      </c>
    </row>
    <row r="304" spans="1:9" x14ac:dyDescent="0.25">
      <c r="A304" t="s">
        <v>74</v>
      </c>
      <c r="B304">
        <v>93</v>
      </c>
      <c r="C304" t="s">
        <v>919</v>
      </c>
      <c r="D304" t="s">
        <v>376</v>
      </c>
      <c r="E304">
        <v>40</v>
      </c>
      <c r="F304" s="6">
        <v>2000000000</v>
      </c>
      <c r="G304" s="6">
        <v>2149896000</v>
      </c>
      <c r="H304">
        <v>93</v>
      </c>
      <c r="I304" t="s">
        <v>8236</v>
      </c>
    </row>
    <row r="305" spans="1:9" x14ac:dyDescent="0.25">
      <c r="A305" t="s">
        <v>74</v>
      </c>
      <c r="B305">
        <v>120</v>
      </c>
      <c r="C305" t="s">
        <v>1052</v>
      </c>
      <c r="D305" t="s">
        <v>376</v>
      </c>
      <c r="E305">
        <v>40</v>
      </c>
      <c r="F305" s="6">
        <v>2000000000</v>
      </c>
      <c r="G305" s="6">
        <v>2222000000</v>
      </c>
      <c r="H305">
        <v>120</v>
      </c>
      <c r="I305" t="s">
        <v>8237</v>
      </c>
    </row>
    <row r="306" spans="1:9" x14ac:dyDescent="0.25">
      <c r="A306" t="s">
        <v>74</v>
      </c>
      <c r="B306">
        <v>139</v>
      </c>
      <c r="C306" t="s">
        <v>924</v>
      </c>
      <c r="D306" t="s">
        <v>376</v>
      </c>
      <c r="E306">
        <v>40</v>
      </c>
      <c r="F306" s="6">
        <v>2000000000</v>
      </c>
      <c r="G306" s="6">
        <v>2177777777</v>
      </c>
      <c r="H306">
        <v>139</v>
      </c>
      <c r="I306" t="s">
        <v>8238</v>
      </c>
    </row>
    <row r="307" spans="1:9" x14ac:dyDescent="0.25">
      <c r="A307" t="s">
        <v>74</v>
      </c>
      <c r="B307">
        <v>159</v>
      </c>
      <c r="C307" t="s">
        <v>544</v>
      </c>
      <c r="D307" t="s">
        <v>376</v>
      </c>
      <c r="E307">
        <v>40</v>
      </c>
      <c r="F307" s="6">
        <v>1980000000</v>
      </c>
      <c r="G307" s="6">
        <v>2215000000</v>
      </c>
      <c r="H307">
        <v>159</v>
      </c>
      <c r="I307" t="s">
        <v>8239</v>
      </c>
    </row>
    <row r="308" spans="1:9" x14ac:dyDescent="0.25">
      <c r="A308" t="s">
        <v>74</v>
      </c>
      <c r="B308">
        <v>371</v>
      </c>
      <c r="C308" t="s">
        <v>3707</v>
      </c>
      <c r="D308" t="s">
        <v>3706</v>
      </c>
      <c r="E308">
        <v>40</v>
      </c>
      <c r="F308" s="6">
        <v>3350000000</v>
      </c>
      <c r="G308" s="6">
        <v>4238000000</v>
      </c>
      <c r="H308">
        <v>395</v>
      </c>
      <c r="I308" t="s">
        <v>8240</v>
      </c>
    </row>
    <row r="309" spans="1:9" x14ac:dyDescent="0.25">
      <c r="A309" t="s">
        <v>74</v>
      </c>
      <c r="B309">
        <v>437</v>
      </c>
      <c r="C309" t="s">
        <v>4805</v>
      </c>
      <c r="D309" t="s">
        <v>8026</v>
      </c>
      <c r="E309">
        <v>40</v>
      </c>
      <c r="F309" s="6">
        <v>4000000000</v>
      </c>
      <c r="G309" s="6">
        <v>4777777777</v>
      </c>
      <c r="H309">
        <v>461</v>
      </c>
      <c r="I309" t="s">
        <v>8241</v>
      </c>
    </row>
    <row r="310" spans="1:9" x14ac:dyDescent="0.25">
      <c r="A310" t="s">
        <v>74</v>
      </c>
      <c r="B310">
        <v>445</v>
      </c>
      <c r="C310" t="s">
        <v>3848</v>
      </c>
      <c r="D310" t="s">
        <v>3497</v>
      </c>
      <c r="E310">
        <v>40</v>
      </c>
      <c r="F310" s="6">
        <v>3420000000</v>
      </c>
      <c r="G310" s="6">
        <v>4207777777</v>
      </c>
      <c r="H310">
        <v>469</v>
      </c>
      <c r="I310" t="s">
        <v>8242</v>
      </c>
    </row>
    <row r="311" spans="1:9" x14ac:dyDescent="0.25">
      <c r="A311" t="s">
        <v>74</v>
      </c>
      <c r="B311">
        <v>472</v>
      </c>
      <c r="C311" t="s">
        <v>1057</v>
      </c>
      <c r="D311" t="s">
        <v>376</v>
      </c>
      <c r="E311">
        <v>40</v>
      </c>
      <c r="F311" s="6">
        <v>2000000000</v>
      </c>
      <c r="G311" s="6">
        <v>2166600000</v>
      </c>
      <c r="H311">
        <v>496</v>
      </c>
      <c r="I311" t="s">
        <v>8243</v>
      </c>
    </row>
    <row r="312" spans="1:9" x14ac:dyDescent="0.25">
      <c r="A312" t="s">
        <v>74</v>
      </c>
      <c r="B312">
        <v>74</v>
      </c>
      <c r="C312" t="s">
        <v>929</v>
      </c>
      <c r="D312" t="s">
        <v>376</v>
      </c>
      <c r="E312">
        <v>39</v>
      </c>
      <c r="F312" s="6">
        <v>2000000000</v>
      </c>
      <c r="G312" s="6">
        <v>2112222222</v>
      </c>
      <c r="H312">
        <v>74</v>
      </c>
      <c r="I312" t="s">
        <v>8244</v>
      </c>
    </row>
    <row r="313" spans="1:9" x14ac:dyDescent="0.25">
      <c r="A313" t="s">
        <v>74</v>
      </c>
      <c r="B313">
        <v>98</v>
      </c>
      <c r="C313" t="s">
        <v>1062</v>
      </c>
      <c r="D313" t="s">
        <v>376</v>
      </c>
      <c r="E313">
        <v>39</v>
      </c>
      <c r="F313" s="6">
        <v>2000000000</v>
      </c>
      <c r="G313" s="6">
        <v>2142500000</v>
      </c>
      <c r="H313">
        <v>98</v>
      </c>
      <c r="I313" t="s">
        <v>8245</v>
      </c>
    </row>
    <row r="314" spans="1:9" x14ac:dyDescent="0.25">
      <c r="A314" t="s">
        <v>74</v>
      </c>
      <c r="B314">
        <v>128</v>
      </c>
      <c r="C314" t="s">
        <v>934</v>
      </c>
      <c r="D314" t="s">
        <v>376</v>
      </c>
      <c r="E314">
        <v>39</v>
      </c>
      <c r="F314" s="6">
        <v>2000000000</v>
      </c>
      <c r="G314" s="6">
        <v>2182220000</v>
      </c>
      <c r="H314">
        <v>128</v>
      </c>
      <c r="I314" t="s">
        <v>8246</v>
      </c>
    </row>
    <row r="315" spans="1:9" x14ac:dyDescent="0.25">
      <c r="A315" t="s">
        <v>74</v>
      </c>
      <c r="B315">
        <v>132</v>
      </c>
      <c r="C315" t="s">
        <v>514</v>
      </c>
      <c r="D315" t="s">
        <v>376</v>
      </c>
      <c r="E315">
        <v>39</v>
      </c>
      <c r="F315" s="6">
        <v>1970000000</v>
      </c>
      <c r="G315" s="6">
        <v>2200000000</v>
      </c>
      <c r="H315">
        <v>132</v>
      </c>
      <c r="I315" t="s">
        <v>8247</v>
      </c>
    </row>
    <row r="316" spans="1:9" x14ac:dyDescent="0.25">
      <c r="A316" t="s">
        <v>74</v>
      </c>
      <c r="B316">
        <v>136</v>
      </c>
      <c r="C316" t="s">
        <v>508</v>
      </c>
      <c r="D316" t="s">
        <v>376</v>
      </c>
      <c r="E316">
        <v>39</v>
      </c>
      <c r="F316" s="6">
        <v>1970000000</v>
      </c>
      <c r="G316" s="6">
        <v>2110000000</v>
      </c>
      <c r="H316">
        <v>136</v>
      </c>
      <c r="I316" t="s">
        <v>8248</v>
      </c>
    </row>
    <row r="317" spans="1:9" x14ac:dyDescent="0.25">
      <c r="A317" t="s">
        <v>74</v>
      </c>
      <c r="B317">
        <v>137</v>
      </c>
      <c r="C317" t="s">
        <v>1067</v>
      </c>
      <c r="D317" t="s">
        <v>376</v>
      </c>
      <c r="E317">
        <v>39</v>
      </c>
      <c r="F317" s="6">
        <v>2000000000</v>
      </c>
      <c r="G317" s="6">
        <v>2128000000</v>
      </c>
      <c r="H317">
        <v>137</v>
      </c>
      <c r="I317" t="s">
        <v>8249</v>
      </c>
    </row>
    <row r="318" spans="1:9" x14ac:dyDescent="0.25">
      <c r="A318" t="s">
        <v>74</v>
      </c>
      <c r="B318">
        <v>140</v>
      </c>
      <c r="C318" t="s">
        <v>939</v>
      </c>
      <c r="D318" t="s">
        <v>376</v>
      </c>
      <c r="E318">
        <v>39</v>
      </c>
      <c r="F318" s="6">
        <v>2000000000</v>
      </c>
      <c r="G318" s="6">
        <v>2050000000</v>
      </c>
      <c r="H318">
        <v>140</v>
      </c>
      <c r="I318" t="s">
        <v>8250</v>
      </c>
    </row>
    <row r="319" spans="1:9" x14ac:dyDescent="0.25">
      <c r="A319" t="s">
        <v>74</v>
      </c>
      <c r="B319">
        <v>142</v>
      </c>
      <c r="C319" t="s">
        <v>1072</v>
      </c>
      <c r="D319" t="s">
        <v>376</v>
      </c>
      <c r="E319">
        <v>39</v>
      </c>
      <c r="F319" s="6">
        <v>2000000000</v>
      </c>
      <c r="G319" s="6">
        <v>2068000000</v>
      </c>
      <c r="H319">
        <v>142</v>
      </c>
      <c r="I319" t="s">
        <v>8251</v>
      </c>
    </row>
    <row r="320" spans="1:9" x14ac:dyDescent="0.25">
      <c r="A320" t="s">
        <v>74</v>
      </c>
      <c r="B320">
        <v>151</v>
      </c>
      <c r="C320" t="s">
        <v>944</v>
      </c>
      <c r="D320" t="s">
        <v>376</v>
      </c>
      <c r="E320">
        <v>39</v>
      </c>
      <c r="F320" s="6">
        <v>2000000000</v>
      </c>
      <c r="G320" s="6">
        <v>2250000000</v>
      </c>
      <c r="H320">
        <v>151</v>
      </c>
      <c r="I320" t="s">
        <v>8252</v>
      </c>
    </row>
    <row r="321" spans="1:9" x14ac:dyDescent="0.25">
      <c r="A321" t="s">
        <v>74</v>
      </c>
      <c r="B321">
        <v>187</v>
      </c>
      <c r="C321" t="s">
        <v>1077</v>
      </c>
      <c r="D321" t="s">
        <v>376</v>
      </c>
      <c r="E321">
        <v>39</v>
      </c>
      <c r="F321" s="6">
        <v>2000000000</v>
      </c>
      <c r="G321" s="6">
        <v>2010000000</v>
      </c>
      <c r="H321">
        <v>187</v>
      </c>
      <c r="I321" t="s">
        <v>8253</v>
      </c>
    </row>
    <row r="322" spans="1:9" x14ac:dyDescent="0.25">
      <c r="A322" t="s">
        <v>74</v>
      </c>
      <c r="B322">
        <v>190</v>
      </c>
      <c r="C322" t="s">
        <v>949</v>
      </c>
      <c r="D322" t="s">
        <v>376</v>
      </c>
      <c r="E322">
        <v>39</v>
      </c>
      <c r="F322" s="6">
        <v>2000000000</v>
      </c>
      <c r="G322" s="6">
        <v>2112000000</v>
      </c>
      <c r="H322">
        <v>190</v>
      </c>
      <c r="I322" t="s">
        <v>8254</v>
      </c>
    </row>
    <row r="323" spans="1:9" x14ac:dyDescent="0.25">
      <c r="A323" t="s">
        <v>74</v>
      </c>
      <c r="B323">
        <v>257</v>
      </c>
      <c r="C323" t="s">
        <v>4944</v>
      </c>
      <c r="D323" t="s">
        <v>8026</v>
      </c>
      <c r="E323">
        <v>39</v>
      </c>
      <c r="F323" s="6">
        <v>4100000000</v>
      </c>
      <c r="G323" s="6">
        <v>4723000000</v>
      </c>
      <c r="H323">
        <v>281</v>
      </c>
      <c r="I323" t="s">
        <v>8255</v>
      </c>
    </row>
    <row r="324" spans="1:9" x14ac:dyDescent="0.25">
      <c r="A324" t="s">
        <v>74</v>
      </c>
      <c r="B324">
        <v>372</v>
      </c>
      <c r="C324" t="s">
        <v>3001</v>
      </c>
      <c r="D324" t="s">
        <v>316</v>
      </c>
      <c r="E324">
        <v>39</v>
      </c>
      <c r="F324" s="6">
        <v>2570000000</v>
      </c>
      <c r="G324" s="6">
        <v>2972850000</v>
      </c>
      <c r="H324">
        <v>396</v>
      </c>
      <c r="I324" t="s">
        <v>8256</v>
      </c>
    </row>
    <row r="325" spans="1:9" x14ac:dyDescent="0.25">
      <c r="A325" t="s">
        <v>74</v>
      </c>
      <c r="B325">
        <v>424</v>
      </c>
      <c r="C325" t="s">
        <v>4643</v>
      </c>
      <c r="D325" t="s">
        <v>8035</v>
      </c>
      <c r="E325">
        <v>39</v>
      </c>
      <c r="F325" s="6">
        <v>3900000000</v>
      </c>
      <c r="G325" s="6">
        <v>5100000111</v>
      </c>
      <c r="H325">
        <v>448</v>
      </c>
      <c r="I325" t="s">
        <v>8257</v>
      </c>
    </row>
    <row r="326" spans="1:9" x14ac:dyDescent="0.25">
      <c r="A326" t="s">
        <v>74</v>
      </c>
      <c r="B326">
        <v>565</v>
      </c>
      <c r="C326" t="s">
        <v>4182</v>
      </c>
      <c r="D326" t="s">
        <v>3210</v>
      </c>
      <c r="E326">
        <v>39</v>
      </c>
      <c r="F326" s="6">
        <v>3500000000</v>
      </c>
      <c r="G326" s="6">
        <v>3889900000</v>
      </c>
      <c r="H326">
        <v>602</v>
      </c>
      <c r="I326" t="s">
        <v>8258</v>
      </c>
    </row>
    <row r="327" spans="1:9" x14ac:dyDescent="0.25">
      <c r="A327" t="s">
        <v>74</v>
      </c>
      <c r="B327">
        <v>593</v>
      </c>
      <c r="C327" t="s">
        <v>4195</v>
      </c>
      <c r="D327" t="s">
        <v>3210</v>
      </c>
      <c r="E327">
        <v>39</v>
      </c>
      <c r="F327" s="6">
        <v>3500000000</v>
      </c>
      <c r="G327" s="6">
        <v>4019999000</v>
      </c>
      <c r="H327">
        <v>630</v>
      </c>
      <c r="I327" t="s">
        <v>8259</v>
      </c>
    </row>
    <row r="328" spans="1:9" x14ac:dyDescent="0.25">
      <c r="A328" t="s">
        <v>74</v>
      </c>
      <c r="B328">
        <v>600</v>
      </c>
      <c r="C328" t="s">
        <v>4186</v>
      </c>
      <c r="D328" t="s">
        <v>3210</v>
      </c>
      <c r="E328">
        <v>39</v>
      </c>
      <c r="F328" s="6">
        <v>3500000000</v>
      </c>
      <c r="G328" s="6">
        <v>4251111111</v>
      </c>
      <c r="H328">
        <v>637</v>
      </c>
      <c r="I328" t="s">
        <v>8260</v>
      </c>
    </row>
    <row r="329" spans="1:9" x14ac:dyDescent="0.25">
      <c r="A329" t="s">
        <v>74</v>
      </c>
      <c r="B329">
        <v>75</v>
      </c>
      <c r="C329" t="s">
        <v>1082</v>
      </c>
      <c r="D329" t="s">
        <v>376</v>
      </c>
      <c r="E329">
        <v>38</v>
      </c>
      <c r="F329" s="6">
        <v>2000000000</v>
      </c>
      <c r="G329" s="6">
        <v>2150698566</v>
      </c>
      <c r="H329">
        <v>75</v>
      </c>
      <c r="I329" t="s">
        <v>8261</v>
      </c>
    </row>
    <row r="330" spans="1:9" x14ac:dyDescent="0.25">
      <c r="A330" t="s">
        <v>74</v>
      </c>
      <c r="B330">
        <v>81</v>
      </c>
      <c r="C330" t="s">
        <v>954</v>
      </c>
      <c r="D330" t="s">
        <v>376</v>
      </c>
      <c r="E330">
        <v>38</v>
      </c>
      <c r="F330" s="6">
        <v>2000000000</v>
      </c>
      <c r="G330" s="6">
        <v>2250000000</v>
      </c>
      <c r="H330">
        <v>81</v>
      </c>
      <c r="I330" t="s">
        <v>8262</v>
      </c>
    </row>
    <row r="331" spans="1:9" x14ac:dyDescent="0.25">
      <c r="A331" t="s">
        <v>74</v>
      </c>
      <c r="B331">
        <v>97</v>
      </c>
      <c r="C331" t="s">
        <v>550</v>
      </c>
      <c r="D331" t="s">
        <v>376</v>
      </c>
      <c r="E331">
        <v>38</v>
      </c>
      <c r="F331" s="6">
        <v>1980000000</v>
      </c>
      <c r="G331" s="6">
        <v>2171000000</v>
      </c>
      <c r="H331">
        <v>97</v>
      </c>
      <c r="I331" t="s">
        <v>8263</v>
      </c>
    </row>
    <row r="332" spans="1:9" x14ac:dyDescent="0.25">
      <c r="A332" t="s">
        <v>74</v>
      </c>
      <c r="B332">
        <v>111</v>
      </c>
      <c r="C332" t="s">
        <v>959</v>
      </c>
      <c r="D332" t="s">
        <v>376</v>
      </c>
      <c r="E332">
        <v>38</v>
      </c>
      <c r="F332" s="6">
        <v>2000000000</v>
      </c>
      <c r="G332" s="6">
        <v>2126666000</v>
      </c>
      <c r="H332">
        <v>111</v>
      </c>
      <c r="I332" t="s">
        <v>8264</v>
      </c>
    </row>
    <row r="333" spans="1:9" x14ac:dyDescent="0.25">
      <c r="A333" t="s">
        <v>74</v>
      </c>
      <c r="B333">
        <v>127</v>
      </c>
      <c r="C333" t="s">
        <v>1087</v>
      </c>
      <c r="D333" t="s">
        <v>376</v>
      </c>
      <c r="E333">
        <v>38</v>
      </c>
      <c r="F333" s="6">
        <v>2000000000</v>
      </c>
      <c r="G333" s="6">
        <v>2203100000</v>
      </c>
      <c r="H333">
        <v>127</v>
      </c>
      <c r="I333" t="s">
        <v>8265</v>
      </c>
    </row>
    <row r="334" spans="1:9" x14ac:dyDescent="0.25">
      <c r="A334" t="s">
        <v>74</v>
      </c>
      <c r="B334">
        <v>178</v>
      </c>
      <c r="C334" t="s">
        <v>964</v>
      </c>
      <c r="D334" t="s">
        <v>376</v>
      </c>
      <c r="E334">
        <v>38</v>
      </c>
      <c r="F334" s="6">
        <v>2000000000</v>
      </c>
      <c r="G334" s="6">
        <v>2116900000</v>
      </c>
      <c r="H334">
        <v>178</v>
      </c>
      <c r="I334" t="s">
        <v>8266</v>
      </c>
    </row>
    <row r="335" spans="1:9" x14ac:dyDescent="0.25">
      <c r="A335" t="s">
        <v>74</v>
      </c>
      <c r="B335">
        <v>181</v>
      </c>
      <c r="C335" t="s">
        <v>467</v>
      </c>
      <c r="D335" t="s">
        <v>376</v>
      </c>
      <c r="E335">
        <v>38</v>
      </c>
      <c r="F335" s="6">
        <v>1950000000</v>
      </c>
      <c r="G335" s="6">
        <v>2072000000</v>
      </c>
      <c r="H335">
        <v>181</v>
      </c>
      <c r="I335" t="s">
        <v>8267</v>
      </c>
    </row>
    <row r="336" spans="1:9" x14ac:dyDescent="0.25">
      <c r="A336" t="s">
        <v>74</v>
      </c>
      <c r="B336">
        <v>339</v>
      </c>
      <c r="C336" t="s">
        <v>4416</v>
      </c>
      <c r="D336" t="s">
        <v>4397</v>
      </c>
      <c r="E336">
        <v>38</v>
      </c>
      <c r="F336" s="6">
        <v>3650000000</v>
      </c>
      <c r="G336" s="6">
        <v>4750000000</v>
      </c>
      <c r="H336">
        <v>363</v>
      </c>
      <c r="I336" t="s">
        <v>8268</v>
      </c>
    </row>
    <row r="337" spans="1:9" x14ac:dyDescent="0.25">
      <c r="A337" t="s">
        <v>74</v>
      </c>
      <c r="B337">
        <v>410</v>
      </c>
      <c r="C337" t="s">
        <v>2872</v>
      </c>
      <c r="D337" t="s">
        <v>325</v>
      </c>
      <c r="E337">
        <v>38</v>
      </c>
      <c r="F337" s="6">
        <v>2500000000</v>
      </c>
      <c r="G337" s="6">
        <v>3064999999</v>
      </c>
      <c r="H337">
        <v>434</v>
      </c>
      <c r="I337" t="s">
        <v>8269</v>
      </c>
    </row>
    <row r="338" spans="1:9" x14ac:dyDescent="0.25">
      <c r="A338" t="s">
        <v>74</v>
      </c>
      <c r="B338">
        <v>60</v>
      </c>
      <c r="C338" t="s">
        <v>689</v>
      </c>
      <c r="D338" t="s">
        <v>376</v>
      </c>
      <c r="E338">
        <v>37</v>
      </c>
      <c r="F338" s="6">
        <v>2000000000</v>
      </c>
      <c r="G338" s="6">
        <v>2225350000</v>
      </c>
      <c r="H338">
        <v>60</v>
      </c>
      <c r="I338" t="s">
        <v>8270</v>
      </c>
    </row>
    <row r="339" spans="1:9" x14ac:dyDescent="0.25">
      <c r="A339" t="s">
        <v>74</v>
      </c>
      <c r="B339">
        <v>61</v>
      </c>
      <c r="C339" t="s">
        <v>694</v>
      </c>
      <c r="D339" t="s">
        <v>376</v>
      </c>
      <c r="E339">
        <v>37</v>
      </c>
      <c r="F339" s="6">
        <v>2000000000</v>
      </c>
      <c r="G339" s="6">
        <v>2153000000</v>
      </c>
      <c r="H339">
        <v>61</v>
      </c>
      <c r="I339" t="s">
        <v>8271</v>
      </c>
    </row>
    <row r="340" spans="1:9" x14ac:dyDescent="0.25">
      <c r="A340" t="s">
        <v>74</v>
      </c>
      <c r="B340">
        <v>78</v>
      </c>
      <c r="C340" t="s">
        <v>969</v>
      </c>
      <c r="D340" t="s">
        <v>376</v>
      </c>
      <c r="E340">
        <v>37</v>
      </c>
      <c r="F340" s="6">
        <v>2000000000</v>
      </c>
      <c r="G340" s="6">
        <v>2177440001</v>
      </c>
      <c r="H340">
        <v>78</v>
      </c>
      <c r="I340" t="s">
        <v>8272</v>
      </c>
    </row>
    <row r="341" spans="1:9" x14ac:dyDescent="0.25">
      <c r="A341" t="s">
        <v>74</v>
      </c>
      <c r="B341">
        <v>104</v>
      </c>
      <c r="C341" t="s">
        <v>1092</v>
      </c>
      <c r="D341" t="s">
        <v>376</v>
      </c>
      <c r="E341">
        <v>37</v>
      </c>
      <c r="F341" s="6">
        <v>2000000000</v>
      </c>
      <c r="G341" s="6">
        <v>2170007890</v>
      </c>
      <c r="H341">
        <v>104</v>
      </c>
      <c r="I341" t="s">
        <v>8273</v>
      </c>
    </row>
    <row r="342" spans="1:9" x14ac:dyDescent="0.25">
      <c r="A342" t="s">
        <v>74</v>
      </c>
      <c r="B342">
        <v>110</v>
      </c>
      <c r="C342" t="s">
        <v>975</v>
      </c>
      <c r="D342" t="s">
        <v>376</v>
      </c>
      <c r="E342">
        <v>37</v>
      </c>
      <c r="F342" s="6">
        <v>2000000000</v>
      </c>
      <c r="G342" s="6">
        <v>2126666000</v>
      </c>
      <c r="H342">
        <v>110</v>
      </c>
      <c r="I342" t="s">
        <v>8274</v>
      </c>
    </row>
    <row r="343" spans="1:9" x14ac:dyDescent="0.25">
      <c r="A343" t="s">
        <v>74</v>
      </c>
      <c r="B343">
        <v>115</v>
      </c>
      <c r="C343" t="s">
        <v>1097</v>
      </c>
      <c r="D343" t="s">
        <v>376</v>
      </c>
      <c r="E343">
        <v>37</v>
      </c>
      <c r="F343" s="6">
        <v>2000000000</v>
      </c>
      <c r="G343" s="6">
        <v>2202000000</v>
      </c>
      <c r="H343">
        <v>115</v>
      </c>
      <c r="I343" t="s">
        <v>8275</v>
      </c>
    </row>
    <row r="344" spans="1:9" x14ac:dyDescent="0.25">
      <c r="A344" t="s">
        <v>74</v>
      </c>
      <c r="B344">
        <v>138</v>
      </c>
      <c r="C344" t="s">
        <v>496</v>
      </c>
      <c r="D344" t="s">
        <v>376</v>
      </c>
      <c r="E344">
        <v>37</v>
      </c>
      <c r="F344" s="6">
        <v>1960000000</v>
      </c>
      <c r="G344" s="6">
        <v>2111111111</v>
      </c>
      <c r="H344">
        <v>138</v>
      </c>
      <c r="I344" t="s">
        <v>8276</v>
      </c>
    </row>
    <row r="345" spans="1:9" x14ac:dyDescent="0.25">
      <c r="A345" t="s">
        <v>74</v>
      </c>
      <c r="B345">
        <v>141</v>
      </c>
      <c r="C345" t="s">
        <v>1102</v>
      </c>
      <c r="D345" t="s">
        <v>376</v>
      </c>
      <c r="E345">
        <v>37</v>
      </c>
      <c r="F345" s="6">
        <v>2000000000</v>
      </c>
      <c r="G345" s="6">
        <v>2129000000</v>
      </c>
      <c r="H345">
        <v>141</v>
      </c>
      <c r="I345" t="s">
        <v>8277</v>
      </c>
    </row>
    <row r="346" spans="1:9" x14ac:dyDescent="0.25">
      <c r="A346" t="s">
        <v>74</v>
      </c>
      <c r="B346">
        <v>143</v>
      </c>
      <c r="C346" t="s">
        <v>980</v>
      </c>
      <c r="D346" t="s">
        <v>376</v>
      </c>
      <c r="E346">
        <v>37</v>
      </c>
      <c r="F346" s="6">
        <v>2000000000</v>
      </c>
      <c r="G346" s="6">
        <v>2119999999</v>
      </c>
      <c r="H346">
        <v>143</v>
      </c>
      <c r="I346" t="s">
        <v>8278</v>
      </c>
    </row>
    <row r="347" spans="1:9" x14ac:dyDescent="0.25">
      <c r="A347" t="s">
        <v>74</v>
      </c>
      <c r="B347">
        <v>186</v>
      </c>
      <c r="C347" t="s">
        <v>1107</v>
      </c>
      <c r="D347" t="s">
        <v>376</v>
      </c>
      <c r="E347">
        <v>37</v>
      </c>
      <c r="F347" s="6">
        <v>2000000000</v>
      </c>
      <c r="G347" s="6">
        <v>2202000000</v>
      </c>
      <c r="H347">
        <v>186</v>
      </c>
      <c r="I347" t="s">
        <v>8279</v>
      </c>
    </row>
    <row r="348" spans="1:9" x14ac:dyDescent="0.25">
      <c r="A348" t="s">
        <v>74</v>
      </c>
      <c r="B348">
        <v>208</v>
      </c>
      <c r="C348" t="s">
        <v>985</v>
      </c>
      <c r="D348" t="s">
        <v>376</v>
      </c>
      <c r="E348">
        <v>37</v>
      </c>
      <c r="F348" s="6">
        <v>2000000000</v>
      </c>
      <c r="G348" s="6">
        <v>2157800000</v>
      </c>
      <c r="H348">
        <v>208</v>
      </c>
      <c r="I348" t="s">
        <v>8280</v>
      </c>
    </row>
    <row r="349" spans="1:9" x14ac:dyDescent="0.25">
      <c r="A349" t="s">
        <v>74</v>
      </c>
      <c r="B349">
        <v>211</v>
      </c>
      <c r="C349" t="s">
        <v>1112</v>
      </c>
      <c r="D349" t="s">
        <v>376</v>
      </c>
      <c r="E349">
        <v>37</v>
      </c>
      <c r="F349" s="6">
        <v>2000000000</v>
      </c>
      <c r="G349" s="6">
        <v>2150000000</v>
      </c>
      <c r="H349">
        <v>211</v>
      </c>
      <c r="I349" t="s">
        <v>8281</v>
      </c>
    </row>
    <row r="350" spans="1:9" x14ac:dyDescent="0.25">
      <c r="A350" t="s">
        <v>74</v>
      </c>
      <c r="B350">
        <v>255</v>
      </c>
      <c r="C350" t="s">
        <v>4883</v>
      </c>
      <c r="D350" t="s">
        <v>8026</v>
      </c>
      <c r="E350">
        <v>37</v>
      </c>
      <c r="F350" s="6">
        <v>4070000000</v>
      </c>
      <c r="G350" s="6">
        <v>4880009990</v>
      </c>
      <c r="H350">
        <v>279</v>
      </c>
      <c r="I350" t="s">
        <v>8282</v>
      </c>
    </row>
    <row r="351" spans="1:9" x14ac:dyDescent="0.25">
      <c r="A351" t="s">
        <v>74</v>
      </c>
      <c r="B351">
        <v>266</v>
      </c>
      <c r="C351" t="s">
        <v>4850</v>
      </c>
      <c r="D351" t="s">
        <v>8026</v>
      </c>
      <c r="E351">
        <v>37</v>
      </c>
      <c r="F351" s="6">
        <v>4050000000</v>
      </c>
      <c r="G351" s="6">
        <v>4465888888</v>
      </c>
      <c r="H351">
        <v>290</v>
      </c>
      <c r="I351" t="s">
        <v>8283</v>
      </c>
    </row>
    <row r="352" spans="1:9" x14ac:dyDescent="0.25">
      <c r="A352" t="s">
        <v>74</v>
      </c>
      <c r="B352">
        <v>353</v>
      </c>
      <c r="C352" t="s">
        <v>4800</v>
      </c>
      <c r="D352" t="s">
        <v>3521</v>
      </c>
      <c r="E352">
        <v>37</v>
      </c>
      <c r="F352" s="6">
        <v>4000000000</v>
      </c>
      <c r="G352" s="6">
        <v>4125500000</v>
      </c>
      <c r="H352">
        <v>377</v>
      </c>
      <c r="I352" t="s">
        <v>8284</v>
      </c>
    </row>
    <row r="353" spans="1:9" x14ac:dyDescent="0.25">
      <c r="A353" t="s">
        <v>74</v>
      </c>
      <c r="B353">
        <v>447</v>
      </c>
      <c r="C353" t="s">
        <v>3908</v>
      </c>
      <c r="D353" t="s">
        <v>3497</v>
      </c>
      <c r="E353">
        <v>37</v>
      </c>
      <c r="F353" s="6">
        <v>3450000000</v>
      </c>
      <c r="G353" s="6">
        <v>4215900000</v>
      </c>
      <c r="H353">
        <v>471</v>
      </c>
      <c r="I353" t="s">
        <v>8285</v>
      </c>
    </row>
    <row r="354" spans="1:9" x14ac:dyDescent="0.25">
      <c r="A354" t="s">
        <v>74</v>
      </c>
      <c r="B354">
        <v>470</v>
      </c>
      <c r="C354" t="s">
        <v>990</v>
      </c>
      <c r="D354" t="s">
        <v>376</v>
      </c>
      <c r="E354">
        <v>37</v>
      </c>
      <c r="F354" s="6">
        <v>2000000000</v>
      </c>
      <c r="G354" s="6">
        <v>2157600000</v>
      </c>
      <c r="H354">
        <v>494</v>
      </c>
      <c r="I354" t="s">
        <v>8286</v>
      </c>
    </row>
    <row r="355" spans="1:9" x14ac:dyDescent="0.25">
      <c r="A355" t="s">
        <v>74</v>
      </c>
      <c r="B355">
        <v>73</v>
      </c>
      <c r="C355" t="s">
        <v>1118</v>
      </c>
      <c r="D355" t="s">
        <v>376</v>
      </c>
      <c r="E355">
        <v>36</v>
      </c>
      <c r="F355" s="6">
        <v>2000000000</v>
      </c>
      <c r="G355" s="6">
        <v>2150000000</v>
      </c>
      <c r="H355">
        <v>73</v>
      </c>
      <c r="I355" t="s">
        <v>8287</v>
      </c>
    </row>
    <row r="356" spans="1:9" x14ac:dyDescent="0.25">
      <c r="A356" t="s">
        <v>74</v>
      </c>
      <c r="B356">
        <v>107</v>
      </c>
      <c r="C356" t="s">
        <v>996</v>
      </c>
      <c r="D356" t="s">
        <v>376</v>
      </c>
      <c r="E356">
        <v>36</v>
      </c>
      <c r="F356" s="6">
        <v>2000000000</v>
      </c>
      <c r="G356" s="6">
        <v>2333333999</v>
      </c>
      <c r="H356">
        <v>107</v>
      </c>
      <c r="I356" t="s">
        <v>8288</v>
      </c>
    </row>
    <row r="357" spans="1:9" x14ac:dyDescent="0.25">
      <c r="A357" t="s">
        <v>74</v>
      </c>
      <c r="B357">
        <v>109</v>
      </c>
      <c r="C357" t="s">
        <v>1124</v>
      </c>
      <c r="D357" t="s">
        <v>376</v>
      </c>
      <c r="E357">
        <v>36</v>
      </c>
      <c r="F357" s="6">
        <v>2000000000</v>
      </c>
      <c r="G357" s="6">
        <v>2145555555</v>
      </c>
      <c r="H357">
        <v>109</v>
      </c>
      <c r="I357" t="s">
        <v>8289</v>
      </c>
    </row>
    <row r="358" spans="1:9" x14ac:dyDescent="0.25">
      <c r="A358" t="s">
        <v>74</v>
      </c>
      <c r="B358">
        <v>130</v>
      </c>
      <c r="C358" t="s">
        <v>1001</v>
      </c>
      <c r="D358" t="s">
        <v>376</v>
      </c>
      <c r="E358">
        <v>36</v>
      </c>
      <c r="F358" s="6">
        <v>2000000000</v>
      </c>
      <c r="G358" s="6">
        <v>2205000000</v>
      </c>
      <c r="H358">
        <v>130</v>
      </c>
      <c r="I358" t="s">
        <v>8290</v>
      </c>
    </row>
    <row r="359" spans="1:9" x14ac:dyDescent="0.25">
      <c r="A359" t="s">
        <v>74</v>
      </c>
      <c r="B359">
        <v>145</v>
      </c>
      <c r="C359" t="s">
        <v>1129</v>
      </c>
      <c r="D359" t="s">
        <v>376</v>
      </c>
      <c r="E359">
        <v>36</v>
      </c>
      <c r="F359" s="6">
        <v>2000000000</v>
      </c>
      <c r="G359" s="6">
        <v>2120000000</v>
      </c>
      <c r="H359">
        <v>145</v>
      </c>
      <c r="I359" t="s">
        <v>8291</v>
      </c>
    </row>
    <row r="360" spans="1:9" x14ac:dyDescent="0.25">
      <c r="A360" t="s">
        <v>74</v>
      </c>
      <c r="B360">
        <v>162</v>
      </c>
      <c r="C360" t="s">
        <v>1006</v>
      </c>
      <c r="D360" t="s">
        <v>376</v>
      </c>
      <c r="E360">
        <v>36</v>
      </c>
      <c r="F360" s="6">
        <v>2000000000</v>
      </c>
      <c r="G360" s="6">
        <v>2210000000</v>
      </c>
      <c r="H360">
        <v>162</v>
      </c>
      <c r="I360" t="s">
        <v>8292</v>
      </c>
    </row>
    <row r="361" spans="1:9" x14ac:dyDescent="0.25">
      <c r="A361" t="s">
        <v>74</v>
      </c>
      <c r="B361">
        <v>174</v>
      </c>
      <c r="C361" t="s">
        <v>1134</v>
      </c>
      <c r="D361" t="s">
        <v>376</v>
      </c>
      <c r="E361">
        <v>36</v>
      </c>
      <c r="F361" s="6">
        <v>2000000000</v>
      </c>
      <c r="G361" s="6">
        <v>2071000000</v>
      </c>
      <c r="H361">
        <v>174</v>
      </c>
      <c r="I361" t="s">
        <v>8293</v>
      </c>
    </row>
    <row r="362" spans="1:9" x14ac:dyDescent="0.25">
      <c r="A362" t="s">
        <v>74</v>
      </c>
      <c r="B362">
        <v>199</v>
      </c>
      <c r="C362" t="s">
        <v>590</v>
      </c>
      <c r="D362" t="s">
        <v>376</v>
      </c>
      <c r="E362">
        <v>36</v>
      </c>
      <c r="F362" s="6">
        <v>1985000000</v>
      </c>
      <c r="G362" s="6">
        <v>2132141314</v>
      </c>
      <c r="H362">
        <v>199</v>
      </c>
      <c r="I362" t="s">
        <v>8294</v>
      </c>
    </row>
    <row r="363" spans="1:9" x14ac:dyDescent="0.25">
      <c r="A363" t="s">
        <v>74</v>
      </c>
      <c r="B363">
        <v>203</v>
      </c>
      <c r="C363" t="s">
        <v>1139</v>
      </c>
      <c r="D363" t="s">
        <v>376</v>
      </c>
      <c r="E363">
        <v>36</v>
      </c>
      <c r="F363" s="6">
        <v>2000000000</v>
      </c>
      <c r="G363" s="6">
        <v>2210000000</v>
      </c>
      <c r="H363">
        <v>203</v>
      </c>
      <c r="I363" t="s">
        <v>8295</v>
      </c>
    </row>
    <row r="364" spans="1:9" x14ac:dyDescent="0.25">
      <c r="A364" t="s">
        <v>74</v>
      </c>
      <c r="B364">
        <v>212</v>
      </c>
      <c r="C364" t="s">
        <v>1011</v>
      </c>
      <c r="D364" t="s">
        <v>376</v>
      </c>
      <c r="E364">
        <v>36</v>
      </c>
      <c r="F364" s="6">
        <v>2000000000</v>
      </c>
      <c r="G364" s="6">
        <v>2200000000</v>
      </c>
      <c r="H364">
        <v>212</v>
      </c>
      <c r="I364" t="s">
        <v>8296</v>
      </c>
    </row>
    <row r="365" spans="1:9" x14ac:dyDescent="0.25">
      <c r="A365" t="s">
        <v>74</v>
      </c>
      <c r="B365">
        <v>247</v>
      </c>
      <c r="C365" t="s">
        <v>4908</v>
      </c>
      <c r="D365" t="s">
        <v>8026</v>
      </c>
      <c r="E365">
        <v>36</v>
      </c>
      <c r="F365" s="6">
        <v>4080000000</v>
      </c>
      <c r="G365" s="6">
        <v>5010000000</v>
      </c>
      <c r="H365">
        <v>271</v>
      </c>
      <c r="I365" t="s">
        <v>8297</v>
      </c>
    </row>
    <row r="366" spans="1:9" x14ac:dyDescent="0.25">
      <c r="A366" t="s">
        <v>74</v>
      </c>
      <c r="B366">
        <v>362</v>
      </c>
      <c r="C366" t="s">
        <v>5625</v>
      </c>
      <c r="D366" t="s">
        <v>5585</v>
      </c>
      <c r="E366">
        <v>36</v>
      </c>
      <c r="F366" s="6">
        <v>7680000000</v>
      </c>
      <c r="G366" s="6">
        <v>8787869670</v>
      </c>
      <c r="H366">
        <v>386</v>
      </c>
      <c r="I366" t="s">
        <v>8298</v>
      </c>
    </row>
    <row r="367" spans="1:9" x14ac:dyDescent="0.25">
      <c r="A367" t="s">
        <v>74</v>
      </c>
      <c r="B367">
        <v>524</v>
      </c>
      <c r="C367" t="s">
        <v>3256</v>
      </c>
      <c r="D367" t="s">
        <v>191</v>
      </c>
      <c r="E367">
        <v>36</v>
      </c>
      <c r="F367" s="6">
        <v>2900000000</v>
      </c>
      <c r="G367" s="6">
        <v>3374557000</v>
      </c>
      <c r="H367">
        <v>561</v>
      </c>
      <c r="I367" t="s">
        <v>8299</v>
      </c>
    </row>
    <row r="368" spans="1:9" x14ac:dyDescent="0.25">
      <c r="A368" t="s">
        <v>74</v>
      </c>
      <c r="B368">
        <v>534</v>
      </c>
      <c r="C368" t="s">
        <v>3323</v>
      </c>
      <c r="D368" t="s">
        <v>191</v>
      </c>
      <c r="E368">
        <v>36</v>
      </c>
      <c r="F368" s="6">
        <v>3000000000</v>
      </c>
      <c r="G368" s="6">
        <v>3821200000</v>
      </c>
      <c r="H368">
        <v>571</v>
      </c>
      <c r="I368" t="s">
        <v>8300</v>
      </c>
    </row>
    <row r="369" spans="1:9" x14ac:dyDescent="0.25">
      <c r="A369" t="s">
        <v>74</v>
      </c>
      <c r="B369">
        <v>572</v>
      </c>
      <c r="C369" t="s">
        <v>4200</v>
      </c>
      <c r="D369" t="s">
        <v>3210</v>
      </c>
      <c r="E369">
        <v>36</v>
      </c>
      <c r="F369" s="6">
        <v>3500000000</v>
      </c>
      <c r="G369" s="6">
        <v>4388888888</v>
      </c>
      <c r="H369">
        <v>609</v>
      </c>
      <c r="I369" t="s">
        <v>8301</v>
      </c>
    </row>
    <row r="370" spans="1:9" x14ac:dyDescent="0.25">
      <c r="A370" t="s">
        <v>74</v>
      </c>
      <c r="B370">
        <v>63</v>
      </c>
      <c r="C370" t="s">
        <v>704</v>
      </c>
      <c r="D370" t="s">
        <v>376</v>
      </c>
      <c r="E370">
        <v>35</v>
      </c>
      <c r="F370" s="6">
        <v>2000000000</v>
      </c>
      <c r="G370" s="6">
        <v>2299999999</v>
      </c>
      <c r="H370">
        <v>63</v>
      </c>
      <c r="I370" t="s">
        <v>8302</v>
      </c>
    </row>
    <row r="371" spans="1:9" x14ac:dyDescent="0.25">
      <c r="A371" t="s">
        <v>74</v>
      </c>
      <c r="B371">
        <v>66</v>
      </c>
      <c r="C371" t="s">
        <v>728</v>
      </c>
      <c r="D371" t="s">
        <v>376</v>
      </c>
      <c r="E371">
        <v>35</v>
      </c>
      <c r="F371" s="6">
        <v>2000000000</v>
      </c>
      <c r="G371" s="6">
        <v>2126500000</v>
      </c>
      <c r="H371">
        <v>66</v>
      </c>
      <c r="I371" t="s">
        <v>8303</v>
      </c>
    </row>
    <row r="372" spans="1:9" x14ac:dyDescent="0.25">
      <c r="A372" t="s">
        <v>74</v>
      </c>
      <c r="B372">
        <v>124</v>
      </c>
      <c r="C372" t="s">
        <v>1016</v>
      </c>
      <c r="D372" t="s">
        <v>376</v>
      </c>
      <c r="E372">
        <v>35</v>
      </c>
      <c r="F372" s="6">
        <v>2000000000</v>
      </c>
      <c r="G372" s="6">
        <v>2150000000</v>
      </c>
      <c r="H372">
        <v>124</v>
      </c>
      <c r="I372" t="s">
        <v>8304</v>
      </c>
    </row>
    <row r="373" spans="1:9" x14ac:dyDescent="0.25">
      <c r="A373" t="s">
        <v>74</v>
      </c>
      <c r="B373">
        <v>171</v>
      </c>
      <c r="C373" t="s">
        <v>1145</v>
      </c>
      <c r="D373" t="s">
        <v>376</v>
      </c>
      <c r="E373">
        <v>35</v>
      </c>
      <c r="F373" s="6">
        <v>2000000000</v>
      </c>
      <c r="G373" s="6">
        <v>2130000000</v>
      </c>
      <c r="H373">
        <v>171</v>
      </c>
      <c r="I373" t="s">
        <v>8305</v>
      </c>
    </row>
    <row r="374" spans="1:9" x14ac:dyDescent="0.25">
      <c r="A374" t="s">
        <v>74</v>
      </c>
      <c r="B374">
        <v>194</v>
      </c>
      <c r="C374" t="s">
        <v>1021</v>
      </c>
      <c r="D374" t="s">
        <v>376</v>
      </c>
      <c r="E374">
        <v>35</v>
      </c>
      <c r="F374" s="6">
        <v>2000000000</v>
      </c>
      <c r="G374" s="6">
        <v>2160199999</v>
      </c>
      <c r="H374">
        <v>194</v>
      </c>
      <c r="I374" t="s">
        <v>8306</v>
      </c>
    </row>
    <row r="375" spans="1:9" x14ac:dyDescent="0.25">
      <c r="A375" t="s">
        <v>74</v>
      </c>
      <c r="B375">
        <v>196</v>
      </c>
      <c r="C375" t="s">
        <v>1150</v>
      </c>
      <c r="D375" t="s">
        <v>376</v>
      </c>
      <c r="E375">
        <v>35</v>
      </c>
      <c r="F375" s="6">
        <v>2000000000</v>
      </c>
      <c r="G375" s="6">
        <v>2242100999</v>
      </c>
      <c r="H375">
        <v>196</v>
      </c>
      <c r="I375" t="s">
        <v>8307</v>
      </c>
    </row>
    <row r="376" spans="1:9" x14ac:dyDescent="0.25">
      <c r="A376" t="s">
        <v>74</v>
      </c>
      <c r="B376">
        <v>352</v>
      </c>
      <c r="C376" t="s">
        <v>4634</v>
      </c>
      <c r="D376" t="s">
        <v>3521</v>
      </c>
      <c r="E376">
        <v>35</v>
      </c>
      <c r="F376" s="6">
        <v>3900000000</v>
      </c>
      <c r="G376" s="6">
        <v>5112000000</v>
      </c>
      <c r="H376">
        <v>376</v>
      </c>
      <c r="I376" t="s">
        <v>8308</v>
      </c>
    </row>
    <row r="377" spans="1:9" x14ac:dyDescent="0.25">
      <c r="A377" t="s">
        <v>74</v>
      </c>
      <c r="B377">
        <v>358</v>
      </c>
      <c r="C377" t="s">
        <v>4492</v>
      </c>
      <c r="D377" t="s">
        <v>3478</v>
      </c>
      <c r="E377">
        <v>35</v>
      </c>
      <c r="F377" s="6">
        <v>3800000000</v>
      </c>
      <c r="G377" s="6">
        <v>5095100000</v>
      </c>
      <c r="H377">
        <v>382</v>
      </c>
      <c r="I377" t="s">
        <v>8309</v>
      </c>
    </row>
    <row r="378" spans="1:9" x14ac:dyDescent="0.25">
      <c r="A378" t="s">
        <v>74</v>
      </c>
      <c r="B378">
        <v>379</v>
      </c>
      <c r="C378" t="s">
        <v>2959</v>
      </c>
      <c r="D378" t="s">
        <v>2958</v>
      </c>
      <c r="E378">
        <v>35</v>
      </c>
      <c r="F378" s="6">
        <v>2550000000</v>
      </c>
      <c r="G378" s="6">
        <v>3058888888</v>
      </c>
      <c r="H378">
        <v>403</v>
      </c>
      <c r="I378" t="s">
        <v>8310</v>
      </c>
    </row>
    <row r="379" spans="1:9" x14ac:dyDescent="0.25">
      <c r="A379" t="s">
        <v>74</v>
      </c>
      <c r="B379">
        <v>90</v>
      </c>
      <c r="C379" t="s">
        <v>1155</v>
      </c>
      <c r="D379" t="s">
        <v>376</v>
      </c>
      <c r="E379">
        <v>34</v>
      </c>
      <c r="F379" s="6">
        <v>2000000000</v>
      </c>
      <c r="G379" s="6">
        <v>2134200000</v>
      </c>
      <c r="H379">
        <v>90</v>
      </c>
      <c r="I379" t="s">
        <v>8311</v>
      </c>
    </row>
    <row r="380" spans="1:9" x14ac:dyDescent="0.25">
      <c r="A380" t="s">
        <v>74</v>
      </c>
      <c r="B380">
        <v>112</v>
      </c>
      <c r="C380" t="s">
        <v>1026</v>
      </c>
      <c r="D380" t="s">
        <v>376</v>
      </c>
      <c r="E380">
        <v>34</v>
      </c>
      <c r="F380" s="6">
        <v>2000000000</v>
      </c>
      <c r="G380" s="6">
        <v>2188889888</v>
      </c>
      <c r="H380">
        <v>112</v>
      </c>
      <c r="I380" t="s">
        <v>8312</v>
      </c>
    </row>
    <row r="381" spans="1:9" x14ac:dyDescent="0.25">
      <c r="A381" t="s">
        <v>74</v>
      </c>
      <c r="B381">
        <v>155</v>
      </c>
      <c r="C381" t="s">
        <v>1160</v>
      </c>
      <c r="D381" t="s">
        <v>376</v>
      </c>
      <c r="E381">
        <v>34</v>
      </c>
      <c r="F381" s="6">
        <v>2000000000</v>
      </c>
      <c r="G381" s="6">
        <v>2132580009</v>
      </c>
      <c r="H381">
        <v>155</v>
      </c>
      <c r="I381" t="s">
        <v>8313</v>
      </c>
    </row>
    <row r="382" spans="1:9" x14ac:dyDescent="0.25">
      <c r="A382" t="s">
        <v>74</v>
      </c>
      <c r="B382">
        <v>183</v>
      </c>
      <c r="C382" t="s">
        <v>1032</v>
      </c>
      <c r="D382" t="s">
        <v>376</v>
      </c>
      <c r="E382">
        <v>34</v>
      </c>
      <c r="F382" s="6">
        <v>2000000000</v>
      </c>
      <c r="G382" s="6">
        <v>2170999999</v>
      </c>
      <c r="H382">
        <v>183</v>
      </c>
      <c r="I382" t="s">
        <v>8314</v>
      </c>
    </row>
    <row r="383" spans="1:9" x14ac:dyDescent="0.25">
      <c r="A383" t="s">
        <v>74</v>
      </c>
      <c r="B383">
        <v>195</v>
      </c>
      <c r="C383" t="s">
        <v>1165</v>
      </c>
      <c r="D383" t="s">
        <v>376</v>
      </c>
      <c r="E383">
        <v>34</v>
      </c>
      <c r="F383" s="6">
        <v>2000000000</v>
      </c>
      <c r="G383" s="6">
        <v>2242100999</v>
      </c>
      <c r="H383">
        <v>195</v>
      </c>
      <c r="I383" t="s">
        <v>8315</v>
      </c>
    </row>
    <row r="384" spans="1:9" x14ac:dyDescent="0.25">
      <c r="A384" t="s">
        <v>74</v>
      </c>
      <c r="B384">
        <v>283</v>
      </c>
      <c r="C384" t="s">
        <v>4639</v>
      </c>
      <c r="D384" t="s">
        <v>8026</v>
      </c>
      <c r="E384">
        <v>34</v>
      </c>
      <c r="F384" s="6">
        <v>3900000000</v>
      </c>
      <c r="G384" s="6">
        <v>4933000000</v>
      </c>
      <c r="H384">
        <v>307</v>
      </c>
      <c r="I384" t="s">
        <v>8316</v>
      </c>
    </row>
    <row r="385" spans="1:9" x14ac:dyDescent="0.25">
      <c r="A385" t="s">
        <v>74</v>
      </c>
      <c r="B385">
        <v>319</v>
      </c>
      <c r="C385" t="s">
        <v>3140</v>
      </c>
      <c r="D385" t="s">
        <v>3139</v>
      </c>
      <c r="E385">
        <v>34</v>
      </c>
      <c r="F385" s="6">
        <v>2700000000</v>
      </c>
      <c r="G385" s="6">
        <v>3451000000</v>
      </c>
      <c r="H385">
        <v>343</v>
      </c>
      <c r="I385" t="s">
        <v>8317</v>
      </c>
    </row>
    <row r="386" spans="1:9" x14ac:dyDescent="0.25">
      <c r="A386" t="s">
        <v>74</v>
      </c>
      <c r="B386">
        <v>359</v>
      </c>
      <c r="C386" t="s">
        <v>5046</v>
      </c>
      <c r="D386" t="s">
        <v>3521</v>
      </c>
      <c r="E386">
        <v>34</v>
      </c>
      <c r="F386" s="6">
        <v>4150000000</v>
      </c>
      <c r="G386" s="6">
        <v>5310000000</v>
      </c>
      <c r="H386">
        <v>383</v>
      </c>
      <c r="I386" t="s">
        <v>8318</v>
      </c>
    </row>
    <row r="387" spans="1:9" x14ac:dyDescent="0.25">
      <c r="A387" t="s">
        <v>74</v>
      </c>
      <c r="B387">
        <v>468</v>
      </c>
      <c r="C387" t="s">
        <v>635</v>
      </c>
      <c r="D387" t="s">
        <v>376</v>
      </c>
      <c r="E387">
        <v>34</v>
      </c>
      <c r="F387" s="6">
        <v>2000000000</v>
      </c>
      <c r="G387" s="6">
        <v>2155111111</v>
      </c>
      <c r="H387">
        <v>492</v>
      </c>
      <c r="I387" t="s">
        <v>8319</v>
      </c>
    </row>
    <row r="388" spans="1:9" x14ac:dyDescent="0.25">
      <c r="A388" t="s">
        <v>74</v>
      </c>
      <c r="B388">
        <v>514</v>
      </c>
      <c r="C388" t="s">
        <v>2737</v>
      </c>
      <c r="D388" t="s">
        <v>396</v>
      </c>
      <c r="E388">
        <v>34</v>
      </c>
      <c r="F388" s="6">
        <v>2450000000</v>
      </c>
      <c r="G388" s="6">
        <v>3161510000</v>
      </c>
      <c r="H388">
        <v>551</v>
      </c>
      <c r="I388" t="s">
        <v>8320</v>
      </c>
    </row>
    <row r="389" spans="1:9" x14ac:dyDescent="0.25">
      <c r="A389" t="s">
        <v>74</v>
      </c>
      <c r="B389">
        <v>528</v>
      </c>
      <c r="C389" t="s">
        <v>3260</v>
      </c>
      <c r="D389" t="s">
        <v>191</v>
      </c>
      <c r="E389">
        <v>34</v>
      </c>
      <c r="F389" s="6">
        <v>2900000000</v>
      </c>
      <c r="G389" s="6">
        <v>3566666667</v>
      </c>
      <c r="H389">
        <v>565</v>
      </c>
      <c r="I389" t="s">
        <v>8321</v>
      </c>
    </row>
    <row r="390" spans="1:9" x14ac:dyDescent="0.25">
      <c r="A390" t="s">
        <v>74</v>
      </c>
      <c r="B390">
        <v>605</v>
      </c>
      <c r="C390" t="s">
        <v>4190</v>
      </c>
      <c r="D390" t="s">
        <v>3210</v>
      </c>
      <c r="E390">
        <v>34</v>
      </c>
      <c r="F390" s="6">
        <v>3500000000</v>
      </c>
      <c r="G390" s="6">
        <v>4215263253</v>
      </c>
      <c r="H390">
        <v>642</v>
      </c>
      <c r="I390" t="s">
        <v>8322</v>
      </c>
    </row>
    <row r="391" spans="1:9" x14ac:dyDescent="0.25">
      <c r="A391" t="s">
        <v>74</v>
      </c>
      <c r="B391">
        <v>614</v>
      </c>
      <c r="C391" t="s">
        <v>4205</v>
      </c>
      <c r="D391" t="s">
        <v>3210</v>
      </c>
      <c r="E391">
        <v>34</v>
      </c>
      <c r="F391" s="6">
        <v>3500000000</v>
      </c>
      <c r="G391" s="6">
        <v>4339999999</v>
      </c>
      <c r="H391">
        <v>651</v>
      </c>
      <c r="I391" t="s">
        <v>8323</v>
      </c>
    </row>
    <row r="392" spans="1:9" x14ac:dyDescent="0.25">
      <c r="A392" t="s">
        <v>74</v>
      </c>
      <c r="B392">
        <v>22</v>
      </c>
      <c r="C392" t="s">
        <v>4610</v>
      </c>
      <c r="D392" t="s">
        <v>4609</v>
      </c>
      <c r="E392">
        <v>33</v>
      </c>
      <c r="F392" s="6">
        <v>3900000000</v>
      </c>
      <c r="G392" s="6">
        <v>12888888888</v>
      </c>
      <c r="H392">
        <v>22</v>
      </c>
      <c r="I392" t="s">
        <v>8324</v>
      </c>
    </row>
    <row r="393" spans="1:9" x14ac:dyDescent="0.25">
      <c r="A393" t="s">
        <v>74</v>
      </c>
      <c r="B393">
        <v>58</v>
      </c>
      <c r="C393" t="s">
        <v>679</v>
      </c>
      <c r="D393" t="s">
        <v>376</v>
      </c>
      <c r="E393">
        <v>33</v>
      </c>
      <c r="F393" s="6">
        <v>2000000000</v>
      </c>
      <c r="G393" s="6">
        <v>2217770000</v>
      </c>
      <c r="H393">
        <v>58</v>
      </c>
      <c r="I393" t="s">
        <v>8325</v>
      </c>
    </row>
    <row r="394" spans="1:9" x14ac:dyDescent="0.25">
      <c r="A394" t="s">
        <v>74</v>
      </c>
      <c r="B394">
        <v>64</v>
      </c>
      <c r="C394" t="s">
        <v>718</v>
      </c>
      <c r="D394" t="s">
        <v>376</v>
      </c>
      <c r="E394">
        <v>33</v>
      </c>
      <c r="F394" s="6">
        <v>2000000000</v>
      </c>
      <c r="G394" s="6">
        <v>2144444444</v>
      </c>
      <c r="H394">
        <v>64</v>
      </c>
      <c r="I394" t="s">
        <v>8326</v>
      </c>
    </row>
    <row r="395" spans="1:9" x14ac:dyDescent="0.25">
      <c r="A395" t="s">
        <v>74</v>
      </c>
      <c r="B395">
        <v>68</v>
      </c>
      <c r="C395" t="s">
        <v>738</v>
      </c>
      <c r="D395" t="s">
        <v>376</v>
      </c>
      <c r="E395">
        <v>33</v>
      </c>
      <c r="F395" s="6">
        <v>2000000000</v>
      </c>
      <c r="G395" s="6">
        <v>2179899999</v>
      </c>
      <c r="H395">
        <v>68</v>
      </c>
      <c r="I395" t="s">
        <v>8327</v>
      </c>
    </row>
    <row r="396" spans="1:9" x14ac:dyDescent="0.25">
      <c r="A396" t="s">
        <v>74</v>
      </c>
      <c r="B396">
        <v>70</v>
      </c>
      <c r="C396" t="s">
        <v>748</v>
      </c>
      <c r="D396" t="s">
        <v>376</v>
      </c>
      <c r="E396">
        <v>33</v>
      </c>
      <c r="F396" s="6">
        <v>2000000000</v>
      </c>
      <c r="G396" s="6">
        <v>2148785000</v>
      </c>
      <c r="H396">
        <v>70</v>
      </c>
      <c r="I396" t="s">
        <v>8328</v>
      </c>
    </row>
    <row r="397" spans="1:9" x14ac:dyDescent="0.25">
      <c r="A397" t="s">
        <v>74</v>
      </c>
      <c r="B397">
        <v>87</v>
      </c>
      <c r="C397" t="s">
        <v>1170</v>
      </c>
      <c r="D397" t="s">
        <v>376</v>
      </c>
      <c r="E397">
        <v>33</v>
      </c>
      <c r="F397" s="6">
        <v>2000000000</v>
      </c>
      <c r="G397" s="6">
        <v>2107778777</v>
      </c>
      <c r="H397">
        <v>87</v>
      </c>
      <c r="I397" t="s">
        <v>8329</v>
      </c>
    </row>
    <row r="398" spans="1:9" x14ac:dyDescent="0.25">
      <c r="A398" t="s">
        <v>74</v>
      </c>
      <c r="B398">
        <v>88</v>
      </c>
      <c r="C398" t="s">
        <v>1037</v>
      </c>
      <c r="D398" t="s">
        <v>376</v>
      </c>
      <c r="E398">
        <v>33</v>
      </c>
      <c r="F398" s="6">
        <v>2000000000</v>
      </c>
      <c r="G398" s="6">
        <v>2040000000</v>
      </c>
      <c r="H398">
        <v>88</v>
      </c>
      <c r="I398" t="s">
        <v>8330</v>
      </c>
    </row>
    <row r="399" spans="1:9" x14ac:dyDescent="0.25">
      <c r="A399" t="s">
        <v>74</v>
      </c>
      <c r="B399">
        <v>113</v>
      </c>
      <c r="C399" t="s">
        <v>1175</v>
      </c>
      <c r="D399" t="s">
        <v>376</v>
      </c>
      <c r="E399">
        <v>33</v>
      </c>
      <c r="F399" s="6">
        <v>2000000000</v>
      </c>
      <c r="G399" s="6">
        <v>2188888888</v>
      </c>
      <c r="H399">
        <v>113</v>
      </c>
      <c r="I399" t="s">
        <v>8331</v>
      </c>
    </row>
    <row r="400" spans="1:9" x14ac:dyDescent="0.25">
      <c r="A400" t="s">
        <v>74</v>
      </c>
      <c r="B400">
        <v>123</v>
      </c>
      <c r="C400" t="s">
        <v>1042</v>
      </c>
      <c r="D400" t="s">
        <v>376</v>
      </c>
      <c r="E400">
        <v>33</v>
      </c>
      <c r="F400" s="6">
        <v>2000000000</v>
      </c>
      <c r="G400" s="6">
        <v>2166000000</v>
      </c>
      <c r="H400">
        <v>123</v>
      </c>
      <c r="I400" t="s">
        <v>8332</v>
      </c>
    </row>
    <row r="401" spans="1:9" x14ac:dyDescent="0.25">
      <c r="A401" t="s">
        <v>74</v>
      </c>
      <c r="B401">
        <v>161</v>
      </c>
      <c r="C401" t="s">
        <v>1181</v>
      </c>
      <c r="D401" t="s">
        <v>376</v>
      </c>
      <c r="E401">
        <v>33</v>
      </c>
      <c r="F401" s="6">
        <v>2000000000</v>
      </c>
      <c r="G401" s="6">
        <v>2220000000</v>
      </c>
      <c r="H401">
        <v>161</v>
      </c>
      <c r="I401" t="s">
        <v>8333</v>
      </c>
    </row>
    <row r="402" spans="1:9" x14ac:dyDescent="0.25">
      <c r="A402" t="s">
        <v>74</v>
      </c>
      <c r="B402">
        <v>164</v>
      </c>
      <c r="C402" t="s">
        <v>1047</v>
      </c>
      <c r="D402" t="s">
        <v>376</v>
      </c>
      <c r="E402">
        <v>33</v>
      </c>
      <c r="F402" s="6">
        <v>2000000000</v>
      </c>
      <c r="G402" s="6">
        <v>2173765432</v>
      </c>
      <c r="H402">
        <v>164</v>
      </c>
      <c r="I402" t="s">
        <v>8334</v>
      </c>
    </row>
    <row r="403" spans="1:9" x14ac:dyDescent="0.25">
      <c r="A403" t="s">
        <v>74</v>
      </c>
      <c r="B403">
        <v>168</v>
      </c>
      <c r="C403" t="s">
        <v>1186</v>
      </c>
      <c r="D403" t="s">
        <v>376</v>
      </c>
      <c r="E403">
        <v>33</v>
      </c>
      <c r="F403" s="6">
        <v>2000000000</v>
      </c>
      <c r="G403" s="6">
        <v>2211345999</v>
      </c>
      <c r="H403">
        <v>168</v>
      </c>
      <c r="I403" t="s">
        <v>8335</v>
      </c>
    </row>
    <row r="404" spans="1:9" x14ac:dyDescent="0.25">
      <c r="A404" t="s">
        <v>74</v>
      </c>
      <c r="B404">
        <v>169</v>
      </c>
      <c r="C404" t="s">
        <v>773</v>
      </c>
      <c r="D404" t="s">
        <v>376</v>
      </c>
      <c r="E404">
        <v>33</v>
      </c>
      <c r="F404" s="6">
        <v>2000000000</v>
      </c>
      <c r="G404" s="6">
        <v>2111000000</v>
      </c>
      <c r="H404">
        <v>169</v>
      </c>
      <c r="I404" t="s">
        <v>8336</v>
      </c>
    </row>
    <row r="405" spans="1:9" x14ac:dyDescent="0.25">
      <c r="A405" t="s">
        <v>74</v>
      </c>
      <c r="B405">
        <v>184</v>
      </c>
      <c r="C405" t="s">
        <v>832</v>
      </c>
      <c r="D405" t="s">
        <v>376</v>
      </c>
      <c r="E405">
        <v>33</v>
      </c>
      <c r="F405" s="6">
        <v>2000000000</v>
      </c>
      <c r="H405">
        <v>184</v>
      </c>
      <c r="I405" t="s">
        <v>8337</v>
      </c>
    </row>
    <row r="406" spans="1:9" x14ac:dyDescent="0.25">
      <c r="A406" t="s">
        <v>74</v>
      </c>
      <c r="B406">
        <v>185</v>
      </c>
      <c r="C406" t="s">
        <v>778</v>
      </c>
      <c r="D406" t="s">
        <v>376</v>
      </c>
      <c r="E406">
        <v>33</v>
      </c>
      <c r="F406" s="6">
        <v>2000000000</v>
      </c>
      <c r="G406" s="6">
        <v>2125580000</v>
      </c>
      <c r="H406">
        <v>185</v>
      </c>
      <c r="I406" t="s">
        <v>8338</v>
      </c>
    </row>
    <row r="407" spans="1:9" x14ac:dyDescent="0.25">
      <c r="A407" t="s">
        <v>74</v>
      </c>
      <c r="B407">
        <v>192</v>
      </c>
      <c r="C407" t="s">
        <v>838</v>
      </c>
      <c r="D407" t="s">
        <v>376</v>
      </c>
      <c r="E407">
        <v>33</v>
      </c>
      <c r="F407" s="6">
        <v>2000000000</v>
      </c>
      <c r="G407" s="6">
        <v>2122000000</v>
      </c>
      <c r="H407">
        <v>192</v>
      </c>
      <c r="I407" t="s">
        <v>8339</v>
      </c>
    </row>
    <row r="408" spans="1:9" x14ac:dyDescent="0.25">
      <c r="A408" t="s">
        <v>74</v>
      </c>
      <c r="B408">
        <v>321</v>
      </c>
      <c r="C408" t="s">
        <v>3134</v>
      </c>
      <c r="D408" t="s">
        <v>2476</v>
      </c>
      <c r="E408">
        <v>33</v>
      </c>
      <c r="F408" s="6">
        <v>2700000000</v>
      </c>
      <c r="G408" s="6">
        <v>3320000000</v>
      </c>
      <c r="H408">
        <v>345</v>
      </c>
      <c r="I408" t="s">
        <v>8340</v>
      </c>
    </row>
    <row r="409" spans="1:9" x14ac:dyDescent="0.25">
      <c r="A409" t="s">
        <v>74</v>
      </c>
      <c r="B409">
        <v>329</v>
      </c>
      <c r="C409" t="s">
        <v>3040</v>
      </c>
      <c r="D409" t="s">
        <v>2416</v>
      </c>
      <c r="E409">
        <v>33</v>
      </c>
      <c r="F409" s="6">
        <v>2600000000</v>
      </c>
      <c r="G409" s="6">
        <v>3267322300</v>
      </c>
      <c r="H409">
        <v>353</v>
      </c>
      <c r="I409" t="s">
        <v>8341</v>
      </c>
    </row>
    <row r="410" spans="1:9" x14ac:dyDescent="0.25">
      <c r="A410" t="s">
        <v>74</v>
      </c>
      <c r="B410">
        <v>402</v>
      </c>
      <c r="C410" t="s">
        <v>5297</v>
      </c>
      <c r="D410" t="s">
        <v>8183</v>
      </c>
      <c r="E410">
        <v>33</v>
      </c>
      <c r="F410" s="6">
        <v>4900000000</v>
      </c>
      <c r="G410" s="6">
        <v>5030000000</v>
      </c>
      <c r="H410">
        <v>426</v>
      </c>
      <c r="I410" t="s">
        <v>8342</v>
      </c>
    </row>
    <row r="411" spans="1:9" x14ac:dyDescent="0.25">
      <c r="A411" t="s">
        <v>74</v>
      </c>
      <c r="B411">
        <v>616</v>
      </c>
      <c r="C411" t="s">
        <v>4147</v>
      </c>
      <c r="D411" t="s">
        <v>3210</v>
      </c>
      <c r="E411">
        <v>33</v>
      </c>
      <c r="F411" s="6">
        <v>3500000000</v>
      </c>
      <c r="G411" s="6">
        <v>4333000000</v>
      </c>
      <c r="H411">
        <v>653</v>
      </c>
      <c r="I411" t="s">
        <v>8343</v>
      </c>
    </row>
    <row r="412" spans="1:9" x14ac:dyDescent="0.25">
      <c r="A412" t="s">
        <v>74</v>
      </c>
      <c r="B412">
        <v>54</v>
      </c>
      <c r="C412" t="s">
        <v>651</v>
      </c>
      <c r="D412" t="s">
        <v>376</v>
      </c>
      <c r="E412">
        <v>32</v>
      </c>
      <c r="F412" s="6">
        <v>2000000000</v>
      </c>
      <c r="G412" s="6">
        <v>2333333333</v>
      </c>
      <c r="H412">
        <v>54</v>
      </c>
      <c r="I412" t="s">
        <v>8344</v>
      </c>
    </row>
    <row r="413" spans="1:9" x14ac:dyDescent="0.25">
      <c r="A413" t="s">
        <v>74</v>
      </c>
      <c r="B413">
        <v>77</v>
      </c>
      <c r="C413" t="s">
        <v>843</v>
      </c>
      <c r="D413" t="s">
        <v>376</v>
      </c>
      <c r="E413">
        <v>32</v>
      </c>
      <c r="F413" s="6">
        <v>2000000000</v>
      </c>
      <c r="G413" s="6">
        <v>2150000000</v>
      </c>
      <c r="H413">
        <v>77</v>
      </c>
      <c r="I413" t="s">
        <v>8345</v>
      </c>
    </row>
    <row r="414" spans="1:9" x14ac:dyDescent="0.25">
      <c r="A414" t="s">
        <v>74</v>
      </c>
      <c r="B414">
        <v>86</v>
      </c>
      <c r="C414" t="s">
        <v>783</v>
      </c>
      <c r="D414" t="s">
        <v>376</v>
      </c>
      <c r="E414">
        <v>32</v>
      </c>
      <c r="F414" s="6">
        <v>2000000000</v>
      </c>
      <c r="G414" s="6">
        <v>2157999000</v>
      </c>
      <c r="H414">
        <v>86</v>
      </c>
      <c r="I414" t="s">
        <v>8346</v>
      </c>
    </row>
    <row r="415" spans="1:9" x14ac:dyDescent="0.25">
      <c r="A415" t="s">
        <v>74</v>
      </c>
      <c r="B415">
        <v>135</v>
      </c>
      <c r="C415" t="s">
        <v>848</v>
      </c>
      <c r="D415" t="s">
        <v>376</v>
      </c>
      <c r="E415">
        <v>32</v>
      </c>
      <c r="F415" s="6">
        <v>2000000000</v>
      </c>
      <c r="G415" s="6">
        <v>2121650000</v>
      </c>
      <c r="H415">
        <v>135</v>
      </c>
      <c r="I415" t="s">
        <v>8347</v>
      </c>
    </row>
    <row r="416" spans="1:9" x14ac:dyDescent="0.25">
      <c r="A416" t="s">
        <v>74</v>
      </c>
      <c r="B416">
        <v>147</v>
      </c>
      <c r="C416" t="s">
        <v>526</v>
      </c>
      <c r="D416" t="s">
        <v>376</v>
      </c>
      <c r="E416">
        <v>32</v>
      </c>
      <c r="F416" s="6">
        <v>1980000000</v>
      </c>
      <c r="G416" s="6">
        <v>2124853699</v>
      </c>
      <c r="H416">
        <v>147</v>
      </c>
      <c r="I416" t="s">
        <v>8348</v>
      </c>
    </row>
    <row r="417" spans="1:9" x14ac:dyDescent="0.25">
      <c r="A417" t="s">
        <v>74</v>
      </c>
      <c r="B417">
        <v>165</v>
      </c>
      <c r="C417" t="s">
        <v>854</v>
      </c>
      <c r="D417" t="s">
        <v>376</v>
      </c>
      <c r="E417">
        <v>32</v>
      </c>
      <c r="F417" s="6">
        <v>2000000000</v>
      </c>
      <c r="G417" s="6">
        <v>2111000000</v>
      </c>
      <c r="H417">
        <v>165</v>
      </c>
      <c r="I417" t="s">
        <v>8349</v>
      </c>
    </row>
    <row r="418" spans="1:9" x14ac:dyDescent="0.25">
      <c r="A418" t="s">
        <v>74</v>
      </c>
      <c r="B418">
        <v>204</v>
      </c>
      <c r="C418" t="s">
        <v>788</v>
      </c>
      <c r="D418" t="s">
        <v>376</v>
      </c>
      <c r="E418">
        <v>32</v>
      </c>
      <c r="F418" s="6">
        <v>2000000000</v>
      </c>
      <c r="G418" s="6">
        <v>2178787877</v>
      </c>
      <c r="H418">
        <v>204</v>
      </c>
      <c r="I418" t="s">
        <v>8350</v>
      </c>
    </row>
    <row r="419" spans="1:9" x14ac:dyDescent="0.25">
      <c r="A419" t="s">
        <v>74</v>
      </c>
      <c r="B419">
        <v>320</v>
      </c>
      <c r="C419" t="s">
        <v>3063</v>
      </c>
      <c r="D419" t="s">
        <v>2476</v>
      </c>
      <c r="E419">
        <v>32</v>
      </c>
      <c r="F419" s="6">
        <v>2630000000</v>
      </c>
      <c r="G419" s="6">
        <v>3339999999</v>
      </c>
      <c r="H419">
        <v>344</v>
      </c>
      <c r="I419" t="s">
        <v>8351</v>
      </c>
    </row>
    <row r="420" spans="1:9" x14ac:dyDescent="0.25">
      <c r="A420" t="s">
        <v>74</v>
      </c>
      <c r="B420">
        <v>374</v>
      </c>
      <c r="C420" t="s">
        <v>2931</v>
      </c>
      <c r="D420" t="s">
        <v>316</v>
      </c>
      <c r="E420">
        <v>32</v>
      </c>
      <c r="F420" s="6">
        <v>2520000000</v>
      </c>
      <c r="G420" s="6">
        <v>3780000000</v>
      </c>
      <c r="H420">
        <v>398</v>
      </c>
      <c r="I420" t="s">
        <v>8352</v>
      </c>
    </row>
    <row r="421" spans="1:9" x14ac:dyDescent="0.25">
      <c r="A421" t="s">
        <v>74</v>
      </c>
      <c r="B421">
        <v>396</v>
      </c>
      <c r="C421" t="s">
        <v>5266</v>
      </c>
      <c r="D421" t="s">
        <v>8094</v>
      </c>
      <c r="E421">
        <v>32</v>
      </c>
      <c r="F421" s="6">
        <v>4800000000</v>
      </c>
      <c r="G421" s="6">
        <v>5677777777</v>
      </c>
      <c r="H421">
        <v>420</v>
      </c>
      <c r="I421" t="s">
        <v>8353</v>
      </c>
    </row>
    <row r="422" spans="1:9" x14ac:dyDescent="0.25">
      <c r="A422" t="s">
        <v>74</v>
      </c>
      <c r="B422">
        <v>413</v>
      </c>
      <c r="C422" t="s">
        <v>2846</v>
      </c>
      <c r="D422" t="s">
        <v>325</v>
      </c>
      <c r="E422">
        <v>32</v>
      </c>
      <c r="F422" s="6">
        <v>2500000000</v>
      </c>
      <c r="G422" s="6">
        <v>3234987500</v>
      </c>
      <c r="H422">
        <v>437</v>
      </c>
      <c r="I422" t="s">
        <v>8354</v>
      </c>
    </row>
    <row r="423" spans="1:9" x14ac:dyDescent="0.25">
      <c r="A423" t="s">
        <v>74</v>
      </c>
      <c r="B423">
        <v>427</v>
      </c>
      <c r="C423" t="s">
        <v>4629</v>
      </c>
      <c r="D423" t="s">
        <v>8026</v>
      </c>
      <c r="E423">
        <v>32</v>
      </c>
      <c r="F423" s="6">
        <v>3900000000</v>
      </c>
      <c r="G423" s="6">
        <v>4611000000</v>
      </c>
      <c r="H423">
        <v>451</v>
      </c>
      <c r="I423" t="s">
        <v>8355</v>
      </c>
    </row>
    <row r="424" spans="1:9" x14ac:dyDescent="0.25">
      <c r="A424" t="s">
        <v>74</v>
      </c>
      <c r="B424">
        <v>513</v>
      </c>
      <c r="C424" t="s">
        <v>2635</v>
      </c>
      <c r="D424" t="s">
        <v>1418</v>
      </c>
      <c r="E424">
        <v>32</v>
      </c>
      <c r="F424" s="6">
        <v>2400000000</v>
      </c>
      <c r="G424" s="6">
        <v>2936899999</v>
      </c>
      <c r="H424">
        <v>550</v>
      </c>
      <c r="I424" t="s">
        <v>8356</v>
      </c>
    </row>
    <row r="425" spans="1:9" x14ac:dyDescent="0.25">
      <c r="A425" t="s">
        <v>74</v>
      </c>
      <c r="B425">
        <v>540</v>
      </c>
      <c r="C425" t="s">
        <v>3532</v>
      </c>
      <c r="D425" t="s">
        <v>3250</v>
      </c>
      <c r="E425">
        <v>32</v>
      </c>
      <c r="F425" s="6">
        <v>3250000000</v>
      </c>
      <c r="G425" s="6">
        <v>3850000990</v>
      </c>
      <c r="H425">
        <v>577</v>
      </c>
      <c r="I425" t="s">
        <v>8357</v>
      </c>
    </row>
    <row r="426" spans="1:9" x14ac:dyDescent="0.25">
      <c r="A426" t="s">
        <v>74</v>
      </c>
      <c r="B426">
        <v>552</v>
      </c>
      <c r="C426" t="s">
        <v>3528</v>
      </c>
      <c r="D426" t="s">
        <v>191</v>
      </c>
      <c r="E426">
        <v>32</v>
      </c>
      <c r="F426" s="6">
        <v>3250000000</v>
      </c>
      <c r="G426" s="6">
        <v>3661888000</v>
      </c>
      <c r="H426">
        <v>589</v>
      </c>
      <c r="I426" t="s">
        <v>8358</v>
      </c>
    </row>
    <row r="427" spans="1:9" x14ac:dyDescent="0.25">
      <c r="A427" t="s">
        <v>74</v>
      </c>
      <c r="B427">
        <v>555</v>
      </c>
      <c r="C427" t="s">
        <v>3607</v>
      </c>
      <c r="D427" t="s">
        <v>191</v>
      </c>
      <c r="E427">
        <v>32</v>
      </c>
      <c r="F427" s="6">
        <v>3300000000</v>
      </c>
      <c r="G427" s="6">
        <v>3850000000</v>
      </c>
      <c r="H427">
        <v>592</v>
      </c>
      <c r="I427" t="s">
        <v>8359</v>
      </c>
    </row>
    <row r="428" spans="1:9" x14ac:dyDescent="0.25">
      <c r="A428" t="s">
        <v>74</v>
      </c>
      <c r="B428">
        <v>621</v>
      </c>
      <c r="C428" t="s">
        <v>3898</v>
      </c>
      <c r="D428" t="s">
        <v>3210</v>
      </c>
      <c r="E428">
        <v>32</v>
      </c>
      <c r="F428" s="6">
        <v>3450000000</v>
      </c>
      <c r="G428" s="6">
        <v>4208510000</v>
      </c>
      <c r="H428">
        <v>658</v>
      </c>
      <c r="I428" t="s">
        <v>8360</v>
      </c>
    </row>
    <row r="429" spans="1:9" x14ac:dyDescent="0.25">
      <c r="A429" t="s">
        <v>74</v>
      </c>
      <c r="B429">
        <v>632</v>
      </c>
      <c r="C429" t="s">
        <v>4152</v>
      </c>
      <c r="D429" t="s">
        <v>3210</v>
      </c>
      <c r="E429">
        <v>32</v>
      </c>
      <c r="F429" s="6">
        <v>3500000000</v>
      </c>
      <c r="G429" s="6">
        <v>4372150000</v>
      </c>
      <c r="H429">
        <v>669</v>
      </c>
      <c r="I429" t="s">
        <v>8361</v>
      </c>
    </row>
    <row r="430" spans="1:9" x14ac:dyDescent="0.25">
      <c r="A430" t="s">
        <v>74</v>
      </c>
      <c r="B430">
        <v>71</v>
      </c>
      <c r="C430" t="s">
        <v>753</v>
      </c>
      <c r="D430" t="s">
        <v>376</v>
      </c>
      <c r="E430">
        <v>31</v>
      </c>
      <c r="F430" s="6">
        <v>2000000000</v>
      </c>
      <c r="G430" s="6">
        <v>2231210000</v>
      </c>
      <c r="H430">
        <v>71</v>
      </c>
      <c r="I430" t="s">
        <v>8362</v>
      </c>
    </row>
    <row r="431" spans="1:9" x14ac:dyDescent="0.25">
      <c r="A431" t="s">
        <v>74</v>
      </c>
      <c r="B431">
        <v>150</v>
      </c>
      <c r="C431" t="s">
        <v>859</v>
      </c>
      <c r="D431" t="s">
        <v>376</v>
      </c>
      <c r="E431">
        <v>31</v>
      </c>
      <c r="F431" s="6">
        <v>2000000000</v>
      </c>
      <c r="G431" s="6">
        <v>2533333330</v>
      </c>
      <c r="H431">
        <v>150</v>
      </c>
      <c r="I431" t="s">
        <v>8363</v>
      </c>
    </row>
    <row r="432" spans="1:9" x14ac:dyDescent="0.25">
      <c r="A432" t="s">
        <v>74</v>
      </c>
      <c r="B432">
        <v>153</v>
      </c>
      <c r="C432" t="s">
        <v>532</v>
      </c>
      <c r="D432" t="s">
        <v>376</v>
      </c>
      <c r="E432">
        <v>31</v>
      </c>
      <c r="F432" s="6">
        <v>1980000000</v>
      </c>
      <c r="G432" s="6">
        <v>2113000000</v>
      </c>
      <c r="H432">
        <v>153</v>
      </c>
      <c r="I432" t="s">
        <v>8364</v>
      </c>
    </row>
    <row r="433" spans="1:9" x14ac:dyDescent="0.25">
      <c r="A433" t="s">
        <v>74</v>
      </c>
      <c r="B433">
        <v>156</v>
      </c>
      <c r="C433" t="s">
        <v>864</v>
      </c>
      <c r="D433" t="s">
        <v>376</v>
      </c>
      <c r="E433">
        <v>31</v>
      </c>
      <c r="F433" s="6">
        <v>2000000000</v>
      </c>
      <c r="G433" s="6">
        <v>2188888888</v>
      </c>
      <c r="H433">
        <v>156</v>
      </c>
      <c r="I433" t="s">
        <v>8365</v>
      </c>
    </row>
    <row r="434" spans="1:9" x14ac:dyDescent="0.25">
      <c r="A434" t="s">
        <v>74</v>
      </c>
      <c r="B434">
        <v>157</v>
      </c>
      <c r="C434" t="s">
        <v>538</v>
      </c>
      <c r="D434" t="s">
        <v>376</v>
      </c>
      <c r="E434">
        <v>31</v>
      </c>
      <c r="F434" s="6">
        <v>1980000000</v>
      </c>
      <c r="G434" s="6">
        <v>2144444444</v>
      </c>
      <c r="H434">
        <v>157</v>
      </c>
      <c r="I434" t="s">
        <v>8366</v>
      </c>
    </row>
    <row r="435" spans="1:9" x14ac:dyDescent="0.25">
      <c r="A435" t="s">
        <v>74</v>
      </c>
      <c r="B435">
        <v>160</v>
      </c>
      <c r="C435" t="s">
        <v>869</v>
      </c>
      <c r="D435" t="s">
        <v>376</v>
      </c>
      <c r="E435">
        <v>31</v>
      </c>
      <c r="F435" s="6">
        <v>2000000000</v>
      </c>
      <c r="G435" s="6">
        <v>2212000010</v>
      </c>
      <c r="H435">
        <v>160</v>
      </c>
      <c r="I435" t="s">
        <v>8367</v>
      </c>
    </row>
    <row r="436" spans="1:9" x14ac:dyDescent="0.25">
      <c r="A436" t="s">
        <v>74</v>
      </c>
      <c r="B436">
        <v>188</v>
      </c>
      <c r="C436" t="s">
        <v>793</v>
      </c>
      <c r="D436" t="s">
        <v>376</v>
      </c>
      <c r="E436">
        <v>31</v>
      </c>
      <c r="F436" s="6">
        <v>2000000000</v>
      </c>
      <c r="G436" s="6">
        <v>2141575170</v>
      </c>
      <c r="H436">
        <v>188</v>
      </c>
      <c r="I436" t="s">
        <v>8368</v>
      </c>
    </row>
    <row r="437" spans="1:9" x14ac:dyDescent="0.25">
      <c r="A437" t="s">
        <v>74</v>
      </c>
      <c r="B437">
        <v>205</v>
      </c>
      <c r="C437" t="s">
        <v>874</v>
      </c>
      <c r="D437" t="s">
        <v>376</v>
      </c>
      <c r="E437">
        <v>31</v>
      </c>
      <c r="F437" s="6">
        <v>2000000000</v>
      </c>
      <c r="G437" s="6">
        <v>2167999000</v>
      </c>
      <c r="H437">
        <v>205</v>
      </c>
      <c r="I437" t="s">
        <v>8369</v>
      </c>
    </row>
    <row r="438" spans="1:9" x14ac:dyDescent="0.25">
      <c r="A438" t="s">
        <v>74</v>
      </c>
      <c r="B438">
        <v>267</v>
      </c>
      <c r="C438" t="s">
        <v>4484</v>
      </c>
      <c r="D438" t="s">
        <v>8035</v>
      </c>
      <c r="E438">
        <v>31</v>
      </c>
      <c r="F438" s="6">
        <v>3800000000</v>
      </c>
      <c r="G438" s="6">
        <v>4753399999</v>
      </c>
      <c r="H438">
        <v>291</v>
      </c>
      <c r="I438" t="s">
        <v>8370</v>
      </c>
    </row>
    <row r="439" spans="1:9" x14ac:dyDescent="0.25">
      <c r="A439" t="s">
        <v>74</v>
      </c>
      <c r="B439">
        <v>268</v>
      </c>
      <c r="C439" t="s">
        <v>4904</v>
      </c>
      <c r="D439" t="s">
        <v>8026</v>
      </c>
      <c r="E439">
        <v>31</v>
      </c>
      <c r="F439" s="6">
        <v>4080000000</v>
      </c>
      <c r="G439" s="6">
        <v>4895452139</v>
      </c>
      <c r="H439">
        <v>292</v>
      </c>
      <c r="I439" t="s">
        <v>8371</v>
      </c>
    </row>
    <row r="440" spans="1:9" x14ac:dyDescent="0.25">
      <c r="A440" t="s">
        <v>74</v>
      </c>
      <c r="B440">
        <v>270</v>
      </c>
      <c r="C440" t="s">
        <v>4763</v>
      </c>
      <c r="D440" t="s">
        <v>8026</v>
      </c>
      <c r="E440">
        <v>31</v>
      </c>
      <c r="F440" s="6">
        <v>3980000000</v>
      </c>
      <c r="G440" s="6">
        <v>4541999999</v>
      </c>
      <c r="H440">
        <v>294</v>
      </c>
      <c r="I440" t="s">
        <v>8372</v>
      </c>
    </row>
    <row r="441" spans="1:9" x14ac:dyDescent="0.25">
      <c r="A441" t="s">
        <v>74</v>
      </c>
      <c r="B441">
        <v>280</v>
      </c>
      <c r="C441" t="s">
        <v>4600</v>
      </c>
      <c r="D441" t="s">
        <v>8026</v>
      </c>
      <c r="E441">
        <v>31</v>
      </c>
      <c r="F441" s="6">
        <v>3890000000</v>
      </c>
      <c r="G441" s="6">
        <v>4500000001</v>
      </c>
      <c r="H441">
        <v>304</v>
      </c>
      <c r="I441" t="s">
        <v>8373</v>
      </c>
    </row>
    <row r="442" spans="1:9" x14ac:dyDescent="0.25">
      <c r="A442" t="s">
        <v>74</v>
      </c>
      <c r="B442">
        <v>56</v>
      </c>
      <c r="C442" t="s">
        <v>669</v>
      </c>
      <c r="D442" t="s">
        <v>376</v>
      </c>
      <c r="E442">
        <v>30</v>
      </c>
      <c r="F442" s="6">
        <v>2000000000</v>
      </c>
      <c r="G442" s="6">
        <v>2150000000</v>
      </c>
      <c r="H442">
        <v>56</v>
      </c>
      <c r="I442" t="s">
        <v>8374</v>
      </c>
    </row>
    <row r="443" spans="1:9" x14ac:dyDescent="0.25">
      <c r="A443" t="s">
        <v>74</v>
      </c>
      <c r="B443">
        <v>76</v>
      </c>
      <c r="C443" t="s">
        <v>879</v>
      </c>
      <c r="D443" t="s">
        <v>376</v>
      </c>
      <c r="E443">
        <v>30</v>
      </c>
      <c r="F443" s="6">
        <v>2000000000</v>
      </c>
      <c r="G443" s="6">
        <v>2171131109</v>
      </c>
      <c r="H443">
        <v>76</v>
      </c>
      <c r="I443" t="s">
        <v>8375</v>
      </c>
    </row>
    <row r="444" spans="1:9" x14ac:dyDescent="0.25">
      <c r="A444" t="s">
        <v>74</v>
      </c>
      <c r="B444">
        <v>108</v>
      </c>
      <c r="C444" t="s">
        <v>596</v>
      </c>
      <c r="D444" t="s">
        <v>376</v>
      </c>
      <c r="E444">
        <v>30</v>
      </c>
      <c r="F444" s="6">
        <v>2000000000</v>
      </c>
      <c r="G444" s="6">
        <v>2088999990</v>
      </c>
      <c r="H444">
        <v>108</v>
      </c>
      <c r="I444" t="s">
        <v>8376</v>
      </c>
    </row>
    <row r="445" spans="1:9" x14ac:dyDescent="0.25">
      <c r="A445" t="s">
        <v>74</v>
      </c>
      <c r="B445">
        <v>163</v>
      </c>
      <c r="C445" t="s">
        <v>885</v>
      </c>
      <c r="D445" t="s">
        <v>376</v>
      </c>
      <c r="E445">
        <v>30</v>
      </c>
      <c r="F445" s="6">
        <v>2000000000</v>
      </c>
      <c r="G445" s="6">
        <v>2240000000</v>
      </c>
      <c r="H445">
        <v>163</v>
      </c>
      <c r="I445" t="s">
        <v>8377</v>
      </c>
    </row>
    <row r="446" spans="1:9" x14ac:dyDescent="0.25">
      <c r="A446" t="s">
        <v>74</v>
      </c>
      <c r="B446">
        <v>202</v>
      </c>
      <c r="C446" t="s">
        <v>798</v>
      </c>
      <c r="D446" t="s">
        <v>376</v>
      </c>
      <c r="E446">
        <v>30</v>
      </c>
      <c r="F446" s="6">
        <v>2000000000</v>
      </c>
      <c r="G446" s="6">
        <v>2211190000</v>
      </c>
      <c r="H446">
        <v>202</v>
      </c>
      <c r="I446" t="s">
        <v>8378</v>
      </c>
    </row>
    <row r="447" spans="1:9" x14ac:dyDescent="0.25">
      <c r="A447" t="s">
        <v>74</v>
      </c>
      <c r="B447">
        <v>300</v>
      </c>
      <c r="C447" t="s">
        <v>4939</v>
      </c>
      <c r="D447" t="s">
        <v>8026</v>
      </c>
      <c r="E447">
        <v>30</v>
      </c>
      <c r="F447" s="6">
        <v>4100000000</v>
      </c>
      <c r="G447" s="6">
        <v>4615000000</v>
      </c>
      <c r="H447">
        <v>324</v>
      </c>
      <c r="I447" t="s">
        <v>8379</v>
      </c>
    </row>
    <row r="448" spans="1:9" x14ac:dyDescent="0.25">
      <c r="A448" t="s">
        <v>74</v>
      </c>
      <c r="B448">
        <v>301</v>
      </c>
      <c r="C448" t="s">
        <v>4977</v>
      </c>
      <c r="D448" t="s">
        <v>8035</v>
      </c>
      <c r="E448">
        <v>30</v>
      </c>
      <c r="F448" s="6">
        <v>4120000000</v>
      </c>
      <c r="G448" s="6">
        <v>4800000000</v>
      </c>
      <c r="H448">
        <v>325</v>
      </c>
      <c r="I448" t="s">
        <v>8380</v>
      </c>
    </row>
    <row r="449" spans="1:9" x14ac:dyDescent="0.25">
      <c r="A449" t="s">
        <v>74</v>
      </c>
      <c r="B449">
        <v>318</v>
      </c>
      <c r="C449" t="s">
        <v>2656</v>
      </c>
      <c r="D449" t="s">
        <v>2476</v>
      </c>
      <c r="E449">
        <v>30</v>
      </c>
      <c r="F449" s="6">
        <v>2400000000</v>
      </c>
      <c r="G449" s="6">
        <v>3077700000</v>
      </c>
      <c r="H449">
        <v>342</v>
      </c>
      <c r="I449" t="s">
        <v>8381</v>
      </c>
    </row>
    <row r="450" spans="1:9" x14ac:dyDescent="0.25">
      <c r="A450" t="s">
        <v>74</v>
      </c>
      <c r="B450">
        <v>326</v>
      </c>
      <c r="C450" t="s">
        <v>2640</v>
      </c>
      <c r="D450" t="s">
        <v>2476</v>
      </c>
      <c r="E450">
        <v>30</v>
      </c>
      <c r="F450" s="6">
        <v>2400000000</v>
      </c>
      <c r="G450" s="6">
        <v>3265500000</v>
      </c>
      <c r="H450">
        <v>350</v>
      </c>
      <c r="I450" t="s">
        <v>8382</v>
      </c>
    </row>
    <row r="451" spans="1:9" x14ac:dyDescent="0.25">
      <c r="A451" t="s">
        <v>74</v>
      </c>
      <c r="B451">
        <v>356</v>
      </c>
      <c r="C451" t="s">
        <v>4780</v>
      </c>
      <c r="D451" t="s">
        <v>3521</v>
      </c>
      <c r="E451">
        <v>30</v>
      </c>
      <c r="F451" s="6">
        <v>4000000000</v>
      </c>
      <c r="G451" s="6">
        <v>4960000000</v>
      </c>
      <c r="H451">
        <v>380</v>
      </c>
      <c r="I451" t="s">
        <v>8383</v>
      </c>
    </row>
    <row r="452" spans="1:9" x14ac:dyDescent="0.25">
      <c r="A452" t="s">
        <v>74</v>
      </c>
      <c r="B452">
        <v>367</v>
      </c>
      <c r="C452" t="s">
        <v>4338</v>
      </c>
      <c r="D452" t="s">
        <v>4337</v>
      </c>
      <c r="E452">
        <v>30</v>
      </c>
      <c r="F452" s="6">
        <v>3550000000</v>
      </c>
      <c r="G452" s="6">
        <v>4325999999</v>
      </c>
      <c r="H452">
        <v>391</v>
      </c>
      <c r="I452" t="s">
        <v>8384</v>
      </c>
    </row>
    <row r="453" spans="1:9" x14ac:dyDescent="0.25">
      <c r="A453" t="s">
        <v>74</v>
      </c>
      <c r="B453">
        <v>490</v>
      </c>
      <c r="C453" t="s">
        <v>2569</v>
      </c>
      <c r="D453" t="s">
        <v>2568</v>
      </c>
      <c r="E453">
        <v>30</v>
      </c>
      <c r="F453" s="6">
        <v>2350000000</v>
      </c>
      <c r="G453" s="6">
        <v>3000100000</v>
      </c>
      <c r="H453">
        <v>527</v>
      </c>
      <c r="I453" t="s">
        <v>8385</v>
      </c>
    </row>
    <row r="454" spans="1:9" x14ac:dyDescent="0.25">
      <c r="A454" t="s">
        <v>74</v>
      </c>
      <c r="B454">
        <v>512</v>
      </c>
      <c r="C454" t="s">
        <v>2727</v>
      </c>
      <c r="D454" t="s">
        <v>1418</v>
      </c>
      <c r="E454">
        <v>30</v>
      </c>
      <c r="F454" s="6">
        <v>2450000000</v>
      </c>
      <c r="G454" s="6">
        <v>3089999999</v>
      </c>
      <c r="H454">
        <v>549</v>
      </c>
      <c r="I454" t="s">
        <v>8386</v>
      </c>
    </row>
    <row r="455" spans="1:9" x14ac:dyDescent="0.25">
      <c r="A455" t="s">
        <v>74</v>
      </c>
      <c r="B455">
        <v>553</v>
      </c>
      <c r="C455" t="s">
        <v>3612</v>
      </c>
      <c r="D455" t="s">
        <v>191</v>
      </c>
      <c r="E455">
        <v>30</v>
      </c>
      <c r="F455" s="6">
        <v>3300000000</v>
      </c>
      <c r="G455" s="6">
        <v>3919999999</v>
      </c>
      <c r="H455">
        <v>590</v>
      </c>
      <c r="I455" t="s">
        <v>8387</v>
      </c>
    </row>
    <row r="456" spans="1:9" x14ac:dyDescent="0.25">
      <c r="A456" t="s">
        <v>74</v>
      </c>
      <c r="B456">
        <v>599</v>
      </c>
      <c r="C456" t="s">
        <v>4134</v>
      </c>
      <c r="D456" t="s">
        <v>3210</v>
      </c>
      <c r="E456">
        <v>30</v>
      </c>
      <c r="F456" s="6">
        <v>3500000000</v>
      </c>
      <c r="G456" s="6">
        <v>3983000000</v>
      </c>
      <c r="H456">
        <v>636</v>
      </c>
      <c r="I456" t="s">
        <v>8388</v>
      </c>
    </row>
    <row r="457" spans="1:9" x14ac:dyDescent="0.25">
      <c r="A457" t="s">
        <v>74</v>
      </c>
      <c r="B457">
        <v>624</v>
      </c>
      <c r="C457" t="s">
        <v>4157</v>
      </c>
      <c r="D457" t="s">
        <v>3210</v>
      </c>
      <c r="E457">
        <v>30</v>
      </c>
      <c r="F457" s="6">
        <v>3500000000</v>
      </c>
      <c r="G457" s="6">
        <v>4259999999</v>
      </c>
      <c r="H457">
        <v>661</v>
      </c>
      <c r="I457" t="s">
        <v>8389</v>
      </c>
    </row>
    <row r="458" spans="1:9" x14ac:dyDescent="0.25">
      <c r="A458" t="s">
        <v>74</v>
      </c>
      <c r="B458">
        <v>634</v>
      </c>
      <c r="C458" t="s">
        <v>3808</v>
      </c>
      <c r="D458" t="s">
        <v>3431</v>
      </c>
      <c r="E458">
        <v>30</v>
      </c>
      <c r="F458" s="6">
        <v>3400000000</v>
      </c>
      <c r="G458" s="6">
        <v>4060000000</v>
      </c>
      <c r="H458">
        <v>671</v>
      </c>
      <c r="I458" t="s">
        <v>8390</v>
      </c>
    </row>
    <row r="459" spans="1:9" x14ac:dyDescent="0.25">
      <c r="A459" t="s">
        <v>74</v>
      </c>
      <c r="B459">
        <v>65</v>
      </c>
      <c r="C459" t="s">
        <v>723</v>
      </c>
      <c r="D459" t="s">
        <v>376</v>
      </c>
      <c r="E459">
        <v>29</v>
      </c>
      <c r="F459" s="6">
        <v>2000000000</v>
      </c>
      <c r="G459" s="6">
        <v>2171111111</v>
      </c>
      <c r="H459">
        <v>65</v>
      </c>
      <c r="I459" t="s">
        <v>8391</v>
      </c>
    </row>
    <row r="460" spans="1:9" x14ac:dyDescent="0.25">
      <c r="A460" t="s">
        <v>74</v>
      </c>
      <c r="B460">
        <v>94</v>
      </c>
      <c r="C460" t="s">
        <v>802</v>
      </c>
      <c r="D460" t="s">
        <v>376</v>
      </c>
      <c r="E460">
        <v>29</v>
      </c>
      <c r="F460" s="6">
        <v>2000000000</v>
      </c>
      <c r="G460" s="6">
        <v>2180000000</v>
      </c>
      <c r="H460">
        <v>94</v>
      </c>
      <c r="I460" t="s">
        <v>8392</v>
      </c>
    </row>
    <row r="461" spans="1:9" x14ac:dyDescent="0.25">
      <c r="A461" t="s">
        <v>74</v>
      </c>
      <c r="B461">
        <v>170</v>
      </c>
      <c r="C461" t="s">
        <v>889</v>
      </c>
      <c r="D461" t="s">
        <v>376</v>
      </c>
      <c r="E461">
        <v>29</v>
      </c>
      <c r="F461" s="6">
        <v>2000000000</v>
      </c>
      <c r="G461" s="6">
        <v>2188888888</v>
      </c>
      <c r="H461">
        <v>170</v>
      </c>
      <c r="I461" t="s">
        <v>8393</v>
      </c>
    </row>
    <row r="462" spans="1:9" x14ac:dyDescent="0.25">
      <c r="A462" t="s">
        <v>74</v>
      </c>
      <c r="B462">
        <v>177</v>
      </c>
      <c r="C462" t="s">
        <v>807</v>
      </c>
      <c r="D462" t="s">
        <v>376</v>
      </c>
      <c r="E462">
        <v>29</v>
      </c>
      <c r="F462" s="6">
        <v>2000000000</v>
      </c>
      <c r="G462" s="6">
        <v>2323232323</v>
      </c>
      <c r="H462">
        <v>177</v>
      </c>
      <c r="I462" t="s">
        <v>8394</v>
      </c>
    </row>
    <row r="463" spans="1:9" x14ac:dyDescent="0.25">
      <c r="A463" t="s">
        <v>74</v>
      </c>
      <c r="B463">
        <v>193</v>
      </c>
      <c r="C463" t="s">
        <v>894</v>
      </c>
      <c r="D463" t="s">
        <v>376</v>
      </c>
      <c r="E463">
        <v>29</v>
      </c>
      <c r="F463" s="6">
        <v>2000000000</v>
      </c>
      <c r="G463" s="6">
        <v>2310000000</v>
      </c>
      <c r="H463">
        <v>193</v>
      </c>
      <c r="I463" t="s">
        <v>8395</v>
      </c>
    </row>
    <row r="464" spans="1:9" x14ac:dyDescent="0.25">
      <c r="A464" t="s">
        <v>74</v>
      </c>
      <c r="B464">
        <v>333</v>
      </c>
      <c r="C464" t="s">
        <v>2851</v>
      </c>
      <c r="D464" t="s">
        <v>2476</v>
      </c>
      <c r="E464">
        <v>29</v>
      </c>
      <c r="F464" s="6">
        <v>2500000000</v>
      </c>
      <c r="G464" s="6">
        <v>3933339999</v>
      </c>
      <c r="H464">
        <v>357</v>
      </c>
      <c r="I464" t="s">
        <v>8396</v>
      </c>
    </row>
    <row r="465" spans="1:9" x14ac:dyDescent="0.25">
      <c r="A465" t="s">
        <v>74</v>
      </c>
      <c r="B465">
        <v>354</v>
      </c>
      <c r="C465" t="s">
        <v>4785</v>
      </c>
      <c r="D465" t="s">
        <v>3478</v>
      </c>
      <c r="E465">
        <v>29</v>
      </c>
      <c r="F465" s="6">
        <v>4000000000</v>
      </c>
      <c r="G465" s="6">
        <v>4911999999</v>
      </c>
      <c r="H465">
        <v>378</v>
      </c>
      <c r="I465" t="s">
        <v>8397</v>
      </c>
    </row>
    <row r="466" spans="1:9" x14ac:dyDescent="0.25">
      <c r="A466" t="s">
        <v>74</v>
      </c>
      <c r="B466">
        <v>431</v>
      </c>
      <c r="C466" t="s">
        <v>4624</v>
      </c>
      <c r="D466" t="s">
        <v>8035</v>
      </c>
      <c r="E466">
        <v>29</v>
      </c>
      <c r="F466" s="6">
        <v>3900000000</v>
      </c>
      <c r="G466" s="6">
        <v>4731600000</v>
      </c>
      <c r="H466">
        <v>455</v>
      </c>
      <c r="I466" t="s">
        <v>8398</v>
      </c>
    </row>
    <row r="467" spans="1:9" x14ac:dyDescent="0.25">
      <c r="A467" t="s">
        <v>74</v>
      </c>
      <c r="B467">
        <v>609</v>
      </c>
      <c r="C467" t="s">
        <v>4162</v>
      </c>
      <c r="D467" t="s">
        <v>3210</v>
      </c>
      <c r="E467">
        <v>29</v>
      </c>
      <c r="F467" s="6">
        <v>3500000000</v>
      </c>
      <c r="G467" s="6">
        <v>4233332220</v>
      </c>
      <c r="H467">
        <v>646</v>
      </c>
      <c r="I467" t="s">
        <v>8399</v>
      </c>
    </row>
    <row r="468" spans="1:9" x14ac:dyDescent="0.25">
      <c r="A468" t="s">
        <v>74</v>
      </c>
      <c r="B468">
        <v>622</v>
      </c>
      <c r="C468" t="s">
        <v>3903</v>
      </c>
      <c r="D468" t="s">
        <v>3210</v>
      </c>
      <c r="E468">
        <v>29</v>
      </c>
      <c r="F468" s="6">
        <v>3450000000</v>
      </c>
      <c r="G468" s="6">
        <v>4300000000</v>
      </c>
      <c r="H468">
        <v>659</v>
      </c>
      <c r="I468" t="s">
        <v>8400</v>
      </c>
    </row>
    <row r="469" spans="1:9" x14ac:dyDescent="0.25">
      <c r="A469" t="s">
        <v>74</v>
      </c>
      <c r="B469">
        <v>628</v>
      </c>
      <c r="C469" t="s">
        <v>4167</v>
      </c>
      <c r="D469" t="s">
        <v>3210</v>
      </c>
      <c r="E469">
        <v>29</v>
      </c>
      <c r="F469" s="6">
        <v>3500000000</v>
      </c>
      <c r="G469" s="6">
        <v>4335000000</v>
      </c>
      <c r="H469">
        <v>665</v>
      </c>
      <c r="I469" t="s">
        <v>8401</v>
      </c>
    </row>
    <row r="470" spans="1:9" x14ac:dyDescent="0.25">
      <c r="A470" t="s">
        <v>74</v>
      </c>
      <c r="B470">
        <v>629</v>
      </c>
      <c r="C470" t="s">
        <v>4138</v>
      </c>
      <c r="D470" t="s">
        <v>3210</v>
      </c>
      <c r="E470">
        <v>29</v>
      </c>
      <c r="F470" s="6">
        <v>3500000000</v>
      </c>
      <c r="G470" s="6">
        <v>4221555000</v>
      </c>
      <c r="H470">
        <v>666</v>
      </c>
      <c r="I470" t="s">
        <v>8402</v>
      </c>
    </row>
    <row r="471" spans="1:9" x14ac:dyDescent="0.25">
      <c r="A471" t="s">
        <v>74</v>
      </c>
      <c r="B471">
        <v>166</v>
      </c>
      <c r="C471" t="s">
        <v>899</v>
      </c>
      <c r="D471" t="s">
        <v>376</v>
      </c>
      <c r="E471">
        <v>28</v>
      </c>
      <c r="F471" s="6">
        <v>2000000000</v>
      </c>
      <c r="G471" s="6">
        <v>2165345999</v>
      </c>
      <c r="H471">
        <v>166</v>
      </c>
      <c r="I471" t="s">
        <v>8403</v>
      </c>
    </row>
    <row r="472" spans="1:9" x14ac:dyDescent="0.25">
      <c r="A472" t="s">
        <v>74</v>
      </c>
      <c r="B472">
        <v>172</v>
      </c>
      <c r="C472" t="s">
        <v>812</v>
      </c>
      <c r="D472" t="s">
        <v>376</v>
      </c>
      <c r="E472">
        <v>28</v>
      </c>
      <c r="F472" s="6">
        <v>2000000000</v>
      </c>
      <c r="G472" s="6">
        <v>2090000000</v>
      </c>
      <c r="H472">
        <v>172</v>
      </c>
      <c r="I472" t="s">
        <v>8404</v>
      </c>
    </row>
    <row r="473" spans="1:9" x14ac:dyDescent="0.25">
      <c r="A473" t="s">
        <v>74</v>
      </c>
      <c r="B473">
        <v>197</v>
      </c>
      <c r="C473" t="s">
        <v>904</v>
      </c>
      <c r="D473" t="s">
        <v>376</v>
      </c>
      <c r="E473">
        <v>28</v>
      </c>
      <c r="F473" s="6">
        <v>2000000000</v>
      </c>
      <c r="G473" s="6">
        <v>2400000000</v>
      </c>
      <c r="H473">
        <v>197</v>
      </c>
      <c r="I473" t="s">
        <v>8405</v>
      </c>
    </row>
    <row r="474" spans="1:9" x14ac:dyDescent="0.25">
      <c r="A474" t="s">
        <v>74</v>
      </c>
      <c r="B474">
        <v>207</v>
      </c>
      <c r="C474" t="s">
        <v>817</v>
      </c>
      <c r="D474" t="s">
        <v>376</v>
      </c>
      <c r="E474">
        <v>28</v>
      </c>
      <c r="F474" s="6">
        <v>2000000000</v>
      </c>
      <c r="G474" s="6">
        <v>2234512515</v>
      </c>
      <c r="H474">
        <v>207</v>
      </c>
      <c r="I474" t="s">
        <v>8406</v>
      </c>
    </row>
    <row r="475" spans="1:9" x14ac:dyDescent="0.25">
      <c r="A475" t="s">
        <v>74</v>
      </c>
      <c r="B475">
        <v>272</v>
      </c>
      <c r="C475" t="s">
        <v>4790</v>
      </c>
      <c r="D475" t="s">
        <v>8035</v>
      </c>
      <c r="E475">
        <v>28</v>
      </c>
      <c r="F475" s="6">
        <v>4000000000</v>
      </c>
      <c r="G475" s="6">
        <v>4652150000</v>
      </c>
      <c r="H475">
        <v>296</v>
      </c>
      <c r="I475" t="s">
        <v>8407</v>
      </c>
    </row>
    <row r="476" spans="1:9" x14ac:dyDescent="0.25">
      <c r="A476" t="s">
        <v>74</v>
      </c>
      <c r="B476">
        <v>292</v>
      </c>
      <c r="C476" t="s">
        <v>4899</v>
      </c>
      <c r="D476" t="s">
        <v>8026</v>
      </c>
      <c r="E476">
        <v>28</v>
      </c>
      <c r="F476" s="6">
        <v>4080000000</v>
      </c>
      <c r="G476" s="6">
        <v>4782350000</v>
      </c>
      <c r="H476">
        <v>316</v>
      </c>
      <c r="I476" t="s">
        <v>8408</v>
      </c>
    </row>
    <row r="477" spans="1:9" x14ac:dyDescent="0.25">
      <c r="A477" t="s">
        <v>74</v>
      </c>
      <c r="B477">
        <v>304</v>
      </c>
      <c r="C477" t="s">
        <v>4554</v>
      </c>
      <c r="D477" t="s">
        <v>8026</v>
      </c>
      <c r="E477">
        <v>28</v>
      </c>
      <c r="F477" s="6">
        <v>3870000000</v>
      </c>
      <c r="G477" s="6">
        <v>4519999999</v>
      </c>
      <c r="H477">
        <v>328</v>
      </c>
      <c r="I477" t="s">
        <v>8409</v>
      </c>
    </row>
    <row r="478" spans="1:9" x14ac:dyDescent="0.25">
      <c r="A478" t="s">
        <v>74</v>
      </c>
      <c r="B478">
        <v>312</v>
      </c>
      <c r="C478" t="s">
        <v>2645</v>
      </c>
      <c r="D478" t="s">
        <v>2644</v>
      </c>
      <c r="E478">
        <v>28</v>
      </c>
      <c r="F478" s="6">
        <v>2400000000</v>
      </c>
      <c r="G478" s="6">
        <v>3299999999</v>
      </c>
      <c r="H478">
        <v>336</v>
      </c>
      <c r="I478" t="s">
        <v>8410</v>
      </c>
    </row>
    <row r="479" spans="1:9" x14ac:dyDescent="0.25">
      <c r="A479" t="s">
        <v>74</v>
      </c>
      <c r="B479">
        <v>348</v>
      </c>
      <c r="C479" t="s">
        <v>4795</v>
      </c>
      <c r="D479" t="s">
        <v>3521</v>
      </c>
      <c r="E479">
        <v>28</v>
      </c>
      <c r="F479" s="6">
        <v>4000000000</v>
      </c>
      <c r="G479" s="6">
        <v>5212345678</v>
      </c>
      <c r="H479">
        <v>372</v>
      </c>
      <c r="I479" t="s">
        <v>8411</v>
      </c>
    </row>
    <row r="480" spans="1:9" x14ac:dyDescent="0.25">
      <c r="A480" t="s">
        <v>74</v>
      </c>
      <c r="B480">
        <v>389</v>
      </c>
      <c r="C480" t="s">
        <v>4819</v>
      </c>
      <c r="D480" t="s">
        <v>8026</v>
      </c>
      <c r="E480">
        <v>28</v>
      </c>
      <c r="F480" s="6">
        <v>4020000000</v>
      </c>
      <c r="G480" s="6">
        <v>4860000000</v>
      </c>
      <c r="H480">
        <v>413</v>
      </c>
      <c r="I480" t="s">
        <v>8412</v>
      </c>
    </row>
    <row r="481" spans="1:9" x14ac:dyDescent="0.25">
      <c r="A481" t="s">
        <v>74</v>
      </c>
      <c r="B481">
        <v>414</v>
      </c>
      <c r="C481" t="s">
        <v>2856</v>
      </c>
      <c r="D481" t="s">
        <v>325</v>
      </c>
      <c r="E481">
        <v>28</v>
      </c>
      <c r="F481" s="6">
        <v>2500000000</v>
      </c>
      <c r="G481" s="6">
        <v>3062000000</v>
      </c>
      <c r="H481">
        <v>438</v>
      </c>
      <c r="I481" t="s">
        <v>8413</v>
      </c>
    </row>
    <row r="482" spans="1:9" x14ac:dyDescent="0.25">
      <c r="A482" t="s">
        <v>74</v>
      </c>
      <c r="B482">
        <v>467</v>
      </c>
      <c r="C482" t="s">
        <v>630</v>
      </c>
      <c r="D482" t="s">
        <v>376</v>
      </c>
      <c r="E482">
        <v>28</v>
      </c>
      <c r="F482" s="6">
        <v>2000000000</v>
      </c>
      <c r="G482" s="6">
        <v>2166999000</v>
      </c>
      <c r="H482">
        <v>491</v>
      </c>
      <c r="I482" t="s">
        <v>8414</v>
      </c>
    </row>
    <row r="483" spans="1:9" x14ac:dyDescent="0.25">
      <c r="A483" t="s">
        <v>74</v>
      </c>
      <c r="B483">
        <v>493</v>
      </c>
      <c r="C483" t="s">
        <v>2575</v>
      </c>
      <c r="D483" t="s">
        <v>2568</v>
      </c>
      <c r="E483">
        <v>28</v>
      </c>
      <c r="F483" s="6">
        <v>2350000000</v>
      </c>
      <c r="G483" s="6">
        <v>2981111111</v>
      </c>
      <c r="H483">
        <v>530</v>
      </c>
      <c r="I483" t="s">
        <v>8415</v>
      </c>
    </row>
    <row r="484" spans="1:9" x14ac:dyDescent="0.25">
      <c r="A484" t="s">
        <v>74</v>
      </c>
      <c r="B484">
        <v>517</v>
      </c>
      <c r="C484" t="s">
        <v>2651</v>
      </c>
      <c r="D484" t="s">
        <v>396</v>
      </c>
      <c r="E484">
        <v>28</v>
      </c>
      <c r="F484" s="6">
        <v>2400000000</v>
      </c>
      <c r="G484" s="6">
        <v>3171111111</v>
      </c>
      <c r="H484">
        <v>554</v>
      </c>
      <c r="I484" t="s">
        <v>8416</v>
      </c>
    </row>
    <row r="485" spans="1:9" x14ac:dyDescent="0.25">
      <c r="A485" t="s">
        <v>74</v>
      </c>
      <c r="B485">
        <v>55</v>
      </c>
      <c r="C485" t="s">
        <v>656</v>
      </c>
      <c r="D485" t="s">
        <v>376</v>
      </c>
      <c r="E485">
        <v>27</v>
      </c>
      <c r="F485" s="6">
        <v>2000000000</v>
      </c>
      <c r="G485" s="6">
        <v>2161110000</v>
      </c>
      <c r="H485">
        <v>55</v>
      </c>
      <c r="I485" t="s">
        <v>8417</v>
      </c>
    </row>
    <row r="486" spans="1:9" x14ac:dyDescent="0.25">
      <c r="A486" t="s">
        <v>74</v>
      </c>
      <c r="B486">
        <v>152</v>
      </c>
      <c r="C486" t="s">
        <v>822</v>
      </c>
      <c r="D486" t="s">
        <v>376</v>
      </c>
      <c r="E486">
        <v>27</v>
      </c>
      <c r="F486" s="6">
        <v>2000000000</v>
      </c>
      <c r="G486" s="6">
        <v>2115200000</v>
      </c>
      <c r="H486">
        <v>152</v>
      </c>
      <c r="I486" t="s">
        <v>8418</v>
      </c>
    </row>
    <row r="487" spans="1:9" x14ac:dyDescent="0.25">
      <c r="A487" t="s">
        <v>74</v>
      </c>
      <c r="B487">
        <v>167</v>
      </c>
      <c r="C487" t="s">
        <v>909</v>
      </c>
      <c r="D487" t="s">
        <v>376</v>
      </c>
      <c r="E487">
        <v>27</v>
      </c>
      <c r="F487" s="6">
        <v>2000000000</v>
      </c>
      <c r="G487" s="6">
        <v>2079863000</v>
      </c>
      <c r="H487">
        <v>167</v>
      </c>
      <c r="I487" t="s">
        <v>8419</v>
      </c>
    </row>
    <row r="488" spans="1:9" x14ac:dyDescent="0.25">
      <c r="A488" t="s">
        <v>74</v>
      </c>
      <c r="B488">
        <v>217</v>
      </c>
      <c r="C488" t="s">
        <v>827</v>
      </c>
      <c r="D488" t="s">
        <v>376</v>
      </c>
      <c r="E488">
        <v>27</v>
      </c>
      <c r="F488" s="6">
        <v>2000000000</v>
      </c>
      <c r="G488" s="6">
        <v>2160100000</v>
      </c>
      <c r="H488">
        <v>233</v>
      </c>
      <c r="I488" t="s">
        <v>8420</v>
      </c>
    </row>
    <row r="489" spans="1:9" x14ac:dyDescent="0.25">
      <c r="A489" t="s">
        <v>74</v>
      </c>
      <c r="B489">
        <v>275</v>
      </c>
      <c r="C489" t="s">
        <v>4759</v>
      </c>
      <c r="D489" t="s">
        <v>8035</v>
      </c>
      <c r="E489">
        <v>27</v>
      </c>
      <c r="F489" s="6">
        <v>3970000000</v>
      </c>
      <c r="G489" s="6">
        <v>4739500000</v>
      </c>
      <c r="H489">
        <v>299</v>
      </c>
      <c r="I489" t="s">
        <v>8421</v>
      </c>
    </row>
    <row r="490" spans="1:9" x14ac:dyDescent="0.25">
      <c r="A490" t="s">
        <v>74</v>
      </c>
      <c r="B490">
        <v>281</v>
      </c>
      <c r="C490" t="s">
        <v>4935</v>
      </c>
      <c r="D490" t="s">
        <v>8026</v>
      </c>
      <c r="E490">
        <v>27</v>
      </c>
      <c r="F490" s="6">
        <v>4100000000</v>
      </c>
      <c r="G490" s="6">
        <v>4650000000</v>
      </c>
      <c r="H490">
        <v>305</v>
      </c>
      <c r="I490" t="s">
        <v>8422</v>
      </c>
    </row>
    <row r="491" spans="1:9" x14ac:dyDescent="0.25">
      <c r="A491" t="s">
        <v>74</v>
      </c>
      <c r="B491">
        <v>324</v>
      </c>
      <c r="C491" t="s">
        <v>2862</v>
      </c>
      <c r="D491" t="s">
        <v>2861</v>
      </c>
      <c r="E491">
        <v>27</v>
      </c>
      <c r="F491" s="6">
        <v>2500000000</v>
      </c>
      <c r="G491" s="6">
        <v>3155800000</v>
      </c>
      <c r="H491">
        <v>348</v>
      </c>
      <c r="I491" t="s">
        <v>8423</v>
      </c>
    </row>
    <row r="492" spans="1:9" x14ac:dyDescent="0.25">
      <c r="A492" t="s">
        <v>74</v>
      </c>
      <c r="B492">
        <v>387</v>
      </c>
      <c r="C492" t="s">
        <v>3035</v>
      </c>
      <c r="D492" t="s">
        <v>2958</v>
      </c>
      <c r="E492">
        <v>27</v>
      </c>
      <c r="F492" s="6">
        <v>2600000000</v>
      </c>
      <c r="G492" s="6">
        <v>3020000000</v>
      </c>
      <c r="H492">
        <v>411</v>
      </c>
      <c r="I492" t="s">
        <v>8424</v>
      </c>
    </row>
    <row r="493" spans="1:9" x14ac:dyDescent="0.25">
      <c r="A493" t="s">
        <v>74</v>
      </c>
      <c r="B493">
        <v>412</v>
      </c>
      <c r="C493" t="s">
        <v>2867</v>
      </c>
      <c r="D493" t="s">
        <v>325</v>
      </c>
      <c r="E493">
        <v>27</v>
      </c>
      <c r="F493" s="6">
        <v>2500000000</v>
      </c>
      <c r="G493" s="6">
        <v>3033333333</v>
      </c>
      <c r="H493">
        <v>436</v>
      </c>
      <c r="I493" t="s">
        <v>8425</v>
      </c>
    </row>
    <row r="494" spans="1:9" x14ac:dyDescent="0.25">
      <c r="A494" t="s">
        <v>74</v>
      </c>
      <c r="B494">
        <v>429</v>
      </c>
      <c r="C494" t="s">
        <v>4878</v>
      </c>
      <c r="D494" t="s">
        <v>8035</v>
      </c>
      <c r="E494">
        <v>27</v>
      </c>
      <c r="F494" s="6">
        <v>4070000000</v>
      </c>
      <c r="G494" s="6">
        <v>4750888000</v>
      </c>
      <c r="H494">
        <v>453</v>
      </c>
      <c r="I494" t="s">
        <v>8426</v>
      </c>
    </row>
    <row r="495" spans="1:9" x14ac:dyDescent="0.25">
      <c r="A495" t="s">
        <v>74</v>
      </c>
      <c r="B495">
        <v>511</v>
      </c>
      <c r="C495" t="s">
        <v>2732</v>
      </c>
      <c r="D495" t="s">
        <v>2706</v>
      </c>
      <c r="E495">
        <v>27</v>
      </c>
      <c r="F495" s="6">
        <v>2450000000</v>
      </c>
      <c r="G495" s="6">
        <v>3055500000</v>
      </c>
      <c r="H495">
        <v>548</v>
      </c>
      <c r="I495" t="s">
        <v>8427</v>
      </c>
    </row>
    <row r="496" spans="1:9" x14ac:dyDescent="0.25">
      <c r="A496" t="s">
        <v>74</v>
      </c>
      <c r="B496">
        <v>560</v>
      </c>
      <c r="C496" t="s">
        <v>3602</v>
      </c>
      <c r="D496" t="s">
        <v>3250</v>
      </c>
      <c r="E496">
        <v>27</v>
      </c>
      <c r="F496" s="6">
        <v>3300000000</v>
      </c>
      <c r="G496" s="6">
        <v>3588888000</v>
      </c>
      <c r="H496">
        <v>597</v>
      </c>
      <c r="I496" t="s">
        <v>8428</v>
      </c>
    </row>
    <row r="497" spans="1:9" x14ac:dyDescent="0.25">
      <c r="A497" t="s">
        <v>74</v>
      </c>
      <c r="B497">
        <v>573</v>
      </c>
      <c r="C497" t="s">
        <v>4172</v>
      </c>
      <c r="D497" t="s">
        <v>3210</v>
      </c>
      <c r="E497">
        <v>27</v>
      </c>
      <c r="F497" s="6">
        <v>3500000000</v>
      </c>
      <c r="G497" s="6">
        <v>4340000000</v>
      </c>
      <c r="H497">
        <v>610</v>
      </c>
      <c r="I497" t="s">
        <v>8429</v>
      </c>
    </row>
    <row r="498" spans="1:9" x14ac:dyDescent="0.25">
      <c r="A498" t="s">
        <v>74</v>
      </c>
      <c r="B498">
        <v>606</v>
      </c>
      <c r="C498" t="s">
        <v>4143</v>
      </c>
      <c r="D498" t="s">
        <v>3210</v>
      </c>
      <c r="E498">
        <v>27</v>
      </c>
      <c r="F498" s="6">
        <v>3500000000</v>
      </c>
      <c r="G498" s="6">
        <v>4410000000</v>
      </c>
      <c r="H498">
        <v>643</v>
      </c>
      <c r="I498" t="s">
        <v>8430</v>
      </c>
    </row>
    <row r="499" spans="1:9" x14ac:dyDescent="0.25">
      <c r="A499" t="s">
        <v>74</v>
      </c>
      <c r="B499">
        <v>623</v>
      </c>
      <c r="C499" t="s">
        <v>4177</v>
      </c>
      <c r="D499" t="s">
        <v>3210</v>
      </c>
      <c r="E499">
        <v>27</v>
      </c>
      <c r="F499" s="6">
        <v>3500000000</v>
      </c>
      <c r="G499" s="6">
        <v>4046000000</v>
      </c>
      <c r="H499">
        <v>660</v>
      </c>
      <c r="I499" t="s">
        <v>8431</v>
      </c>
    </row>
    <row r="500" spans="1:9" x14ac:dyDescent="0.25">
      <c r="A500" t="s">
        <v>74</v>
      </c>
      <c r="B500">
        <v>69</v>
      </c>
      <c r="C500" t="s">
        <v>743</v>
      </c>
      <c r="D500" t="s">
        <v>376</v>
      </c>
      <c r="E500">
        <v>26</v>
      </c>
      <c r="F500" s="6">
        <v>2000000000</v>
      </c>
      <c r="G500" s="6">
        <v>2160000000</v>
      </c>
      <c r="H500">
        <v>69</v>
      </c>
      <c r="I500" t="s">
        <v>8432</v>
      </c>
    </row>
    <row r="501" spans="1:9" x14ac:dyDescent="0.25">
      <c r="A501" t="s">
        <v>74</v>
      </c>
      <c r="B501">
        <v>154</v>
      </c>
      <c r="C501" t="s">
        <v>914</v>
      </c>
      <c r="D501" t="s">
        <v>376</v>
      </c>
      <c r="E501">
        <v>26</v>
      </c>
      <c r="F501" s="6">
        <v>2000000000</v>
      </c>
      <c r="G501" s="6">
        <v>2274777777</v>
      </c>
      <c r="H501">
        <v>154</v>
      </c>
      <c r="I501" t="s">
        <v>8433</v>
      </c>
    </row>
    <row r="502" spans="1:9" x14ac:dyDescent="0.25">
      <c r="A502" t="s">
        <v>74</v>
      </c>
      <c r="B502">
        <v>213</v>
      </c>
      <c r="C502" t="s">
        <v>377</v>
      </c>
      <c r="D502" t="s">
        <v>376</v>
      </c>
      <c r="E502">
        <v>26</v>
      </c>
      <c r="F502" s="6">
        <v>1800000000</v>
      </c>
      <c r="G502" s="6">
        <v>2065000000</v>
      </c>
      <c r="H502">
        <v>213</v>
      </c>
      <c r="I502" t="s">
        <v>8434</v>
      </c>
    </row>
    <row r="503" spans="1:9" x14ac:dyDescent="0.25">
      <c r="A503" t="s">
        <v>74</v>
      </c>
      <c r="B503">
        <v>274</v>
      </c>
      <c r="C503" t="s">
        <v>4846</v>
      </c>
      <c r="D503" t="s">
        <v>8026</v>
      </c>
      <c r="E503">
        <v>26</v>
      </c>
      <c r="F503" s="6">
        <v>4050000000</v>
      </c>
      <c r="G503" s="6">
        <v>5210000000</v>
      </c>
      <c r="H503">
        <v>298</v>
      </c>
      <c r="I503" t="s">
        <v>8435</v>
      </c>
    </row>
    <row r="504" spans="1:9" x14ac:dyDescent="0.25">
      <c r="A504" t="s">
        <v>74</v>
      </c>
      <c r="B504">
        <v>349</v>
      </c>
      <c r="C504" t="s">
        <v>5086</v>
      </c>
      <c r="D504" t="s">
        <v>3521</v>
      </c>
      <c r="E504">
        <v>26</v>
      </c>
      <c r="F504" s="6">
        <v>4200000000</v>
      </c>
      <c r="G504" s="6">
        <v>5367019999</v>
      </c>
      <c r="H504">
        <v>373</v>
      </c>
      <c r="I504" t="s">
        <v>8436</v>
      </c>
    </row>
    <row r="505" spans="1:9" x14ac:dyDescent="0.25">
      <c r="A505" t="s">
        <v>74</v>
      </c>
      <c r="B505">
        <v>380</v>
      </c>
      <c r="C505" t="s">
        <v>2791</v>
      </c>
      <c r="D505" t="s">
        <v>316</v>
      </c>
      <c r="E505">
        <v>26</v>
      </c>
      <c r="F505" s="6">
        <v>2480000000</v>
      </c>
      <c r="G505" s="6">
        <v>3028888888</v>
      </c>
      <c r="H505">
        <v>404</v>
      </c>
      <c r="I505" t="s">
        <v>8437</v>
      </c>
    </row>
    <row r="506" spans="1:9" x14ac:dyDescent="0.25">
      <c r="A506" t="s">
        <v>74</v>
      </c>
      <c r="B506">
        <v>420</v>
      </c>
      <c r="C506" t="s">
        <v>2786</v>
      </c>
      <c r="D506" t="s">
        <v>325</v>
      </c>
      <c r="E506">
        <v>26</v>
      </c>
      <c r="F506" s="6">
        <v>2480000000</v>
      </c>
      <c r="G506" s="6">
        <v>2710000000</v>
      </c>
      <c r="H506">
        <v>444</v>
      </c>
      <c r="I506" t="s">
        <v>8438</v>
      </c>
    </row>
    <row r="507" spans="1:9" x14ac:dyDescent="0.25">
      <c r="A507" t="s">
        <v>74</v>
      </c>
      <c r="B507">
        <v>480</v>
      </c>
      <c r="C507" t="s">
        <v>3185</v>
      </c>
      <c r="D507" t="s">
        <v>3179</v>
      </c>
      <c r="E507">
        <v>26</v>
      </c>
      <c r="F507" s="6">
        <v>2750000000</v>
      </c>
      <c r="G507" s="6">
        <v>3433333333</v>
      </c>
      <c r="H507">
        <v>517</v>
      </c>
      <c r="I507" t="s">
        <v>8439</v>
      </c>
    </row>
    <row r="508" spans="1:9" x14ac:dyDescent="0.25">
      <c r="A508" t="s">
        <v>74</v>
      </c>
      <c r="B508">
        <v>482</v>
      </c>
      <c r="C508" t="s">
        <v>3155</v>
      </c>
      <c r="D508" t="s">
        <v>3126</v>
      </c>
      <c r="E508">
        <v>26</v>
      </c>
      <c r="F508" s="6">
        <v>2720000000</v>
      </c>
      <c r="G508" s="6">
        <v>3174687337</v>
      </c>
      <c r="H508">
        <v>519</v>
      </c>
      <c r="I508" t="s">
        <v>8440</v>
      </c>
    </row>
    <row r="509" spans="1:9" x14ac:dyDescent="0.25">
      <c r="A509" t="s">
        <v>74</v>
      </c>
      <c r="B509">
        <v>495</v>
      </c>
      <c r="C509" t="s">
        <v>2563</v>
      </c>
      <c r="D509" t="s">
        <v>1418</v>
      </c>
      <c r="E509">
        <v>26</v>
      </c>
      <c r="F509" s="6">
        <v>2350000000</v>
      </c>
      <c r="G509" s="6">
        <v>2949999999</v>
      </c>
      <c r="H509">
        <v>532</v>
      </c>
      <c r="I509" t="s">
        <v>8441</v>
      </c>
    </row>
    <row r="510" spans="1:9" x14ac:dyDescent="0.25">
      <c r="A510" t="s">
        <v>74</v>
      </c>
      <c r="B510">
        <v>557</v>
      </c>
      <c r="C510" t="s">
        <v>3567</v>
      </c>
      <c r="D510" t="s">
        <v>3250</v>
      </c>
      <c r="E510">
        <v>26</v>
      </c>
      <c r="F510" s="6">
        <v>3300000000</v>
      </c>
      <c r="G510" s="6">
        <v>3959999999</v>
      </c>
      <c r="H510">
        <v>594</v>
      </c>
      <c r="I510" t="s">
        <v>8442</v>
      </c>
    </row>
    <row r="511" spans="1:9" x14ac:dyDescent="0.25">
      <c r="A511" t="s">
        <v>74</v>
      </c>
      <c r="B511">
        <v>577</v>
      </c>
      <c r="C511" t="s">
        <v>4059</v>
      </c>
      <c r="D511" t="s">
        <v>3210</v>
      </c>
      <c r="E511">
        <v>26</v>
      </c>
      <c r="F511" s="6">
        <v>3500000000</v>
      </c>
      <c r="G511" s="6">
        <v>4320009990</v>
      </c>
      <c r="H511">
        <v>614</v>
      </c>
      <c r="I511" t="s">
        <v>8443</v>
      </c>
    </row>
    <row r="512" spans="1:9" x14ac:dyDescent="0.25">
      <c r="A512" t="s">
        <v>74</v>
      </c>
      <c r="B512">
        <v>631</v>
      </c>
      <c r="C512" t="s">
        <v>3989</v>
      </c>
      <c r="D512" t="s">
        <v>3210</v>
      </c>
      <c r="E512">
        <v>26</v>
      </c>
      <c r="F512" s="6">
        <v>3500000000</v>
      </c>
      <c r="G512" s="6">
        <v>4123655691</v>
      </c>
      <c r="H512">
        <v>668</v>
      </c>
      <c r="I512" t="s">
        <v>8444</v>
      </c>
    </row>
    <row r="513" spans="1:9" x14ac:dyDescent="0.25">
      <c r="A513" t="s">
        <v>74</v>
      </c>
      <c r="B513">
        <v>173</v>
      </c>
      <c r="C513" t="s">
        <v>763</v>
      </c>
      <c r="D513" t="s">
        <v>376</v>
      </c>
      <c r="E513">
        <v>25</v>
      </c>
      <c r="F513" s="6">
        <v>2000000000</v>
      </c>
      <c r="G513" s="6">
        <v>2038880000</v>
      </c>
      <c r="H513">
        <v>173</v>
      </c>
      <c r="I513" t="s">
        <v>8445</v>
      </c>
    </row>
    <row r="514" spans="1:9" x14ac:dyDescent="0.25">
      <c r="A514" t="s">
        <v>74</v>
      </c>
      <c r="B514">
        <v>240</v>
      </c>
      <c r="C514" t="s">
        <v>3479</v>
      </c>
      <c r="D514" t="s">
        <v>3478</v>
      </c>
      <c r="E514">
        <v>25</v>
      </c>
      <c r="F514" s="6">
        <v>3200000000</v>
      </c>
      <c r="G514" s="6">
        <v>4477777777</v>
      </c>
      <c r="H514">
        <v>264</v>
      </c>
      <c r="I514" t="s">
        <v>8446</v>
      </c>
    </row>
    <row r="515" spans="1:9" x14ac:dyDescent="0.25">
      <c r="A515" t="s">
        <v>74</v>
      </c>
      <c r="B515">
        <v>245</v>
      </c>
      <c r="C515" t="s">
        <v>4896</v>
      </c>
      <c r="D515" t="s">
        <v>8035</v>
      </c>
      <c r="E515">
        <v>25</v>
      </c>
      <c r="F515" s="6">
        <v>4080000000</v>
      </c>
      <c r="G515" s="6">
        <v>4856950000</v>
      </c>
      <c r="H515">
        <v>269</v>
      </c>
      <c r="I515" t="s">
        <v>8447</v>
      </c>
    </row>
    <row r="516" spans="1:9" x14ac:dyDescent="0.25">
      <c r="A516" t="s">
        <v>74</v>
      </c>
      <c r="B516">
        <v>299</v>
      </c>
      <c r="C516" t="s">
        <v>4920</v>
      </c>
      <c r="D516" t="s">
        <v>8026</v>
      </c>
      <c r="E516">
        <v>25</v>
      </c>
      <c r="F516" s="6">
        <v>4100000000</v>
      </c>
      <c r="G516" s="6">
        <v>4888888888</v>
      </c>
      <c r="H516">
        <v>323</v>
      </c>
      <c r="I516" t="s">
        <v>8448</v>
      </c>
    </row>
    <row r="517" spans="1:9" x14ac:dyDescent="0.25">
      <c r="A517" t="s">
        <v>74</v>
      </c>
      <c r="B517">
        <v>306</v>
      </c>
      <c r="C517" t="s">
        <v>4930</v>
      </c>
      <c r="D517" t="s">
        <v>8026</v>
      </c>
      <c r="E517">
        <v>25</v>
      </c>
      <c r="F517" s="6">
        <v>4100000000</v>
      </c>
      <c r="G517" s="6">
        <v>5155555555</v>
      </c>
      <c r="H517">
        <v>330</v>
      </c>
      <c r="I517" t="s">
        <v>8449</v>
      </c>
    </row>
    <row r="518" spans="1:9" x14ac:dyDescent="0.25">
      <c r="A518" t="s">
        <v>74</v>
      </c>
      <c r="B518">
        <v>403</v>
      </c>
      <c r="C518" t="s">
        <v>5250</v>
      </c>
      <c r="D518" t="s">
        <v>8094</v>
      </c>
      <c r="E518">
        <v>25</v>
      </c>
      <c r="F518" s="6">
        <v>4750000000</v>
      </c>
      <c r="G518" s="6">
        <v>5295556849</v>
      </c>
      <c r="H518">
        <v>427</v>
      </c>
      <c r="I518" t="s">
        <v>8450</v>
      </c>
    </row>
    <row r="519" spans="1:9" x14ac:dyDescent="0.25">
      <c r="A519" t="s">
        <v>74</v>
      </c>
      <c r="B519">
        <v>419</v>
      </c>
      <c r="C519" t="s">
        <v>2821</v>
      </c>
      <c r="D519" t="s">
        <v>325</v>
      </c>
      <c r="E519">
        <v>25</v>
      </c>
      <c r="F519" s="6">
        <v>2500000000</v>
      </c>
      <c r="G519" s="6">
        <v>2988888800</v>
      </c>
      <c r="H519">
        <v>443</v>
      </c>
      <c r="I519" t="s">
        <v>8451</v>
      </c>
    </row>
    <row r="520" spans="1:9" x14ac:dyDescent="0.25">
      <c r="A520" t="s">
        <v>74</v>
      </c>
      <c r="B520">
        <v>443</v>
      </c>
      <c r="C520" t="s">
        <v>3792</v>
      </c>
      <c r="D520" t="s">
        <v>3242</v>
      </c>
      <c r="E520">
        <v>25</v>
      </c>
      <c r="F520" s="6">
        <v>3400000000</v>
      </c>
      <c r="G520" s="6">
        <v>3975555559</v>
      </c>
      <c r="H520">
        <v>467</v>
      </c>
      <c r="I520" t="s">
        <v>8452</v>
      </c>
    </row>
    <row r="521" spans="1:9" x14ac:dyDescent="0.25">
      <c r="A521" t="s">
        <v>74</v>
      </c>
      <c r="B521">
        <v>465</v>
      </c>
      <c r="C521" t="s">
        <v>3243</v>
      </c>
      <c r="D521" t="s">
        <v>3242</v>
      </c>
      <c r="E521">
        <v>25</v>
      </c>
      <c r="F521" s="6">
        <v>2900000000</v>
      </c>
      <c r="G521" s="6">
        <v>3769000000</v>
      </c>
      <c r="H521">
        <v>489</v>
      </c>
      <c r="I521" t="s">
        <v>8453</v>
      </c>
    </row>
    <row r="522" spans="1:9" x14ac:dyDescent="0.25">
      <c r="A522" t="s">
        <v>74</v>
      </c>
      <c r="B522">
        <v>502</v>
      </c>
      <c r="C522" t="s">
        <v>2695</v>
      </c>
      <c r="D522" t="s">
        <v>1418</v>
      </c>
      <c r="E522">
        <v>25</v>
      </c>
      <c r="F522" s="6">
        <v>2450000000</v>
      </c>
      <c r="G522" s="6">
        <v>3108760000</v>
      </c>
      <c r="H522">
        <v>539</v>
      </c>
      <c r="I522" t="s">
        <v>8454</v>
      </c>
    </row>
    <row r="523" spans="1:9" x14ac:dyDescent="0.25">
      <c r="A523" t="s">
        <v>74</v>
      </c>
      <c r="B523">
        <v>538</v>
      </c>
      <c r="C523" t="s">
        <v>3251</v>
      </c>
      <c r="D523" t="s">
        <v>3250</v>
      </c>
      <c r="E523">
        <v>25</v>
      </c>
      <c r="F523" s="6">
        <v>2900000000</v>
      </c>
      <c r="G523" s="6">
        <v>3755950000</v>
      </c>
      <c r="H523">
        <v>575</v>
      </c>
      <c r="I523" t="s">
        <v>8455</v>
      </c>
    </row>
    <row r="524" spans="1:9" x14ac:dyDescent="0.25">
      <c r="A524" t="s">
        <v>74</v>
      </c>
      <c r="B524">
        <v>603</v>
      </c>
      <c r="C524" t="s">
        <v>3994</v>
      </c>
      <c r="D524" t="s">
        <v>3210</v>
      </c>
      <c r="E524">
        <v>25</v>
      </c>
      <c r="F524" s="6">
        <v>3500000000</v>
      </c>
      <c r="G524" s="6">
        <v>4350000000</v>
      </c>
      <c r="H524">
        <v>640</v>
      </c>
      <c r="I524" t="s">
        <v>8456</v>
      </c>
    </row>
    <row r="525" spans="1:9" x14ac:dyDescent="0.25">
      <c r="A525" t="s">
        <v>74</v>
      </c>
      <c r="B525">
        <v>626</v>
      </c>
      <c r="C525" t="s">
        <v>4064</v>
      </c>
      <c r="D525" t="s">
        <v>3210</v>
      </c>
      <c r="E525">
        <v>25</v>
      </c>
      <c r="F525" s="6">
        <v>3500000000</v>
      </c>
      <c r="G525" s="6">
        <v>4301000000</v>
      </c>
      <c r="H525">
        <v>663</v>
      </c>
      <c r="I525" t="s">
        <v>8457</v>
      </c>
    </row>
    <row r="526" spans="1:9" x14ac:dyDescent="0.25">
      <c r="A526" t="s">
        <v>74</v>
      </c>
      <c r="B526">
        <v>635</v>
      </c>
      <c r="C526" t="s">
        <v>3883</v>
      </c>
      <c r="D526" t="s">
        <v>3210</v>
      </c>
      <c r="E526">
        <v>25</v>
      </c>
      <c r="F526" s="6">
        <v>3450000000</v>
      </c>
      <c r="G526" s="6">
        <v>4380000000</v>
      </c>
      <c r="H526">
        <v>672</v>
      </c>
      <c r="I526" t="s">
        <v>8458</v>
      </c>
    </row>
    <row r="527" spans="1:9" x14ac:dyDescent="0.25">
      <c r="A527" t="s">
        <v>74</v>
      </c>
      <c r="B527">
        <v>224</v>
      </c>
      <c r="C527" t="s">
        <v>2412</v>
      </c>
      <c r="D527" t="s">
        <v>191</v>
      </c>
      <c r="E527">
        <v>24</v>
      </c>
      <c r="F527" s="6">
        <v>2100000000</v>
      </c>
      <c r="G527" s="6">
        <v>3465000000</v>
      </c>
      <c r="H527">
        <v>248</v>
      </c>
      <c r="I527" t="s">
        <v>8459</v>
      </c>
    </row>
    <row r="528" spans="1:9" x14ac:dyDescent="0.25">
      <c r="A528" t="s">
        <v>74</v>
      </c>
      <c r="B528">
        <v>331</v>
      </c>
      <c r="C528" t="s">
        <v>2811</v>
      </c>
      <c r="D528" t="s">
        <v>2476</v>
      </c>
      <c r="E528">
        <v>24</v>
      </c>
      <c r="F528" s="6">
        <v>2500000000</v>
      </c>
      <c r="G528" s="6">
        <v>3111000000</v>
      </c>
      <c r="H528">
        <v>355</v>
      </c>
      <c r="I528" t="s">
        <v>8460</v>
      </c>
    </row>
    <row r="529" spans="1:9" x14ac:dyDescent="0.25">
      <c r="A529" t="s">
        <v>74</v>
      </c>
      <c r="B529">
        <v>392</v>
      </c>
      <c r="C529" t="s">
        <v>3803</v>
      </c>
      <c r="D529" t="s">
        <v>87</v>
      </c>
      <c r="E529">
        <v>24</v>
      </c>
      <c r="F529" s="6">
        <v>3400000000</v>
      </c>
      <c r="G529" s="6">
        <v>3711111111</v>
      </c>
      <c r="H529">
        <v>416</v>
      </c>
      <c r="I529" t="s">
        <v>8461</v>
      </c>
    </row>
    <row r="530" spans="1:9" x14ac:dyDescent="0.25">
      <c r="A530" t="s">
        <v>74</v>
      </c>
      <c r="B530">
        <v>571</v>
      </c>
      <c r="C530" t="s">
        <v>3998</v>
      </c>
      <c r="D530" t="s">
        <v>3210</v>
      </c>
      <c r="E530">
        <v>24</v>
      </c>
      <c r="F530" s="6">
        <v>3500000000</v>
      </c>
      <c r="G530" s="6">
        <v>4755050500</v>
      </c>
      <c r="H530">
        <v>608</v>
      </c>
      <c r="I530" t="s">
        <v>8462</v>
      </c>
    </row>
    <row r="531" spans="1:9" x14ac:dyDescent="0.25">
      <c r="A531" t="s">
        <v>74</v>
      </c>
      <c r="B531">
        <v>581</v>
      </c>
      <c r="C531" t="s">
        <v>4069</v>
      </c>
      <c r="D531" t="s">
        <v>3210</v>
      </c>
      <c r="E531">
        <v>24</v>
      </c>
      <c r="F531" s="6">
        <v>3500000000</v>
      </c>
      <c r="G531" s="6">
        <v>4330000000</v>
      </c>
      <c r="H531">
        <v>618</v>
      </c>
      <c r="I531" t="s">
        <v>8463</v>
      </c>
    </row>
    <row r="532" spans="1:9" x14ac:dyDescent="0.25">
      <c r="A532" t="s">
        <v>74</v>
      </c>
      <c r="B532">
        <v>591</v>
      </c>
      <c r="C532" t="s">
        <v>4003</v>
      </c>
      <c r="D532" t="s">
        <v>3210</v>
      </c>
      <c r="E532">
        <v>24</v>
      </c>
      <c r="F532" s="6">
        <v>3500000000</v>
      </c>
      <c r="G532" s="6">
        <v>4275789999</v>
      </c>
      <c r="H532">
        <v>628</v>
      </c>
      <c r="I532" t="s">
        <v>8464</v>
      </c>
    </row>
    <row r="533" spans="1:9" x14ac:dyDescent="0.25">
      <c r="A533" t="s">
        <v>74</v>
      </c>
      <c r="B533">
        <v>604</v>
      </c>
      <c r="C533" t="s">
        <v>4074</v>
      </c>
      <c r="D533" t="s">
        <v>3210</v>
      </c>
      <c r="E533">
        <v>24</v>
      </c>
      <c r="F533" s="6">
        <v>3500000000</v>
      </c>
      <c r="G533" s="6">
        <v>4080000000</v>
      </c>
      <c r="H533">
        <v>641</v>
      </c>
      <c r="I533" t="s">
        <v>8465</v>
      </c>
    </row>
    <row r="534" spans="1:9" x14ac:dyDescent="0.25">
      <c r="A534" t="s">
        <v>74</v>
      </c>
      <c r="B534">
        <v>607</v>
      </c>
      <c r="C534" t="s">
        <v>4008</v>
      </c>
      <c r="D534" t="s">
        <v>3210</v>
      </c>
      <c r="E534">
        <v>24</v>
      </c>
      <c r="F534" s="6">
        <v>3500000000</v>
      </c>
      <c r="G534" s="6">
        <v>4379999999</v>
      </c>
      <c r="H534">
        <v>644</v>
      </c>
      <c r="I534" t="s">
        <v>8466</v>
      </c>
    </row>
    <row r="535" spans="1:9" x14ac:dyDescent="0.25">
      <c r="A535" t="s">
        <v>74</v>
      </c>
      <c r="B535">
        <v>618</v>
      </c>
      <c r="C535" t="s">
        <v>4078</v>
      </c>
      <c r="D535" t="s">
        <v>3210</v>
      </c>
      <c r="E535">
        <v>24</v>
      </c>
      <c r="F535" s="6">
        <v>3500000000</v>
      </c>
      <c r="G535" s="6">
        <v>4219000199</v>
      </c>
      <c r="H535">
        <v>655</v>
      </c>
      <c r="I535" t="s">
        <v>8467</v>
      </c>
    </row>
    <row r="536" spans="1:9" x14ac:dyDescent="0.25">
      <c r="A536" t="s">
        <v>74</v>
      </c>
      <c r="B536">
        <v>25</v>
      </c>
      <c r="C536" t="s">
        <v>5638</v>
      </c>
      <c r="D536" t="s">
        <v>5604</v>
      </c>
      <c r="E536">
        <v>23</v>
      </c>
      <c r="F536" s="6">
        <v>8100000000</v>
      </c>
      <c r="G536" s="6">
        <v>9666660000</v>
      </c>
      <c r="H536">
        <v>25</v>
      </c>
      <c r="I536" t="s">
        <v>8468</v>
      </c>
    </row>
    <row r="537" spans="1:9" x14ac:dyDescent="0.25">
      <c r="A537" t="s">
        <v>74</v>
      </c>
      <c r="B537">
        <v>258</v>
      </c>
      <c r="C537" t="s">
        <v>4776</v>
      </c>
      <c r="D537" t="s">
        <v>8026</v>
      </c>
      <c r="E537">
        <v>23</v>
      </c>
      <c r="F537" s="6">
        <v>4000000000</v>
      </c>
      <c r="G537" s="6">
        <v>4666500001</v>
      </c>
      <c r="H537">
        <v>282</v>
      </c>
      <c r="I537" t="s">
        <v>8469</v>
      </c>
    </row>
    <row r="538" spans="1:9" x14ac:dyDescent="0.25">
      <c r="A538" t="s">
        <v>74</v>
      </c>
      <c r="B538">
        <v>290</v>
      </c>
      <c r="C538" t="s">
        <v>4841</v>
      </c>
      <c r="D538" t="s">
        <v>8026</v>
      </c>
      <c r="E538">
        <v>23</v>
      </c>
      <c r="F538" s="6">
        <v>4050000000</v>
      </c>
      <c r="G538" s="6">
        <v>4634444444</v>
      </c>
      <c r="H538">
        <v>314</v>
      </c>
      <c r="I538" t="s">
        <v>8470</v>
      </c>
    </row>
    <row r="539" spans="1:9" x14ac:dyDescent="0.25">
      <c r="A539" t="s">
        <v>74</v>
      </c>
      <c r="B539">
        <v>332</v>
      </c>
      <c r="C539" t="s">
        <v>2630</v>
      </c>
      <c r="D539" t="s">
        <v>2476</v>
      </c>
      <c r="E539">
        <v>23</v>
      </c>
      <c r="F539" s="6">
        <v>2400000000</v>
      </c>
      <c r="G539" s="6">
        <v>2961000000</v>
      </c>
      <c r="H539">
        <v>356</v>
      </c>
      <c r="I539" t="s">
        <v>8471</v>
      </c>
    </row>
    <row r="540" spans="1:9" x14ac:dyDescent="0.25">
      <c r="A540" t="s">
        <v>74</v>
      </c>
      <c r="B540">
        <v>364</v>
      </c>
      <c r="C540" t="s">
        <v>3798</v>
      </c>
      <c r="D540" t="s">
        <v>3797</v>
      </c>
      <c r="E540">
        <v>23</v>
      </c>
      <c r="F540" s="6">
        <v>3400000000</v>
      </c>
      <c r="G540" s="6">
        <v>3959999990</v>
      </c>
      <c r="H540">
        <v>388</v>
      </c>
      <c r="I540" t="s">
        <v>8472</v>
      </c>
    </row>
    <row r="541" spans="1:9" x14ac:dyDescent="0.25">
      <c r="A541" t="s">
        <v>74</v>
      </c>
      <c r="B541">
        <v>378</v>
      </c>
      <c r="C541" t="s">
        <v>2712</v>
      </c>
      <c r="D541" t="s">
        <v>316</v>
      </c>
      <c r="E541">
        <v>23</v>
      </c>
      <c r="F541" s="6">
        <v>2450000000</v>
      </c>
      <c r="G541" s="6">
        <v>2950000000</v>
      </c>
      <c r="H541">
        <v>402</v>
      </c>
      <c r="I541" t="s">
        <v>8473</v>
      </c>
    </row>
    <row r="542" spans="1:9" x14ac:dyDescent="0.25">
      <c r="A542" t="s">
        <v>74</v>
      </c>
      <c r="B542">
        <v>382</v>
      </c>
      <c r="C542" t="s">
        <v>3058</v>
      </c>
      <c r="D542" t="s">
        <v>2958</v>
      </c>
      <c r="E542">
        <v>23</v>
      </c>
      <c r="F542" s="6">
        <v>2620000000</v>
      </c>
      <c r="G542" s="6">
        <v>3150000000</v>
      </c>
      <c r="H542">
        <v>406</v>
      </c>
      <c r="I542" t="s">
        <v>8474</v>
      </c>
    </row>
    <row r="543" spans="1:9" x14ac:dyDescent="0.25">
      <c r="A543" t="s">
        <v>74</v>
      </c>
      <c r="B543">
        <v>398</v>
      </c>
      <c r="C543" t="s">
        <v>5207</v>
      </c>
      <c r="D543" t="s">
        <v>8183</v>
      </c>
      <c r="E543">
        <v>23</v>
      </c>
      <c r="F543" s="6">
        <v>4650000000</v>
      </c>
      <c r="G543" s="6">
        <v>4737892000</v>
      </c>
      <c r="H543">
        <v>422</v>
      </c>
      <c r="I543" t="s">
        <v>8475</v>
      </c>
    </row>
    <row r="544" spans="1:9" x14ac:dyDescent="0.25">
      <c r="A544" t="s">
        <v>74</v>
      </c>
      <c r="B544">
        <v>418</v>
      </c>
      <c r="C544" t="s">
        <v>2509</v>
      </c>
      <c r="D544" t="s">
        <v>325</v>
      </c>
      <c r="E544">
        <v>23</v>
      </c>
      <c r="F544" s="6">
        <v>2300000000</v>
      </c>
      <c r="G544" s="6">
        <v>2921210000</v>
      </c>
      <c r="H544">
        <v>442</v>
      </c>
      <c r="I544" t="s">
        <v>8476</v>
      </c>
    </row>
    <row r="545" spans="1:9" x14ac:dyDescent="0.25">
      <c r="A545" t="s">
        <v>74</v>
      </c>
      <c r="B545">
        <v>498</v>
      </c>
      <c r="C545" t="s">
        <v>2826</v>
      </c>
      <c r="D545" t="s">
        <v>396</v>
      </c>
      <c r="E545">
        <v>23</v>
      </c>
      <c r="F545" s="6">
        <v>2500000000</v>
      </c>
      <c r="G545" s="6">
        <v>3141000000</v>
      </c>
      <c r="H545">
        <v>535</v>
      </c>
      <c r="I545" t="s">
        <v>8477</v>
      </c>
    </row>
    <row r="546" spans="1:9" x14ac:dyDescent="0.25">
      <c r="A546" t="s">
        <v>74</v>
      </c>
      <c r="B546">
        <v>550</v>
      </c>
      <c r="C546" t="s">
        <v>3571</v>
      </c>
      <c r="D546" t="s">
        <v>3250</v>
      </c>
      <c r="E546">
        <v>23</v>
      </c>
      <c r="F546" s="6">
        <v>3300000000</v>
      </c>
      <c r="G546" s="6">
        <v>3936666666</v>
      </c>
      <c r="H546">
        <v>587</v>
      </c>
      <c r="I546" t="s">
        <v>8478</v>
      </c>
    </row>
    <row r="547" spans="1:9" x14ac:dyDescent="0.25">
      <c r="A547" t="s">
        <v>74</v>
      </c>
      <c r="B547">
        <v>588</v>
      </c>
      <c r="C547" t="s">
        <v>4083</v>
      </c>
      <c r="D547" t="s">
        <v>3210</v>
      </c>
      <c r="E547">
        <v>23</v>
      </c>
      <c r="F547" s="6">
        <v>3500000000</v>
      </c>
      <c r="G547" s="6">
        <v>4191111111</v>
      </c>
      <c r="H547">
        <v>625</v>
      </c>
      <c r="I547" t="s">
        <v>8479</v>
      </c>
    </row>
    <row r="548" spans="1:9" x14ac:dyDescent="0.25">
      <c r="A548" t="s">
        <v>74</v>
      </c>
      <c r="B548">
        <v>619</v>
      </c>
      <c r="C548" t="s">
        <v>4013</v>
      </c>
      <c r="D548" t="s">
        <v>3210</v>
      </c>
      <c r="E548">
        <v>23</v>
      </c>
      <c r="F548" s="6">
        <v>3500000000</v>
      </c>
      <c r="G548" s="6">
        <v>4319999999</v>
      </c>
      <c r="H548">
        <v>656</v>
      </c>
      <c r="I548" t="s">
        <v>8480</v>
      </c>
    </row>
    <row r="549" spans="1:9" x14ac:dyDescent="0.25">
      <c r="A549" t="s">
        <v>74</v>
      </c>
      <c r="B549">
        <v>627</v>
      </c>
      <c r="C549" t="s">
        <v>4087</v>
      </c>
      <c r="D549" t="s">
        <v>3210</v>
      </c>
      <c r="E549">
        <v>23</v>
      </c>
      <c r="F549" s="6">
        <v>3500000000</v>
      </c>
      <c r="G549" s="6">
        <v>4259999999</v>
      </c>
      <c r="H549">
        <v>664</v>
      </c>
      <c r="I549" t="s">
        <v>8481</v>
      </c>
    </row>
    <row r="550" spans="1:9" x14ac:dyDescent="0.25">
      <c r="A550" t="s">
        <v>74</v>
      </c>
      <c r="B550">
        <v>146</v>
      </c>
      <c r="C550" t="s">
        <v>502</v>
      </c>
      <c r="D550" t="s">
        <v>376</v>
      </c>
      <c r="E550">
        <v>22</v>
      </c>
      <c r="F550" s="6">
        <v>1970000000</v>
      </c>
      <c r="G550" s="6">
        <v>2121650000</v>
      </c>
      <c r="H550">
        <v>146</v>
      </c>
      <c r="I550" t="s">
        <v>8482</v>
      </c>
    </row>
    <row r="551" spans="1:9" x14ac:dyDescent="0.25">
      <c r="A551" t="s">
        <v>74</v>
      </c>
      <c r="B551">
        <v>330</v>
      </c>
      <c r="C551" t="s">
        <v>2831</v>
      </c>
      <c r="D551" t="s">
        <v>2476</v>
      </c>
      <c r="E551">
        <v>22</v>
      </c>
      <c r="F551" s="6">
        <v>2500000000</v>
      </c>
      <c r="G551" s="6">
        <v>3129999999</v>
      </c>
      <c r="H551">
        <v>354</v>
      </c>
      <c r="I551" t="s">
        <v>8483</v>
      </c>
    </row>
    <row r="552" spans="1:9" x14ac:dyDescent="0.25">
      <c r="A552" t="s">
        <v>74</v>
      </c>
      <c r="B552">
        <v>335</v>
      </c>
      <c r="C552" t="s">
        <v>2701</v>
      </c>
      <c r="D552" t="s">
        <v>2476</v>
      </c>
      <c r="E552">
        <v>22</v>
      </c>
      <c r="F552" s="6">
        <v>2450000000</v>
      </c>
      <c r="G552" s="6">
        <v>3112560000</v>
      </c>
      <c r="H552">
        <v>359</v>
      </c>
      <c r="I552" t="s">
        <v>8484</v>
      </c>
    </row>
    <row r="553" spans="1:9" x14ac:dyDescent="0.25">
      <c r="A553" t="s">
        <v>74</v>
      </c>
      <c r="B553">
        <v>368</v>
      </c>
      <c r="C553" t="s">
        <v>3893</v>
      </c>
      <c r="D553" t="s">
        <v>3712</v>
      </c>
      <c r="E553">
        <v>22</v>
      </c>
      <c r="F553" s="6">
        <v>3450000000</v>
      </c>
      <c r="G553" s="6">
        <v>4201000000</v>
      </c>
      <c r="H553">
        <v>392</v>
      </c>
      <c r="I553" t="s">
        <v>8485</v>
      </c>
    </row>
    <row r="554" spans="1:9" x14ac:dyDescent="0.25">
      <c r="A554" t="s">
        <v>74</v>
      </c>
      <c r="B554">
        <v>417</v>
      </c>
      <c r="C554" t="s">
        <v>2936</v>
      </c>
      <c r="D554" t="s">
        <v>325</v>
      </c>
      <c r="E554">
        <v>22</v>
      </c>
      <c r="F554" s="6">
        <v>2530000000</v>
      </c>
      <c r="G554" s="6">
        <v>3052210000</v>
      </c>
      <c r="H554">
        <v>441</v>
      </c>
      <c r="I554" t="s">
        <v>8486</v>
      </c>
    </row>
    <row r="555" spans="1:9" x14ac:dyDescent="0.25">
      <c r="A555" t="s">
        <v>74</v>
      </c>
      <c r="B555">
        <v>438</v>
      </c>
      <c r="C555" t="s">
        <v>3483</v>
      </c>
      <c r="D555" t="s">
        <v>3411</v>
      </c>
      <c r="E555">
        <v>22</v>
      </c>
      <c r="F555" s="6">
        <v>3200000000</v>
      </c>
      <c r="G555" s="6">
        <v>4063010000</v>
      </c>
      <c r="H555">
        <v>462</v>
      </c>
      <c r="I555" t="s">
        <v>8487</v>
      </c>
    </row>
    <row r="556" spans="1:9" x14ac:dyDescent="0.25">
      <c r="A556" t="s">
        <v>74</v>
      </c>
      <c r="B556">
        <v>477</v>
      </c>
      <c r="C556" t="s">
        <v>3180</v>
      </c>
      <c r="D556" t="s">
        <v>3179</v>
      </c>
      <c r="E556">
        <v>22</v>
      </c>
      <c r="F556" s="6">
        <v>2750000000</v>
      </c>
      <c r="G556" s="6">
        <v>3558999999</v>
      </c>
      <c r="H556">
        <v>514</v>
      </c>
      <c r="I556" t="s">
        <v>8488</v>
      </c>
    </row>
    <row r="557" spans="1:9" x14ac:dyDescent="0.25">
      <c r="A557" t="s">
        <v>74</v>
      </c>
      <c r="B557">
        <v>545</v>
      </c>
      <c r="C557" t="s">
        <v>3589</v>
      </c>
      <c r="D557" t="s">
        <v>3250</v>
      </c>
      <c r="E557">
        <v>22</v>
      </c>
      <c r="F557" s="6">
        <v>3300000000</v>
      </c>
      <c r="G557" s="6">
        <v>3732200000</v>
      </c>
      <c r="H557">
        <v>582</v>
      </c>
      <c r="I557" t="s">
        <v>8489</v>
      </c>
    </row>
    <row r="558" spans="1:9" x14ac:dyDescent="0.25">
      <c r="A558" t="s">
        <v>74</v>
      </c>
      <c r="B558">
        <v>554</v>
      </c>
      <c r="C558" t="s">
        <v>3575</v>
      </c>
      <c r="D558" t="s">
        <v>3250</v>
      </c>
      <c r="E558">
        <v>22</v>
      </c>
      <c r="F558" s="6">
        <v>3300000000</v>
      </c>
      <c r="G558" s="6">
        <v>3910000000</v>
      </c>
      <c r="H558">
        <v>591</v>
      </c>
      <c r="I558" t="s">
        <v>8490</v>
      </c>
    </row>
    <row r="559" spans="1:9" x14ac:dyDescent="0.25">
      <c r="A559" t="s">
        <v>74</v>
      </c>
      <c r="B559">
        <v>556</v>
      </c>
      <c r="C559" t="s">
        <v>3593</v>
      </c>
      <c r="D559" t="s">
        <v>191</v>
      </c>
      <c r="E559">
        <v>22</v>
      </c>
      <c r="F559" s="6">
        <v>3300000000</v>
      </c>
      <c r="G559" s="6">
        <v>3860000000</v>
      </c>
      <c r="H559">
        <v>593</v>
      </c>
      <c r="I559" t="s">
        <v>8491</v>
      </c>
    </row>
    <row r="560" spans="1:9" x14ac:dyDescent="0.25">
      <c r="A560" t="s">
        <v>74</v>
      </c>
      <c r="B560">
        <v>596</v>
      </c>
      <c r="C560" t="s">
        <v>4018</v>
      </c>
      <c r="D560" t="s">
        <v>3210</v>
      </c>
      <c r="E560">
        <v>22</v>
      </c>
      <c r="F560" s="6">
        <v>3500000000</v>
      </c>
      <c r="G560" s="6">
        <v>4437699990</v>
      </c>
      <c r="H560">
        <v>633</v>
      </c>
      <c r="I560" t="s">
        <v>8492</v>
      </c>
    </row>
    <row r="561" spans="1:9" x14ac:dyDescent="0.25">
      <c r="A561" t="s">
        <v>74</v>
      </c>
      <c r="B561">
        <v>597</v>
      </c>
      <c r="C561" t="s">
        <v>4092</v>
      </c>
      <c r="D561" t="s">
        <v>3210</v>
      </c>
      <c r="E561">
        <v>22</v>
      </c>
      <c r="F561" s="6">
        <v>3500000000</v>
      </c>
      <c r="G561" s="6">
        <v>4239999999</v>
      </c>
      <c r="H561">
        <v>634</v>
      </c>
      <c r="I561" t="s">
        <v>8493</v>
      </c>
    </row>
    <row r="562" spans="1:9" x14ac:dyDescent="0.25">
      <c r="A562" t="s">
        <v>74</v>
      </c>
      <c r="B562">
        <v>608</v>
      </c>
      <c r="C562" t="s">
        <v>4332</v>
      </c>
      <c r="D562" t="s">
        <v>3431</v>
      </c>
      <c r="E562">
        <v>22</v>
      </c>
      <c r="F562" s="6">
        <v>3550000000</v>
      </c>
      <c r="G562" s="6">
        <v>4489999100</v>
      </c>
      <c r="H562">
        <v>645</v>
      </c>
      <c r="I562" t="s">
        <v>8494</v>
      </c>
    </row>
    <row r="563" spans="1:9" x14ac:dyDescent="0.25">
      <c r="A563" t="s">
        <v>74</v>
      </c>
      <c r="B563">
        <v>611</v>
      </c>
      <c r="C563" t="s">
        <v>4096</v>
      </c>
      <c r="D563" t="s">
        <v>3210</v>
      </c>
      <c r="E563">
        <v>22</v>
      </c>
      <c r="F563" s="6">
        <v>3500000000</v>
      </c>
      <c r="G563" s="6">
        <v>4129999999</v>
      </c>
      <c r="H563">
        <v>648</v>
      </c>
      <c r="I563" t="s">
        <v>8495</v>
      </c>
    </row>
    <row r="564" spans="1:9" x14ac:dyDescent="0.25">
      <c r="A564" t="s">
        <v>74</v>
      </c>
      <c r="B564">
        <v>612</v>
      </c>
      <c r="C564" t="s">
        <v>4022</v>
      </c>
      <c r="D564" t="s">
        <v>3210</v>
      </c>
      <c r="E564">
        <v>22</v>
      </c>
      <c r="F564" s="6">
        <v>3500000000</v>
      </c>
      <c r="G564" s="6">
        <v>4456300000</v>
      </c>
      <c r="H564">
        <v>649</v>
      </c>
      <c r="I564" t="s">
        <v>8496</v>
      </c>
    </row>
    <row r="565" spans="1:9" x14ac:dyDescent="0.25">
      <c r="A565" t="s">
        <v>74</v>
      </c>
      <c r="B565">
        <v>630</v>
      </c>
      <c r="C565" t="s">
        <v>4101</v>
      </c>
      <c r="D565" t="s">
        <v>3210</v>
      </c>
      <c r="E565">
        <v>22</v>
      </c>
      <c r="F565" s="6">
        <v>3500000000</v>
      </c>
      <c r="G565" s="6">
        <v>4242099999</v>
      </c>
      <c r="H565">
        <v>667</v>
      </c>
      <c r="I565" t="s">
        <v>8497</v>
      </c>
    </row>
    <row r="566" spans="1:9" x14ac:dyDescent="0.25">
      <c r="A566" t="s">
        <v>74</v>
      </c>
      <c r="B566">
        <v>633</v>
      </c>
      <c r="C566" t="s">
        <v>4027</v>
      </c>
      <c r="D566" t="s">
        <v>3210</v>
      </c>
      <c r="E566">
        <v>22</v>
      </c>
      <c r="F566" s="6">
        <v>3500000000</v>
      </c>
      <c r="G566" s="6">
        <v>4520000000</v>
      </c>
      <c r="H566">
        <v>670</v>
      </c>
      <c r="I566" t="s">
        <v>8498</v>
      </c>
    </row>
    <row r="567" spans="1:9" x14ac:dyDescent="0.25">
      <c r="A567" t="s">
        <v>74</v>
      </c>
      <c r="B567">
        <v>8</v>
      </c>
      <c r="C567" t="s">
        <v>3211</v>
      </c>
      <c r="D567" t="s">
        <v>3210</v>
      </c>
      <c r="E567">
        <v>21</v>
      </c>
      <c r="F567" s="6">
        <v>2800000000</v>
      </c>
      <c r="G567" s="6">
        <v>3866666669</v>
      </c>
      <c r="H567">
        <v>8</v>
      </c>
      <c r="I567" t="s">
        <v>8499</v>
      </c>
    </row>
    <row r="568" spans="1:9" x14ac:dyDescent="0.25">
      <c r="A568" t="s">
        <v>74</v>
      </c>
      <c r="B568">
        <v>231</v>
      </c>
      <c r="C568" t="s">
        <v>2408</v>
      </c>
      <c r="D568" t="s">
        <v>1418</v>
      </c>
      <c r="E568">
        <v>21</v>
      </c>
      <c r="F568" s="6">
        <v>2100000000</v>
      </c>
      <c r="G568" s="6">
        <v>2855550000</v>
      </c>
      <c r="H568">
        <v>255</v>
      </c>
      <c r="I568" t="s">
        <v>8500</v>
      </c>
    </row>
    <row r="569" spans="1:9" x14ac:dyDescent="0.25">
      <c r="A569" t="s">
        <v>74</v>
      </c>
      <c r="B569">
        <v>265</v>
      </c>
      <c r="C569" t="s">
        <v>4824</v>
      </c>
      <c r="D569" t="s">
        <v>8035</v>
      </c>
      <c r="E569">
        <v>21</v>
      </c>
      <c r="F569" s="6">
        <v>4030000000</v>
      </c>
      <c r="G569" s="6">
        <v>4777777777</v>
      </c>
      <c r="H569">
        <v>289</v>
      </c>
      <c r="I569" t="s">
        <v>8501</v>
      </c>
    </row>
    <row r="570" spans="1:9" x14ac:dyDescent="0.25">
      <c r="A570" t="s">
        <v>74</v>
      </c>
      <c r="B570">
        <v>287</v>
      </c>
      <c r="C570" t="s">
        <v>4892</v>
      </c>
      <c r="D570" t="s">
        <v>8035</v>
      </c>
      <c r="E570">
        <v>21</v>
      </c>
      <c r="F570" s="6">
        <v>4080000000</v>
      </c>
      <c r="G570" s="6">
        <v>5080080000</v>
      </c>
      <c r="H570">
        <v>311</v>
      </c>
      <c r="I570" t="s">
        <v>8502</v>
      </c>
    </row>
    <row r="571" spans="1:9" x14ac:dyDescent="0.25">
      <c r="A571" t="s">
        <v>74</v>
      </c>
      <c r="B571">
        <v>373</v>
      </c>
      <c r="C571" t="s">
        <v>2781</v>
      </c>
      <c r="D571" t="s">
        <v>316</v>
      </c>
      <c r="E571">
        <v>21</v>
      </c>
      <c r="F571" s="6">
        <v>2470000000</v>
      </c>
      <c r="G571" s="6">
        <v>3020000000</v>
      </c>
      <c r="H571">
        <v>397</v>
      </c>
      <c r="I571" t="s">
        <v>8503</v>
      </c>
    </row>
    <row r="572" spans="1:9" x14ac:dyDescent="0.25">
      <c r="A572" t="s">
        <v>74</v>
      </c>
      <c r="B572">
        <v>375</v>
      </c>
      <c r="C572" t="s">
        <v>2776</v>
      </c>
      <c r="D572" t="s">
        <v>316</v>
      </c>
      <c r="E572">
        <v>21</v>
      </c>
      <c r="F572" s="6">
        <v>2470000000</v>
      </c>
      <c r="G572" s="6">
        <v>3069990000</v>
      </c>
      <c r="H572">
        <v>399</v>
      </c>
      <c r="I572" t="s">
        <v>8504</v>
      </c>
    </row>
    <row r="573" spans="1:9" x14ac:dyDescent="0.25">
      <c r="A573" t="s">
        <v>74</v>
      </c>
      <c r="B573">
        <v>377</v>
      </c>
      <c r="C573" t="s">
        <v>2836</v>
      </c>
      <c r="D573" t="s">
        <v>316</v>
      </c>
      <c r="E573">
        <v>21</v>
      </c>
      <c r="F573" s="6">
        <v>2500000000</v>
      </c>
      <c r="G573" s="6">
        <v>3085999999</v>
      </c>
      <c r="H573">
        <v>401</v>
      </c>
      <c r="I573" t="s">
        <v>8505</v>
      </c>
    </row>
    <row r="574" spans="1:9" x14ac:dyDescent="0.25">
      <c r="A574" t="s">
        <v>74</v>
      </c>
      <c r="B574">
        <v>439</v>
      </c>
      <c r="C574" t="s">
        <v>3580</v>
      </c>
      <c r="D574" t="s">
        <v>3579</v>
      </c>
      <c r="E574">
        <v>21</v>
      </c>
      <c r="F574" s="6">
        <v>3300000000</v>
      </c>
      <c r="G574" s="6">
        <v>4160000000</v>
      </c>
      <c r="H574">
        <v>463</v>
      </c>
      <c r="I574" t="s">
        <v>8506</v>
      </c>
    </row>
    <row r="575" spans="1:9" x14ac:dyDescent="0.25">
      <c r="A575" t="s">
        <v>74</v>
      </c>
      <c r="B575">
        <v>507</v>
      </c>
      <c r="C575" t="s">
        <v>2717</v>
      </c>
      <c r="D575" t="s">
        <v>2706</v>
      </c>
      <c r="E575">
        <v>21</v>
      </c>
      <c r="F575" s="6">
        <v>2450000000</v>
      </c>
      <c r="G575" s="6">
        <v>2956800000</v>
      </c>
      <c r="H575">
        <v>544</v>
      </c>
      <c r="I575" t="s">
        <v>8507</v>
      </c>
    </row>
    <row r="576" spans="1:9" x14ac:dyDescent="0.25">
      <c r="A576" t="s">
        <v>74</v>
      </c>
      <c r="B576">
        <v>549</v>
      </c>
      <c r="C576" t="s">
        <v>3585</v>
      </c>
      <c r="D576" t="s">
        <v>191</v>
      </c>
      <c r="E576">
        <v>21</v>
      </c>
      <c r="F576" s="6">
        <v>3300000000</v>
      </c>
      <c r="G576" s="6">
        <v>4123129129</v>
      </c>
      <c r="H576">
        <v>586</v>
      </c>
      <c r="I576" t="s">
        <v>8508</v>
      </c>
    </row>
    <row r="577" spans="1:9" x14ac:dyDescent="0.25">
      <c r="A577" t="s">
        <v>74</v>
      </c>
      <c r="B577">
        <v>566</v>
      </c>
      <c r="C577" t="s">
        <v>4106</v>
      </c>
      <c r="D577" t="s">
        <v>3210</v>
      </c>
      <c r="E577">
        <v>21</v>
      </c>
      <c r="F577" s="6">
        <v>3500000000</v>
      </c>
      <c r="G577" s="6">
        <v>4381111112</v>
      </c>
      <c r="H577">
        <v>603</v>
      </c>
      <c r="I577" t="s">
        <v>8509</v>
      </c>
    </row>
    <row r="578" spans="1:9" x14ac:dyDescent="0.25">
      <c r="A578" t="s">
        <v>74</v>
      </c>
      <c r="B578">
        <v>569</v>
      </c>
      <c r="C578" t="s">
        <v>4032</v>
      </c>
      <c r="D578" t="s">
        <v>3210</v>
      </c>
      <c r="E578">
        <v>21</v>
      </c>
      <c r="F578" s="6">
        <v>3500000000</v>
      </c>
      <c r="G578" s="6">
        <v>4239090000</v>
      </c>
      <c r="H578">
        <v>606</v>
      </c>
      <c r="I578" t="s">
        <v>8510</v>
      </c>
    </row>
    <row r="579" spans="1:9" x14ac:dyDescent="0.25">
      <c r="A579" t="s">
        <v>74</v>
      </c>
      <c r="B579">
        <v>576</v>
      </c>
      <c r="C579" t="s">
        <v>4111</v>
      </c>
      <c r="D579" t="s">
        <v>3210</v>
      </c>
      <c r="E579">
        <v>21</v>
      </c>
      <c r="F579" s="6">
        <v>3500000000</v>
      </c>
      <c r="G579" s="6">
        <v>4210099999</v>
      </c>
      <c r="H579">
        <v>613</v>
      </c>
      <c r="I579" t="s">
        <v>8511</v>
      </c>
    </row>
    <row r="580" spans="1:9" x14ac:dyDescent="0.25">
      <c r="A580" t="s">
        <v>74</v>
      </c>
      <c r="B580">
        <v>585</v>
      </c>
      <c r="C580" t="s">
        <v>4036</v>
      </c>
      <c r="D580" t="s">
        <v>3210</v>
      </c>
      <c r="E580">
        <v>21</v>
      </c>
      <c r="F580" s="6">
        <v>3500000000</v>
      </c>
      <c r="G580" s="6">
        <v>4177770000</v>
      </c>
      <c r="H580">
        <v>622</v>
      </c>
      <c r="I580" t="s">
        <v>8512</v>
      </c>
    </row>
    <row r="581" spans="1:9" x14ac:dyDescent="0.25">
      <c r="A581" t="s">
        <v>74</v>
      </c>
      <c r="B581">
        <v>219</v>
      </c>
      <c r="C581" t="s">
        <v>391</v>
      </c>
      <c r="D581" t="s">
        <v>316</v>
      </c>
      <c r="E581">
        <v>20</v>
      </c>
      <c r="F581" s="6">
        <v>1800000000</v>
      </c>
      <c r="G581" s="6">
        <v>2811111111</v>
      </c>
      <c r="H581">
        <v>243</v>
      </c>
      <c r="I581" t="s">
        <v>8513</v>
      </c>
    </row>
    <row r="582" spans="1:9" x14ac:dyDescent="0.25">
      <c r="A582" t="s">
        <v>74</v>
      </c>
      <c r="B582">
        <v>227</v>
      </c>
      <c r="C582" t="s">
        <v>2950</v>
      </c>
      <c r="D582" t="s">
        <v>191</v>
      </c>
      <c r="E582">
        <v>20</v>
      </c>
      <c r="F582" s="6">
        <v>2550000000</v>
      </c>
      <c r="G582" s="6">
        <v>3711000001</v>
      </c>
      <c r="H582">
        <v>251</v>
      </c>
      <c r="I582" t="s">
        <v>8514</v>
      </c>
    </row>
    <row r="583" spans="1:9" x14ac:dyDescent="0.25">
      <c r="A583" t="s">
        <v>74</v>
      </c>
      <c r="B583">
        <v>407</v>
      </c>
      <c r="C583" t="s">
        <v>5232</v>
      </c>
      <c r="D583" t="s">
        <v>8094</v>
      </c>
      <c r="E583">
        <v>20</v>
      </c>
      <c r="F583" s="6">
        <v>4700000000</v>
      </c>
      <c r="G583" s="6">
        <v>5380010000</v>
      </c>
      <c r="H583">
        <v>431</v>
      </c>
      <c r="I583" t="s">
        <v>8515</v>
      </c>
    </row>
    <row r="584" spans="1:9" x14ac:dyDescent="0.25">
      <c r="A584" t="s">
        <v>74</v>
      </c>
      <c r="B584">
        <v>422</v>
      </c>
      <c r="C584" t="s">
        <v>2816</v>
      </c>
      <c r="D584" t="s">
        <v>325</v>
      </c>
      <c r="E584">
        <v>20</v>
      </c>
      <c r="F584" s="6">
        <v>2500000000</v>
      </c>
      <c r="G584" s="6">
        <v>2980000000</v>
      </c>
      <c r="H584">
        <v>446</v>
      </c>
      <c r="I584" t="s">
        <v>8516</v>
      </c>
    </row>
    <row r="585" spans="1:9" x14ac:dyDescent="0.25">
      <c r="A585" t="s">
        <v>74</v>
      </c>
      <c r="B585">
        <v>478</v>
      </c>
      <c r="C585" t="s">
        <v>3127</v>
      </c>
      <c r="D585" t="s">
        <v>3126</v>
      </c>
      <c r="E585">
        <v>20</v>
      </c>
      <c r="F585" s="6">
        <v>2700000000</v>
      </c>
      <c r="G585" s="6">
        <v>3310000000</v>
      </c>
      <c r="H585">
        <v>515</v>
      </c>
      <c r="I585" t="s">
        <v>8517</v>
      </c>
    </row>
    <row r="586" spans="1:9" x14ac:dyDescent="0.25">
      <c r="A586" t="s">
        <v>74</v>
      </c>
      <c r="B586">
        <v>487</v>
      </c>
      <c r="C586" t="s">
        <v>2954</v>
      </c>
      <c r="D586" t="s">
        <v>2568</v>
      </c>
      <c r="E586">
        <v>20</v>
      </c>
      <c r="F586" s="6">
        <v>2550000000</v>
      </c>
      <c r="G586" s="6">
        <v>3151500000</v>
      </c>
      <c r="H586">
        <v>524</v>
      </c>
      <c r="I586" t="s">
        <v>8518</v>
      </c>
    </row>
    <row r="587" spans="1:9" x14ac:dyDescent="0.25">
      <c r="A587" t="s">
        <v>74</v>
      </c>
      <c r="B587">
        <v>558</v>
      </c>
      <c r="C587" t="s">
        <v>3598</v>
      </c>
      <c r="D587" t="s">
        <v>3250</v>
      </c>
      <c r="E587">
        <v>20</v>
      </c>
      <c r="F587" s="6">
        <v>3300000000</v>
      </c>
      <c r="G587" s="6">
        <v>3588888000</v>
      </c>
      <c r="H587">
        <v>595</v>
      </c>
      <c r="I587" t="s">
        <v>8519</v>
      </c>
    </row>
    <row r="588" spans="1:9" x14ac:dyDescent="0.25">
      <c r="A588" t="s">
        <v>74</v>
      </c>
      <c r="B588">
        <v>570</v>
      </c>
      <c r="C588" t="s">
        <v>4041</v>
      </c>
      <c r="D588" t="s">
        <v>3210</v>
      </c>
      <c r="E588">
        <v>20</v>
      </c>
      <c r="F588" s="6">
        <v>3500000000</v>
      </c>
      <c r="G588" s="6">
        <v>4399999999</v>
      </c>
      <c r="H588">
        <v>607</v>
      </c>
      <c r="I588" t="s">
        <v>8520</v>
      </c>
    </row>
    <row r="589" spans="1:9" x14ac:dyDescent="0.25">
      <c r="A589" t="s">
        <v>74</v>
      </c>
      <c r="B589">
        <v>582</v>
      </c>
      <c r="C589" t="s">
        <v>4115</v>
      </c>
      <c r="D589" t="s">
        <v>3210</v>
      </c>
      <c r="E589">
        <v>20</v>
      </c>
      <c r="F589" s="6">
        <v>3500000000</v>
      </c>
      <c r="G589" s="6">
        <v>4400000000</v>
      </c>
      <c r="H589">
        <v>619</v>
      </c>
      <c r="I589" t="s">
        <v>8521</v>
      </c>
    </row>
    <row r="590" spans="1:9" x14ac:dyDescent="0.25">
      <c r="A590" t="s">
        <v>74</v>
      </c>
      <c r="B590">
        <v>583</v>
      </c>
      <c r="C590" t="s">
        <v>4046</v>
      </c>
      <c r="D590" t="s">
        <v>3210</v>
      </c>
      <c r="E590">
        <v>20</v>
      </c>
      <c r="F590" s="6">
        <v>3500000000</v>
      </c>
      <c r="G590" s="6">
        <v>4381250000</v>
      </c>
      <c r="H590">
        <v>620</v>
      </c>
      <c r="I590" t="s">
        <v>8522</v>
      </c>
    </row>
    <row r="591" spans="1:9" x14ac:dyDescent="0.25">
      <c r="A591" t="s">
        <v>74</v>
      </c>
      <c r="B591">
        <v>584</v>
      </c>
      <c r="C591" t="s">
        <v>4120</v>
      </c>
      <c r="D591" t="s">
        <v>3210</v>
      </c>
      <c r="E591">
        <v>20</v>
      </c>
      <c r="F591" s="6">
        <v>3500000000</v>
      </c>
      <c r="G591" s="6">
        <v>3900000880</v>
      </c>
      <c r="H591">
        <v>621</v>
      </c>
      <c r="I591" t="s">
        <v>8523</v>
      </c>
    </row>
    <row r="592" spans="1:9" x14ac:dyDescent="0.25">
      <c r="A592" t="s">
        <v>74</v>
      </c>
      <c r="B592">
        <v>586</v>
      </c>
      <c r="C592" t="s">
        <v>4051</v>
      </c>
      <c r="D592" t="s">
        <v>3210</v>
      </c>
      <c r="E592">
        <v>20</v>
      </c>
      <c r="F592" s="6">
        <v>3500000000</v>
      </c>
      <c r="G592" s="6">
        <v>4111000000</v>
      </c>
      <c r="H592">
        <v>623</v>
      </c>
      <c r="I592" t="s">
        <v>8524</v>
      </c>
    </row>
    <row r="593" spans="1:9" x14ac:dyDescent="0.25">
      <c r="A593" t="s">
        <v>74</v>
      </c>
      <c r="B593">
        <v>590</v>
      </c>
      <c r="C593" t="s">
        <v>4125</v>
      </c>
      <c r="D593" t="s">
        <v>3210</v>
      </c>
      <c r="E593">
        <v>20</v>
      </c>
      <c r="F593" s="6">
        <v>3500000000</v>
      </c>
      <c r="G593" s="6">
        <v>4109999999</v>
      </c>
      <c r="H593">
        <v>627</v>
      </c>
      <c r="I593" t="s">
        <v>8525</v>
      </c>
    </row>
    <row r="594" spans="1:9" x14ac:dyDescent="0.25">
      <c r="A594" t="s">
        <v>74</v>
      </c>
      <c r="B594">
        <v>598</v>
      </c>
      <c r="C594" t="s">
        <v>4056</v>
      </c>
      <c r="D594" t="s">
        <v>3210</v>
      </c>
      <c r="E594">
        <v>20</v>
      </c>
      <c r="F594" s="6">
        <v>3500000000</v>
      </c>
      <c r="G594" s="6">
        <v>4400000000</v>
      </c>
      <c r="H594">
        <v>635</v>
      </c>
      <c r="I594" t="s">
        <v>8526</v>
      </c>
    </row>
    <row r="595" spans="1:9" x14ac:dyDescent="0.25">
      <c r="A595" t="s">
        <v>74</v>
      </c>
      <c r="B595">
        <v>613</v>
      </c>
      <c r="C595" t="s">
        <v>4129</v>
      </c>
      <c r="D595" t="s">
        <v>3210</v>
      </c>
      <c r="E595">
        <v>20</v>
      </c>
      <c r="F595" s="6">
        <v>3500000000</v>
      </c>
      <c r="G595" s="6">
        <v>4399999999</v>
      </c>
      <c r="H595">
        <v>650</v>
      </c>
      <c r="I595" t="s">
        <v>8527</v>
      </c>
    </row>
    <row r="596" spans="1:9" x14ac:dyDescent="0.25">
      <c r="A596" t="s">
        <v>74</v>
      </c>
      <c r="B596">
        <v>620</v>
      </c>
      <c r="C596" t="s">
        <v>3888</v>
      </c>
      <c r="D596" t="s">
        <v>3210</v>
      </c>
      <c r="E596">
        <v>20</v>
      </c>
      <c r="F596" s="6">
        <v>3450000000</v>
      </c>
      <c r="G596" s="6">
        <v>4353530000</v>
      </c>
      <c r="H596">
        <v>657</v>
      </c>
      <c r="I596" t="s">
        <v>8528</v>
      </c>
    </row>
    <row r="597" spans="1:9" x14ac:dyDescent="0.25">
      <c r="A597" t="s">
        <v>74</v>
      </c>
      <c r="B597">
        <v>175</v>
      </c>
      <c r="C597" t="s">
        <v>768</v>
      </c>
      <c r="D597" t="s">
        <v>376</v>
      </c>
      <c r="E597">
        <v>19</v>
      </c>
      <c r="F597" s="6">
        <v>2000000000</v>
      </c>
      <c r="G597" s="6">
        <v>2260000000</v>
      </c>
      <c r="H597">
        <v>175</v>
      </c>
      <c r="I597" t="s">
        <v>8529</v>
      </c>
    </row>
    <row r="598" spans="1:9" x14ac:dyDescent="0.25">
      <c r="A598" t="s">
        <v>74</v>
      </c>
      <c r="B598">
        <v>294</v>
      </c>
      <c r="C598" t="s">
        <v>4925</v>
      </c>
      <c r="D598" t="s">
        <v>8026</v>
      </c>
      <c r="E598">
        <v>19</v>
      </c>
      <c r="F598" s="6">
        <v>4100000000</v>
      </c>
      <c r="G598" s="6">
        <v>5188888888</v>
      </c>
      <c r="H598">
        <v>318</v>
      </c>
      <c r="I598" t="s">
        <v>8530</v>
      </c>
    </row>
    <row r="599" spans="1:9" x14ac:dyDescent="0.25">
      <c r="A599" t="s">
        <v>74</v>
      </c>
      <c r="B599">
        <v>510</v>
      </c>
      <c r="C599" t="s">
        <v>2722</v>
      </c>
      <c r="D599" t="s">
        <v>2706</v>
      </c>
      <c r="E599">
        <v>19</v>
      </c>
      <c r="F599" s="6">
        <v>2450000000</v>
      </c>
      <c r="G599" s="6">
        <v>3109999999</v>
      </c>
      <c r="H599">
        <v>547</v>
      </c>
      <c r="I599" t="s">
        <v>8531</v>
      </c>
    </row>
    <row r="600" spans="1:9" x14ac:dyDescent="0.25">
      <c r="A600" t="s">
        <v>74</v>
      </c>
      <c r="B600">
        <v>515</v>
      </c>
      <c r="C600" t="s">
        <v>2707</v>
      </c>
      <c r="D600" t="s">
        <v>2706</v>
      </c>
      <c r="E600">
        <v>19</v>
      </c>
      <c r="F600" s="6">
        <v>2450000000</v>
      </c>
      <c r="G600" s="6">
        <v>2955000000</v>
      </c>
      <c r="H600">
        <v>552</v>
      </c>
      <c r="I600" t="s">
        <v>8532</v>
      </c>
    </row>
    <row r="601" spans="1:9" x14ac:dyDescent="0.25">
      <c r="A601" t="s">
        <v>74</v>
      </c>
      <c r="B601">
        <v>610</v>
      </c>
      <c r="C601" t="s">
        <v>3488</v>
      </c>
      <c r="D601" t="s">
        <v>3431</v>
      </c>
      <c r="E601">
        <v>19</v>
      </c>
      <c r="F601" s="6">
        <v>3200000000</v>
      </c>
      <c r="G601" s="6">
        <v>3973679999</v>
      </c>
      <c r="H601">
        <v>647</v>
      </c>
      <c r="I601" t="s">
        <v>8533</v>
      </c>
    </row>
    <row r="602" spans="1:9" x14ac:dyDescent="0.25">
      <c r="A602" t="s">
        <v>74</v>
      </c>
      <c r="B602">
        <v>409</v>
      </c>
      <c r="C602" t="s">
        <v>5189</v>
      </c>
      <c r="D602" t="s">
        <v>8534</v>
      </c>
      <c r="E602">
        <v>18</v>
      </c>
      <c r="F602" s="6">
        <v>4500000000</v>
      </c>
      <c r="G602" s="6">
        <v>4719999999</v>
      </c>
      <c r="H602">
        <v>433</v>
      </c>
      <c r="I602" t="s">
        <v>8535</v>
      </c>
    </row>
    <row r="603" spans="1:9" x14ac:dyDescent="0.25">
      <c r="A603" t="s">
        <v>74</v>
      </c>
      <c r="B603">
        <v>415</v>
      </c>
      <c r="C603" t="s">
        <v>2841</v>
      </c>
      <c r="D603" t="s">
        <v>325</v>
      </c>
      <c r="E603">
        <v>18</v>
      </c>
      <c r="F603" s="6">
        <v>2500000000</v>
      </c>
      <c r="G603" s="6">
        <v>3001000000</v>
      </c>
      <c r="H603">
        <v>439</v>
      </c>
      <c r="I603" t="s">
        <v>8536</v>
      </c>
    </row>
    <row r="604" spans="1:9" x14ac:dyDescent="0.25">
      <c r="A604" t="s">
        <v>74</v>
      </c>
      <c r="B604">
        <v>518</v>
      </c>
      <c r="C604" t="s">
        <v>2762</v>
      </c>
      <c r="D604" t="s">
        <v>1418</v>
      </c>
      <c r="E604">
        <v>18</v>
      </c>
      <c r="F604" s="6">
        <v>2450000000</v>
      </c>
      <c r="G604" s="6">
        <v>3125000000</v>
      </c>
      <c r="H604">
        <v>555</v>
      </c>
      <c r="I604" t="s">
        <v>8537</v>
      </c>
    </row>
    <row r="605" spans="1:9" x14ac:dyDescent="0.25">
      <c r="A605" t="s">
        <v>74</v>
      </c>
      <c r="B605">
        <v>533</v>
      </c>
      <c r="C605" t="s">
        <v>3291</v>
      </c>
      <c r="D605" t="s">
        <v>191</v>
      </c>
      <c r="E605">
        <v>18</v>
      </c>
      <c r="F605" s="6">
        <v>2950000000</v>
      </c>
      <c r="G605" s="6">
        <v>3217000000</v>
      </c>
      <c r="H605">
        <v>570</v>
      </c>
      <c r="I605" t="s">
        <v>8538</v>
      </c>
    </row>
    <row r="606" spans="1:9" x14ac:dyDescent="0.25">
      <c r="A606" t="s">
        <v>74</v>
      </c>
      <c r="B606">
        <v>567</v>
      </c>
      <c r="C606" t="s">
        <v>4261</v>
      </c>
      <c r="D606" t="s">
        <v>3210</v>
      </c>
      <c r="E606">
        <v>18</v>
      </c>
      <c r="F606" s="6">
        <v>3500000000</v>
      </c>
      <c r="G606" s="6">
        <v>4312233451</v>
      </c>
      <c r="H606">
        <v>604</v>
      </c>
      <c r="I606" t="s">
        <v>8539</v>
      </c>
    </row>
    <row r="607" spans="1:9" x14ac:dyDescent="0.25">
      <c r="A607" t="s">
        <v>74</v>
      </c>
      <c r="B607">
        <v>587</v>
      </c>
      <c r="C607" t="s">
        <v>4291</v>
      </c>
      <c r="D607" t="s">
        <v>3210</v>
      </c>
      <c r="E607">
        <v>18</v>
      </c>
      <c r="F607" s="6">
        <v>3500000000</v>
      </c>
      <c r="G607" s="6">
        <v>4332111112</v>
      </c>
      <c r="H607">
        <v>624</v>
      </c>
      <c r="I607" t="s">
        <v>8540</v>
      </c>
    </row>
    <row r="608" spans="1:9" x14ac:dyDescent="0.25">
      <c r="A608" t="s">
        <v>74</v>
      </c>
      <c r="B608">
        <v>589</v>
      </c>
      <c r="C608" t="s">
        <v>4266</v>
      </c>
      <c r="D608" t="s">
        <v>3210</v>
      </c>
      <c r="E608">
        <v>18</v>
      </c>
      <c r="F608" s="6">
        <v>3500000000</v>
      </c>
      <c r="G608" s="6">
        <v>4255552220</v>
      </c>
      <c r="H608">
        <v>626</v>
      </c>
      <c r="I608" t="s">
        <v>8541</v>
      </c>
    </row>
    <row r="609" spans="1:9" x14ac:dyDescent="0.25">
      <c r="A609" t="s">
        <v>74</v>
      </c>
      <c r="B609">
        <v>401</v>
      </c>
      <c r="C609" t="s">
        <v>5236</v>
      </c>
      <c r="D609" t="s">
        <v>7991</v>
      </c>
      <c r="E609">
        <v>17</v>
      </c>
      <c r="F609" s="6">
        <v>4700000000</v>
      </c>
      <c r="G609" s="6">
        <v>5120000000</v>
      </c>
      <c r="H609">
        <v>425</v>
      </c>
      <c r="I609" t="s">
        <v>8542</v>
      </c>
    </row>
    <row r="610" spans="1:9" x14ac:dyDescent="0.25">
      <c r="A610" t="s">
        <v>74</v>
      </c>
      <c r="B610">
        <v>489</v>
      </c>
      <c r="C610" t="s">
        <v>2992</v>
      </c>
      <c r="D610" t="s">
        <v>2568</v>
      </c>
      <c r="E610">
        <v>17</v>
      </c>
      <c r="F610" s="6">
        <v>2550000000</v>
      </c>
      <c r="G610" s="6">
        <v>3002000000</v>
      </c>
      <c r="H610">
        <v>526</v>
      </c>
      <c r="I610" t="s">
        <v>8543</v>
      </c>
    </row>
    <row r="611" spans="1:9" x14ac:dyDescent="0.25">
      <c r="A611" t="s">
        <v>74</v>
      </c>
      <c r="B611">
        <v>496</v>
      </c>
      <c r="C611" t="s">
        <v>2686</v>
      </c>
      <c r="D611" t="s">
        <v>1418</v>
      </c>
      <c r="E611">
        <v>17</v>
      </c>
      <c r="F611" s="6">
        <v>2400000000</v>
      </c>
      <c r="G611" s="6">
        <v>3110009990</v>
      </c>
      <c r="H611">
        <v>533</v>
      </c>
      <c r="I611" t="s">
        <v>8544</v>
      </c>
    </row>
    <row r="612" spans="1:9" x14ac:dyDescent="0.25">
      <c r="A612" t="s">
        <v>74</v>
      </c>
      <c r="B612">
        <v>503</v>
      </c>
      <c r="C612" t="s">
        <v>2482</v>
      </c>
      <c r="D612" t="s">
        <v>1418</v>
      </c>
      <c r="E612">
        <v>17</v>
      </c>
      <c r="F612" s="6">
        <v>2250000000</v>
      </c>
      <c r="G612" s="6">
        <v>2977700000</v>
      </c>
      <c r="H612">
        <v>540</v>
      </c>
      <c r="I612" t="s">
        <v>8545</v>
      </c>
    </row>
    <row r="613" spans="1:9" x14ac:dyDescent="0.25">
      <c r="A613" t="s">
        <v>74</v>
      </c>
      <c r="B613">
        <v>506</v>
      </c>
      <c r="C613" t="s">
        <v>2766</v>
      </c>
      <c r="D613" t="s">
        <v>2706</v>
      </c>
      <c r="E613">
        <v>17</v>
      </c>
      <c r="F613" s="6">
        <v>2450000000</v>
      </c>
      <c r="G613" s="6">
        <v>3037878789</v>
      </c>
      <c r="H613">
        <v>543</v>
      </c>
      <c r="I613" t="s">
        <v>8546</v>
      </c>
    </row>
    <row r="614" spans="1:9" x14ac:dyDescent="0.25">
      <c r="A614" t="s">
        <v>74</v>
      </c>
      <c r="B614">
        <v>594</v>
      </c>
      <c r="C614" t="s">
        <v>4269</v>
      </c>
      <c r="D614" t="s">
        <v>3210</v>
      </c>
      <c r="E614">
        <v>17</v>
      </c>
      <c r="F614" s="6">
        <v>3500000000</v>
      </c>
      <c r="G614" s="6">
        <v>4199999999</v>
      </c>
      <c r="H614">
        <v>631</v>
      </c>
      <c r="I614" t="s">
        <v>8547</v>
      </c>
    </row>
    <row r="615" spans="1:9" x14ac:dyDescent="0.25">
      <c r="A615" t="s">
        <v>74</v>
      </c>
      <c r="B615">
        <v>504</v>
      </c>
      <c r="C615" t="s">
        <v>2771</v>
      </c>
      <c r="D615" t="s">
        <v>2706</v>
      </c>
      <c r="E615">
        <v>16</v>
      </c>
      <c r="F615" s="6">
        <v>2450000000</v>
      </c>
      <c r="G615" s="6">
        <v>2977446555</v>
      </c>
      <c r="H615">
        <v>541</v>
      </c>
      <c r="I615" t="s">
        <v>8548</v>
      </c>
    </row>
    <row r="616" spans="1:9" x14ac:dyDescent="0.25">
      <c r="A616" t="s">
        <v>74</v>
      </c>
      <c r="B616">
        <v>579</v>
      </c>
      <c r="C616" t="s">
        <v>4273</v>
      </c>
      <c r="D616" t="s">
        <v>3210</v>
      </c>
      <c r="E616">
        <v>16</v>
      </c>
      <c r="F616" s="6">
        <v>3500000000</v>
      </c>
      <c r="G616" s="6">
        <v>4177758985</v>
      </c>
      <c r="H616">
        <v>616</v>
      </c>
      <c r="I616" t="s">
        <v>8549</v>
      </c>
    </row>
    <row r="617" spans="1:9" x14ac:dyDescent="0.25">
      <c r="A617" t="s">
        <v>74</v>
      </c>
      <c r="B617">
        <v>595</v>
      </c>
      <c r="C617" t="s">
        <v>4295</v>
      </c>
      <c r="D617" t="s">
        <v>3210</v>
      </c>
      <c r="E617">
        <v>16</v>
      </c>
      <c r="F617" s="6">
        <v>3500000000</v>
      </c>
      <c r="G617" s="6">
        <v>3880000000</v>
      </c>
      <c r="H617">
        <v>632</v>
      </c>
      <c r="I617" t="s">
        <v>8550</v>
      </c>
    </row>
    <row r="618" spans="1:9" x14ac:dyDescent="0.25">
      <c r="A618" t="s">
        <v>74</v>
      </c>
      <c r="B618">
        <v>568</v>
      </c>
      <c r="C618" t="s">
        <v>4278</v>
      </c>
      <c r="D618" t="s">
        <v>3210</v>
      </c>
      <c r="E618">
        <v>15</v>
      </c>
      <c r="F618" s="6">
        <v>3500000000</v>
      </c>
      <c r="G618" s="6">
        <v>4261000000</v>
      </c>
      <c r="H618">
        <v>605</v>
      </c>
      <c r="I618" t="s">
        <v>8551</v>
      </c>
    </row>
    <row r="619" spans="1:9" x14ac:dyDescent="0.25">
      <c r="A619" t="s">
        <v>74</v>
      </c>
      <c r="B619">
        <v>575</v>
      </c>
      <c r="C619" t="s">
        <v>4299</v>
      </c>
      <c r="D619" t="s">
        <v>3210</v>
      </c>
      <c r="E619">
        <v>15</v>
      </c>
      <c r="F619" s="6">
        <v>3500000000</v>
      </c>
      <c r="G619" s="6">
        <v>4183459999</v>
      </c>
      <c r="H619">
        <v>612</v>
      </c>
      <c r="I619" t="s">
        <v>8552</v>
      </c>
    </row>
    <row r="620" spans="1:9" x14ac:dyDescent="0.25">
      <c r="A620" t="s">
        <v>74</v>
      </c>
      <c r="B620">
        <v>580</v>
      </c>
      <c r="C620" t="s">
        <v>4283</v>
      </c>
      <c r="D620" t="s">
        <v>3210</v>
      </c>
      <c r="E620">
        <v>15</v>
      </c>
      <c r="F620" s="6">
        <v>3500000000</v>
      </c>
      <c r="G620" s="6">
        <v>4156000000</v>
      </c>
      <c r="H620">
        <v>617</v>
      </c>
      <c r="I620" t="s">
        <v>8553</v>
      </c>
    </row>
    <row r="621" spans="1:9" x14ac:dyDescent="0.25">
      <c r="A621" t="s">
        <v>74</v>
      </c>
      <c r="B621">
        <v>4</v>
      </c>
      <c r="C621" t="s">
        <v>2618</v>
      </c>
      <c r="D621" t="s">
        <v>2189</v>
      </c>
      <c r="E621">
        <v>14</v>
      </c>
      <c r="F621" s="6">
        <v>2400000000</v>
      </c>
      <c r="G621" s="6">
        <v>3131000000</v>
      </c>
      <c r="H621">
        <v>4</v>
      </c>
      <c r="I621" t="s">
        <v>8554</v>
      </c>
    </row>
    <row r="622" spans="1:9" x14ac:dyDescent="0.25">
      <c r="A622" t="s">
        <v>74</v>
      </c>
      <c r="B622">
        <v>218</v>
      </c>
      <c r="C622" t="s">
        <v>3447</v>
      </c>
      <c r="D622" t="s">
        <v>3446</v>
      </c>
      <c r="E622">
        <v>14</v>
      </c>
      <c r="F622" s="6">
        <v>3150000000</v>
      </c>
      <c r="G622" s="6">
        <v>4605000000</v>
      </c>
      <c r="H622">
        <v>242</v>
      </c>
      <c r="I622" t="s">
        <v>8555</v>
      </c>
    </row>
    <row r="623" spans="1:9" x14ac:dyDescent="0.25">
      <c r="A623" t="s">
        <v>74</v>
      </c>
      <c r="B623">
        <v>232</v>
      </c>
      <c r="C623" t="s">
        <v>2927</v>
      </c>
      <c r="D623" t="s">
        <v>396</v>
      </c>
      <c r="E623">
        <v>14</v>
      </c>
      <c r="F623" s="6">
        <v>2500000000</v>
      </c>
      <c r="G623" s="6">
        <v>2786500000</v>
      </c>
      <c r="H623">
        <v>256</v>
      </c>
      <c r="I623" t="s">
        <v>8556</v>
      </c>
    </row>
    <row r="624" spans="1:9" x14ac:dyDescent="0.25">
      <c r="A624" t="s">
        <v>74</v>
      </c>
      <c r="B624">
        <v>537</v>
      </c>
      <c r="C624" t="s">
        <v>3516</v>
      </c>
      <c r="D624" t="s">
        <v>3250</v>
      </c>
      <c r="E624">
        <v>14</v>
      </c>
      <c r="F624" s="6">
        <v>3200000000</v>
      </c>
      <c r="G624" s="6">
        <v>3746740000</v>
      </c>
      <c r="H624">
        <v>574</v>
      </c>
      <c r="I624" t="s">
        <v>8557</v>
      </c>
    </row>
    <row r="625" spans="1:9" x14ac:dyDescent="0.25">
      <c r="A625" t="s">
        <v>74</v>
      </c>
      <c r="B625">
        <v>233</v>
      </c>
      <c r="C625" t="s">
        <v>2997</v>
      </c>
      <c r="D625" t="s">
        <v>2706</v>
      </c>
      <c r="E625">
        <v>12</v>
      </c>
      <c r="F625" s="6">
        <v>2550000000</v>
      </c>
      <c r="G625" s="6">
        <v>2961000000</v>
      </c>
      <c r="H625">
        <v>257</v>
      </c>
      <c r="I625" t="s">
        <v>8558</v>
      </c>
    </row>
    <row r="626" spans="1:9" x14ac:dyDescent="0.25">
      <c r="A626" t="s">
        <v>74</v>
      </c>
      <c r="B626">
        <v>592</v>
      </c>
      <c r="C626" t="s">
        <v>4287</v>
      </c>
      <c r="D626" t="s">
        <v>3210</v>
      </c>
      <c r="E626">
        <v>12</v>
      </c>
      <c r="F626" s="6">
        <v>3500000000</v>
      </c>
      <c r="G626" s="6">
        <v>4201000000</v>
      </c>
      <c r="H626">
        <v>629</v>
      </c>
      <c r="I626" t="s">
        <v>8559</v>
      </c>
    </row>
    <row r="627" spans="1:9" x14ac:dyDescent="0.25">
      <c r="A627" t="s">
        <v>74</v>
      </c>
      <c r="B627">
        <v>238</v>
      </c>
      <c r="C627" t="s">
        <v>3273</v>
      </c>
      <c r="D627" t="s">
        <v>191</v>
      </c>
      <c r="E627">
        <v>11</v>
      </c>
      <c r="F627" s="6">
        <v>2900000000</v>
      </c>
      <c r="G627" s="6">
        <v>3555555555</v>
      </c>
      <c r="H627">
        <v>262</v>
      </c>
      <c r="I627" t="s">
        <v>8560</v>
      </c>
    </row>
    <row r="628" spans="1:9" x14ac:dyDescent="0.25">
      <c r="A628" t="s">
        <v>74</v>
      </c>
      <c r="B628">
        <v>519</v>
      </c>
      <c r="C628" t="s">
        <v>3427</v>
      </c>
      <c r="D628" t="s">
        <v>191</v>
      </c>
      <c r="E628">
        <v>10</v>
      </c>
      <c r="F628" s="6">
        <v>3100000000</v>
      </c>
      <c r="G628" s="6">
        <v>3687542132</v>
      </c>
      <c r="H628">
        <v>556</v>
      </c>
      <c r="I628" t="s">
        <v>8561</v>
      </c>
    </row>
    <row r="629" spans="1:9" x14ac:dyDescent="0.25">
      <c r="A629" t="s">
        <v>74</v>
      </c>
      <c r="B629">
        <v>226</v>
      </c>
      <c r="C629" t="s">
        <v>2691</v>
      </c>
      <c r="D629" t="s">
        <v>191</v>
      </c>
      <c r="E629">
        <v>9</v>
      </c>
      <c r="F629" s="6">
        <v>2400000000</v>
      </c>
      <c r="G629" s="6">
        <v>3150000000</v>
      </c>
      <c r="H629">
        <v>250</v>
      </c>
      <c r="I629" t="s">
        <v>8562</v>
      </c>
    </row>
    <row r="630" spans="1:9" x14ac:dyDescent="0.25">
      <c r="A630" t="s">
        <v>74</v>
      </c>
      <c r="B630">
        <v>230</v>
      </c>
      <c r="C630" t="s">
        <v>3050</v>
      </c>
      <c r="D630" t="s">
        <v>1418</v>
      </c>
      <c r="E630">
        <v>8</v>
      </c>
      <c r="F630" s="6">
        <v>2600000000</v>
      </c>
      <c r="G630" s="6">
        <v>3678999000</v>
      </c>
      <c r="H630">
        <v>254</v>
      </c>
      <c r="I630" t="s">
        <v>8563</v>
      </c>
    </row>
    <row r="631" spans="1:9" x14ac:dyDescent="0.25">
      <c r="A631" t="s">
        <v>74</v>
      </c>
      <c r="B631">
        <v>237</v>
      </c>
      <c r="C631" t="s">
        <v>3054</v>
      </c>
      <c r="D631" t="s">
        <v>2568</v>
      </c>
      <c r="E631">
        <v>8</v>
      </c>
      <c r="F631" s="6">
        <v>2600000000</v>
      </c>
      <c r="G631" s="6">
        <v>3117700000</v>
      </c>
      <c r="H631">
        <v>261</v>
      </c>
      <c r="I631" t="s">
        <v>8564</v>
      </c>
    </row>
    <row r="632" spans="1:9" x14ac:dyDescent="0.25">
      <c r="A632" t="s">
        <v>74</v>
      </c>
      <c r="B632">
        <v>423</v>
      </c>
      <c r="C632" t="s">
        <v>2423</v>
      </c>
      <c r="D632" t="s">
        <v>325</v>
      </c>
      <c r="E632">
        <v>8</v>
      </c>
      <c r="F632" s="6">
        <v>2100000000</v>
      </c>
      <c r="G632" s="6">
        <v>2751500000</v>
      </c>
      <c r="H632">
        <v>447</v>
      </c>
      <c r="I632" t="s">
        <v>8565</v>
      </c>
    </row>
    <row r="633" spans="1:9" x14ac:dyDescent="0.25">
      <c r="A633" t="s">
        <v>74</v>
      </c>
      <c r="B633">
        <v>225</v>
      </c>
      <c r="C633" t="s">
        <v>2539</v>
      </c>
      <c r="D633" t="s">
        <v>191</v>
      </c>
      <c r="E633">
        <v>7</v>
      </c>
      <c r="F633" s="6">
        <v>2300000000</v>
      </c>
      <c r="G633" s="6">
        <v>3175000000</v>
      </c>
      <c r="H633">
        <v>249</v>
      </c>
      <c r="I633" t="s">
        <v>8566</v>
      </c>
    </row>
    <row r="634" spans="1:9" x14ac:dyDescent="0.25">
      <c r="A634" t="s">
        <v>74</v>
      </c>
      <c r="B634">
        <v>228</v>
      </c>
      <c r="C634" t="s">
        <v>3432</v>
      </c>
      <c r="D634" t="s">
        <v>3431</v>
      </c>
      <c r="E634">
        <v>5</v>
      </c>
      <c r="F634" s="6">
        <v>3100000000</v>
      </c>
      <c r="G634" s="6">
        <v>3719999999</v>
      </c>
      <c r="H634">
        <v>252</v>
      </c>
      <c r="I634" t="s">
        <v>8567</v>
      </c>
    </row>
    <row r="635" spans="1:9" x14ac:dyDescent="0.25">
      <c r="A635" t="s">
        <v>74</v>
      </c>
      <c r="B635">
        <v>28</v>
      </c>
      <c r="C635" t="s">
        <v>2442</v>
      </c>
      <c r="D635" t="s">
        <v>2441</v>
      </c>
      <c r="E635">
        <v>4</v>
      </c>
      <c r="F635" s="6">
        <v>2200000000</v>
      </c>
      <c r="G635" s="6">
        <v>3055000000</v>
      </c>
      <c r="H635">
        <v>28</v>
      </c>
      <c r="I635" t="s">
        <v>8568</v>
      </c>
    </row>
    <row r="636" spans="1:9" x14ac:dyDescent="0.25">
      <c r="A636" t="s">
        <v>74</v>
      </c>
      <c r="B636">
        <v>235</v>
      </c>
      <c r="C636" t="s">
        <v>2919</v>
      </c>
      <c r="D636" t="s">
        <v>2568</v>
      </c>
      <c r="E636">
        <v>4</v>
      </c>
      <c r="F636" s="6">
        <v>2500000000</v>
      </c>
      <c r="G636" s="6">
        <v>2935000000</v>
      </c>
      <c r="H636">
        <v>259</v>
      </c>
      <c r="I636" t="s">
        <v>8569</v>
      </c>
    </row>
    <row r="637" spans="1:9" x14ac:dyDescent="0.25">
      <c r="A637" t="s">
        <v>74</v>
      </c>
      <c r="B637">
        <v>220</v>
      </c>
      <c r="C637" t="s">
        <v>317</v>
      </c>
      <c r="D637" t="s">
        <v>316</v>
      </c>
      <c r="E637">
        <v>3</v>
      </c>
      <c r="F637" s="6">
        <v>1600000000</v>
      </c>
      <c r="G637" s="6">
        <v>2736000000</v>
      </c>
      <c r="H637">
        <v>244</v>
      </c>
      <c r="I637" t="s">
        <v>8570</v>
      </c>
    </row>
    <row r="638" spans="1:9" x14ac:dyDescent="0.25">
      <c r="A638" t="s">
        <v>74</v>
      </c>
      <c r="B638">
        <v>229</v>
      </c>
      <c r="C638" t="s">
        <v>2923</v>
      </c>
      <c r="D638" t="s">
        <v>1418</v>
      </c>
      <c r="E638">
        <v>2</v>
      </c>
      <c r="F638" s="6">
        <v>2500000000</v>
      </c>
      <c r="G638" s="6">
        <v>2663800000</v>
      </c>
      <c r="H638">
        <v>253</v>
      </c>
      <c r="I638" t="s">
        <v>8571</v>
      </c>
    </row>
    <row r="639" spans="1:9" x14ac:dyDescent="0.25">
      <c r="A639" t="s">
        <v>114</v>
      </c>
      <c r="B639">
        <v>407</v>
      </c>
      <c r="C639" t="s">
        <v>645</v>
      </c>
      <c r="D639" t="s">
        <v>191</v>
      </c>
      <c r="E639">
        <v>999999</v>
      </c>
      <c r="F639" s="6">
        <v>2000000000</v>
      </c>
      <c r="G639" s="6">
        <v>2750000000</v>
      </c>
      <c r="H639">
        <v>504</v>
      </c>
      <c r="I639" t="s">
        <v>8572</v>
      </c>
    </row>
    <row r="640" spans="1:9" x14ac:dyDescent="0.25">
      <c r="A640" t="s">
        <v>114</v>
      </c>
      <c r="B640">
        <v>411</v>
      </c>
      <c r="C640" t="s">
        <v>2495</v>
      </c>
      <c r="D640" t="s">
        <v>191</v>
      </c>
      <c r="E640">
        <v>999999</v>
      </c>
      <c r="F640" s="6">
        <v>2300000000</v>
      </c>
      <c r="G640" s="6">
        <v>3090000000</v>
      </c>
      <c r="H640">
        <v>508</v>
      </c>
      <c r="I640" t="s">
        <v>8573</v>
      </c>
    </row>
    <row r="641" spans="1:9" x14ac:dyDescent="0.25">
      <c r="A641" t="s">
        <v>114</v>
      </c>
      <c r="B641">
        <v>413</v>
      </c>
      <c r="C641" t="s">
        <v>3310</v>
      </c>
      <c r="D641" t="s">
        <v>3309</v>
      </c>
      <c r="E641">
        <v>999999</v>
      </c>
      <c r="F641" s="6">
        <v>3000000000</v>
      </c>
      <c r="G641" s="6">
        <v>3615500000</v>
      </c>
      <c r="H641">
        <v>510</v>
      </c>
      <c r="I641" t="s">
        <v>8574</v>
      </c>
    </row>
    <row r="642" spans="1:9" x14ac:dyDescent="0.25">
      <c r="A642" t="s">
        <v>114</v>
      </c>
      <c r="B642">
        <v>431</v>
      </c>
      <c r="C642" t="s">
        <v>4388</v>
      </c>
      <c r="D642" t="s">
        <v>3521</v>
      </c>
      <c r="E642">
        <v>999999</v>
      </c>
      <c r="F642" s="6">
        <v>3600000000</v>
      </c>
      <c r="G642" s="6">
        <v>4619999999</v>
      </c>
      <c r="H642">
        <v>528</v>
      </c>
      <c r="I642" t="s">
        <v>8575</v>
      </c>
    </row>
    <row r="643" spans="1:9" x14ac:dyDescent="0.25">
      <c r="A643" t="s">
        <v>114</v>
      </c>
      <c r="B643">
        <v>469</v>
      </c>
      <c r="C643" t="s">
        <v>4462</v>
      </c>
      <c r="D643" t="s">
        <v>3497</v>
      </c>
      <c r="E643">
        <v>999999</v>
      </c>
      <c r="F643" s="6">
        <v>3750000000</v>
      </c>
      <c r="G643" s="6">
        <v>4633000000</v>
      </c>
      <c r="H643">
        <v>573</v>
      </c>
      <c r="I643" t="s">
        <v>8576</v>
      </c>
    </row>
    <row r="644" spans="1:9" x14ac:dyDescent="0.25">
      <c r="A644" t="s">
        <v>114</v>
      </c>
      <c r="B644">
        <v>510</v>
      </c>
      <c r="C644" t="s">
        <v>5644</v>
      </c>
      <c r="D644" t="s">
        <v>5585</v>
      </c>
      <c r="E644">
        <v>999999</v>
      </c>
      <c r="F644" s="6">
        <v>8150000000</v>
      </c>
      <c r="G644" s="6">
        <v>10366099999</v>
      </c>
      <c r="H644">
        <v>620</v>
      </c>
      <c r="I644" t="s">
        <v>8577</v>
      </c>
    </row>
    <row r="645" spans="1:9" x14ac:dyDescent="0.25">
      <c r="A645" t="s">
        <v>114</v>
      </c>
      <c r="B645">
        <v>528</v>
      </c>
      <c r="C645" t="s">
        <v>3076</v>
      </c>
      <c r="D645" t="s">
        <v>3075</v>
      </c>
      <c r="E645">
        <v>999999</v>
      </c>
      <c r="F645" s="6">
        <v>2650000000</v>
      </c>
      <c r="G645" s="6">
        <v>3438800000</v>
      </c>
      <c r="H645">
        <v>638</v>
      </c>
      <c r="I645" t="s">
        <v>8578</v>
      </c>
    </row>
    <row r="646" spans="1:9" x14ac:dyDescent="0.25">
      <c r="A646" t="s">
        <v>114</v>
      </c>
      <c r="B646">
        <v>479</v>
      </c>
      <c r="C646">
        <v>18901034</v>
      </c>
      <c r="D646" t="s">
        <v>213</v>
      </c>
      <c r="E646">
        <v>328695</v>
      </c>
      <c r="F646" s="6">
        <v>1000000000</v>
      </c>
      <c r="G646" s="6">
        <v>2019999999</v>
      </c>
      <c r="H646">
        <v>583</v>
      </c>
      <c r="I646" t="s">
        <v>8579</v>
      </c>
    </row>
    <row r="647" spans="1:9" x14ac:dyDescent="0.25">
      <c r="A647" t="s">
        <v>114</v>
      </c>
      <c r="B647">
        <v>480</v>
      </c>
      <c r="C647" t="s">
        <v>258</v>
      </c>
      <c r="D647" t="s">
        <v>7931</v>
      </c>
      <c r="E647">
        <v>274640</v>
      </c>
      <c r="F647" s="6">
        <v>1580000000</v>
      </c>
      <c r="G647" s="6">
        <v>2875000000</v>
      </c>
      <c r="H647">
        <v>584</v>
      </c>
      <c r="I647" t="s">
        <v>8580</v>
      </c>
    </row>
    <row r="648" spans="1:9" x14ac:dyDescent="0.25">
      <c r="A648" t="s">
        <v>114</v>
      </c>
      <c r="B648">
        <v>522</v>
      </c>
      <c r="C648" t="s">
        <v>353</v>
      </c>
      <c r="D648" t="s">
        <v>8581</v>
      </c>
      <c r="E648">
        <v>220151</v>
      </c>
      <c r="F648" s="6">
        <v>1750000000</v>
      </c>
      <c r="G648" s="6">
        <v>2625500001</v>
      </c>
      <c r="H648">
        <v>632</v>
      </c>
      <c r="I648" t="s">
        <v>8582</v>
      </c>
    </row>
    <row r="649" spans="1:9" x14ac:dyDescent="0.25">
      <c r="A649" t="s">
        <v>114</v>
      </c>
      <c r="B649">
        <v>529</v>
      </c>
      <c r="C649" t="s">
        <v>1425</v>
      </c>
      <c r="D649" t="s">
        <v>1424</v>
      </c>
      <c r="E649">
        <v>184940</v>
      </c>
      <c r="F649" s="6">
        <v>2030000000</v>
      </c>
      <c r="G649" s="6">
        <v>3230000000</v>
      </c>
      <c r="H649">
        <v>639</v>
      </c>
      <c r="I649" t="s">
        <v>8583</v>
      </c>
    </row>
    <row r="650" spans="1:9" x14ac:dyDescent="0.25">
      <c r="A650" t="s">
        <v>114</v>
      </c>
      <c r="B650">
        <v>521</v>
      </c>
      <c r="C650" t="s">
        <v>2805</v>
      </c>
      <c r="D650" t="s">
        <v>2804</v>
      </c>
      <c r="E650">
        <v>175907</v>
      </c>
      <c r="F650" s="6">
        <v>2500000000</v>
      </c>
      <c r="G650" s="6">
        <v>3821111111</v>
      </c>
      <c r="H650">
        <v>631</v>
      </c>
      <c r="I650" t="s">
        <v>8584</v>
      </c>
    </row>
    <row r="651" spans="1:9" x14ac:dyDescent="0.25">
      <c r="A651" t="s">
        <v>114</v>
      </c>
      <c r="B651">
        <v>527</v>
      </c>
      <c r="C651" t="s">
        <v>2468</v>
      </c>
      <c r="D651" t="s">
        <v>2467</v>
      </c>
      <c r="E651">
        <v>172025</v>
      </c>
      <c r="F651" s="6">
        <v>2200000000</v>
      </c>
      <c r="G651" s="6">
        <v>3388000009</v>
      </c>
      <c r="H651">
        <v>637</v>
      </c>
      <c r="I651" t="s">
        <v>8585</v>
      </c>
    </row>
    <row r="652" spans="1:9" x14ac:dyDescent="0.25">
      <c r="A652" t="s">
        <v>114</v>
      </c>
      <c r="B652">
        <v>531</v>
      </c>
      <c r="C652" t="s">
        <v>334</v>
      </c>
      <c r="D652" t="s">
        <v>333</v>
      </c>
      <c r="E652">
        <v>165265</v>
      </c>
      <c r="F652" s="6">
        <v>1700000000</v>
      </c>
      <c r="G652" s="6">
        <v>2140596399</v>
      </c>
      <c r="H652">
        <v>641</v>
      </c>
      <c r="I652" t="s">
        <v>8586</v>
      </c>
    </row>
    <row r="653" spans="1:9" x14ac:dyDescent="0.25">
      <c r="A653" t="s">
        <v>114</v>
      </c>
      <c r="B653">
        <v>525</v>
      </c>
      <c r="C653" t="s">
        <v>286</v>
      </c>
      <c r="D653" t="s">
        <v>285</v>
      </c>
      <c r="E653">
        <v>153981</v>
      </c>
      <c r="F653" s="6">
        <v>1550000000</v>
      </c>
      <c r="G653" s="6">
        <v>2431119000</v>
      </c>
      <c r="H653">
        <v>635</v>
      </c>
      <c r="I653" t="s">
        <v>8587</v>
      </c>
    </row>
    <row r="654" spans="1:9" x14ac:dyDescent="0.25">
      <c r="A654" t="s">
        <v>114</v>
      </c>
      <c r="B654">
        <v>524</v>
      </c>
      <c r="C654" t="s">
        <v>710</v>
      </c>
      <c r="D654" t="s">
        <v>709</v>
      </c>
      <c r="E654">
        <v>151291</v>
      </c>
      <c r="F654" s="6">
        <v>2000000000</v>
      </c>
      <c r="G654" s="6">
        <v>2586120000</v>
      </c>
      <c r="H654">
        <v>634</v>
      </c>
      <c r="I654" t="s">
        <v>8588</v>
      </c>
    </row>
    <row r="655" spans="1:9" x14ac:dyDescent="0.25">
      <c r="A655" t="s">
        <v>114</v>
      </c>
      <c r="B655">
        <v>526</v>
      </c>
      <c r="C655" t="s">
        <v>277</v>
      </c>
      <c r="D655" t="s">
        <v>276</v>
      </c>
      <c r="E655">
        <v>134556</v>
      </c>
      <c r="F655" s="6">
        <v>1500000000</v>
      </c>
      <c r="G655" s="6">
        <v>2499890000</v>
      </c>
      <c r="H655">
        <v>636</v>
      </c>
      <c r="I655" t="s">
        <v>8589</v>
      </c>
    </row>
    <row r="656" spans="1:9" x14ac:dyDescent="0.25">
      <c r="A656" t="s">
        <v>114</v>
      </c>
      <c r="B656">
        <v>474</v>
      </c>
      <c r="C656">
        <v>82901531</v>
      </c>
      <c r="D656" t="s">
        <v>106</v>
      </c>
      <c r="E656">
        <v>131923</v>
      </c>
      <c r="F656" s="6">
        <v>400000000</v>
      </c>
      <c r="G656" s="6">
        <v>912000000</v>
      </c>
      <c r="H656">
        <v>578</v>
      </c>
      <c r="I656" t="s">
        <v>8590</v>
      </c>
    </row>
    <row r="657" spans="1:9" x14ac:dyDescent="0.25">
      <c r="A657" t="s">
        <v>114</v>
      </c>
      <c r="B657">
        <v>530</v>
      </c>
      <c r="C657" t="s">
        <v>221</v>
      </c>
      <c r="D657" t="s">
        <v>8591</v>
      </c>
      <c r="E657">
        <v>100076</v>
      </c>
      <c r="F657" s="6">
        <v>1050000000</v>
      </c>
      <c r="G657" s="6">
        <v>1810000019</v>
      </c>
      <c r="H657">
        <v>640</v>
      </c>
      <c r="I657" t="s">
        <v>8592</v>
      </c>
    </row>
    <row r="658" spans="1:9" x14ac:dyDescent="0.25">
      <c r="A658" t="s">
        <v>114</v>
      </c>
      <c r="B658">
        <v>478</v>
      </c>
      <c r="C658" t="s">
        <v>249</v>
      </c>
      <c r="D658" t="s">
        <v>8593</v>
      </c>
      <c r="E658">
        <v>89164</v>
      </c>
      <c r="F658" s="6">
        <v>1300000000</v>
      </c>
      <c r="G658" s="6">
        <v>2766000000</v>
      </c>
      <c r="H658">
        <v>582</v>
      </c>
      <c r="I658" t="s">
        <v>8594</v>
      </c>
    </row>
    <row r="659" spans="1:9" x14ac:dyDescent="0.25">
      <c r="A659" t="s">
        <v>114</v>
      </c>
      <c r="B659">
        <v>523</v>
      </c>
      <c r="C659" t="s">
        <v>239</v>
      </c>
      <c r="D659" t="s">
        <v>238</v>
      </c>
      <c r="E659">
        <v>82532</v>
      </c>
      <c r="F659" s="6">
        <v>1100000000</v>
      </c>
      <c r="G659" s="6">
        <v>1917000000</v>
      </c>
      <c r="H659">
        <v>633</v>
      </c>
      <c r="I659" t="s">
        <v>8595</v>
      </c>
    </row>
    <row r="660" spans="1:9" x14ac:dyDescent="0.25">
      <c r="A660" t="s">
        <v>114</v>
      </c>
      <c r="B660">
        <v>451</v>
      </c>
      <c r="C660" t="s">
        <v>137</v>
      </c>
      <c r="D660" t="s">
        <v>8596</v>
      </c>
      <c r="E660">
        <v>74102</v>
      </c>
      <c r="F660" s="6">
        <v>500000000</v>
      </c>
      <c r="G660" s="6">
        <v>1552000000</v>
      </c>
      <c r="H660">
        <v>555</v>
      </c>
      <c r="I660" t="s">
        <v>8597</v>
      </c>
    </row>
    <row r="661" spans="1:9" x14ac:dyDescent="0.25">
      <c r="A661" t="s">
        <v>114</v>
      </c>
      <c r="B661">
        <v>442</v>
      </c>
      <c r="C661" t="s">
        <v>5127</v>
      </c>
      <c r="D661" t="s">
        <v>5126</v>
      </c>
      <c r="E661">
        <v>73894</v>
      </c>
      <c r="F661" s="6">
        <v>4250000000</v>
      </c>
      <c r="G661" s="6">
        <v>5000000008</v>
      </c>
      <c r="H661">
        <v>539</v>
      </c>
      <c r="I661" t="s">
        <v>8598</v>
      </c>
    </row>
    <row r="662" spans="1:9" x14ac:dyDescent="0.25">
      <c r="A662" t="s">
        <v>114</v>
      </c>
      <c r="B662">
        <v>477</v>
      </c>
      <c r="C662" t="s">
        <v>308</v>
      </c>
      <c r="D662" t="s">
        <v>307</v>
      </c>
      <c r="E662">
        <v>60760</v>
      </c>
      <c r="F662" s="6">
        <v>1600000000</v>
      </c>
      <c r="G662" s="6">
        <v>2999999999</v>
      </c>
      <c r="H662">
        <v>581</v>
      </c>
      <c r="I662" t="s">
        <v>8599</v>
      </c>
    </row>
    <row r="663" spans="1:9" x14ac:dyDescent="0.25">
      <c r="A663" t="s">
        <v>114</v>
      </c>
      <c r="B663">
        <v>438</v>
      </c>
      <c r="C663" t="s">
        <v>5121</v>
      </c>
      <c r="D663" t="s">
        <v>3521</v>
      </c>
      <c r="E663">
        <v>59210</v>
      </c>
      <c r="F663" s="6">
        <v>4250000000</v>
      </c>
      <c r="G663" s="6">
        <v>4776688445</v>
      </c>
      <c r="H663">
        <v>535</v>
      </c>
      <c r="I663" t="s">
        <v>8600</v>
      </c>
    </row>
    <row r="664" spans="1:9" x14ac:dyDescent="0.25">
      <c r="A664" t="s">
        <v>114</v>
      </c>
      <c r="B664">
        <v>444</v>
      </c>
      <c r="C664" t="s">
        <v>5157</v>
      </c>
      <c r="D664" t="s">
        <v>3521</v>
      </c>
      <c r="E664">
        <v>55745</v>
      </c>
      <c r="F664" s="6">
        <v>4300000000</v>
      </c>
      <c r="G664" s="6">
        <v>5236999999</v>
      </c>
      <c r="H664">
        <v>541</v>
      </c>
      <c r="I664" t="s">
        <v>8601</v>
      </c>
    </row>
    <row r="665" spans="1:9" x14ac:dyDescent="0.25">
      <c r="A665" t="s">
        <v>114</v>
      </c>
      <c r="B665">
        <v>418</v>
      </c>
      <c r="C665" t="s">
        <v>3235</v>
      </c>
      <c r="D665" t="s">
        <v>3234</v>
      </c>
      <c r="E665">
        <v>53719</v>
      </c>
      <c r="F665" s="6">
        <v>2900000000</v>
      </c>
      <c r="G665" s="6">
        <v>3310429869</v>
      </c>
      <c r="H665">
        <v>515</v>
      </c>
      <c r="I665" t="s">
        <v>8602</v>
      </c>
    </row>
    <row r="666" spans="1:9" x14ac:dyDescent="0.25">
      <c r="A666" t="s">
        <v>114</v>
      </c>
      <c r="B666">
        <v>452</v>
      </c>
      <c r="C666" t="s">
        <v>203</v>
      </c>
      <c r="D666" t="s">
        <v>202</v>
      </c>
      <c r="E666">
        <v>53198</v>
      </c>
      <c r="F666" s="6">
        <v>900000000</v>
      </c>
      <c r="G666" s="6">
        <v>1589758000</v>
      </c>
      <c r="H666">
        <v>556</v>
      </c>
      <c r="I666" t="s">
        <v>8603</v>
      </c>
    </row>
    <row r="667" spans="1:9" x14ac:dyDescent="0.25">
      <c r="A667" t="s">
        <v>114</v>
      </c>
      <c r="B667">
        <v>432</v>
      </c>
      <c r="C667" t="s">
        <v>5162</v>
      </c>
      <c r="D667" t="s">
        <v>3521</v>
      </c>
      <c r="E667">
        <v>52770</v>
      </c>
      <c r="F667" s="6">
        <v>4350000000</v>
      </c>
      <c r="G667" s="6">
        <v>5462566666</v>
      </c>
      <c r="H667">
        <v>529</v>
      </c>
      <c r="I667" t="s">
        <v>8604</v>
      </c>
    </row>
    <row r="668" spans="1:9" x14ac:dyDescent="0.25">
      <c r="A668" t="s">
        <v>114</v>
      </c>
      <c r="B668">
        <v>476</v>
      </c>
      <c r="C668">
        <v>31003309</v>
      </c>
      <c r="D668" t="s">
        <v>7898</v>
      </c>
      <c r="E668">
        <v>47764</v>
      </c>
      <c r="F668" s="6">
        <v>450000000</v>
      </c>
      <c r="G668" s="6">
        <v>1189000000</v>
      </c>
      <c r="H668">
        <v>580</v>
      </c>
      <c r="I668" t="s">
        <v>8605</v>
      </c>
    </row>
    <row r="669" spans="1:9" x14ac:dyDescent="0.25">
      <c r="A669" t="s">
        <v>114</v>
      </c>
      <c r="B669">
        <v>430</v>
      </c>
      <c r="C669" t="s">
        <v>3068</v>
      </c>
      <c r="D669" t="s">
        <v>2940</v>
      </c>
      <c r="E669">
        <v>42307</v>
      </c>
      <c r="F669" s="6">
        <v>3550000000</v>
      </c>
      <c r="G669" s="6">
        <v>4700000000</v>
      </c>
      <c r="H669">
        <v>527</v>
      </c>
      <c r="I669" t="s">
        <v>8606</v>
      </c>
    </row>
    <row r="670" spans="1:9" x14ac:dyDescent="0.25">
      <c r="A670" t="s">
        <v>114</v>
      </c>
      <c r="B670">
        <v>433</v>
      </c>
      <c r="C670" t="s">
        <v>5111</v>
      </c>
      <c r="D670" t="s">
        <v>3478</v>
      </c>
      <c r="E670">
        <v>41452</v>
      </c>
      <c r="F670" s="6">
        <v>4250000000</v>
      </c>
      <c r="G670" s="6">
        <v>4767214000</v>
      </c>
      <c r="H670">
        <v>530</v>
      </c>
      <c r="I670" t="s">
        <v>8607</v>
      </c>
    </row>
    <row r="671" spans="1:9" x14ac:dyDescent="0.25">
      <c r="A671" t="s">
        <v>114</v>
      </c>
      <c r="B671">
        <v>462</v>
      </c>
      <c r="C671" t="s">
        <v>3094</v>
      </c>
      <c r="D671" t="s">
        <v>3093</v>
      </c>
      <c r="E671">
        <v>39810</v>
      </c>
      <c r="F671" s="6">
        <v>2700000000</v>
      </c>
      <c r="G671" s="6">
        <v>3818888889</v>
      </c>
      <c r="H671">
        <v>566</v>
      </c>
      <c r="I671" t="s">
        <v>8608</v>
      </c>
    </row>
    <row r="672" spans="1:9" x14ac:dyDescent="0.25">
      <c r="A672" t="s">
        <v>114</v>
      </c>
      <c r="B672">
        <v>435</v>
      </c>
      <c r="C672" t="s">
        <v>5116</v>
      </c>
      <c r="D672" t="s">
        <v>3521</v>
      </c>
      <c r="E672">
        <v>39806</v>
      </c>
      <c r="F672" s="6">
        <v>4250000000</v>
      </c>
      <c r="G672" s="6">
        <v>5050000999</v>
      </c>
      <c r="H672">
        <v>532</v>
      </c>
      <c r="I672" t="s">
        <v>8609</v>
      </c>
    </row>
    <row r="673" spans="1:9" x14ac:dyDescent="0.25">
      <c r="A673" t="s">
        <v>114</v>
      </c>
      <c r="B673">
        <v>491</v>
      </c>
      <c r="C673" t="s">
        <v>3173</v>
      </c>
      <c r="D673" t="s">
        <v>325</v>
      </c>
      <c r="E673">
        <v>38595</v>
      </c>
      <c r="F673" s="6">
        <v>2750000000</v>
      </c>
      <c r="G673" s="6">
        <v>3888000000</v>
      </c>
      <c r="H673">
        <v>595</v>
      </c>
      <c r="I673" t="s">
        <v>8610</v>
      </c>
    </row>
    <row r="674" spans="1:9" x14ac:dyDescent="0.25">
      <c r="A674" t="s">
        <v>114</v>
      </c>
      <c r="B674">
        <v>440</v>
      </c>
      <c r="C674" t="s">
        <v>5069</v>
      </c>
      <c r="D674" t="s">
        <v>3446</v>
      </c>
      <c r="E674">
        <v>38339</v>
      </c>
      <c r="F674" s="6">
        <v>4200000000</v>
      </c>
      <c r="G674" s="6">
        <v>5209999999</v>
      </c>
      <c r="H674">
        <v>537</v>
      </c>
      <c r="I674" t="s">
        <v>8611</v>
      </c>
    </row>
    <row r="675" spans="1:9" x14ac:dyDescent="0.25">
      <c r="A675" t="s">
        <v>114</v>
      </c>
      <c r="B675">
        <v>492</v>
      </c>
      <c r="C675" t="s">
        <v>229</v>
      </c>
      <c r="D675" t="s">
        <v>228</v>
      </c>
      <c r="E675">
        <v>37102</v>
      </c>
      <c r="F675" s="6">
        <v>1100000000</v>
      </c>
      <c r="G675" s="6">
        <v>2418888888</v>
      </c>
      <c r="H675">
        <v>602</v>
      </c>
      <c r="I675" t="s">
        <v>8612</v>
      </c>
    </row>
    <row r="676" spans="1:9" x14ac:dyDescent="0.25">
      <c r="A676" t="s">
        <v>114</v>
      </c>
      <c r="B676">
        <v>429</v>
      </c>
      <c r="C676" t="s">
        <v>3780</v>
      </c>
      <c r="D676" t="s">
        <v>3779</v>
      </c>
      <c r="E676">
        <v>34956</v>
      </c>
      <c r="F676" s="6">
        <v>3400000000</v>
      </c>
      <c r="G676" s="6">
        <v>4472099999</v>
      </c>
      <c r="H676">
        <v>526</v>
      </c>
      <c r="I676" t="s">
        <v>8613</v>
      </c>
    </row>
    <row r="677" spans="1:9" x14ac:dyDescent="0.25">
      <c r="A677" t="s">
        <v>114</v>
      </c>
      <c r="B677">
        <v>410</v>
      </c>
      <c r="C677" t="s">
        <v>3765</v>
      </c>
      <c r="D677" t="s">
        <v>191</v>
      </c>
      <c r="E677">
        <v>33851</v>
      </c>
      <c r="F677" s="6">
        <v>3400000000</v>
      </c>
      <c r="G677" s="6">
        <v>4184200000</v>
      </c>
      <c r="H677">
        <v>507</v>
      </c>
      <c r="I677" t="s">
        <v>8614</v>
      </c>
    </row>
    <row r="678" spans="1:9" x14ac:dyDescent="0.25">
      <c r="A678" t="s">
        <v>114</v>
      </c>
      <c r="B678">
        <v>412</v>
      </c>
      <c r="C678" t="s">
        <v>3700</v>
      </c>
      <c r="D678" t="s">
        <v>3356</v>
      </c>
      <c r="E678">
        <v>33351</v>
      </c>
      <c r="F678" s="6">
        <v>3350000000</v>
      </c>
      <c r="G678" s="6">
        <v>3610009999</v>
      </c>
      <c r="H678">
        <v>509</v>
      </c>
      <c r="I678" t="s">
        <v>8615</v>
      </c>
    </row>
    <row r="679" spans="1:9" x14ac:dyDescent="0.25">
      <c r="A679" t="s">
        <v>114</v>
      </c>
      <c r="B679">
        <v>475</v>
      </c>
      <c r="C679" t="s">
        <v>145</v>
      </c>
      <c r="D679" t="s">
        <v>144</v>
      </c>
      <c r="E679">
        <v>33278</v>
      </c>
      <c r="F679" s="6">
        <v>500000000</v>
      </c>
      <c r="G679" s="6">
        <v>1555600000</v>
      </c>
      <c r="H679">
        <v>579</v>
      </c>
      <c r="I679" t="s">
        <v>8616</v>
      </c>
    </row>
    <row r="680" spans="1:9" x14ac:dyDescent="0.25">
      <c r="A680" t="s">
        <v>114</v>
      </c>
      <c r="B680">
        <v>453</v>
      </c>
      <c r="C680" t="s">
        <v>2460</v>
      </c>
      <c r="D680" t="s">
        <v>2459</v>
      </c>
      <c r="E680">
        <v>30348</v>
      </c>
      <c r="F680" s="6">
        <v>2200000000</v>
      </c>
      <c r="G680" s="6">
        <v>3409000000</v>
      </c>
      <c r="H680">
        <v>557</v>
      </c>
      <c r="I680" t="s">
        <v>8617</v>
      </c>
    </row>
    <row r="681" spans="1:9" x14ac:dyDescent="0.25">
      <c r="A681" t="s">
        <v>114</v>
      </c>
      <c r="B681">
        <v>473</v>
      </c>
      <c r="C681" t="s">
        <v>161</v>
      </c>
      <c r="D681" t="s">
        <v>160</v>
      </c>
      <c r="E681">
        <v>29814</v>
      </c>
      <c r="F681" s="6">
        <v>600000000</v>
      </c>
      <c r="G681" s="6">
        <v>1655555555</v>
      </c>
      <c r="H681">
        <v>577</v>
      </c>
      <c r="I681" t="s">
        <v>8618</v>
      </c>
    </row>
    <row r="682" spans="1:9" x14ac:dyDescent="0.25">
      <c r="A682" t="s">
        <v>114</v>
      </c>
      <c r="B682">
        <v>439</v>
      </c>
      <c r="C682" t="s">
        <v>5152</v>
      </c>
      <c r="D682" t="s">
        <v>3478</v>
      </c>
      <c r="E682">
        <v>28250</v>
      </c>
      <c r="F682" s="6">
        <v>4300000000</v>
      </c>
      <c r="G682" s="6">
        <v>5449999999</v>
      </c>
      <c r="H682">
        <v>536</v>
      </c>
      <c r="I682" t="s">
        <v>8619</v>
      </c>
    </row>
    <row r="683" spans="1:9" x14ac:dyDescent="0.25">
      <c r="A683" t="s">
        <v>114</v>
      </c>
      <c r="B683">
        <v>408</v>
      </c>
      <c r="C683" t="s">
        <v>3969</v>
      </c>
      <c r="D683" t="s">
        <v>191</v>
      </c>
      <c r="E683">
        <v>26562</v>
      </c>
      <c r="F683" s="6">
        <v>3500000000</v>
      </c>
      <c r="H683">
        <v>505</v>
      </c>
      <c r="I683" t="s">
        <v>8620</v>
      </c>
    </row>
    <row r="684" spans="1:9" x14ac:dyDescent="0.25">
      <c r="A684" t="s">
        <v>114</v>
      </c>
      <c r="B684">
        <v>421</v>
      </c>
      <c r="C684" t="s">
        <v>4326</v>
      </c>
      <c r="D684" t="s">
        <v>4325</v>
      </c>
      <c r="E684">
        <v>18843</v>
      </c>
      <c r="F684" s="6">
        <v>3550000000</v>
      </c>
      <c r="G684" s="6">
        <v>4275619800</v>
      </c>
      <c r="H684">
        <v>518</v>
      </c>
      <c r="I684" t="s">
        <v>8621</v>
      </c>
    </row>
    <row r="685" spans="1:9" x14ac:dyDescent="0.25">
      <c r="A685" t="s">
        <v>114</v>
      </c>
      <c r="B685">
        <v>472</v>
      </c>
      <c r="C685" t="s">
        <v>170</v>
      </c>
      <c r="D685" t="s">
        <v>169</v>
      </c>
      <c r="E685">
        <v>18474</v>
      </c>
      <c r="F685" s="6">
        <v>650000000</v>
      </c>
      <c r="G685" s="6">
        <v>1665555555</v>
      </c>
      <c r="H685">
        <v>576</v>
      </c>
      <c r="I685" t="s">
        <v>8622</v>
      </c>
    </row>
    <row r="686" spans="1:9" x14ac:dyDescent="0.25">
      <c r="A686" t="s">
        <v>114</v>
      </c>
      <c r="B686">
        <v>445</v>
      </c>
      <c r="C686" t="s">
        <v>5132</v>
      </c>
      <c r="D686" t="s">
        <v>3478</v>
      </c>
      <c r="E686">
        <v>17749</v>
      </c>
      <c r="F686" s="6">
        <v>4250000000</v>
      </c>
      <c r="G686" s="6">
        <v>5762999999</v>
      </c>
      <c r="H686">
        <v>542</v>
      </c>
      <c r="I686" t="s">
        <v>8623</v>
      </c>
    </row>
    <row r="687" spans="1:9" x14ac:dyDescent="0.25">
      <c r="A687" t="s">
        <v>114</v>
      </c>
      <c r="B687">
        <v>446</v>
      </c>
      <c r="C687" t="s">
        <v>5167</v>
      </c>
      <c r="D687" t="s">
        <v>3521</v>
      </c>
      <c r="E687">
        <v>16444</v>
      </c>
      <c r="F687" s="6">
        <v>4350000000</v>
      </c>
      <c r="G687" s="6">
        <v>5517777777</v>
      </c>
      <c r="H687">
        <v>543</v>
      </c>
      <c r="I687" t="s">
        <v>8624</v>
      </c>
    </row>
    <row r="688" spans="1:9" x14ac:dyDescent="0.25">
      <c r="A688" t="s">
        <v>114</v>
      </c>
      <c r="B688">
        <v>513</v>
      </c>
      <c r="C688" t="s">
        <v>5655</v>
      </c>
      <c r="D688" t="s">
        <v>5604</v>
      </c>
      <c r="E688">
        <v>16202</v>
      </c>
      <c r="F688" s="6">
        <v>8500000000</v>
      </c>
      <c r="G688" s="6">
        <v>10260000000</v>
      </c>
      <c r="H688">
        <v>623</v>
      </c>
      <c r="I688" t="s">
        <v>8625</v>
      </c>
    </row>
    <row r="689" spans="1:9" x14ac:dyDescent="0.25">
      <c r="A689" t="s">
        <v>114</v>
      </c>
      <c r="B689">
        <v>436</v>
      </c>
      <c r="C689" t="s">
        <v>5225</v>
      </c>
      <c r="D689" t="s">
        <v>3521</v>
      </c>
      <c r="E689">
        <v>13732</v>
      </c>
      <c r="F689" s="6">
        <v>4700000000</v>
      </c>
      <c r="G689" s="6">
        <v>6050004444</v>
      </c>
      <c r="H689">
        <v>533</v>
      </c>
      <c r="I689" t="s">
        <v>8626</v>
      </c>
    </row>
    <row r="690" spans="1:9" x14ac:dyDescent="0.25">
      <c r="A690" t="s">
        <v>114</v>
      </c>
      <c r="B690">
        <v>415</v>
      </c>
      <c r="C690" t="s">
        <v>3284</v>
      </c>
      <c r="D690" t="s">
        <v>2189</v>
      </c>
      <c r="E690">
        <v>12918</v>
      </c>
      <c r="F690" s="6">
        <v>2950000000</v>
      </c>
      <c r="G690" s="6">
        <v>4215888110</v>
      </c>
      <c r="H690">
        <v>512</v>
      </c>
      <c r="I690" t="s">
        <v>8627</v>
      </c>
    </row>
    <row r="691" spans="1:9" x14ac:dyDescent="0.25">
      <c r="A691" t="s">
        <v>114</v>
      </c>
      <c r="B691">
        <v>447</v>
      </c>
      <c r="C691" t="s">
        <v>5211</v>
      </c>
      <c r="D691" t="s">
        <v>3521</v>
      </c>
      <c r="E691">
        <v>7359</v>
      </c>
      <c r="F691" s="6">
        <v>4680000000</v>
      </c>
      <c r="G691" s="6">
        <v>5925555555</v>
      </c>
      <c r="H691">
        <v>544</v>
      </c>
      <c r="I691" t="s">
        <v>8628</v>
      </c>
    </row>
    <row r="692" spans="1:9" x14ac:dyDescent="0.25">
      <c r="A692" t="s">
        <v>114</v>
      </c>
      <c r="B692">
        <v>471</v>
      </c>
      <c r="C692" t="s">
        <v>4405</v>
      </c>
      <c r="D692" t="s">
        <v>3579</v>
      </c>
      <c r="E692">
        <v>6382</v>
      </c>
      <c r="F692" s="6">
        <v>3620000000</v>
      </c>
      <c r="G692" s="6">
        <v>5429853251</v>
      </c>
      <c r="H692">
        <v>575</v>
      </c>
      <c r="I692" t="s">
        <v>8629</v>
      </c>
    </row>
    <row r="693" spans="1:9" x14ac:dyDescent="0.25">
      <c r="A693" t="s">
        <v>114</v>
      </c>
      <c r="B693">
        <v>420</v>
      </c>
      <c r="C693" t="s">
        <v>3871</v>
      </c>
      <c r="D693" t="s">
        <v>3870</v>
      </c>
      <c r="E693">
        <v>6343</v>
      </c>
      <c r="F693" s="6">
        <v>3450000000</v>
      </c>
      <c r="G693" s="6">
        <v>4378000000</v>
      </c>
      <c r="H693">
        <v>517</v>
      </c>
      <c r="I693" t="s">
        <v>8630</v>
      </c>
    </row>
    <row r="694" spans="1:9" x14ac:dyDescent="0.25">
      <c r="A694" t="s">
        <v>114</v>
      </c>
      <c r="B694">
        <v>449</v>
      </c>
      <c r="C694" t="s">
        <v>4771</v>
      </c>
      <c r="D694" t="s">
        <v>3521</v>
      </c>
      <c r="E694">
        <v>5874</v>
      </c>
      <c r="F694" s="6">
        <v>5300000000</v>
      </c>
      <c r="G694" s="6">
        <v>6523000000</v>
      </c>
      <c r="H694">
        <v>546</v>
      </c>
      <c r="I694" t="s">
        <v>8631</v>
      </c>
    </row>
    <row r="695" spans="1:9" x14ac:dyDescent="0.25">
      <c r="A695" t="s">
        <v>114</v>
      </c>
      <c r="B695">
        <v>443</v>
      </c>
      <c r="C695" t="s">
        <v>5244</v>
      </c>
      <c r="D695" t="s">
        <v>3446</v>
      </c>
      <c r="E695">
        <v>5399</v>
      </c>
      <c r="F695" s="6">
        <v>4750000000</v>
      </c>
      <c r="G695" s="6">
        <v>5897654329</v>
      </c>
      <c r="H695">
        <v>540</v>
      </c>
      <c r="I695" t="s">
        <v>8632</v>
      </c>
    </row>
    <row r="696" spans="1:9" x14ac:dyDescent="0.25">
      <c r="A696" t="s">
        <v>114</v>
      </c>
      <c r="B696">
        <v>417</v>
      </c>
      <c r="C696" t="s">
        <v>3317</v>
      </c>
      <c r="D696" t="s">
        <v>2189</v>
      </c>
      <c r="E696">
        <v>5365</v>
      </c>
      <c r="F696" s="6">
        <v>3000000000</v>
      </c>
      <c r="G696" s="6">
        <v>4010000000</v>
      </c>
      <c r="H696">
        <v>514</v>
      </c>
      <c r="I696" t="s">
        <v>8633</v>
      </c>
    </row>
    <row r="697" spans="1:9" x14ac:dyDescent="0.25">
      <c r="A697" t="s">
        <v>114</v>
      </c>
      <c r="B697">
        <v>422</v>
      </c>
      <c r="C697" t="s">
        <v>4383</v>
      </c>
      <c r="D697" t="s">
        <v>3870</v>
      </c>
      <c r="E697">
        <v>4262</v>
      </c>
      <c r="F697" s="6">
        <v>3600000000</v>
      </c>
      <c r="G697" s="6">
        <v>4668900000</v>
      </c>
      <c r="H697">
        <v>519</v>
      </c>
      <c r="I697" t="s">
        <v>8634</v>
      </c>
    </row>
    <row r="698" spans="1:9" x14ac:dyDescent="0.25">
      <c r="A698" t="s">
        <v>114</v>
      </c>
      <c r="B698">
        <v>437</v>
      </c>
      <c r="C698" t="s">
        <v>5147</v>
      </c>
      <c r="D698" t="s">
        <v>3446</v>
      </c>
      <c r="E698">
        <v>3632</v>
      </c>
      <c r="F698" s="6">
        <v>4300000000</v>
      </c>
      <c r="G698" s="6">
        <v>6012345678</v>
      </c>
      <c r="H698">
        <v>534</v>
      </c>
      <c r="I698" t="s">
        <v>8635</v>
      </c>
    </row>
    <row r="699" spans="1:9" x14ac:dyDescent="0.25">
      <c r="A699" t="s">
        <v>114</v>
      </c>
      <c r="B699">
        <v>470</v>
      </c>
      <c r="C699" t="s">
        <v>4536</v>
      </c>
      <c r="D699" t="s">
        <v>3242</v>
      </c>
      <c r="E699">
        <v>3626</v>
      </c>
      <c r="F699" s="6">
        <v>3850000000</v>
      </c>
      <c r="G699" s="6">
        <v>5308888889</v>
      </c>
      <c r="H699">
        <v>574</v>
      </c>
      <c r="I699" t="s">
        <v>8636</v>
      </c>
    </row>
    <row r="700" spans="1:9" x14ac:dyDescent="0.25">
      <c r="A700" t="s">
        <v>114</v>
      </c>
      <c r="B700">
        <v>409</v>
      </c>
      <c r="C700" t="s">
        <v>3390</v>
      </c>
      <c r="D700" t="s">
        <v>191</v>
      </c>
      <c r="E700">
        <v>3270</v>
      </c>
      <c r="F700" s="6">
        <v>3650000000</v>
      </c>
      <c r="G700" s="6">
        <v>4749999999</v>
      </c>
      <c r="H700">
        <v>506</v>
      </c>
      <c r="I700" t="s">
        <v>8637</v>
      </c>
    </row>
    <row r="701" spans="1:9" x14ac:dyDescent="0.25">
      <c r="A701" t="s">
        <v>114</v>
      </c>
      <c r="B701">
        <v>228</v>
      </c>
      <c r="C701" t="s">
        <v>3945</v>
      </c>
      <c r="D701" t="s">
        <v>316</v>
      </c>
      <c r="E701">
        <v>3043</v>
      </c>
      <c r="F701" s="6">
        <v>3500000000</v>
      </c>
      <c r="G701" s="6">
        <v>4999999999</v>
      </c>
      <c r="H701">
        <v>270</v>
      </c>
      <c r="I701" t="s">
        <v>8638</v>
      </c>
    </row>
    <row r="702" spans="1:9" x14ac:dyDescent="0.25">
      <c r="A702" t="s">
        <v>114</v>
      </c>
      <c r="B702">
        <v>488</v>
      </c>
      <c r="C702" t="s">
        <v>4393</v>
      </c>
      <c r="D702" t="s">
        <v>3179</v>
      </c>
      <c r="E702">
        <v>2891</v>
      </c>
      <c r="F702" s="6">
        <v>3600000000</v>
      </c>
      <c r="G702" s="6">
        <v>4729999999</v>
      </c>
      <c r="H702">
        <v>592</v>
      </c>
      <c r="I702" t="s">
        <v>8639</v>
      </c>
    </row>
    <row r="703" spans="1:9" x14ac:dyDescent="0.25">
      <c r="A703" t="s">
        <v>114</v>
      </c>
      <c r="B703">
        <v>370</v>
      </c>
      <c r="C703" t="s">
        <v>4837</v>
      </c>
      <c r="D703" t="s">
        <v>191</v>
      </c>
      <c r="E703">
        <v>2767</v>
      </c>
      <c r="F703" s="6">
        <v>4040000000</v>
      </c>
      <c r="G703" s="6">
        <v>4449999999</v>
      </c>
      <c r="H703">
        <v>412</v>
      </c>
      <c r="I703" t="s">
        <v>8640</v>
      </c>
    </row>
    <row r="704" spans="1:9" x14ac:dyDescent="0.25">
      <c r="A704" t="s">
        <v>114</v>
      </c>
      <c r="B704">
        <v>487</v>
      </c>
      <c r="C704" t="s">
        <v>3541</v>
      </c>
      <c r="D704" t="s">
        <v>3179</v>
      </c>
      <c r="E704">
        <v>2209</v>
      </c>
      <c r="F704" s="6">
        <v>3300000000</v>
      </c>
      <c r="G704" s="6">
        <v>4366999999</v>
      </c>
      <c r="H704">
        <v>591</v>
      </c>
      <c r="I704" t="s">
        <v>8641</v>
      </c>
    </row>
    <row r="705" spans="1:9" x14ac:dyDescent="0.25">
      <c r="A705" t="s">
        <v>114</v>
      </c>
      <c r="B705">
        <v>461</v>
      </c>
      <c r="C705" t="s">
        <v>3167</v>
      </c>
      <c r="D705" t="s">
        <v>3093</v>
      </c>
      <c r="E705">
        <v>2033</v>
      </c>
      <c r="F705" s="6">
        <v>2750000000</v>
      </c>
      <c r="G705" s="6">
        <v>3700999999</v>
      </c>
      <c r="H705">
        <v>565</v>
      </c>
      <c r="I705" t="s">
        <v>8642</v>
      </c>
    </row>
    <row r="706" spans="1:9" x14ac:dyDescent="0.25">
      <c r="A706" t="s">
        <v>114</v>
      </c>
      <c r="B706">
        <v>464</v>
      </c>
      <c r="C706" t="s">
        <v>3787</v>
      </c>
      <c r="D706" t="s">
        <v>2644</v>
      </c>
      <c r="E706">
        <v>1471</v>
      </c>
      <c r="F706" s="6">
        <v>3400000000</v>
      </c>
      <c r="G706" s="6">
        <v>4125000000</v>
      </c>
      <c r="H706">
        <v>568</v>
      </c>
      <c r="I706" t="s">
        <v>8643</v>
      </c>
    </row>
    <row r="707" spans="1:9" x14ac:dyDescent="0.25">
      <c r="A707" t="s">
        <v>114</v>
      </c>
      <c r="B707">
        <v>463</v>
      </c>
      <c r="C707" t="s">
        <v>3877</v>
      </c>
      <c r="D707" t="s">
        <v>3139</v>
      </c>
      <c r="E707">
        <v>1308</v>
      </c>
      <c r="F707" s="6">
        <v>3450000000</v>
      </c>
      <c r="G707" s="6">
        <v>4446777000</v>
      </c>
      <c r="H707">
        <v>567</v>
      </c>
      <c r="I707" t="s">
        <v>8644</v>
      </c>
    </row>
    <row r="708" spans="1:9" x14ac:dyDescent="0.25">
      <c r="A708" t="s">
        <v>114</v>
      </c>
      <c r="B708">
        <v>403</v>
      </c>
      <c r="C708" t="s">
        <v>5662</v>
      </c>
      <c r="D708" t="s">
        <v>5661</v>
      </c>
      <c r="E708">
        <v>1199</v>
      </c>
      <c r="F708" s="6">
        <v>8700000000</v>
      </c>
      <c r="G708" s="6">
        <v>9919999999</v>
      </c>
      <c r="H708">
        <v>447</v>
      </c>
      <c r="I708" t="s">
        <v>8645</v>
      </c>
    </row>
    <row r="709" spans="1:9" x14ac:dyDescent="0.25">
      <c r="A709" t="s">
        <v>114</v>
      </c>
      <c r="B709">
        <v>376</v>
      </c>
      <c r="C709" t="s">
        <v>5096</v>
      </c>
      <c r="D709" t="s">
        <v>3647</v>
      </c>
      <c r="E709">
        <v>1062</v>
      </c>
      <c r="F709" s="6">
        <v>4220000000</v>
      </c>
      <c r="G709" s="6">
        <v>4777557000</v>
      </c>
      <c r="H709">
        <v>420</v>
      </c>
      <c r="I709" t="s">
        <v>8646</v>
      </c>
    </row>
    <row r="710" spans="1:9" x14ac:dyDescent="0.25">
      <c r="A710" t="s">
        <v>114</v>
      </c>
      <c r="B710">
        <v>357</v>
      </c>
      <c r="C710" t="s">
        <v>5289</v>
      </c>
      <c r="D710" t="s">
        <v>87</v>
      </c>
      <c r="E710">
        <v>1047</v>
      </c>
      <c r="F710" s="6">
        <v>4850000000</v>
      </c>
      <c r="G710" s="6">
        <v>5723000000</v>
      </c>
      <c r="H710">
        <v>399</v>
      </c>
      <c r="I710" t="s">
        <v>8647</v>
      </c>
    </row>
    <row r="711" spans="1:9" x14ac:dyDescent="0.25">
      <c r="A711" t="s">
        <v>114</v>
      </c>
      <c r="B711">
        <v>511</v>
      </c>
      <c r="C711" t="s">
        <v>5671</v>
      </c>
      <c r="D711" t="s">
        <v>5604</v>
      </c>
      <c r="E711">
        <v>1041</v>
      </c>
      <c r="F711" s="6">
        <v>9000000000</v>
      </c>
      <c r="G711" s="6">
        <v>12720888889</v>
      </c>
      <c r="H711">
        <v>621</v>
      </c>
      <c r="I711" t="s">
        <v>8648</v>
      </c>
    </row>
    <row r="712" spans="1:9" x14ac:dyDescent="0.25">
      <c r="A712" t="s">
        <v>114</v>
      </c>
      <c r="B712">
        <v>383</v>
      </c>
      <c r="C712" t="s">
        <v>4452</v>
      </c>
      <c r="D712" t="s">
        <v>191</v>
      </c>
      <c r="E712">
        <v>1000</v>
      </c>
      <c r="F712" s="6">
        <v>3750000000</v>
      </c>
      <c r="G712" s="6">
        <v>4125720000</v>
      </c>
      <c r="H712">
        <v>427</v>
      </c>
      <c r="I712" t="s">
        <v>8649</v>
      </c>
    </row>
    <row r="713" spans="1:9" x14ac:dyDescent="0.25">
      <c r="A713" t="s">
        <v>114</v>
      </c>
      <c r="B713">
        <v>424</v>
      </c>
      <c r="C713" t="s">
        <v>3397</v>
      </c>
      <c r="D713" t="s">
        <v>1418</v>
      </c>
      <c r="E713">
        <v>780</v>
      </c>
      <c r="F713" s="6">
        <v>3100000000</v>
      </c>
      <c r="G713" s="6">
        <v>4172000000</v>
      </c>
      <c r="H713">
        <v>521</v>
      </c>
      <c r="I713" t="s">
        <v>8650</v>
      </c>
    </row>
    <row r="714" spans="1:9" x14ac:dyDescent="0.25">
      <c r="A714" t="s">
        <v>114</v>
      </c>
      <c r="B714">
        <v>450</v>
      </c>
      <c r="C714" t="s">
        <v>5353</v>
      </c>
      <c r="D714" t="s">
        <v>4318</v>
      </c>
      <c r="E714">
        <v>573</v>
      </c>
      <c r="F714" s="6">
        <v>5150000000</v>
      </c>
      <c r="G714" s="6">
        <v>6500140000</v>
      </c>
      <c r="H714">
        <v>547</v>
      </c>
      <c r="I714" t="s">
        <v>8651</v>
      </c>
    </row>
    <row r="715" spans="1:9" x14ac:dyDescent="0.25">
      <c r="A715" t="s">
        <v>114</v>
      </c>
      <c r="B715">
        <v>396</v>
      </c>
      <c r="C715" t="s">
        <v>3960</v>
      </c>
      <c r="D715" t="s">
        <v>1418</v>
      </c>
      <c r="E715">
        <v>457</v>
      </c>
      <c r="F715" s="6">
        <v>3500000000</v>
      </c>
      <c r="G715" s="6">
        <v>3851414145</v>
      </c>
      <c r="H715">
        <v>440</v>
      </c>
      <c r="I715" t="s">
        <v>8652</v>
      </c>
    </row>
    <row r="716" spans="1:9" x14ac:dyDescent="0.25">
      <c r="A716" t="s">
        <v>114</v>
      </c>
      <c r="B716">
        <v>441</v>
      </c>
      <c r="C716" t="s">
        <v>5323</v>
      </c>
      <c r="D716" t="s">
        <v>3521</v>
      </c>
      <c r="E716">
        <v>391</v>
      </c>
      <c r="F716" s="6">
        <v>5000000000</v>
      </c>
      <c r="G716" s="6">
        <v>6217777777</v>
      </c>
      <c r="H716">
        <v>538</v>
      </c>
      <c r="I716" t="s">
        <v>8653</v>
      </c>
    </row>
    <row r="717" spans="1:9" x14ac:dyDescent="0.25">
      <c r="A717" t="s">
        <v>114</v>
      </c>
      <c r="B717">
        <v>448</v>
      </c>
      <c r="C717" t="s">
        <v>5347</v>
      </c>
      <c r="D717" t="s">
        <v>3521</v>
      </c>
      <c r="E717">
        <v>340</v>
      </c>
      <c r="F717" s="6">
        <v>5150000000</v>
      </c>
      <c r="G717" s="6">
        <v>6500000000</v>
      </c>
      <c r="H717">
        <v>545</v>
      </c>
      <c r="I717" t="s">
        <v>8654</v>
      </c>
    </row>
    <row r="718" spans="1:9" x14ac:dyDescent="0.25">
      <c r="A718" t="s">
        <v>114</v>
      </c>
      <c r="B718">
        <v>398</v>
      </c>
      <c r="C718" t="s">
        <v>5699</v>
      </c>
      <c r="D718" t="s">
        <v>5613</v>
      </c>
      <c r="E718">
        <v>319</v>
      </c>
      <c r="F718" s="6">
        <v>10450000000</v>
      </c>
      <c r="G718" s="6">
        <v>12300111000</v>
      </c>
      <c r="H718">
        <v>442</v>
      </c>
      <c r="I718" t="s">
        <v>8655</v>
      </c>
    </row>
    <row r="719" spans="1:9" x14ac:dyDescent="0.25">
      <c r="A719" t="s">
        <v>114</v>
      </c>
      <c r="B719">
        <v>414</v>
      </c>
      <c r="C719" t="s">
        <v>3863</v>
      </c>
      <c r="D719" t="s">
        <v>2568</v>
      </c>
      <c r="E719">
        <v>308</v>
      </c>
      <c r="F719" s="6">
        <v>3450000000</v>
      </c>
      <c r="G719" s="6">
        <v>4115000009</v>
      </c>
      <c r="H719">
        <v>511</v>
      </c>
      <c r="I719" t="s">
        <v>8656</v>
      </c>
    </row>
    <row r="720" spans="1:9" x14ac:dyDescent="0.25">
      <c r="A720" t="s">
        <v>114</v>
      </c>
      <c r="B720">
        <v>256</v>
      </c>
      <c r="C720" t="s">
        <v>3929</v>
      </c>
      <c r="D720" t="s">
        <v>3928</v>
      </c>
      <c r="E720">
        <v>305</v>
      </c>
      <c r="F720" s="6">
        <v>3470000000</v>
      </c>
      <c r="G720" s="6">
        <v>4278999999</v>
      </c>
      <c r="H720">
        <v>298</v>
      </c>
      <c r="I720" t="s">
        <v>8657</v>
      </c>
    </row>
    <row r="721" spans="1:9" x14ac:dyDescent="0.25">
      <c r="A721" t="s">
        <v>114</v>
      </c>
      <c r="B721">
        <v>404</v>
      </c>
      <c r="C721" t="s">
        <v>5682</v>
      </c>
      <c r="D721" t="s">
        <v>5681</v>
      </c>
      <c r="E721">
        <v>296</v>
      </c>
      <c r="F721" s="6">
        <v>9300000000</v>
      </c>
      <c r="G721" s="6">
        <v>11171154321</v>
      </c>
      <c r="H721">
        <v>448</v>
      </c>
      <c r="I721" t="s">
        <v>8658</v>
      </c>
    </row>
    <row r="722" spans="1:9" x14ac:dyDescent="0.25">
      <c r="A722" t="s">
        <v>114</v>
      </c>
      <c r="B722">
        <v>399</v>
      </c>
      <c r="C722" t="s">
        <v>5650</v>
      </c>
      <c r="D722" t="s">
        <v>5649</v>
      </c>
      <c r="E722">
        <v>294</v>
      </c>
      <c r="F722" s="6">
        <v>10600000000</v>
      </c>
      <c r="G722" s="6">
        <v>12586593231</v>
      </c>
      <c r="H722">
        <v>443</v>
      </c>
      <c r="I722" t="s">
        <v>8659</v>
      </c>
    </row>
    <row r="723" spans="1:9" x14ac:dyDescent="0.25">
      <c r="A723" t="s">
        <v>114</v>
      </c>
      <c r="B723">
        <v>400</v>
      </c>
      <c r="C723" t="s">
        <v>5708</v>
      </c>
      <c r="D723" t="s">
        <v>5604</v>
      </c>
      <c r="E723">
        <v>258</v>
      </c>
      <c r="F723" s="6">
        <v>10600000000</v>
      </c>
      <c r="G723" s="6">
        <v>13100000000</v>
      </c>
      <c r="H723">
        <v>444</v>
      </c>
      <c r="I723" t="s">
        <v>8660</v>
      </c>
    </row>
    <row r="724" spans="1:9" x14ac:dyDescent="0.25">
      <c r="A724" t="s">
        <v>114</v>
      </c>
      <c r="B724">
        <v>466</v>
      </c>
      <c r="C724" t="s">
        <v>3017</v>
      </c>
      <c r="D724" t="s">
        <v>2796</v>
      </c>
      <c r="E724">
        <v>256</v>
      </c>
      <c r="F724" s="6">
        <v>2600000000</v>
      </c>
      <c r="G724" s="6">
        <v>4076999999</v>
      </c>
      <c r="H724">
        <v>570</v>
      </c>
      <c r="I724" t="s">
        <v>8661</v>
      </c>
    </row>
    <row r="725" spans="1:9" x14ac:dyDescent="0.25">
      <c r="A725" t="s">
        <v>114</v>
      </c>
      <c r="B725">
        <v>489</v>
      </c>
      <c r="C725" t="s">
        <v>3984</v>
      </c>
      <c r="D725" t="s">
        <v>3983</v>
      </c>
      <c r="E725">
        <v>231</v>
      </c>
      <c r="F725" s="6">
        <v>3500000000</v>
      </c>
      <c r="G725" s="6">
        <v>4145698000</v>
      </c>
      <c r="H725">
        <v>593</v>
      </c>
      <c r="I725" t="s">
        <v>8662</v>
      </c>
    </row>
    <row r="726" spans="1:9" x14ac:dyDescent="0.25">
      <c r="A726" t="s">
        <v>114</v>
      </c>
      <c r="B726">
        <v>401</v>
      </c>
      <c r="C726" t="s">
        <v>5703</v>
      </c>
      <c r="D726" t="s">
        <v>5604</v>
      </c>
      <c r="E726">
        <v>195</v>
      </c>
      <c r="F726" s="6">
        <v>10500000000</v>
      </c>
      <c r="G726" s="6">
        <v>11111111111</v>
      </c>
      <c r="H726">
        <v>445</v>
      </c>
      <c r="I726" t="s">
        <v>8663</v>
      </c>
    </row>
    <row r="727" spans="1:9" x14ac:dyDescent="0.25">
      <c r="A727" t="s">
        <v>114</v>
      </c>
      <c r="B727">
        <v>384</v>
      </c>
      <c r="C727" t="s">
        <v>4531</v>
      </c>
      <c r="D727" t="s">
        <v>191</v>
      </c>
      <c r="E727">
        <v>183</v>
      </c>
      <c r="F727" s="6">
        <v>3850000000</v>
      </c>
      <c r="G727" s="6">
        <v>4180000000</v>
      </c>
      <c r="H727">
        <v>428</v>
      </c>
      <c r="I727" t="s">
        <v>8664</v>
      </c>
    </row>
    <row r="728" spans="1:9" x14ac:dyDescent="0.25">
      <c r="A728" t="s">
        <v>114</v>
      </c>
      <c r="B728">
        <v>485</v>
      </c>
      <c r="C728" t="s">
        <v>3120</v>
      </c>
      <c r="D728" t="s">
        <v>8665</v>
      </c>
      <c r="E728">
        <v>162</v>
      </c>
      <c r="F728" s="6">
        <v>2700000000</v>
      </c>
      <c r="G728" s="6">
        <v>3954325401</v>
      </c>
      <c r="H728">
        <v>589</v>
      </c>
      <c r="I728" t="s">
        <v>8666</v>
      </c>
    </row>
    <row r="729" spans="1:9" x14ac:dyDescent="0.25">
      <c r="A729" t="s">
        <v>114</v>
      </c>
      <c r="B729">
        <v>324</v>
      </c>
      <c r="C729" t="s">
        <v>5556</v>
      </c>
      <c r="D729" t="s">
        <v>8035</v>
      </c>
      <c r="E729">
        <v>124</v>
      </c>
      <c r="F729" s="6">
        <v>5500000000</v>
      </c>
      <c r="G729" s="6">
        <v>6320000000</v>
      </c>
      <c r="H729">
        <v>366</v>
      </c>
      <c r="I729" t="s">
        <v>8667</v>
      </c>
    </row>
    <row r="730" spans="1:9" x14ac:dyDescent="0.25">
      <c r="A730" t="s">
        <v>114</v>
      </c>
      <c r="B730">
        <v>317</v>
      </c>
      <c r="C730" t="s">
        <v>4739</v>
      </c>
      <c r="D730" t="s">
        <v>8026</v>
      </c>
      <c r="E730">
        <v>116</v>
      </c>
      <c r="F730" s="6">
        <v>5200000000</v>
      </c>
      <c r="G730" s="6">
        <v>6100000000</v>
      </c>
      <c r="H730">
        <v>359</v>
      </c>
      <c r="I730" t="s">
        <v>8668</v>
      </c>
    </row>
    <row r="731" spans="1:9" x14ac:dyDescent="0.25">
      <c r="A731" t="s">
        <v>114</v>
      </c>
      <c r="B731">
        <v>354</v>
      </c>
      <c r="C731" t="s">
        <v>5196</v>
      </c>
      <c r="D731" t="s">
        <v>8033</v>
      </c>
      <c r="E731">
        <v>111</v>
      </c>
      <c r="F731" s="6">
        <v>5650000000</v>
      </c>
      <c r="G731" s="6">
        <v>6418500009</v>
      </c>
      <c r="H731">
        <v>396</v>
      </c>
      <c r="I731" t="s">
        <v>8669</v>
      </c>
    </row>
    <row r="732" spans="1:9" x14ac:dyDescent="0.25">
      <c r="A732" t="s">
        <v>114</v>
      </c>
      <c r="B732">
        <v>313</v>
      </c>
      <c r="C732" t="s">
        <v>4690</v>
      </c>
      <c r="D732" t="s">
        <v>8035</v>
      </c>
      <c r="E732">
        <v>110</v>
      </c>
      <c r="F732" s="6">
        <v>5200000000</v>
      </c>
      <c r="G732" s="6">
        <v>6050222000</v>
      </c>
      <c r="H732">
        <v>355</v>
      </c>
      <c r="I732" t="s">
        <v>8670</v>
      </c>
    </row>
    <row r="733" spans="1:9" x14ac:dyDescent="0.25">
      <c r="A733" t="s">
        <v>114</v>
      </c>
      <c r="B733">
        <v>486</v>
      </c>
      <c r="C733" t="s">
        <v>3085</v>
      </c>
      <c r="D733" t="s">
        <v>8665</v>
      </c>
      <c r="E733">
        <v>110</v>
      </c>
      <c r="F733" s="6">
        <v>2680000000</v>
      </c>
      <c r="G733" s="6">
        <v>3954421010</v>
      </c>
      <c r="H733">
        <v>590</v>
      </c>
      <c r="I733" t="s">
        <v>8671</v>
      </c>
    </row>
    <row r="734" spans="1:9" x14ac:dyDescent="0.25">
      <c r="A734" t="s">
        <v>114</v>
      </c>
      <c r="B734">
        <v>251</v>
      </c>
      <c r="C734" t="s">
        <v>3684</v>
      </c>
      <c r="D734" t="s">
        <v>2476</v>
      </c>
      <c r="E734">
        <v>104</v>
      </c>
      <c r="F734" s="6">
        <v>3350000000</v>
      </c>
      <c r="G734" s="6">
        <v>4018989890</v>
      </c>
      <c r="H734">
        <v>293</v>
      </c>
      <c r="I734" t="s">
        <v>8672</v>
      </c>
    </row>
    <row r="735" spans="1:9" x14ac:dyDescent="0.25">
      <c r="A735" t="s">
        <v>114</v>
      </c>
      <c r="B735">
        <v>300</v>
      </c>
      <c r="C735" t="s">
        <v>4693</v>
      </c>
      <c r="D735" t="s">
        <v>8026</v>
      </c>
      <c r="E735">
        <v>104</v>
      </c>
      <c r="F735" s="6">
        <v>5200000000</v>
      </c>
      <c r="G735" s="6">
        <v>6300000000</v>
      </c>
      <c r="H735">
        <v>342</v>
      </c>
      <c r="I735" t="s">
        <v>8673</v>
      </c>
    </row>
    <row r="736" spans="1:9" x14ac:dyDescent="0.25">
      <c r="A736" t="s">
        <v>114</v>
      </c>
      <c r="B736">
        <v>390</v>
      </c>
      <c r="C736" t="s">
        <v>4473</v>
      </c>
      <c r="D736" t="s">
        <v>2568</v>
      </c>
      <c r="E736">
        <v>103</v>
      </c>
      <c r="F736" s="6">
        <v>3800000000</v>
      </c>
      <c r="G736" s="6">
        <v>4070000000</v>
      </c>
      <c r="H736">
        <v>434</v>
      </c>
      <c r="I736" t="s">
        <v>8674</v>
      </c>
    </row>
    <row r="737" spans="1:9" x14ac:dyDescent="0.25">
      <c r="A737" t="s">
        <v>114</v>
      </c>
      <c r="B737">
        <v>261</v>
      </c>
      <c r="C737" t="s">
        <v>3690</v>
      </c>
      <c r="D737" t="s">
        <v>3689</v>
      </c>
      <c r="E737">
        <v>100</v>
      </c>
      <c r="F737" s="6">
        <v>3350000000</v>
      </c>
      <c r="G737" s="6">
        <v>3955000000</v>
      </c>
      <c r="H737">
        <v>303</v>
      </c>
      <c r="I737" t="s">
        <v>8675</v>
      </c>
    </row>
    <row r="738" spans="1:9" x14ac:dyDescent="0.25">
      <c r="A738" t="s">
        <v>114</v>
      </c>
      <c r="B738">
        <v>270</v>
      </c>
      <c r="C738" t="s">
        <v>4517</v>
      </c>
      <c r="D738" t="s">
        <v>191</v>
      </c>
      <c r="E738">
        <v>100</v>
      </c>
      <c r="F738" s="6">
        <v>3850000000</v>
      </c>
      <c r="G738" s="6">
        <v>4510000222</v>
      </c>
      <c r="H738">
        <v>312</v>
      </c>
      <c r="I738" t="s">
        <v>8676</v>
      </c>
    </row>
    <row r="739" spans="1:9" x14ac:dyDescent="0.25">
      <c r="A739" t="s">
        <v>114</v>
      </c>
      <c r="B739">
        <v>382</v>
      </c>
      <c r="C739" t="s">
        <v>5059</v>
      </c>
      <c r="D739" t="s">
        <v>191</v>
      </c>
      <c r="E739">
        <v>100</v>
      </c>
      <c r="F739" s="6">
        <v>4200000000</v>
      </c>
      <c r="G739" s="6">
        <v>4550000000</v>
      </c>
      <c r="H739">
        <v>426</v>
      </c>
      <c r="I739" t="s">
        <v>8677</v>
      </c>
    </row>
    <row r="740" spans="1:9" x14ac:dyDescent="0.25">
      <c r="A740" t="s">
        <v>114</v>
      </c>
      <c r="B740">
        <v>387</v>
      </c>
      <c r="C740" t="s">
        <v>4748</v>
      </c>
      <c r="D740" t="s">
        <v>191</v>
      </c>
      <c r="E740">
        <v>100</v>
      </c>
      <c r="F740" s="6">
        <v>3950000000</v>
      </c>
      <c r="G740" s="6">
        <v>4055555555</v>
      </c>
      <c r="H740">
        <v>431</v>
      </c>
      <c r="I740" t="s">
        <v>8678</v>
      </c>
    </row>
    <row r="741" spans="1:9" x14ac:dyDescent="0.25">
      <c r="A741" t="s">
        <v>114</v>
      </c>
      <c r="B741">
        <v>394</v>
      </c>
      <c r="C741" t="s">
        <v>3956</v>
      </c>
      <c r="D741" t="s">
        <v>3309</v>
      </c>
      <c r="E741">
        <v>100</v>
      </c>
      <c r="F741" s="6">
        <v>3500000000</v>
      </c>
      <c r="G741" s="6">
        <v>3950000000</v>
      </c>
      <c r="H741">
        <v>438</v>
      </c>
      <c r="I741" t="s">
        <v>8679</v>
      </c>
    </row>
    <row r="742" spans="1:9" x14ac:dyDescent="0.25">
      <c r="A742" t="s">
        <v>114</v>
      </c>
      <c r="B742">
        <v>482</v>
      </c>
      <c r="C742" t="s">
        <v>3102</v>
      </c>
      <c r="D742" t="s">
        <v>8665</v>
      </c>
      <c r="E742">
        <v>100</v>
      </c>
      <c r="F742" s="6">
        <v>2700000000</v>
      </c>
      <c r="G742" s="6">
        <v>3818888899</v>
      </c>
      <c r="H742">
        <v>586</v>
      </c>
      <c r="I742" t="s">
        <v>8680</v>
      </c>
    </row>
    <row r="743" spans="1:9" x14ac:dyDescent="0.25">
      <c r="A743" t="s">
        <v>114</v>
      </c>
      <c r="B743">
        <v>332</v>
      </c>
      <c r="C743" t="s">
        <v>5496</v>
      </c>
      <c r="D743" t="s">
        <v>8026</v>
      </c>
      <c r="E743">
        <v>99</v>
      </c>
      <c r="F743" s="6">
        <v>5400000000</v>
      </c>
      <c r="G743" s="6">
        <v>6019500000</v>
      </c>
      <c r="H743">
        <v>374</v>
      </c>
      <c r="I743" t="s">
        <v>8681</v>
      </c>
    </row>
    <row r="744" spans="1:9" x14ac:dyDescent="0.25">
      <c r="A744" t="s">
        <v>114</v>
      </c>
      <c r="B744">
        <v>378</v>
      </c>
      <c r="C744" t="s">
        <v>4982</v>
      </c>
      <c r="D744" t="s">
        <v>191</v>
      </c>
      <c r="E744">
        <v>99</v>
      </c>
      <c r="F744" s="6">
        <v>4140000000</v>
      </c>
      <c r="G744" s="6">
        <v>4876599999</v>
      </c>
      <c r="H744">
        <v>422</v>
      </c>
      <c r="I744" t="s">
        <v>8682</v>
      </c>
    </row>
    <row r="745" spans="1:9" x14ac:dyDescent="0.25">
      <c r="A745" t="s">
        <v>114</v>
      </c>
      <c r="B745">
        <v>314</v>
      </c>
      <c r="C745" t="s">
        <v>4604</v>
      </c>
      <c r="D745" t="s">
        <v>8026</v>
      </c>
      <c r="E745">
        <v>97</v>
      </c>
      <c r="F745" s="6">
        <v>5200000000</v>
      </c>
      <c r="G745" s="6">
        <v>6010999999</v>
      </c>
      <c r="H745">
        <v>356</v>
      </c>
      <c r="I745" t="s">
        <v>8683</v>
      </c>
    </row>
    <row r="746" spans="1:9" x14ac:dyDescent="0.25">
      <c r="A746" t="s">
        <v>114</v>
      </c>
      <c r="B746">
        <v>311</v>
      </c>
      <c r="C746" t="s">
        <v>4658</v>
      </c>
      <c r="D746" t="s">
        <v>8035</v>
      </c>
      <c r="E746">
        <v>96</v>
      </c>
      <c r="F746" s="6">
        <v>5200000000</v>
      </c>
      <c r="G746" s="6">
        <v>6050222000</v>
      </c>
      <c r="H746">
        <v>353</v>
      </c>
      <c r="I746" t="s">
        <v>8684</v>
      </c>
    </row>
    <row r="747" spans="1:9" x14ac:dyDescent="0.25">
      <c r="A747" t="s">
        <v>114</v>
      </c>
      <c r="B747">
        <v>512</v>
      </c>
      <c r="C747" t="s">
        <v>5666</v>
      </c>
      <c r="D747" t="s">
        <v>5604</v>
      </c>
      <c r="E747">
        <v>96</v>
      </c>
      <c r="F747" s="6">
        <v>8800000000</v>
      </c>
      <c r="G747" s="6">
        <v>12520888889</v>
      </c>
      <c r="H747">
        <v>622</v>
      </c>
      <c r="I747" t="s">
        <v>8685</v>
      </c>
    </row>
    <row r="748" spans="1:9" x14ac:dyDescent="0.25">
      <c r="A748" t="s">
        <v>114</v>
      </c>
      <c r="B748">
        <v>295</v>
      </c>
      <c r="C748" t="s">
        <v>4702</v>
      </c>
      <c r="D748" t="s">
        <v>8035</v>
      </c>
      <c r="E748">
        <v>95</v>
      </c>
      <c r="F748" s="6">
        <v>5200000000</v>
      </c>
      <c r="G748" s="6">
        <v>6010000000</v>
      </c>
      <c r="H748">
        <v>337</v>
      </c>
      <c r="I748" t="s">
        <v>8686</v>
      </c>
    </row>
    <row r="749" spans="1:9" x14ac:dyDescent="0.25">
      <c r="A749" t="s">
        <v>114</v>
      </c>
      <c r="B749">
        <v>490</v>
      </c>
      <c r="C749" t="s">
        <v>3202</v>
      </c>
      <c r="D749" t="s">
        <v>3201</v>
      </c>
      <c r="E749">
        <v>90</v>
      </c>
      <c r="F749" s="6">
        <v>2800000000</v>
      </c>
      <c r="G749" s="6">
        <v>4172999999</v>
      </c>
      <c r="H749">
        <v>594</v>
      </c>
      <c r="I749" t="s">
        <v>8687</v>
      </c>
    </row>
    <row r="750" spans="1:9" x14ac:dyDescent="0.25">
      <c r="A750" t="s">
        <v>114</v>
      </c>
      <c r="B750">
        <v>388</v>
      </c>
      <c r="C750" t="s">
        <v>2580</v>
      </c>
      <c r="D750" t="s">
        <v>1418</v>
      </c>
      <c r="E750">
        <v>87</v>
      </c>
      <c r="F750" s="6">
        <v>3600000000</v>
      </c>
      <c r="G750" s="6">
        <v>4020000000</v>
      </c>
      <c r="H750">
        <v>432</v>
      </c>
      <c r="I750" t="s">
        <v>8688</v>
      </c>
    </row>
    <row r="751" spans="1:9" x14ac:dyDescent="0.25">
      <c r="A751" t="s">
        <v>114</v>
      </c>
      <c r="B751">
        <v>468</v>
      </c>
      <c r="C751" t="s">
        <v>3029</v>
      </c>
      <c r="D751" t="s">
        <v>2796</v>
      </c>
      <c r="E751">
        <v>87</v>
      </c>
      <c r="F751" s="6">
        <v>2600000000</v>
      </c>
      <c r="G751" s="6">
        <v>4119679900</v>
      </c>
      <c r="H751">
        <v>572</v>
      </c>
      <c r="I751" t="s">
        <v>8689</v>
      </c>
    </row>
    <row r="752" spans="1:9" x14ac:dyDescent="0.25">
      <c r="A752" t="s">
        <v>114</v>
      </c>
      <c r="B752">
        <v>249</v>
      </c>
      <c r="C752" t="s">
        <v>5051</v>
      </c>
      <c r="D752" t="s">
        <v>404</v>
      </c>
      <c r="E752">
        <v>86</v>
      </c>
      <c r="F752" s="6">
        <v>4200000000</v>
      </c>
      <c r="G752" s="6">
        <v>5152999999</v>
      </c>
      <c r="H752">
        <v>291</v>
      </c>
      <c r="I752" t="s">
        <v>8690</v>
      </c>
    </row>
    <row r="753" spans="1:9" x14ac:dyDescent="0.25">
      <c r="A753" t="s">
        <v>114</v>
      </c>
      <c r="B753">
        <v>120</v>
      </c>
      <c r="C753" t="s">
        <v>1695</v>
      </c>
      <c r="D753" t="s">
        <v>376</v>
      </c>
      <c r="E753">
        <v>84</v>
      </c>
      <c r="F753" s="6">
        <v>2100000000</v>
      </c>
      <c r="G753" s="6">
        <v>2359000000</v>
      </c>
      <c r="H753">
        <v>162</v>
      </c>
      <c r="I753" t="s">
        <v>8691</v>
      </c>
    </row>
    <row r="754" spans="1:9" x14ac:dyDescent="0.25">
      <c r="A754" t="s">
        <v>114</v>
      </c>
      <c r="B754">
        <v>318</v>
      </c>
      <c r="C754" t="s">
        <v>4665</v>
      </c>
      <c r="D754" t="s">
        <v>8035</v>
      </c>
      <c r="E754">
        <v>81</v>
      </c>
      <c r="F754" s="6">
        <v>5220000000</v>
      </c>
      <c r="G754" s="6">
        <v>6135000000</v>
      </c>
      <c r="H754">
        <v>360</v>
      </c>
      <c r="I754" t="s">
        <v>8692</v>
      </c>
    </row>
    <row r="755" spans="1:9" x14ac:dyDescent="0.25">
      <c r="A755" t="s">
        <v>114</v>
      </c>
      <c r="B755">
        <v>296</v>
      </c>
      <c r="C755" t="s">
        <v>4710</v>
      </c>
      <c r="D755" t="s">
        <v>8035</v>
      </c>
      <c r="E755">
        <v>80</v>
      </c>
      <c r="F755" s="6">
        <v>5200000000</v>
      </c>
      <c r="G755" s="6">
        <v>6150000000</v>
      </c>
      <c r="H755">
        <v>338</v>
      </c>
      <c r="I755" t="s">
        <v>8693</v>
      </c>
    </row>
    <row r="756" spans="1:9" x14ac:dyDescent="0.25">
      <c r="A756" t="s">
        <v>114</v>
      </c>
      <c r="B756">
        <v>434</v>
      </c>
      <c r="C756" t="s">
        <v>5341</v>
      </c>
      <c r="D756" t="s">
        <v>3446</v>
      </c>
      <c r="E756">
        <v>80</v>
      </c>
      <c r="F756" s="6">
        <v>5150000000</v>
      </c>
      <c r="G756" s="6">
        <v>6759999999</v>
      </c>
      <c r="H756">
        <v>531</v>
      </c>
      <c r="I756" t="s">
        <v>8694</v>
      </c>
    </row>
    <row r="757" spans="1:9" x14ac:dyDescent="0.25">
      <c r="A757" t="s">
        <v>114</v>
      </c>
      <c r="B757">
        <v>520</v>
      </c>
      <c r="C757" t="s">
        <v>4478</v>
      </c>
      <c r="D757" t="s">
        <v>4477</v>
      </c>
      <c r="E757">
        <v>80</v>
      </c>
      <c r="F757" s="6">
        <v>3800000000</v>
      </c>
      <c r="G757" s="6">
        <v>4875141555</v>
      </c>
      <c r="H757">
        <v>630</v>
      </c>
      <c r="I757" t="s">
        <v>8695</v>
      </c>
    </row>
    <row r="758" spans="1:9" x14ac:dyDescent="0.25">
      <c r="A758" t="s">
        <v>114</v>
      </c>
      <c r="B758">
        <v>348</v>
      </c>
      <c r="C758" t="s">
        <v>5284</v>
      </c>
      <c r="D758" t="s">
        <v>5283</v>
      </c>
      <c r="E758">
        <v>79</v>
      </c>
      <c r="F758" s="6">
        <v>4850000000</v>
      </c>
      <c r="G758" s="6">
        <v>6011000000</v>
      </c>
      <c r="H758">
        <v>390</v>
      </c>
      <c r="I758" t="s">
        <v>8696</v>
      </c>
    </row>
    <row r="759" spans="1:9" x14ac:dyDescent="0.25">
      <c r="A759" t="s">
        <v>114</v>
      </c>
      <c r="B759">
        <v>343</v>
      </c>
      <c r="C759" t="s">
        <v>5438</v>
      </c>
      <c r="D759" t="s">
        <v>8026</v>
      </c>
      <c r="E759">
        <v>77</v>
      </c>
      <c r="F759" s="6">
        <v>5300000000</v>
      </c>
      <c r="G759" s="6">
        <v>5866666666</v>
      </c>
      <c r="H759">
        <v>385</v>
      </c>
      <c r="I759" t="s">
        <v>8697</v>
      </c>
    </row>
    <row r="760" spans="1:9" x14ac:dyDescent="0.25">
      <c r="A760" t="s">
        <v>114</v>
      </c>
      <c r="B760">
        <v>341</v>
      </c>
      <c r="C760" t="s">
        <v>5476</v>
      </c>
      <c r="D760" t="s">
        <v>8026</v>
      </c>
      <c r="E760">
        <v>76</v>
      </c>
      <c r="F760" s="6">
        <v>5350000000</v>
      </c>
      <c r="G760" s="6">
        <v>5590999999</v>
      </c>
      <c r="H760">
        <v>383</v>
      </c>
      <c r="I760" t="s">
        <v>8698</v>
      </c>
    </row>
    <row r="761" spans="1:9" x14ac:dyDescent="0.25">
      <c r="A761" t="s">
        <v>114</v>
      </c>
      <c r="B761">
        <v>345</v>
      </c>
      <c r="C761" t="s">
        <v>5443</v>
      </c>
      <c r="D761" t="s">
        <v>8035</v>
      </c>
      <c r="E761">
        <v>72</v>
      </c>
      <c r="F761" s="6">
        <v>5330000000</v>
      </c>
      <c r="G761" s="6">
        <v>6200111000</v>
      </c>
      <c r="H761">
        <v>387</v>
      </c>
      <c r="I761" t="s">
        <v>8699</v>
      </c>
    </row>
    <row r="762" spans="1:9" x14ac:dyDescent="0.25">
      <c r="A762" t="s">
        <v>114</v>
      </c>
      <c r="B762">
        <v>355</v>
      </c>
      <c r="C762" t="s">
        <v>5270</v>
      </c>
      <c r="D762" t="s">
        <v>8011</v>
      </c>
      <c r="E762">
        <v>71</v>
      </c>
      <c r="F762" s="6">
        <v>5800000000</v>
      </c>
      <c r="G762" s="6">
        <v>6511111111</v>
      </c>
      <c r="H762">
        <v>397</v>
      </c>
      <c r="I762" t="s">
        <v>8700</v>
      </c>
    </row>
    <row r="763" spans="1:9" x14ac:dyDescent="0.25">
      <c r="A763" t="s">
        <v>114</v>
      </c>
      <c r="B763">
        <v>460</v>
      </c>
      <c r="C763" t="s">
        <v>5081</v>
      </c>
      <c r="D763" t="s">
        <v>5074</v>
      </c>
      <c r="E763">
        <v>70</v>
      </c>
      <c r="F763" s="6">
        <v>4200000000</v>
      </c>
      <c r="G763" s="6">
        <v>6626000000</v>
      </c>
      <c r="H763">
        <v>564</v>
      </c>
      <c r="I763" t="s">
        <v>8701</v>
      </c>
    </row>
    <row r="764" spans="1:9" x14ac:dyDescent="0.25">
      <c r="A764" t="s">
        <v>114</v>
      </c>
      <c r="B764">
        <v>372</v>
      </c>
      <c r="C764" t="s">
        <v>4767</v>
      </c>
      <c r="D764" t="s">
        <v>191</v>
      </c>
      <c r="E764">
        <v>69</v>
      </c>
      <c r="F764" s="6">
        <v>4000000000</v>
      </c>
      <c r="G764" s="6">
        <v>4477557000</v>
      </c>
      <c r="H764">
        <v>414</v>
      </c>
      <c r="I764" t="s">
        <v>8702</v>
      </c>
    </row>
    <row r="765" spans="1:9" x14ac:dyDescent="0.25">
      <c r="A765" t="s">
        <v>114</v>
      </c>
      <c r="B765">
        <v>455</v>
      </c>
      <c r="C765" t="s">
        <v>2503</v>
      </c>
      <c r="D765" t="s">
        <v>8703</v>
      </c>
      <c r="E765">
        <v>68</v>
      </c>
      <c r="F765" s="6">
        <v>2300000000</v>
      </c>
      <c r="G765" s="6">
        <v>3667900000</v>
      </c>
      <c r="H765">
        <v>559</v>
      </c>
      <c r="I765" t="s">
        <v>8704</v>
      </c>
    </row>
    <row r="766" spans="1:9" x14ac:dyDescent="0.25">
      <c r="A766" t="s">
        <v>114</v>
      </c>
      <c r="B766">
        <v>465</v>
      </c>
      <c r="C766" t="s">
        <v>2797</v>
      </c>
      <c r="D766" t="s">
        <v>2796</v>
      </c>
      <c r="E766">
        <v>68</v>
      </c>
      <c r="F766" s="6">
        <v>2500000000</v>
      </c>
      <c r="G766" s="6">
        <v>4146777777</v>
      </c>
      <c r="H766">
        <v>569</v>
      </c>
      <c r="I766" t="s">
        <v>8705</v>
      </c>
    </row>
    <row r="767" spans="1:9" x14ac:dyDescent="0.25">
      <c r="A767" t="s">
        <v>114</v>
      </c>
      <c r="B767">
        <v>284</v>
      </c>
      <c r="C767" t="s">
        <v>5521</v>
      </c>
      <c r="D767" t="s">
        <v>8035</v>
      </c>
      <c r="E767">
        <v>67</v>
      </c>
      <c r="F767" s="6">
        <v>5450000000</v>
      </c>
      <c r="G767" s="6">
        <v>6370991111</v>
      </c>
      <c r="H767">
        <v>326</v>
      </c>
      <c r="I767" t="s">
        <v>8706</v>
      </c>
    </row>
    <row r="768" spans="1:9" x14ac:dyDescent="0.25">
      <c r="A768" t="s">
        <v>114</v>
      </c>
      <c r="B768">
        <v>340</v>
      </c>
      <c r="C768" t="s">
        <v>5540</v>
      </c>
      <c r="D768" t="s">
        <v>8026</v>
      </c>
      <c r="E768">
        <v>67</v>
      </c>
      <c r="F768" s="6">
        <v>5450000000</v>
      </c>
      <c r="G768" s="6">
        <v>6450000000</v>
      </c>
      <c r="H768">
        <v>382</v>
      </c>
      <c r="I768" t="s">
        <v>8707</v>
      </c>
    </row>
    <row r="769" spans="1:9" x14ac:dyDescent="0.25">
      <c r="A769" t="s">
        <v>114</v>
      </c>
      <c r="B769">
        <v>154</v>
      </c>
      <c r="C769" t="s">
        <v>1822</v>
      </c>
      <c r="D769" t="s">
        <v>376</v>
      </c>
      <c r="E769">
        <v>66</v>
      </c>
      <c r="F769" s="6">
        <v>2100000000</v>
      </c>
      <c r="G769" s="6">
        <v>2280000000</v>
      </c>
      <c r="H769">
        <v>196</v>
      </c>
      <c r="I769" t="s">
        <v>8708</v>
      </c>
    </row>
    <row r="770" spans="1:9" x14ac:dyDescent="0.25">
      <c r="A770" t="s">
        <v>114</v>
      </c>
      <c r="B770">
        <v>505</v>
      </c>
      <c r="C770" t="s">
        <v>5032</v>
      </c>
      <c r="D770" t="s">
        <v>4609</v>
      </c>
      <c r="E770">
        <v>66</v>
      </c>
      <c r="F770" s="6">
        <v>4150000000</v>
      </c>
      <c r="G770" s="6">
        <v>6153285590</v>
      </c>
      <c r="H770">
        <v>615</v>
      </c>
      <c r="I770" t="s">
        <v>8709</v>
      </c>
    </row>
    <row r="771" spans="1:9" x14ac:dyDescent="0.25">
      <c r="A771" t="s">
        <v>114</v>
      </c>
      <c r="B771">
        <v>244</v>
      </c>
      <c r="C771" t="s">
        <v>5568</v>
      </c>
      <c r="D771" t="s">
        <v>4318</v>
      </c>
      <c r="E771">
        <v>64</v>
      </c>
      <c r="F771" s="6">
        <v>5650000000</v>
      </c>
      <c r="G771" s="6">
        <v>6230000000</v>
      </c>
      <c r="H771">
        <v>286</v>
      </c>
      <c r="I771" t="s">
        <v>8710</v>
      </c>
    </row>
    <row r="772" spans="1:9" x14ac:dyDescent="0.25">
      <c r="A772" t="s">
        <v>114</v>
      </c>
      <c r="B772">
        <v>278</v>
      </c>
      <c r="C772" t="s">
        <v>5369</v>
      </c>
      <c r="D772" t="s">
        <v>8026</v>
      </c>
      <c r="E772">
        <v>64</v>
      </c>
      <c r="F772" s="6">
        <v>5220000000</v>
      </c>
      <c r="G772" s="6">
        <v>6360000000</v>
      </c>
      <c r="H772">
        <v>320</v>
      </c>
      <c r="I772" t="s">
        <v>8711</v>
      </c>
    </row>
    <row r="773" spans="1:9" x14ac:dyDescent="0.25">
      <c r="A773" t="s">
        <v>114</v>
      </c>
      <c r="B773">
        <v>290</v>
      </c>
      <c r="C773" t="s">
        <v>5373</v>
      </c>
      <c r="D773" t="s">
        <v>8026</v>
      </c>
      <c r="E773">
        <v>64</v>
      </c>
      <c r="F773" s="6">
        <v>5220000000</v>
      </c>
      <c r="G773" s="6">
        <v>5777777777</v>
      </c>
      <c r="H773">
        <v>332</v>
      </c>
      <c r="I773" t="s">
        <v>8712</v>
      </c>
    </row>
    <row r="774" spans="1:9" x14ac:dyDescent="0.25">
      <c r="A774" t="s">
        <v>114</v>
      </c>
      <c r="B774">
        <v>459</v>
      </c>
      <c r="C774" t="s">
        <v>5075</v>
      </c>
      <c r="D774" t="s">
        <v>5074</v>
      </c>
      <c r="E774">
        <v>63</v>
      </c>
      <c r="F774" s="6">
        <v>4200000000</v>
      </c>
      <c r="G774" s="6">
        <v>6165400000</v>
      </c>
      <c r="H774">
        <v>563</v>
      </c>
      <c r="I774" t="s">
        <v>8713</v>
      </c>
    </row>
    <row r="775" spans="1:9" x14ac:dyDescent="0.25">
      <c r="A775" t="s">
        <v>114</v>
      </c>
      <c r="B775">
        <v>257</v>
      </c>
      <c r="C775" t="s">
        <v>4421</v>
      </c>
      <c r="D775" t="s">
        <v>4366</v>
      </c>
      <c r="E775">
        <v>61</v>
      </c>
      <c r="F775" s="6">
        <v>3680000000</v>
      </c>
      <c r="G775" s="6">
        <v>4030000000</v>
      </c>
      <c r="H775">
        <v>299</v>
      </c>
      <c r="I775" t="s">
        <v>8714</v>
      </c>
    </row>
    <row r="776" spans="1:9" x14ac:dyDescent="0.25">
      <c r="A776" t="s">
        <v>114</v>
      </c>
      <c r="B776">
        <v>273</v>
      </c>
      <c r="C776" t="s">
        <v>5505</v>
      </c>
      <c r="D776" t="s">
        <v>8035</v>
      </c>
      <c r="E776">
        <v>61</v>
      </c>
      <c r="F776" s="6">
        <v>5450000000</v>
      </c>
      <c r="G776" s="6">
        <v>6267500000</v>
      </c>
      <c r="H776">
        <v>315</v>
      </c>
      <c r="I776" t="s">
        <v>8715</v>
      </c>
    </row>
    <row r="777" spans="1:9" x14ac:dyDescent="0.25">
      <c r="A777" t="s">
        <v>114</v>
      </c>
      <c r="B777">
        <v>498</v>
      </c>
      <c r="C777" t="s">
        <v>5001</v>
      </c>
      <c r="D777" t="s">
        <v>4609</v>
      </c>
      <c r="E777">
        <v>61</v>
      </c>
      <c r="F777" s="6">
        <v>4150000000</v>
      </c>
      <c r="G777" s="6">
        <v>6148758930</v>
      </c>
      <c r="H777">
        <v>608</v>
      </c>
      <c r="I777" t="s">
        <v>8716</v>
      </c>
    </row>
    <row r="778" spans="1:9" x14ac:dyDescent="0.25">
      <c r="A778" t="s">
        <v>114</v>
      </c>
      <c r="B778">
        <v>66</v>
      </c>
      <c r="C778" t="s">
        <v>1482</v>
      </c>
      <c r="D778" t="s">
        <v>376</v>
      </c>
      <c r="E778">
        <v>60</v>
      </c>
      <c r="F778" s="6">
        <v>2100000000</v>
      </c>
      <c r="G778" s="6">
        <v>2436770000</v>
      </c>
      <c r="H778">
        <v>108</v>
      </c>
      <c r="I778" t="s">
        <v>8717</v>
      </c>
    </row>
    <row r="779" spans="1:9" x14ac:dyDescent="0.25">
      <c r="A779" t="s">
        <v>114</v>
      </c>
      <c r="B779">
        <v>303</v>
      </c>
      <c r="C779" t="s">
        <v>4723</v>
      </c>
      <c r="D779" t="s">
        <v>8026</v>
      </c>
      <c r="E779">
        <v>60</v>
      </c>
      <c r="F779" s="6">
        <v>5200000000</v>
      </c>
      <c r="G779" s="6">
        <v>6377777777</v>
      </c>
      <c r="H779">
        <v>345</v>
      </c>
      <c r="I779" t="s">
        <v>8718</v>
      </c>
    </row>
    <row r="780" spans="1:9" x14ac:dyDescent="0.25">
      <c r="A780" t="s">
        <v>114</v>
      </c>
      <c r="B780">
        <v>346</v>
      </c>
      <c r="C780" t="s">
        <v>5544</v>
      </c>
      <c r="D780" t="s">
        <v>8035</v>
      </c>
      <c r="E780">
        <v>60</v>
      </c>
      <c r="F780" s="6">
        <v>5450000000</v>
      </c>
      <c r="G780" s="6">
        <v>6100000000</v>
      </c>
      <c r="H780">
        <v>388</v>
      </c>
      <c r="I780" t="s">
        <v>8719</v>
      </c>
    </row>
    <row r="781" spans="1:9" x14ac:dyDescent="0.25">
      <c r="A781" t="s">
        <v>114</v>
      </c>
      <c r="B781">
        <v>286</v>
      </c>
      <c r="C781" t="s">
        <v>5381</v>
      </c>
      <c r="D781" t="s">
        <v>8026</v>
      </c>
      <c r="E781">
        <v>59</v>
      </c>
      <c r="F781" s="6">
        <v>5250000000</v>
      </c>
      <c r="G781" s="6">
        <v>6066555000</v>
      </c>
      <c r="H781">
        <v>328</v>
      </c>
      <c r="I781" t="s">
        <v>8720</v>
      </c>
    </row>
    <row r="782" spans="1:9" x14ac:dyDescent="0.25">
      <c r="A782" t="s">
        <v>114</v>
      </c>
      <c r="B782">
        <v>309</v>
      </c>
      <c r="C782" t="s">
        <v>5456</v>
      </c>
      <c r="D782" t="s">
        <v>8026</v>
      </c>
      <c r="E782">
        <v>59</v>
      </c>
      <c r="F782" s="6">
        <v>5350000000</v>
      </c>
      <c r="G782" s="6">
        <v>6006006060</v>
      </c>
      <c r="H782">
        <v>351</v>
      </c>
      <c r="I782" t="s">
        <v>8721</v>
      </c>
    </row>
    <row r="783" spans="1:9" x14ac:dyDescent="0.25">
      <c r="A783" t="s">
        <v>114</v>
      </c>
      <c r="B783">
        <v>495</v>
      </c>
      <c r="C783" t="s">
        <v>4987</v>
      </c>
      <c r="D783" t="s">
        <v>4609</v>
      </c>
      <c r="E783">
        <v>58</v>
      </c>
      <c r="F783" s="6">
        <v>4150000000</v>
      </c>
      <c r="G783" s="6">
        <v>6362000000</v>
      </c>
      <c r="H783">
        <v>605</v>
      </c>
      <c r="I783" t="s">
        <v>8722</v>
      </c>
    </row>
    <row r="784" spans="1:9" x14ac:dyDescent="0.25">
      <c r="A784" t="s">
        <v>114</v>
      </c>
      <c r="B784">
        <v>61</v>
      </c>
      <c r="C784" t="s">
        <v>1461</v>
      </c>
      <c r="D784" t="s">
        <v>376</v>
      </c>
      <c r="E784">
        <v>57</v>
      </c>
      <c r="F784" s="6">
        <v>2100000000</v>
      </c>
      <c r="G784" s="6">
        <v>2234000001</v>
      </c>
      <c r="H784">
        <v>103</v>
      </c>
      <c r="I784" t="s">
        <v>8723</v>
      </c>
    </row>
    <row r="785" spans="1:9" x14ac:dyDescent="0.25">
      <c r="A785" t="s">
        <v>114</v>
      </c>
      <c r="B785">
        <v>275</v>
      </c>
      <c r="C785" t="s">
        <v>5448</v>
      </c>
      <c r="D785" t="s">
        <v>8026</v>
      </c>
      <c r="E785">
        <v>57</v>
      </c>
      <c r="F785" s="6">
        <v>5350000000</v>
      </c>
      <c r="G785" s="6">
        <v>6277770000</v>
      </c>
      <c r="H785">
        <v>317</v>
      </c>
      <c r="I785" t="s">
        <v>8724</v>
      </c>
    </row>
    <row r="786" spans="1:9" x14ac:dyDescent="0.25">
      <c r="A786" t="s">
        <v>114</v>
      </c>
      <c r="B786">
        <v>293</v>
      </c>
      <c r="C786" t="s">
        <v>4727</v>
      </c>
      <c r="D786" t="s">
        <v>8035</v>
      </c>
      <c r="E786">
        <v>57</v>
      </c>
      <c r="F786" s="6">
        <v>5220000000</v>
      </c>
      <c r="G786" s="6">
        <v>6050222000</v>
      </c>
      <c r="H786">
        <v>335</v>
      </c>
      <c r="I786" t="s">
        <v>8725</v>
      </c>
    </row>
    <row r="787" spans="1:9" x14ac:dyDescent="0.25">
      <c r="A787" t="s">
        <v>114</v>
      </c>
      <c r="B787">
        <v>319</v>
      </c>
      <c r="C787" t="s">
        <v>4869</v>
      </c>
      <c r="D787" t="s">
        <v>8026</v>
      </c>
      <c r="E787">
        <v>57</v>
      </c>
      <c r="F787" s="6">
        <v>5250000000</v>
      </c>
      <c r="G787" s="6">
        <v>5976655555</v>
      </c>
      <c r="H787">
        <v>361</v>
      </c>
      <c r="I787" t="s">
        <v>8726</v>
      </c>
    </row>
    <row r="788" spans="1:9" x14ac:dyDescent="0.25">
      <c r="A788" t="s">
        <v>114</v>
      </c>
      <c r="B788">
        <v>467</v>
      </c>
      <c r="C788" t="s">
        <v>3023</v>
      </c>
      <c r="D788" t="s">
        <v>2796</v>
      </c>
      <c r="E788">
        <v>57</v>
      </c>
      <c r="F788" s="6">
        <v>2600000000</v>
      </c>
      <c r="G788" s="6">
        <v>4490000000</v>
      </c>
      <c r="H788">
        <v>571</v>
      </c>
      <c r="I788" t="s">
        <v>8727</v>
      </c>
    </row>
    <row r="789" spans="1:9" x14ac:dyDescent="0.25">
      <c r="A789" t="s">
        <v>114</v>
      </c>
      <c r="B789">
        <v>500</v>
      </c>
      <c r="C789" t="s">
        <v>5009</v>
      </c>
      <c r="D789" t="s">
        <v>4609</v>
      </c>
      <c r="E789">
        <v>57</v>
      </c>
      <c r="F789" s="6">
        <v>4150000000</v>
      </c>
      <c r="G789" s="6">
        <v>6148758930</v>
      </c>
      <c r="H789">
        <v>610</v>
      </c>
      <c r="I789" t="s">
        <v>8728</v>
      </c>
    </row>
    <row r="790" spans="1:9" x14ac:dyDescent="0.25">
      <c r="A790" t="s">
        <v>114</v>
      </c>
      <c r="B790">
        <v>137</v>
      </c>
      <c r="C790" t="s">
        <v>1753</v>
      </c>
      <c r="D790" t="s">
        <v>376</v>
      </c>
      <c r="E790">
        <v>56</v>
      </c>
      <c r="F790" s="6">
        <v>2100000000</v>
      </c>
      <c r="G790" s="6">
        <v>2388238888</v>
      </c>
      <c r="H790">
        <v>179</v>
      </c>
      <c r="I790" t="s">
        <v>8729</v>
      </c>
    </row>
    <row r="791" spans="1:9" x14ac:dyDescent="0.25">
      <c r="A791" t="s">
        <v>114</v>
      </c>
      <c r="B791">
        <v>350</v>
      </c>
      <c r="C791" t="s">
        <v>3828</v>
      </c>
      <c r="D791" t="s">
        <v>3497</v>
      </c>
      <c r="E791">
        <v>56</v>
      </c>
      <c r="F791" s="6">
        <v>4800000000</v>
      </c>
      <c r="G791" s="6">
        <v>5400000000</v>
      </c>
      <c r="H791">
        <v>392</v>
      </c>
      <c r="I791" t="s">
        <v>8730</v>
      </c>
    </row>
    <row r="792" spans="1:9" x14ac:dyDescent="0.25">
      <c r="A792" t="s">
        <v>114</v>
      </c>
      <c r="B792">
        <v>358</v>
      </c>
      <c r="C792" t="s">
        <v>5315</v>
      </c>
      <c r="D792" t="s">
        <v>5314</v>
      </c>
      <c r="E792">
        <v>56</v>
      </c>
      <c r="F792" s="6">
        <v>5000000000</v>
      </c>
      <c r="G792" s="6">
        <v>5629999999</v>
      </c>
      <c r="H792">
        <v>400</v>
      </c>
      <c r="I792" t="s">
        <v>8731</v>
      </c>
    </row>
    <row r="793" spans="1:9" x14ac:dyDescent="0.25">
      <c r="A793" t="s">
        <v>114</v>
      </c>
      <c r="B793">
        <v>496</v>
      </c>
      <c r="C793" t="s">
        <v>4991</v>
      </c>
      <c r="D793" t="s">
        <v>4609</v>
      </c>
      <c r="E793">
        <v>56</v>
      </c>
      <c r="F793" s="6">
        <v>4150000000</v>
      </c>
      <c r="G793" s="6">
        <v>6400000000</v>
      </c>
      <c r="H793">
        <v>606</v>
      </c>
      <c r="I793" t="s">
        <v>8732</v>
      </c>
    </row>
    <row r="794" spans="1:9" x14ac:dyDescent="0.25">
      <c r="A794" t="s">
        <v>114</v>
      </c>
      <c r="B794">
        <v>23</v>
      </c>
      <c r="C794" t="s">
        <v>585</v>
      </c>
      <c r="D794" t="s">
        <v>376</v>
      </c>
      <c r="E794">
        <v>55</v>
      </c>
      <c r="F794" s="6">
        <v>2100000000</v>
      </c>
      <c r="G794" s="6">
        <v>2388888888</v>
      </c>
      <c r="H794">
        <v>65</v>
      </c>
      <c r="I794" t="s">
        <v>8733</v>
      </c>
    </row>
    <row r="795" spans="1:9" x14ac:dyDescent="0.25">
      <c r="A795" t="s">
        <v>114</v>
      </c>
      <c r="B795">
        <v>253</v>
      </c>
      <c r="C795" t="s">
        <v>4367</v>
      </c>
      <c r="D795" t="s">
        <v>4366</v>
      </c>
      <c r="E795">
        <v>55</v>
      </c>
      <c r="F795" s="6">
        <v>3580000000</v>
      </c>
      <c r="G795" s="6">
        <v>4116686600</v>
      </c>
      <c r="H795">
        <v>295</v>
      </c>
      <c r="I795" t="s">
        <v>8734</v>
      </c>
    </row>
    <row r="796" spans="1:9" x14ac:dyDescent="0.25">
      <c r="A796" t="s">
        <v>114</v>
      </c>
      <c r="B796">
        <v>276</v>
      </c>
      <c r="C796" t="s">
        <v>5509</v>
      </c>
      <c r="D796" t="s">
        <v>8026</v>
      </c>
      <c r="E796">
        <v>55</v>
      </c>
      <c r="F796" s="6">
        <v>5450000000</v>
      </c>
      <c r="G796" s="6">
        <v>6485236742</v>
      </c>
      <c r="H796">
        <v>318</v>
      </c>
      <c r="I796" t="s">
        <v>8735</v>
      </c>
    </row>
    <row r="797" spans="1:9" x14ac:dyDescent="0.25">
      <c r="A797" t="s">
        <v>114</v>
      </c>
      <c r="B797">
        <v>281</v>
      </c>
      <c r="C797" t="s">
        <v>5414</v>
      </c>
      <c r="D797" t="s">
        <v>8026</v>
      </c>
      <c r="E797">
        <v>55</v>
      </c>
      <c r="F797" s="6">
        <v>5300000000</v>
      </c>
      <c r="G797" s="6">
        <v>6385000000</v>
      </c>
      <c r="H797">
        <v>323</v>
      </c>
      <c r="I797" t="s">
        <v>8736</v>
      </c>
    </row>
    <row r="798" spans="1:9" x14ac:dyDescent="0.25">
      <c r="A798" t="s">
        <v>114</v>
      </c>
      <c r="B798">
        <v>326</v>
      </c>
      <c r="C798" t="s">
        <v>5406</v>
      </c>
      <c r="D798" t="s">
        <v>8026</v>
      </c>
      <c r="E798">
        <v>55</v>
      </c>
      <c r="F798" s="6">
        <v>5280000000</v>
      </c>
      <c r="G798" s="6">
        <v>5703590000</v>
      </c>
      <c r="H798">
        <v>368</v>
      </c>
      <c r="I798" t="s">
        <v>8737</v>
      </c>
    </row>
    <row r="799" spans="1:9" x14ac:dyDescent="0.25">
      <c r="A799" t="s">
        <v>114</v>
      </c>
      <c r="B799">
        <v>502</v>
      </c>
      <c r="C799" t="s">
        <v>5019</v>
      </c>
      <c r="D799" t="s">
        <v>4609</v>
      </c>
      <c r="E799">
        <v>55</v>
      </c>
      <c r="F799" s="6">
        <v>4150000000</v>
      </c>
      <c r="G799" s="6">
        <v>6153285590</v>
      </c>
      <c r="H799">
        <v>612</v>
      </c>
      <c r="I799" t="s">
        <v>8738</v>
      </c>
    </row>
    <row r="800" spans="1:9" x14ac:dyDescent="0.25">
      <c r="A800" t="s">
        <v>114</v>
      </c>
      <c r="B800">
        <v>504</v>
      </c>
      <c r="C800" t="s">
        <v>5028</v>
      </c>
      <c r="D800" t="s">
        <v>4609</v>
      </c>
      <c r="E800">
        <v>55</v>
      </c>
      <c r="F800" s="6">
        <v>4150000000</v>
      </c>
      <c r="G800" s="6">
        <v>6500000000</v>
      </c>
      <c r="H800">
        <v>614</v>
      </c>
      <c r="I800" t="s">
        <v>8739</v>
      </c>
    </row>
    <row r="801" spans="1:9" x14ac:dyDescent="0.25">
      <c r="A801" t="s">
        <v>114</v>
      </c>
      <c r="B801">
        <v>507</v>
      </c>
      <c r="C801" t="s">
        <v>5041</v>
      </c>
      <c r="D801" t="s">
        <v>4609</v>
      </c>
      <c r="E801">
        <v>55</v>
      </c>
      <c r="F801" s="6">
        <v>4150000000</v>
      </c>
      <c r="G801" s="6">
        <v>5999999999</v>
      </c>
      <c r="H801">
        <v>617</v>
      </c>
      <c r="I801" t="s">
        <v>8740</v>
      </c>
    </row>
    <row r="802" spans="1:9" x14ac:dyDescent="0.25">
      <c r="A802" t="s">
        <v>114</v>
      </c>
      <c r="B802">
        <v>277</v>
      </c>
      <c r="C802" t="s">
        <v>5513</v>
      </c>
      <c r="D802" t="s">
        <v>8035</v>
      </c>
      <c r="E802">
        <v>54</v>
      </c>
      <c r="F802" s="6">
        <v>5450000000</v>
      </c>
      <c r="G802" s="6">
        <v>6296800000</v>
      </c>
      <c r="H802">
        <v>319</v>
      </c>
      <c r="I802" t="s">
        <v>8741</v>
      </c>
    </row>
    <row r="803" spans="1:9" x14ac:dyDescent="0.25">
      <c r="A803" t="s">
        <v>114</v>
      </c>
      <c r="B803">
        <v>310</v>
      </c>
      <c r="C803" t="s">
        <v>4732</v>
      </c>
      <c r="D803" t="s">
        <v>8035</v>
      </c>
      <c r="E803">
        <v>54</v>
      </c>
      <c r="F803" s="6">
        <v>5200000000</v>
      </c>
      <c r="G803" s="6">
        <v>6051000000</v>
      </c>
      <c r="H803">
        <v>352</v>
      </c>
      <c r="I803" t="s">
        <v>8742</v>
      </c>
    </row>
    <row r="804" spans="1:9" x14ac:dyDescent="0.25">
      <c r="A804" t="s">
        <v>114</v>
      </c>
      <c r="B804">
        <v>315</v>
      </c>
      <c r="C804" t="s">
        <v>4687</v>
      </c>
      <c r="D804" t="s">
        <v>8026</v>
      </c>
      <c r="E804">
        <v>54</v>
      </c>
      <c r="F804" s="6">
        <v>5200000000</v>
      </c>
      <c r="G804" s="6">
        <v>7000033000</v>
      </c>
      <c r="H804">
        <v>357</v>
      </c>
      <c r="I804" t="s">
        <v>8743</v>
      </c>
    </row>
    <row r="805" spans="1:9" x14ac:dyDescent="0.25">
      <c r="A805" t="s">
        <v>114</v>
      </c>
      <c r="B805">
        <v>347</v>
      </c>
      <c r="C805" t="s">
        <v>5548</v>
      </c>
      <c r="D805" t="s">
        <v>8026</v>
      </c>
      <c r="E805">
        <v>54</v>
      </c>
      <c r="F805" s="6">
        <v>5450000000</v>
      </c>
      <c r="G805" s="6">
        <v>6219999999</v>
      </c>
      <c r="H805">
        <v>389</v>
      </c>
      <c r="I805" t="s">
        <v>8744</v>
      </c>
    </row>
    <row r="806" spans="1:9" x14ac:dyDescent="0.25">
      <c r="A806" t="s">
        <v>114</v>
      </c>
      <c r="B806">
        <v>493</v>
      </c>
      <c r="C806" t="s">
        <v>5593</v>
      </c>
      <c r="D806" t="s">
        <v>5592</v>
      </c>
      <c r="E806">
        <v>54</v>
      </c>
      <c r="F806" s="6">
        <v>6900000000</v>
      </c>
      <c r="G806" s="6">
        <v>8926000000</v>
      </c>
      <c r="H806">
        <v>603</v>
      </c>
      <c r="I806" t="s">
        <v>8745</v>
      </c>
    </row>
    <row r="807" spans="1:9" x14ac:dyDescent="0.25">
      <c r="A807" t="s">
        <v>114</v>
      </c>
      <c r="B807">
        <v>497</v>
      </c>
      <c r="C807" t="s">
        <v>4996</v>
      </c>
      <c r="D807" t="s">
        <v>4609</v>
      </c>
      <c r="E807">
        <v>54</v>
      </c>
      <c r="F807" s="6">
        <v>4150000000</v>
      </c>
      <c r="G807" s="6">
        <v>5872200000</v>
      </c>
      <c r="H807">
        <v>607</v>
      </c>
      <c r="I807" t="s">
        <v>8746</v>
      </c>
    </row>
    <row r="808" spans="1:9" x14ac:dyDescent="0.25">
      <c r="A808" t="s">
        <v>114</v>
      </c>
      <c r="B808">
        <v>499</v>
      </c>
      <c r="C808" t="s">
        <v>5005</v>
      </c>
      <c r="D808" t="s">
        <v>4609</v>
      </c>
      <c r="E808">
        <v>54</v>
      </c>
      <c r="F808" s="6">
        <v>4150000000</v>
      </c>
      <c r="G808" s="6">
        <v>6148758930</v>
      </c>
      <c r="H808">
        <v>609</v>
      </c>
      <c r="I808" t="s">
        <v>8747</v>
      </c>
    </row>
    <row r="809" spans="1:9" x14ac:dyDescent="0.25">
      <c r="A809" t="s">
        <v>114</v>
      </c>
      <c r="B809">
        <v>501</v>
      </c>
      <c r="C809" t="s">
        <v>5014</v>
      </c>
      <c r="D809" t="s">
        <v>4609</v>
      </c>
      <c r="E809">
        <v>54</v>
      </c>
      <c r="F809" s="6">
        <v>4150000000</v>
      </c>
      <c r="G809" s="6">
        <v>5688669999</v>
      </c>
      <c r="H809">
        <v>611</v>
      </c>
      <c r="I809" t="s">
        <v>8748</v>
      </c>
    </row>
    <row r="810" spans="1:9" x14ac:dyDescent="0.25">
      <c r="A810" t="s">
        <v>114</v>
      </c>
      <c r="B810">
        <v>294</v>
      </c>
      <c r="C810" t="s">
        <v>4735</v>
      </c>
      <c r="D810" t="s">
        <v>8035</v>
      </c>
      <c r="E810">
        <v>53</v>
      </c>
      <c r="F810" s="6">
        <v>5200000000</v>
      </c>
      <c r="G810" s="6">
        <v>6422000000</v>
      </c>
      <c r="H810">
        <v>336</v>
      </c>
      <c r="I810" t="s">
        <v>8749</v>
      </c>
    </row>
    <row r="811" spans="1:9" x14ac:dyDescent="0.25">
      <c r="A811" t="s">
        <v>114</v>
      </c>
      <c r="B811">
        <v>329</v>
      </c>
      <c r="C811" t="s">
        <v>5460</v>
      </c>
      <c r="D811" t="s">
        <v>8026</v>
      </c>
      <c r="E811">
        <v>53</v>
      </c>
      <c r="F811" s="6">
        <v>5350000000</v>
      </c>
      <c r="G811" s="6">
        <v>5960000000</v>
      </c>
      <c r="H811">
        <v>371</v>
      </c>
      <c r="I811" t="s">
        <v>8750</v>
      </c>
    </row>
    <row r="812" spans="1:9" x14ac:dyDescent="0.25">
      <c r="A812" t="s">
        <v>114</v>
      </c>
      <c r="B812">
        <v>503</v>
      </c>
      <c r="C812" t="s">
        <v>5024</v>
      </c>
      <c r="D812" t="s">
        <v>4609</v>
      </c>
      <c r="E812">
        <v>53</v>
      </c>
      <c r="F812" s="6">
        <v>4150000000</v>
      </c>
      <c r="G812" s="6">
        <v>6280000000</v>
      </c>
      <c r="H812">
        <v>613</v>
      </c>
      <c r="I812" t="s">
        <v>8751</v>
      </c>
    </row>
    <row r="813" spans="1:9" x14ac:dyDescent="0.25">
      <c r="A813" t="s">
        <v>114</v>
      </c>
      <c r="B813">
        <v>30</v>
      </c>
      <c r="C813" t="s">
        <v>2293</v>
      </c>
      <c r="D813" t="s">
        <v>376</v>
      </c>
      <c r="E813">
        <v>52</v>
      </c>
      <c r="F813" s="6">
        <v>2100000000</v>
      </c>
      <c r="G813" s="6">
        <v>2467999000</v>
      </c>
      <c r="H813">
        <v>72</v>
      </c>
      <c r="I813" t="s">
        <v>8752</v>
      </c>
    </row>
    <row r="814" spans="1:9" x14ac:dyDescent="0.25">
      <c r="A814" t="s">
        <v>114</v>
      </c>
      <c r="B814">
        <v>56</v>
      </c>
      <c r="C814" t="s">
        <v>2400</v>
      </c>
      <c r="D814" t="s">
        <v>376</v>
      </c>
      <c r="E814">
        <v>52</v>
      </c>
      <c r="F814" s="6">
        <v>2100000000</v>
      </c>
      <c r="G814" s="6">
        <v>2552000000</v>
      </c>
      <c r="H814">
        <v>98</v>
      </c>
      <c r="I814" t="s">
        <v>8753</v>
      </c>
    </row>
    <row r="815" spans="1:9" x14ac:dyDescent="0.25">
      <c r="A815" t="s">
        <v>114</v>
      </c>
      <c r="B815">
        <v>508</v>
      </c>
      <c r="C815" t="s">
        <v>4972</v>
      </c>
      <c r="D815" t="s">
        <v>4609</v>
      </c>
      <c r="E815">
        <v>52</v>
      </c>
      <c r="F815" s="6">
        <v>4120000000</v>
      </c>
      <c r="G815" s="6">
        <v>6029999999</v>
      </c>
      <c r="H815">
        <v>618</v>
      </c>
      <c r="I815" t="s">
        <v>8754</v>
      </c>
    </row>
    <row r="816" spans="1:9" x14ac:dyDescent="0.25">
      <c r="A816" t="s">
        <v>114</v>
      </c>
      <c r="B816">
        <v>247</v>
      </c>
      <c r="C816" t="s">
        <v>5180</v>
      </c>
      <c r="D816" t="s">
        <v>404</v>
      </c>
      <c r="E816">
        <v>51</v>
      </c>
      <c r="F816" s="6">
        <v>4500000000</v>
      </c>
      <c r="G816" s="6">
        <v>5150000000</v>
      </c>
      <c r="H816">
        <v>289</v>
      </c>
      <c r="I816" t="s">
        <v>8755</v>
      </c>
    </row>
    <row r="817" spans="1:9" x14ac:dyDescent="0.25">
      <c r="A817" t="s">
        <v>114</v>
      </c>
      <c r="B817">
        <v>288</v>
      </c>
      <c r="C817" t="s">
        <v>5418</v>
      </c>
      <c r="D817" t="s">
        <v>8026</v>
      </c>
      <c r="E817">
        <v>51</v>
      </c>
      <c r="F817" s="6">
        <v>5300000000</v>
      </c>
      <c r="G817" s="6">
        <v>5720000000</v>
      </c>
      <c r="H817">
        <v>330</v>
      </c>
      <c r="I817" t="s">
        <v>8756</v>
      </c>
    </row>
    <row r="818" spans="1:9" x14ac:dyDescent="0.25">
      <c r="A818" t="s">
        <v>114</v>
      </c>
      <c r="B818">
        <v>328</v>
      </c>
      <c r="C818" t="s">
        <v>5528</v>
      </c>
      <c r="D818" t="s">
        <v>8026</v>
      </c>
      <c r="E818">
        <v>51</v>
      </c>
      <c r="F818" s="6">
        <v>5450000000</v>
      </c>
      <c r="G818" s="6">
        <v>6260009990</v>
      </c>
      <c r="H818">
        <v>370</v>
      </c>
      <c r="I818" t="s">
        <v>8757</v>
      </c>
    </row>
    <row r="819" spans="1:9" x14ac:dyDescent="0.25">
      <c r="A819" t="s">
        <v>114</v>
      </c>
      <c r="B819">
        <v>336</v>
      </c>
      <c r="C819" t="s">
        <v>5337</v>
      </c>
      <c r="D819" t="s">
        <v>8026</v>
      </c>
      <c r="E819">
        <v>51</v>
      </c>
      <c r="F819" s="6">
        <v>5150000000</v>
      </c>
      <c r="G819" s="6">
        <v>5877779999</v>
      </c>
      <c r="H819">
        <v>378</v>
      </c>
      <c r="I819" t="s">
        <v>8758</v>
      </c>
    </row>
    <row r="820" spans="1:9" x14ac:dyDescent="0.25">
      <c r="A820" t="s">
        <v>114</v>
      </c>
      <c r="B820">
        <v>369</v>
      </c>
      <c r="C820" t="s">
        <v>4522</v>
      </c>
      <c r="D820" t="s">
        <v>191</v>
      </c>
      <c r="E820">
        <v>50</v>
      </c>
      <c r="F820" s="6">
        <v>3850000000</v>
      </c>
      <c r="G820" s="6">
        <v>4300000000</v>
      </c>
      <c r="H820">
        <v>411</v>
      </c>
      <c r="I820" t="s">
        <v>8759</v>
      </c>
    </row>
    <row r="821" spans="1:9" x14ac:dyDescent="0.25">
      <c r="A821" t="s">
        <v>114</v>
      </c>
      <c r="B821">
        <v>402</v>
      </c>
      <c r="C821" t="s">
        <v>5630</v>
      </c>
      <c r="D821" t="s">
        <v>5629</v>
      </c>
      <c r="E821">
        <v>50</v>
      </c>
      <c r="F821" s="6">
        <v>9250000000</v>
      </c>
      <c r="G821" s="6">
        <v>11100564321</v>
      </c>
      <c r="H821">
        <v>446</v>
      </c>
      <c r="I821" t="s">
        <v>8760</v>
      </c>
    </row>
    <row r="822" spans="1:9" x14ac:dyDescent="0.25">
      <c r="A822" t="s">
        <v>114</v>
      </c>
      <c r="B822">
        <v>458</v>
      </c>
      <c r="C822" t="s">
        <v>2226</v>
      </c>
      <c r="D822" t="s">
        <v>8761</v>
      </c>
      <c r="E822">
        <v>50</v>
      </c>
      <c r="F822" s="6">
        <v>2100000000</v>
      </c>
      <c r="G822" s="6">
        <v>3459000000</v>
      </c>
      <c r="H822">
        <v>562</v>
      </c>
      <c r="I822" t="s">
        <v>8762</v>
      </c>
    </row>
    <row r="823" spans="1:9" x14ac:dyDescent="0.25">
      <c r="A823" t="s">
        <v>114</v>
      </c>
      <c r="B823">
        <v>180</v>
      </c>
      <c r="C823" t="s">
        <v>1934</v>
      </c>
      <c r="D823" t="s">
        <v>376</v>
      </c>
      <c r="E823">
        <v>48</v>
      </c>
      <c r="F823" s="6">
        <v>2100000000</v>
      </c>
      <c r="G823" s="6">
        <v>2412000000</v>
      </c>
      <c r="H823">
        <v>222</v>
      </c>
      <c r="I823" t="s">
        <v>8763</v>
      </c>
    </row>
    <row r="824" spans="1:9" x14ac:dyDescent="0.25">
      <c r="A824" t="s">
        <v>114</v>
      </c>
      <c r="B824">
        <v>291</v>
      </c>
      <c r="C824" t="s">
        <v>5385</v>
      </c>
      <c r="D824" t="s">
        <v>8026</v>
      </c>
      <c r="E824">
        <v>48</v>
      </c>
      <c r="F824" s="6">
        <v>5250000000</v>
      </c>
      <c r="G824" s="6">
        <v>5866666666</v>
      </c>
      <c r="H824">
        <v>333</v>
      </c>
      <c r="I824" t="s">
        <v>8764</v>
      </c>
    </row>
    <row r="825" spans="1:9" x14ac:dyDescent="0.25">
      <c r="A825" t="s">
        <v>114</v>
      </c>
      <c r="B825">
        <v>323</v>
      </c>
      <c r="C825" t="s">
        <v>5525</v>
      </c>
      <c r="D825" t="s">
        <v>8035</v>
      </c>
      <c r="E825">
        <v>48</v>
      </c>
      <c r="F825" s="6">
        <v>5450000000</v>
      </c>
      <c r="G825" s="6">
        <v>6245500000</v>
      </c>
      <c r="H825">
        <v>365</v>
      </c>
      <c r="I825" t="s">
        <v>8765</v>
      </c>
    </row>
    <row r="826" spans="1:9" x14ac:dyDescent="0.25">
      <c r="A826" t="s">
        <v>114</v>
      </c>
      <c r="B826">
        <v>337</v>
      </c>
      <c r="C826" t="s">
        <v>5536</v>
      </c>
      <c r="D826" t="s">
        <v>8026</v>
      </c>
      <c r="E826">
        <v>47</v>
      </c>
      <c r="F826" s="6">
        <v>5450000000</v>
      </c>
      <c r="G826" s="6">
        <v>6142222222</v>
      </c>
      <c r="H826">
        <v>379</v>
      </c>
      <c r="I826" t="s">
        <v>8766</v>
      </c>
    </row>
    <row r="827" spans="1:9" x14ac:dyDescent="0.25">
      <c r="A827" t="s">
        <v>114</v>
      </c>
      <c r="B827">
        <v>494</v>
      </c>
      <c r="C827" t="s">
        <v>5599</v>
      </c>
      <c r="D827" t="s">
        <v>5592</v>
      </c>
      <c r="E827">
        <v>47</v>
      </c>
      <c r="F827" s="6">
        <v>6900000000</v>
      </c>
      <c r="G827" s="6">
        <v>8444444444</v>
      </c>
      <c r="H827">
        <v>604</v>
      </c>
      <c r="I827" t="s">
        <v>8767</v>
      </c>
    </row>
    <row r="828" spans="1:9" x14ac:dyDescent="0.25">
      <c r="A828" t="s">
        <v>114</v>
      </c>
      <c r="B828">
        <v>232</v>
      </c>
      <c r="C828" t="s">
        <v>3858</v>
      </c>
      <c r="D828" t="s">
        <v>3011</v>
      </c>
      <c r="E828">
        <v>46</v>
      </c>
      <c r="F828" s="6">
        <v>3450000000</v>
      </c>
      <c r="G828" s="6">
        <v>4323333333</v>
      </c>
      <c r="H828">
        <v>274</v>
      </c>
      <c r="I828" t="s">
        <v>8768</v>
      </c>
    </row>
    <row r="829" spans="1:9" x14ac:dyDescent="0.25">
      <c r="A829" t="s">
        <v>114</v>
      </c>
      <c r="B829">
        <v>258</v>
      </c>
      <c r="C829" t="s">
        <v>4426</v>
      </c>
      <c r="D829" t="s">
        <v>4366</v>
      </c>
      <c r="E829">
        <v>46</v>
      </c>
      <c r="F829" s="6">
        <v>3680000000</v>
      </c>
      <c r="G829" s="6">
        <v>4120000000</v>
      </c>
      <c r="H829">
        <v>300</v>
      </c>
      <c r="I829" t="s">
        <v>8769</v>
      </c>
    </row>
    <row r="830" spans="1:9" x14ac:dyDescent="0.25">
      <c r="A830" t="s">
        <v>114</v>
      </c>
      <c r="B830">
        <v>119</v>
      </c>
      <c r="C830" t="s">
        <v>1691</v>
      </c>
      <c r="D830" t="s">
        <v>376</v>
      </c>
      <c r="E830">
        <v>45</v>
      </c>
      <c r="F830" s="6">
        <v>2100000000</v>
      </c>
      <c r="G830" s="6">
        <v>2320000000</v>
      </c>
      <c r="H830">
        <v>161</v>
      </c>
      <c r="I830" t="s">
        <v>8770</v>
      </c>
    </row>
    <row r="831" spans="1:9" x14ac:dyDescent="0.25">
      <c r="A831" t="s">
        <v>114</v>
      </c>
      <c r="B831">
        <v>148</v>
      </c>
      <c r="C831" t="s">
        <v>1797</v>
      </c>
      <c r="D831" t="s">
        <v>376</v>
      </c>
      <c r="E831">
        <v>45</v>
      </c>
      <c r="F831" s="6">
        <v>2100000000</v>
      </c>
      <c r="G831" s="6">
        <v>2370000000</v>
      </c>
      <c r="H831">
        <v>190</v>
      </c>
      <c r="I831" t="s">
        <v>8771</v>
      </c>
    </row>
    <row r="832" spans="1:9" x14ac:dyDescent="0.25">
      <c r="A832" t="s">
        <v>114</v>
      </c>
      <c r="B832">
        <v>177</v>
      </c>
      <c r="C832" t="s">
        <v>1918</v>
      </c>
      <c r="D832" t="s">
        <v>376</v>
      </c>
      <c r="E832">
        <v>45</v>
      </c>
      <c r="F832" s="6">
        <v>2100000000</v>
      </c>
      <c r="G832" s="6">
        <v>2459999999</v>
      </c>
      <c r="H832">
        <v>219</v>
      </c>
      <c r="I832" t="s">
        <v>8772</v>
      </c>
    </row>
    <row r="833" spans="1:9" x14ac:dyDescent="0.25">
      <c r="A833" t="s">
        <v>114</v>
      </c>
      <c r="B833">
        <v>351</v>
      </c>
      <c r="C833" t="s">
        <v>3940</v>
      </c>
      <c r="D833" t="s">
        <v>3497</v>
      </c>
      <c r="E833">
        <v>45</v>
      </c>
      <c r="F833" s="6">
        <v>4800000000</v>
      </c>
      <c r="G833" s="6">
        <v>5909999999</v>
      </c>
      <c r="H833">
        <v>393</v>
      </c>
      <c r="I833" t="s">
        <v>8773</v>
      </c>
    </row>
    <row r="834" spans="1:9" x14ac:dyDescent="0.25">
      <c r="A834" t="s">
        <v>114</v>
      </c>
      <c r="B834">
        <v>235</v>
      </c>
      <c r="C834" t="s">
        <v>5365</v>
      </c>
      <c r="D834" t="s">
        <v>5364</v>
      </c>
      <c r="E834">
        <v>44</v>
      </c>
      <c r="F834" s="6">
        <v>5210000000</v>
      </c>
      <c r="G834" s="6">
        <v>5888888888</v>
      </c>
      <c r="H834">
        <v>277</v>
      </c>
      <c r="I834" t="s">
        <v>8774</v>
      </c>
    </row>
    <row r="835" spans="1:9" x14ac:dyDescent="0.25">
      <c r="A835" t="s">
        <v>114</v>
      </c>
      <c r="B835">
        <v>243</v>
      </c>
      <c r="C835" t="s">
        <v>5333</v>
      </c>
      <c r="D835" t="s">
        <v>4397</v>
      </c>
      <c r="E835">
        <v>44</v>
      </c>
      <c r="F835" s="6">
        <v>5110000000</v>
      </c>
      <c r="G835" s="6">
        <v>6011000000</v>
      </c>
      <c r="H835">
        <v>285</v>
      </c>
      <c r="I835" t="s">
        <v>8775</v>
      </c>
    </row>
    <row r="836" spans="1:9" x14ac:dyDescent="0.25">
      <c r="A836" t="s">
        <v>114</v>
      </c>
      <c r="B836">
        <v>255</v>
      </c>
      <c r="C836" t="s">
        <v>4361</v>
      </c>
      <c r="D836" t="s">
        <v>3928</v>
      </c>
      <c r="E836">
        <v>44</v>
      </c>
      <c r="F836" s="6">
        <v>3570000000</v>
      </c>
      <c r="G836" s="6">
        <v>4030000000</v>
      </c>
      <c r="H836">
        <v>297</v>
      </c>
      <c r="I836" t="s">
        <v>8776</v>
      </c>
    </row>
    <row r="837" spans="1:9" x14ac:dyDescent="0.25">
      <c r="A837" t="s">
        <v>114</v>
      </c>
      <c r="B837">
        <v>302</v>
      </c>
      <c r="C837" t="s">
        <v>4650</v>
      </c>
      <c r="D837" t="s">
        <v>8026</v>
      </c>
      <c r="E837">
        <v>44</v>
      </c>
      <c r="F837" s="6">
        <v>5200000000</v>
      </c>
      <c r="G837" s="6">
        <v>6610000000</v>
      </c>
      <c r="H837">
        <v>344</v>
      </c>
      <c r="I837" t="s">
        <v>8777</v>
      </c>
    </row>
    <row r="838" spans="1:9" x14ac:dyDescent="0.25">
      <c r="A838" t="s">
        <v>114</v>
      </c>
      <c r="B838">
        <v>4</v>
      </c>
      <c r="C838" t="s">
        <v>2169</v>
      </c>
      <c r="D838" t="s">
        <v>376</v>
      </c>
      <c r="E838">
        <v>43</v>
      </c>
      <c r="F838" s="6">
        <v>2100000000</v>
      </c>
      <c r="G838" s="6">
        <v>2635999999</v>
      </c>
      <c r="H838">
        <v>46</v>
      </c>
      <c r="I838" t="s">
        <v>8778</v>
      </c>
    </row>
    <row r="839" spans="1:9" x14ac:dyDescent="0.25">
      <c r="A839" t="s">
        <v>114</v>
      </c>
      <c r="B839">
        <v>10</v>
      </c>
      <c r="C839" t="s">
        <v>2207</v>
      </c>
      <c r="D839" t="s">
        <v>376</v>
      </c>
      <c r="E839">
        <v>43</v>
      </c>
      <c r="F839" s="6">
        <v>2100000000</v>
      </c>
      <c r="G839" s="6">
        <v>2308759898</v>
      </c>
      <c r="H839">
        <v>52</v>
      </c>
      <c r="I839" t="s">
        <v>8779</v>
      </c>
    </row>
    <row r="840" spans="1:9" x14ac:dyDescent="0.25">
      <c r="A840" t="s">
        <v>114</v>
      </c>
      <c r="B840">
        <v>308</v>
      </c>
      <c r="C840" t="s">
        <v>4654</v>
      </c>
      <c r="D840" t="s">
        <v>8035</v>
      </c>
      <c r="E840">
        <v>43</v>
      </c>
      <c r="F840" s="6">
        <v>5200000000</v>
      </c>
      <c r="G840" s="6">
        <v>6051550000</v>
      </c>
      <c r="H840">
        <v>350</v>
      </c>
      <c r="I840" t="s">
        <v>8780</v>
      </c>
    </row>
    <row r="841" spans="1:9" x14ac:dyDescent="0.25">
      <c r="A841" t="s">
        <v>114</v>
      </c>
      <c r="B841">
        <v>26</v>
      </c>
      <c r="C841" t="s">
        <v>2276</v>
      </c>
      <c r="D841" t="s">
        <v>376</v>
      </c>
      <c r="E841">
        <v>42</v>
      </c>
      <c r="F841" s="6">
        <v>2100000000</v>
      </c>
      <c r="G841" s="6">
        <v>2418000000</v>
      </c>
      <c r="H841">
        <v>68</v>
      </c>
      <c r="I841" t="s">
        <v>8781</v>
      </c>
    </row>
    <row r="842" spans="1:9" x14ac:dyDescent="0.25">
      <c r="A842" t="s">
        <v>114</v>
      </c>
      <c r="B842">
        <v>157</v>
      </c>
      <c r="C842" t="s">
        <v>1835</v>
      </c>
      <c r="D842" t="s">
        <v>376</v>
      </c>
      <c r="E842">
        <v>42</v>
      </c>
      <c r="F842" s="6">
        <v>2100000000</v>
      </c>
      <c r="G842" s="6">
        <v>2355555555</v>
      </c>
      <c r="H842">
        <v>199</v>
      </c>
      <c r="I842" t="s">
        <v>8782</v>
      </c>
    </row>
    <row r="843" spans="1:9" x14ac:dyDescent="0.25">
      <c r="A843" t="s">
        <v>114</v>
      </c>
      <c r="B843">
        <v>292</v>
      </c>
      <c r="C843" t="s">
        <v>5389</v>
      </c>
      <c r="D843" t="s">
        <v>8026</v>
      </c>
      <c r="E843">
        <v>42</v>
      </c>
      <c r="F843" s="6">
        <v>5250000000</v>
      </c>
      <c r="G843" s="6">
        <v>5939999999</v>
      </c>
      <c r="H843">
        <v>334</v>
      </c>
      <c r="I843" t="s">
        <v>8783</v>
      </c>
    </row>
    <row r="844" spans="1:9" x14ac:dyDescent="0.25">
      <c r="A844" t="s">
        <v>114</v>
      </c>
      <c r="B844">
        <v>305</v>
      </c>
      <c r="C844" t="s">
        <v>4559</v>
      </c>
      <c r="D844" t="s">
        <v>8035</v>
      </c>
      <c r="E844">
        <v>42</v>
      </c>
      <c r="F844" s="6">
        <v>5200000000</v>
      </c>
      <c r="G844" s="6">
        <v>5950222000</v>
      </c>
      <c r="H844">
        <v>347</v>
      </c>
      <c r="I844" t="s">
        <v>8784</v>
      </c>
    </row>
    <row r="845" spans="1:9" x14ac:dyDescent="0.25">
      <c r="A845" t="s">
        <v>114</v>
      </c>
      <c r="B845">
        <v>84</v>
      </c>
      <c r="C845" t="s">
        <v>1549</v>
      </c>
      <c r="D845" t="s">
        <v>376</v>
      </c>
      <c r="E845">
        <v>41</v>
      </c>
      <c r="F845" s="6">
        <v>2100000000</v>
      </c>
      <c r="G845" s="6">
        <v>2437999000</v>
      </c>
      <c r="H845">
        <v>126</v>
      </c>
      <c r="I845" t="s">
        <v>8785</v>
      </c>
    </row>
    <row r="846" spans="1:9" x14ac:dyDescent="0.25">
      <c r="A846" t="s">
        <v>114</v>
      </c>
      <c r="B846">
        <v>419</v>
      </c>
      <c r="C846" t="s">
        <v>3772</v>
      </c>
      <c r="D846" t="s">
        <v>3771</v>
      </c>
      <c r="E846">
        <v>41</v>
      </c>
      <c r="F846" s="6">
        <v>3400000000</v>
      </c>
      <c r="G846" s="6">
        <v>4609990000</v>
      </c>
      <c r="H846">
        <v>516</v>
      </c>
      <c r="I846" t="s">
        <v>8786</v>
      </c>
    </row>
    <row r="847" spans="1:9" x14ac:dyDescent="0.25">
      <c r="A847" t="s">
        <v>114</v>
      </c>
      <c r="B847">
        <v>11</v>
      </c>
      <c r="C847" t="s">
        <v>2212</v>
      </c>
      <c r="D847" t="s">
        <v>376</v>
      </c>
      <c r="E847">
        <v>40</v>
      </c>
      <c r="F847" s="6">
        <v>2100000000</v>
      </c>
      <c r="G847" s="6">
        <v>2615999999</v>
      </c>
      <c r="H847">
        <v>53</v>
      </c>
      <c r="I847" t="s">
        <v>8787</v>
      </c>
    </row>
    <row r="848" spans="1:9" x14ac:dyDescent="0.25">
      <c r="A848" t="s">
        <v>114</v>
      </c>
      <c r="B848">
        <v>18</v>
      </c>
      <c r="C848" t="s">
        <v>2246</v>
      </c>
      <c r="D848" t="s">
        <v>376</v>
      </c>
      <c r="E848">
        <v>40</v>
      </c>
      <c r="F848" s="6">
        <v>2100000000</v>
      </c>
      <c r="G848" s="6">
        <v>2395000000</v>
      </c>
      <c r="H848">
        <v>60</v>
      </c>
      <c r="I848" t="s">
        <v>8788</v>
      </c>
    </row>
    <row r="849" spans="1:9" x14ac:dyDescent="0.25">
      <c r="A849" t="s">
        <v>114</v>
      </c>
      <c r="B849">
        <v>179</v>
      </c>
      <c r="C849" t="s">
        <v>1929</v>
      </c>
      <c r="D849" t="s">
        <v>376</v>
      </c>
      <c r="E849">
        <v>40</v>
      </c>
      <c r="F849" s="6">
        <v>2100000000</v>
      </c>
      <c r="G849" s="6">
        <v>2577000000</v>
      </c>
      <c r="H849">
        <v>221</v>
      </c>
      <c r="I849" t="s">
        <v>8789</v>
      </c>
    </row>
    <row r="850" spans="1:9" x14ac:dyDescent="0.25">
      <c r="A850" t="s">
        <v>114</v>
      </c>
      <c r="B850">
        <v>67</v>
      </c>
      <c r="C850" t="s">
        <v>1486</v>
      </c>
      <c r="D850" t="s">
        <v>376</v>
      </c>
      <c r="E850">
        <v>39</v>
      </c>
      <c r="F850" s="6">
        <v>2100000000</v>
      </c>
      <c r="G850" s="6">
        <v>2569999999</v>
      </c>
      <c r="H850">
        <v>109</v>
      </c>
      <c r="I850" t="s">
        <v>8790</v>
      </c>
    </row>
    <row r="851" spans="1:9" x14ac:dyDescent="0.25">
      <c r="A851" t="s">
        <v>114</v>
      </c>
      <c r="B851">
        <v>132</v>
      </c>
      <c r="C851" t="s">
        <v>1732</v>
      </c>
      <c r="D851" t="s">
        <v>376</v>
      </c>
      <c r="E851">
        <v>39</v>
      </c>
      <c r="F851" s="6">
        <v>2100000000</v>
      </c>
      <c r="G851" s="6">
        <v>2410000000</v>
      </c>
      <c r="H851">
        <v>174</v>
      </c>
      <c r="I851" t="s">
        <v>8791</v>
      </c>
    </row>
    <row r="852" spans="1:9" x14ac:dyDescent="0.25">
      <c r="A852" t="s">
        <v>114</v>
      </c>
      <c r="B852">
        <v>143</v>
      </c>
      <c r="C852" t="s">
        <v>1776</v>
      </c>
      <c r="D852" t="s">
        <v>376</v>
      </c>
      <c r="E852">
        <v>39</v>
      </c>
      <c r="F852" s="6">
        <v>2100000000</v>
      </c>
      <c r="G852" s="6">
        <v>2340000000</v>
      </c>
      <c r="H852">
        <v>185</v>
      </c>
      <c r="I852" t="s">
        <v>8792</v>
      </c>
    </row>
    <row r="853" spans="1:9" x14ac:dyDescent="0.25">
      <c r="A853" t="s">
        <v>114</v>
      </c>
      <c r="B853">
        <v>176</v>
      </c>
      <c r="C853" t="s">
        <v>1913</v>
      </c>
      <c r="D853" t="s">
        <v>376</v>
      </c>
      <c r="E853">
        <v>39</v>
      </c>
      <c r="F853" s="6">
        <v>2100000000</v>
      </c>
      <c r="G853" s="6">
        <v>2559999999</v>
      </c>
      <c r="H853">
        <v>218</v>
      </c>
      <c r="I853" t="s">
        <v>8793</v>
      </c>
    </row>
    <row r="854" spans="1:9" x14ac:dyDescent="0.25">
      <c r="A854" t="s">
        <v>114</v>
      </c>
      <c r="B854">
        <v>190</v>
      </c>
      <c r="C854" t="s">
        <v>944</v>
      </c>
      <c r="D854" t="s">
        <v>376</v>
      </c>
      <c r="E854">
        <v>39</v>
      </c>
      <c r="F854" s="6">
        <v>2100000000</v>
      </c>
      <c r="G854" s="6">
        <v>2452000000</v>
      </c>
      <c r="H854">
        <v>232</v>
      </c>
      <c r="I854" t="s">
        <v>8794</v>
      </c>
    </row>
    <row r="855" spans="1:9" x14ac:dyDescent="0.25">
      <c r="A855" t="s">
        <v>114</v>
      </c>
      <c r="B855">
        <v>192</v>
      </c>
      <c r="C855" t="s">
        <v>1983</v>
      </c>
      <c r="D855" t="s">
        <v>376</v>
      </c>
      <c r="E855">
        <v>39</v>
      </c>
      <c r="F855" s="6">
        <v>2100000000</v>
      </c>
      <c r="G855" s="6">
        <v>2230000000</v>
      </c>
      <c r="H855">
        <v>234</v>
      </c>
      <c r="I855" t="s">
        <v>8795</v>
      </c>
    </row>
    <row r="856" spans="1:9" x14ac:dyDescent="0.25">
      <c r="A856" t="s">
        <v>114</v>
      </c>
      <c r="B856">
        <v>231</v>
      </c>
      <c r="C856" t="s">
        <v>3853</v>
      </c>
      <c r="D856" t="s">
        <v>316</v>
      </c>
      <c r="E856">
        <v>39</v>
      </c>
      <c r="F856" s="6">
        <v>3450000000</v>
      </c>
      <c r="G856" s="6">
        <v>3612345678</v>
      </c>
      <c r="H856">
        <v>273</v>
      </c>
      <c r="I856" t="s">
        <v>8796</v>
      </c>
    </row>
    <row r="857" spans="1:9" x14ac:dyDescent="0.25">
      <c r="A857" t="s">
        <v>114</v>
      </c>
      <c r="B857">
        <v>279</v>
      </c>
      <c r="C857" t="s">
        <v>5517</v>
      </c>
      <c r="D857" t="s">
        <v>8026</v>
      </c>
      <c r="E857">
        <v>39</v>
      </c>
      <c r="F857" s="6">
        <v>5450000000</v>
      </c>
      <c r="G857" s="6">
        <v>6537829143</v>
      </c>
      <c r="H857">
        <v>321</v>
      </c>
      <c r="I857" t="s">
        <v>8797</v>
      </c>
    </row>
    <row r="858" spans="1:9" x14ac:dyDescent="0.25">
      <c r="A858" t="s">
        <v>114</v>
      </c>
      <c r="B858">
        <v>287</v>
      </c>
      <c r="C858" t="s">
        <v>5402</v>
      </c>
      <c r="D858" t="s">
        <v>8026</v>
      </c>
      <c r="E858">
        <v>39</v>
      </c>
      <c r="F858" s="6">
        <v>5270000000</v>
      </c>
      <c r="G858" s="6">
        <v>5919000000</v>
      </c>
      <c r="H858">
        <v>329</v>
      </c>
      <c r="I858" t="s">
        <v>8798</v>
      </c>
    </row>
    <row r="859" spans="1:9" x14ac:dyDescent="0.25">
      <c r="A859" t="s">
        <v>114</v>
      </c>
      <c r="B859">
        <v>321</v>
      </c>
      <c r="C859" t="s">
        <v>4643</v>
      </c>
      <c r="D859" t="s">
        <v>8035</v>
      </c>
      <c r="E859">
        <v>39</v>
      </c>
      <c r="F859" s="6">
        <v>5200000000</v>
      </c>
      <c r="G859" s="6">
        <v>6050222000</v>
      </c>
      <c r="H859">
        <v>363</v>
      </c>
      <c r="I859" t="s">
        <v>8799</v>
      </c>
    </row>
    <row r="860" spans="1:9" x14ac:dyDescent="0.25">
      <c r="A860" t="s">
        <v>114</v>
      </c>
      <c r="B860">
        <v>339</v>
      </c>
      <c r="C860" t="s">
        <v>5472</v>
      </c>
      <c r="D860" t="s">
        <v>8035</v>
      </c>
      <c r="E860">
        <v>39</v>
      </c>
      <c r="F860" s="6">
        <v>5350000000</v>
      </c>
      <c r="G860" s="6">
        <v>6200111000</v>
      </c>
      <c r="H860">
        <v>381</v>
      </c>
      <c r="I860" t="s">
        <v>8800</v>
      </c>
    </row>
    <row r="861" spans="1:9" x14ac:dyDescent="0.25">
      <c r="A861" t="s">
        <v>114</v>
      </c>
      <c r="B861">
        <v>423</v>
      </c>
      <c r="C861" t="s">
        <v>3976</v>
      </c>
      <c r="D861" t="s">
        <v>3771</v>
      </c>
      <c r="E861">
        <v>39</v>
      </c>
      <c r="F861" s="6">
        <v>3500000000</v>
      </c>
      <c r="G861" s="6">
        <v>4511111111</v>
      </c>
      <c r="H861">
        <v>520</v>
      </c>
      <c r="I861" t="s">
        <v>8801</v>
      </c>
    </row>
    <row r="862" spans="1:9" x14ac:dyDescent="0.25">
      <c r="A862" t="s">
        <v>114</v>
      </c>
      <c r="B862">
        <v>17</v>
      </c>
      <c r="C862" t="s">
        <v>2241</v>
      </c>
      <c r="D862" t="s">
        <v>376</v>
      </c>
      <c r="E862">
        <v>38</v>
      </c>
      <c r="F862" s="6">
        <v>2100000000</v>
      </c>
      <c r="G862" s="6">
        <v>2400000000</v>
      </c>
      <c r="H862">
        <v>59</v>
      </c>
      <c r="I862" t="s">
        <v>8802</v>
      </c>
    </row>
    <row r="863" spans="1:9" x14ac:dyDescent="0.25">
      <c r="A863" t="s">
        <v>114</v>
      </c>
      <c r="B863">
        <v>135</v>
      </c>
      <c r="C863" t="s">
        <v>1744</v>
      </c>
      <c r="D863" t="s">
        <v>376</v>
      </c>
      <c r="E863">
        <v>38</v>
      </c>
      <c r="F863" s="6">
        <v>2100000000</v>
      </c>
      <c r="G863" s="6">
        <v>2439999999</v>
      </c>
      <c r="H863">
        <v>177</v>
      </c>
      <c r="I863" t="s">
        <v>8803</v>
      </c>
    </row>
    <row r="864" spans="1:9" x14ac:dyDescent="0.25">
      <c r="A864" t="s">
        <v>114</v>
      </c>
      <c r="B864">
        <v>199</v>
      </c>
      <c r="C864" t="s">
        <v>2020</v>
      </c>
      <c r="D864" t="s">
        <v>376</v>
      </c>
      <c r="E864">
        <v>38</v>
      </c>
      <c r="F864" s="6">
        <v>2100000000</v>
      </c>
      <c r="G864" s="6">
        <v>2468999999</v>
      </c>
      <c r="H864">
        <v>241</v>
      </c>
      <c r="I864" t="s">
        <v>8804</v>
      </c>
    </row>
    <row r="865" spans="1:9" x14ac:dyDescent="0.25">
      <c r="A865" t="s">
        <v>114</v>
      </c>
      <c r="B865">
        <v>212</v>
      </c>
      <c r="C865" t="s">
        <v>2076</v>
      </c>
      <c r="D865" t="s">
        <v>376</v>
      </c>
      <c r="E865">
        <v>38</v>
      </c>
      <c r="F865" s="6">
        <v>2100000000</v>
      </c>
      <c r="G865" s="6">
        <v>2576099999</v>
      </c>
      <c r="H865">
        <v>254</v>
      </c>
      <c r="I865" t="s">
        <v>8805</v>
      </c>
    </row>
    <row r="866" spans="1:9" x14ac:dyDescent="0.25">
      <c r="A866" t="s">
        <v>114</v>
      </c>
      <c r="B866">
        <v>238</v>
      </c>
      <c r="C866" t="s">
        <v>3723</v>
      </c>
      <c r="D866" t="s">
        <v>2476</v>
      </c>
      <c r="E866">
        <v>38</v>
      </c>
      <c r="F866" s="6">
        <v>3370000000</v>
      </c>
      <c r="G866" s="6">
        <v>4385999999</v>
      </c>
      <c r="H866">
        <v>280</v>
      </c>
      <c r="I866" t="s">
        <v>8806</v>
      </c>
    </row>
    <row r="867" spans="1:9" x14ac:dyDescent="0.25">
      <c r="A867" t="s">
        <v>114</v>
      </c>
      <c r="B867">
        <v>72</v>
      </c>
      <c r="C867" t="s">
        <v>1507</v>
      </c>
      <c r="D867" t="s">
        <v>376</v>
      </c>
      <c r="E867">
        <v>37</v>
      </c>
      <c r="F867" s="6">
        <v>2100000000</v>
      </c>
      <c r="G867" s="6">
        <v>2386666666</v>
      </c>
      <c r="H867">
        <v>114</v>
      </c>
      <c r="I867" t="s">
        <v>8807</v>
      </c>
    </row>
    <row r="868" spans="1:9" x14ac:dyDescent="0.25">
      <c r="A868" t="s">
        <v>114</v>
      </c>
      <c r="B868">
        <v>82</v>
      </c>
      <c r="C868" t="s">
        <v>1540</v>
      </c>
      <c r="D868" t="s">
        <v>376</v>
      </c>
      <c r="E868">
        <v>37</v>
      </c>
      <c r="F868" s="6">
        <v>2100000000</v>
      </c>
      <c r="G868" s="6">
        <v>2487999000</v>
      </c>
      <c r="H868">
        <v>124</v>
      </c>
      <c r="I868" t="s">
        <v>8808</v>
      </c>
    </row>
    <row r="869" spans="1:9" x14ac:dyDescent="0.25">
      <c r="A869" t="s">
        <v>114</v>
      </c>
      <c r="B869">
        <v>158</v>
      </c>
      <c r="C869" t="s">
        <v>1840</v>
      </c>
      <c r="D869" t="s">
        <v>376</v>
      </c>
      <c r="E869">
        <v>37</v>
      </c>
      <c r="F869" s="6">
        <v>2100000000</v>
      </c>
      <c r="G869" s="6">
        <v>2459000000</v>
      </c>
      <c r="H869">
        <v>200</v>
      </c>
      <c r="I869" t="s">
        <v>8809</v>
      </c>
    </row>
    <row r="870" spans="1:9" x14ac:dyDescent="0.25">
      <c r="A870" t="s">
        <v>114</v>
      </c>
      <c r="B870">
        <v>187</v>
      </c>
      <c r="C870" t="s">
        <v>1969</v>
      </c>
      <c r="D870" t="s">
        <v>376</v>
      </c>
      <c r="E870">
        <v>37</v>
      </c>
      <c r="F870" s="6">
        <v>2100000000</v>
      </c>
      <c r="G870" s="6">
        <v>2512000000</v>
      </c>
      <c r="H870">
        <v>229</v>
      </c>
      <c r="I870" t="s">
        <v>8810</v>
      </c>
    </row>
    <row r="871" spans="1:9" x14ac:dyDescent="0.25">
      <c r="A871" t="s">
        <v>114</v>
      </c>
      <c r="B871">
        <v>289</v>
      </c>
      <c r="C871" t="s">
        <v>5452</v>
      </c>
      <c r="D871" t="s">
        <v>8026</v>
      </c>
      <c r="E871">
        <v>37</v>
      </c>
      <c r="F871" s="6">
        <v>5350000000</v>
      </c>
      <c r="G871" s="6">
        <v>6255558546</v>
      </c>
      <c r="H871">
        <v>331</v>
      </c>
      <c r="I871" t="s">
        <v>8811</v>
      </c>
    </row>
    <row r="872" spans="1:9" x14ac:dyDescent="0.25">
      <c r="A872" t="s">
        <v>114</v>
      </c>
      <c r="B872">
        <v>322</v>
      </c>
      <c r="C872" t="s">
        <v>5422</v>
      </c>
      <c r="D872" t="s">
        <v>8026</v>
      </c>
      <c r="E872">
        <v>37</v>
      </c>
      <c r="F872" s="6">
        <v>5300000000</v>
      </c>
      <c r="G872" s="6">
        <v>5960000000</v>
      </c>
      <c r="H872">
        <v>364</v>
      </c>
      <c r="I872" t="s">
        <v>8812</v>
      </c>
    </row>
    <row r="873" spans="1:9" x14ac:dyDescent="0.25">
      <c r="A873" t="s">
        <v>114</v>
      </c>
      <c r="B873">
        <v>377</v>
      </c>
      <c r="C873" t="s">
        <v>5142</v>
      </c>
      <c r="D873" t="s">
        <v>3250</v>
      </c>
      <c r="E873">
        <v>37</v>
      </c>
      <c r="F873" s="6">
        <v>4280000000</v>
      </c>
      <c r="G873" s="6">
        <v>5030009990</v>
      </c>
      <c r="H873">
        <v>421</v>
      </c>
      <c r="I873" t="s">
        <v>8813</v>
      </c>
    </row>
    <row r="874" spans="1:9" x14ac:dyDescent="0.25">
      <c r="A874" t="s">
        <v>114</v>
      </c>
      <c r="B874">
        <v>36</v>
      </c>
      <c r="C874" t="s">
        <v>2317</v>
      </c>
      <c r="D874" t="s">
        <v>376</v>
      </c>
      <c r="E874">
        <v>36</v>
      </c>
      <c r="F874" s="6">
        <v>2100000000</v>
      </c>
      <c r="G874" s="6">
        <v>2400000999</v>
      </c>
      <c r="H874">
        <v>78</v>
      </c>
      <c r="I874" t="s">
        <v>8814</v>
      </c>
    </row>
    <row r="875" spans="1:9" x14ac:dyDescent="0.25">
      <c r="A875" t="s">
        <v>114</v>
      </c>
      <c r="B875">
        <v>44</v>
      </c>
      <c r="C875" t="s">
        <v>2351</v>
      </c>
      <c r="D875" t="s">
        <v>376</v>
      </c>
      <c r="E875">
        <v>36</v>
      </c>
      <c r="F875" s="6">
        <v>2100000000</v>
      </c>
      <c r="G875" s="6">
        <v>2403000000</v>
      </c>
      <c r="H875">
        <v>86</v>
      </c>
      <c r="I875" t="s">
        <v>8815</v>
      </c>
    </row>
    <row r="876" spans="1:9" x14ac:dyDescent="0.25">
      <c r="A876" t="s">
        <v>114</v>
      </c>
      <c r="B876">
        <v>102</v>
      </c>
      <c r="C876" t="s">
        <v>1620</v>
      </c>
      <c r="D876" t="s">
        <v>376</v>
      </c>
      <c r="E876">
        <v>36</v>
      </c>
      <c r="F876" s="6">
        <v>2100000000</v>
      </c>
      <c r="G876" s="6">
        <v>2688888888</v>
      </c>
      <c r="H876">
        <v>144</v>
      </c>
      <c r="I876" t="s">
        <v>8816</v>
      </c>
    </row>
    <row r="877" spans="1:9" x14ac:dyDescent="0.25">
      <c r="A877" t="s">
        <v>114</v>
      </c>
      <c r="B877">
        <v>124</v>
      </c>
      <c r="C877" t="s">
        <v>1001</v>
      </c>
      <c r="D877" t="s">
        <v>376</v>
      </c>
      <c r="E877">
        <v>36</v>
      </c>
      <c r="F877" s="6">
        <v>2100000000</v>
      </c>
      <c r="G877" s="6">
        <v>2469999999</v>
      </c>
      <c r="H877">
        <v>166</v>
      </c>
      <c r="I877" t="s">
        <v>8817</v>
      </c>
    </row>
    <row r="878" spans="1:9" x14ac:dyDescent="0.25">
      <c r="A878" t="s">
        <v>114</v>
      </c>
      <c r="B878">
        <v>149</v>
      </c>
      <c r="C878" t="s">
        <v>1802</v>
      </c>
      <c r="D878" t="s">
        <v>376</v>
      </c>
      <c r="E878">
        <v>36</v>
      </c>
      <c r="F878" s="6">
        <v>2100000000</v>
      </c>
      <c r="G878" s="6">
        <v>2618000000</v>
      </c>
      <c r="H878">
        <v>191</v>
      </c>
      <c r="I878" t="s">
        <v>8818</v>
      </c>
    </row>
    <row r="879" spans="1:9" x14ac:dyDescent="0.25">
      <c r="A879" t="s">
        <v>114</v>
      </c>
      <c r="B879">
        <v>150</v>
      </c>
      <c r="C879" t="s">
        <v>1806</v>
      </c>
      <c r="D879" t="s">
        <v>376</v>
      </c>
      <c r="E879">
        <v>36</v>
      </c>
      <c r="F879" s="6">
        <v>2100000000</v>
      </c>
      <c r="G879" s="6">
        <v>2523200000</v>
      </c>
      <c r="H879">
        <v>192</v>
      </c>
      <c r="I879" t="s">
        <v>8819</v>
      </c>
    </row>
    <row r="880" spans="1:9" x14ac:dyDescent="0.25">
      <c r="A880" t="s">
        <v>114</v>
      </c>
      <c r="B880">
        <v>151</v>
      </c>
      <c r="C880" t="s">
        <v>1810</v>
      </c>
      <c r="D880" t="s">
        <v>376</v>
      </c>
      <c r="E880">
        <v>36</v>
      </c>
      <c r="F880" s="6">
        <v>2100000000</v>
      </c>
      <c r="G880" s="6">
        <v>2510000000</v>
      </c>
      <c r="H880">
        <v>193</v>
      </c>
      <c r="I880" t="s">
        <v>8820</v>
      </c>
    </row>
    <row r="881" spans="1:9" x14ac:dyDescent="0.25">
      <c r="A881" t="s">
        <v>114</v>
      </c>
      <c r="B881">
        <v>155</v>
      </c>
      <c r="C881" t="s">
        <v>1827</v>
      </c>
      <c r="D881" t="s">
        <v>376</v>
      </c>
      <c r="E881">
        <v>36</v>
      </c>
      <c r="F881" s="6">
        <v>2100000000</v>
      </c>
      <c r="G881" s="6">
        <v>2321000000</v>
      </c>
      <c r="H881">
        <v>197</v>
      </c>
      <c r="I881" t="s">
        <v>8821</v>
      </c>
    </row>
    <row r="882" spans="1:9" x14ac:dyDescent="0.25">
      <c r="A882" t="s">
        <v>114</v>
      </c>
      <c r="B882">
        <v>161</v>
      </c>
      <c r="C882" t="s">
        <v>1849</v>
      </c>
      <c r="D882" t="s">
        <v>376</v>
      </c>
      <c r="E882">
        <v>36</v>
      </c>
      <c r="F882" s="6">
        <v>2100000000</v>
      </c>
      <c r="G882" s="6">
        <v>2355354438</v>
      </c>
      <c r="H882">
        <v>203</v>
      </c>
      <c r="I882" t="s">
        <v>8822</v>
      </c>
    </row>
    <row r="883" spans="1:9" x14ac:dyDescent="0.25">
      <c r="A883" t="s">
        <v>114</v>
      </c>
      <c r="B883">
        <v>183</v>
      </c>
      <c r="C883" t="s">
        <v>1949</v>
      </c>
      <c r="D883" t="s">
        <v>376</v>
      </c>
      <c r="E883">
        <v>36</v>
      </c>
      <c r="F883" s="6">
        <v>2100000000</v>
      </c>
      <c r="G883" s="6">
        <v>2552000000</v>
      </c>
      <c r="H883">
        <v>225</v>
      </c>
      <c r="I883" t="s">
        <v>8823</v>
      </c>
    </row>
    <row r="884" spans="1:9" x14ac:dyDescent="0.25">
      <c r="A884" t="s">
        <v>114</v>
      </c>
      <c r="B884">
        <v>206</v>
      </c>
      <c r="C884" t="s">
        <v>2046</v>
      </c>
      <c r="D884" t="s">
        <v>376</v>
      </c>
      <c r="E884">
        <v>36</v>
      </c>
      <c r="F884" s="6">
        <v>2100000000</v>
      </c>
      <c r="G884" s="6">
        <v>2288888888</v>
      </c>
      <c r="H884">
        <v>248</v>
      </c>
      <c r="I884" t="s">
        <v>8824</v>
      </c>
    </row>
    <row r="885" spans="1:9" x14ac:dyDescent="0.25">
      <c r="A885" t="s">
        <v>114</v>
      </c>
      <c r="B885">
        <v>280</v>
      </c>
      <c r="C885" t="s">
        <v>5484</v>
      </c>
      <c r="D885" t="s">
        <v>8035</v>
      </c>
      <c r="E885">
        <v>36</v>
      </c>
      <c r="F885" s="6">
        <v>5400000000</v>
      </c>
      <c r="G885" s="6">
        <v>6109999999</v>
      </c>
      <c r="H885">
        <v>322</v>
      </c>
      <c r="I885" t="s">
        <v>8825</v>
      </c>
    </row>
    <row r="886" spans="1:9" x14ac:dyDescent="0.25">
      <c r="A886" t="s">
        <v>114</v>
      </c>
      <c r="B886">
        <v>352</v>
      </c>
      <c r="C886" t="s">
        <v>5221</v>
      </c>
      <c r="D886" t="s">
        <v>3242</v>
      </c>
      <c r="E886">
        <v>36</v>
      </c>
      <c r="F886" s="6">
        <v>4700000000</v>
      </c>
      <c r="G886" s="6">
        <v>5389999999</v>
      </c>
      <c r="H886">
        <v>394</v>
      </c>
      <c r="I886" t="s">
        <v>8826</v>
      </c>
    </row>
    <row r="887" spans="1:9" x14ac:dyDescent="0.25">
      <c r="A887" t="s">
        <v>114</v>
      </c>
      <c r="B887">
        <v>12</v>
      </c>
      <c r="C887" t="s">
        <v>2217</v>
      </c>
      <c r="D887" t="s">
        <v>376</v>
      </c>
      <c r="E887">
        <v>35</v>
      </c>
      <c r="F887" s="6">
        <v>2100000000</v>
      </c>
      <c r="G887" s="6">
        <v>2290000000</v>
      </c>
      <c r="H887">
        <v>54</v>
      </c>
      <c r="I887" t="s">
        <v>8827</v>
      </c>
    </row>
    <row r="888" spans="1:9" x14ac:dyDescent="0.25">
      <c r="A888" t="s">
        <v>114</v>
      </c>
      <c r="B888">
        <v>13</v>
      </c>
      <c r="C888" t="s">
        <v>1439</v>
      </c>
      <c r="D888" t="s">
        <v>376</v>
      </c>
      <c r="E888">
        <v>35</v>
      </c>
      <c r="F888" s="6">
        <v>2050000000</v>
      </c>
      <c r="G888" s="6">
        <v>2377999000</v>
      </c>
      <c r="H888">
        <v>55</v>
      </c>
      <c r="I888" t="s">
        <v>8828</v>
      </c>
    </row>
    <row r="889" spans="1:9" x14ac:dyDescent="0.25">
      <c r="A889" t="s">
        <v>114</v>
      </c>
      <c r="B889">
        <v>107</v>
      </c>
      <c r="C889" t="s">
        <v>1641</v>
      </c>
      <c r="D889" t="s">
        <v>376</v>
      </c>
      <c r="E889">
        <v>35</v>
      </c>
      <c r="F889" s="6">
        <v>2100000000</v>
      </c>
      <c r="G889" s="6">
        <v>2463999000</v>
      </c>
      <c r="H889">
        <v>149</v>
      </c>
      <c r="I889" t="s">
        <v>8829</v>
      </c>
    </row>
    <row r="890" spans="1:9" x14ac:dyDescent="0.25">
      <c r="A890" t="s">
        <v>114</v>
      </c>
      <c r="B890">
        <v>110</v>
      </c>
      <c r="C890" t="s">
        <v>1653</v>
      </c>
      <c r="D890" t="s">
        <v>376</v>
      </c>
      <c r="E890">
        <v>35</v>
      </c>
      <c r="F890" s="6">
        <v>2100000000</v>
      </c>
      <c r="G890" s="6">
        <v>2359898800</v>
      </c>
      <c r="H890">
        <v>152</v>
      </c>
      <c r="I890" t="s">
        <v>8830</v>
      </c>
    </row>
    <row r="891" spans="1:9" x14ac:dyDescent="0.25">
      <c r="A891" t="s">
        <v>114</v>
      </c>
      <c r="B891">
        <v>156</v>
      </c>
      <c r="C891" t="s">
        <v>1831</v>
      </c>
      <c r="D891" t="s">
        <v>376</v>
      </c>
      <c r="E891">
        <v>35</v>
      </c>
      <c r="F891" s="6">
        <v>2100000000</v>
      </c>
      <c r="G891" s="6">
        <v>2411999990</v>
      </c>
      <c r="H891">
        <v>198</v>
      </c>
      <c r="I891" t="s">
        <v>8831</v>
      </c>
    </row>
    <row r="892" spans="1:9" x14ac:dyDescent="0.25">
      <c r="A892" t="s">
        <v>114</v>
      </c>
      <c r="B892">
        <v>182</v>
      </c>
      <c r="C892" t="s">
        <v>1944</v>
      </c>
      <c r="D892" t="s">
        <v>376</v>
      </c>
      <c r="E892">
        <v>35</v>
      </c>
      <c r="F892" s="6">
        <v>2100000000</v>
      </c>
      <c r="G892" s="6">
        <v>2512000000</v>
      </c>
      <c r="H892">
        <v>224</v>
      </c>
      <c r="I892" t="s">
        <v>8832</v>
      </c>
    </row>
    <row r="893" spans="1:9" x14ac:dyDescent="0.25">
      <c r="A893" t="s">
        <v>114</v>
      </c>
      <c r="B893">
        <v>184</v>
      </c>
      <c r="C893" t="s">
        <v>1954</v>
      </c>
      <c r="D893" t="s">
        <v>376</v>
      </c>
      <c r="E893">
        <v>35</v>
      </c>
      <c r="F893" s="6">
        <v>2100000000</v>
      </c>
      <c r="G893" s="6">
        <v>2412000000</v>
      </c>
      <c r="H893">
        <v>226</v>
      </c>
      <c r="I893" t="s">
        <v>8833</v>
      </c>
    </row>
    <row r="894" spans="1:9" x14ac:dyDescent="0.25">
      <c r="A894" t="s">
        <v>114</v>
      </c>
      <c r="B894">
        <v>196</v>
      </c>
      <c r="C894" t="s">
        <v>2005</v>
      </c>
      <c r="D894" t="s">
        <v>376</v>
      </c>
      <c r="E894">
        <v>35</v>
      </c>
      <c r="F894" s="6">
        <v>2100000000</v>
      </c>
      <c r="G894" s="6">
        <v>2271255000</v>
      </c>
      <c r="H894">
        <v>238</v>
      </c>
      <c r="I894" t="s">
        <v>8834</v>
      </c>
    </row>
    <row r="895" spans="1:9" x14ac:dyDescent="0.25">
      <c r="A895" t="s">
        <v>114</v>
      </c>
      <c r="B895">
        <v>208</v>
      </c>
      <c r="C895" t="s">
        <v>2056</v>
      </c>
      <c r="D895" t="s">
        <v>376</v>
      </c>
      <c r="E895">
        <v>35</v>
      </c>
      <c r="F895" s="6">
        <v>2100000000</v>
      </c>
      <c r="G895" s="6">
        <v>2602500000</v>
      </c>
      <c r="H895">
        <v>250</v>
      </c>
      <c r="I895" t="s">
        <v>8835</v>
      </c>
    </row>
    <row r="896" spans="1:9" x14ac:dyDescent="0.25">
      <c r="A896" t="s">
        <v>114</v>
      </c>
      <c r="B896">
        <v>233</v>
      </c>
      <c r="C896" t="s">
        <v>5560</v>
      </c>
      <c r="D896" t="s">
        <v>4318</v>
      </c>
      <c r="E896">
        <v>35</v>
      </c>
      <c r="F896" s="6">
        <v>5650000000</v>
      </c>
      <c r="G896" s="6">
        <v>6212345678</v>
      </c>
      <c r="H896">
        <v>275</v>
      </c>
      <c r="I896" t="s">
        <v>8836</v>
      </c>
    </row>
    <row r="897" spans="1:9" x14ac:dyDescent="0.25">
      <c r="A897" t="s">
        <v>114</v>
      </c>
      <c r="B897">
        <v>327</v>
      </c>
      <c r="C897" t="s">
        <v>5492</v>
      </c>
      <c r="D897" t="s">
        <v>8026</v>
      </c>
      <c r="E897">
        <v>35</v>
      </c>
      <c r="F897" s="6">
        <v>5400000000</v>
      </c>
      <c r="G897" s="6">
        <v>6120000000</v>
      </c>
      <c r="H897">
        <v>369</v>
      </c>
      <c r="I897" t="s">
        <v>8837</v>
      </c>
    </row>
    <row r="898" spans="1:9" x14ac:dyDescent="0.25">
      <c r="A898" t="s">
        <v>114</v>
      </c>
      <c r="B898">
        <v>16</v>
      </c>
      <c r="C898" t="s">
        <v>2237</v>
      </c>
      <c r="D898" t="s">
        <v>376</v>
      </c>
      <c r="E898">
        <v>34</v>
      </c>
      <c r="F898" s="6">
        <v>2100000000</v>
      </c>
      <c r="G898" s="6">
        <v>2320056000</v>
      </c>
      <c r="H898">
        <v>58</v>
      </c>
      <c r="I898" t="s">
        <v>8838</v>
      </c>
    </row>
    <row r="899" spans="1:9" x14ac:dyDescent="0.25">
      <c r="A899" t="s">
        <v>114</v>
      </c>
      <c r="B899">
        <v>21</v>
      </c>
      <c r="C899" t="s">
        <v>2259</v>
      </c>
      <c r="D899" t="s">
        <v>376</v>
      </c>
      <c r="E899">
        <v>34</v>
      </c>
      <c r="F899" s="6">
        <v>2100000000</v>
      </c>
      <c r="G899" s="6">
        <v>2538000000</v>
      </c>
      <c r="H899">
        <v>63</v>
      </c>
      <c r="I899" t="s">
        <v>8839</v>
      </c>
    </row>
    <row r="900" spans="1:9" x14ac:dyDescent="0.25">
      <c r="A900" t="s">
        <v>114</v>
      </c>
      <c r="B900">
        <v>64</v>
      </c>
      <c r="C900" t="s">
        <v>1474</v>
      </c>
      <c r="D900" t="s">
        <v>376</v>
      </c>
      <c r="E900">
        <v>34</v>
      </c>
      <c r="F900" s="6">
        <v>2100000000</v>
      </c>
      <c r="G900" s="6">
        <v>2515000000</v>
      </c>
      <c r="H900">
        <v>106</v>
      </c>
      <c r="I900" t="s">
        <v>8840</v>
      </c>
    </row>
    <row r="901" spans="1:9" x14ac:dyDescent="0.25">
      <c r="A901" t="s">
        <v>114</v>
      </c>
      <c r="B901">
        <v>79</v>
      </c>
      <c r="C901" t="s">
        <v>603</v>
      </c>
      <c r="D901" t="s">
        <v>376</v>
      </c>
      <c r="E901">
        <v>34</v>
      </c>
      <c r="F901" s="6">
        <v>2000000000</v>
      </c>
      <c r="G901" s="6">
        <v>2310000110</v>
      </c>
      <c r="H901">
        <v>121</v>
      </c>
      <c r="I901" t="s">
        <v>8841</v>
      </c>
    </row>
    <row r="902" spans="1:9" x14ac:dyDescent="0.25">
      <c r="A902" t="s">
        <v>114</v>
      </c>
      <c r="B902">
        <v>104</v>
      </c>
      <c r="C902" t="s">
        <v>1629</v>
      </c>
      <c r="D902" t="s">
        <v>376</v>
      </c>
      <c r="E902">
        <v>34</v>
      </c>
      <c r="F902" s="6">
        <v>2100000000</v>
      </c>
      <c r="G902" s="6">
        <v>2349999999</v>
      </c>
      <c r="H902">
        <v>146</v>
      </c>
      <c r="I902" t="s">
        <v>8842</v>
      </c>
    </row>
    <row r="903" spans="1:9" x14ac:dyDescent="0.25">
      <c r="A903" t="s">
        <v>114</v>
      </c>
      <c r="B903">
        <v>169</v>
      </c>
      <c r="C903" t="s">
        <v>1879</v>
      </c>
      <c r="D903" t="s">
        <v>376</v>
      </c>
      <c r="E903">
        <v>34</v>
      </c>
      <c r="F903" s="6">
        <v>2100000000</v>
      </c>
      <c r="G903" s="6">
        <v>2442000000</v>
      </c>
      <c r="H903">
        <v>211</v>
      </c>
      <c r="I903" t="s">
        <v>8843</v>
      </c>
    </row>
    <row r="904" spans="1:9" x14ac:dyDescent="0.25">
      <c r="A904" t="s">
        <v>114</v>
      </c>
      <c r="B904">
        <v>214</v>
      </c>
      <c r="C904" t="s">
        <v>2086</v>
      </c>
      <c r="D904" t="s">
        <v>376</v>
      </c>
      <c r="E904">
        <v>34</v>
      </c>
      <c r="F904" s="6">
        <v>2100000000</v>
      </c>
      <c r="G904" s="6">
        <v>2529999999</v>
      </c>
      <c r="H904">
        <v>256</v>
      </c>
      <c r="I904" t="s">
        <v>8844</v>
      </c>
    </row>
    <row r="905" spans="1:9" x14ac:dyDescent="0.25">
      <c r="A905" t="s">
        <v>114</v>
      </c>
      <c r="B905">
        <v>230</v>
      </c>
      <c r="C905" t="s">
        <v>3718</v>
      </c>
      <c r="D905" t="s">
        <v>325</v>
      </c>
      <c r="E905">
        <v>34</v>
      </c>
      <c r="F905" s="6">
        <v>3370000000</v>
      </c>
      <c r="G905" s="6">
        <v>4171210001</v>
      </c>
      <c r="H905">
        <v>272</v>
      </c>
      <c r="I905" t="s">
        <v>8845</v>
      </c>
    </row>
    <row r="906" spans="1:9" x14ac:dyDescent="0.25">
      <c r="A906" t="s">
        <v>114</v>
      </c>
      <c r="B906">
        <v>306</v>
      </c>
      <c r="C906" t="s">
        <v>4639</v>
      </c>
      <c r="D906" t="s">
        <v>8026</v>
      </c>
      <c r="E906">
        <v>34</v>
      </c>
      <c r="F906" s="6">
        <v>5200000000</v>
      </c>
      <c r="G906" s="6">
        <v>6179999369</v>
      </c>
      <c r="H906">
        <v>348</v>
      </c>
      <c r="I906" t="s">
        <v>8846</v>
      </c>
    </row>
    <row r="907" spans="1:9" x14ac:dyDescent="0.25">
      <c r="A907" t="s">
        <v>114</v>
      </c>
      <c r="B907">
        <v>338</v>
      </c>
      <c r="C907" t="s">
        <v>5393</v>
      </c>
      <c r="D907" t="s">
        <v>8026</v>
      </c>
      <c r="E907">
        <v>34</v>
      </c>
      <c r="F907" s="6">
        <v>5250000000</v>
      </c>
      <c r="G907" s="6">
        <v>5919999999</v>
      </c>
      <c r="H907">
        <v>380</v>
      </c>
      <c r="I907" t="s">
        <v>8847</v>
      </c>
    </row>
    <row r="908" spans="1:9" x14ac:dyDescent="0.25">
      <c r="A908" t="s">
        <v>114</v>
      </c>
      <c r="B908">
        <v>506</v>
      </c>
      <c r="C908" t="s">
        <v>5036</v>
      </c>
      <c r="D908" t="s">
        <v>4609</v>
      </c>
      <c r="E908">
        <v>34</v>
      </c>
      <c r="F908" s="6">
        <v>4150000000</v>
      </c>
      <c r="G908" s="6">
        <v>6148758930</v>
      </c>
      <c r="H908">
        <v>616</v>
      </c>
      <c r="I908" t="s">
        <v>8848</v>
      </c>
    </row>
    <row r="909" spans="1:9" x14ac:dyDescent="0.25">
      <c r="A909" t="s">
        <v>114</v>
      </c>
      <c r="B909">
        <v>5</v>
      </c>
      <c r="C909" t="s">
        <v>2174</v>
      </c>
      <c r="D909" t="s">
        <v>376</v>
      </c>
      <c r="E909">
        <v>33</v>
      </c>
      <c r="F909" s="6">
        <v>2100000000</v>
      </c>
      <c r="G909" s="6">
        <v>2500000000</v>
      </c>
      <c r="H909">
        <v>47</v>
      </c>
      <c r="I909" t="s">
        <v>8849</v>
      </c>
    </row>
    <row r="910" spans="1:9" x14ac:dyDescent="0.25">
      <c r="A910" t="s">
        <v>114</v>
      </c>
      <c r="B910">
        <v>34</v>
      </c>
      <c r="C910" t="s">
        <v>2309</v>
      </c>
      <c r="D910" t="s">
        <v>376</v>
      </c>
      <c r="E910">
        <v>33</v>
      </c>
      <c r="F910" s="6">
        <v>2100000000</v>
      </c>
      <c r="G910" s="6">
        <v>2278999999</v>
      </c>
      <c r="H910">
        <v>76</v>
      </c>
      <c r="I910" t="s">
        <v>8850</v>
      </c>
    </row>
    <row r="911" spans="1:9" x14ac:dyDescent="0.25">
      <c r="A911" t="s">
        <v>114</v>
      </c>
      <c r="B911">
        <v>98</v>
      </c>
      <c r="C911" t="s">
        <v>1602</v>
      </c>
      <c r="D911" t="s">
        <v>376</v>
      </c>
      <c r="E911">
        <v>33</v>
      </c>
      <c r="F911" s="6">
        <v>2100000000</v>
      </c>
      <c r="G911" s="6">
        <v>2456789000</v>
      </c>
      <c r="H911">
        <v>140</v>
      </c>
      <c r="I911" t="s">
        <v>8851</v>
      </c>
    </row>
    <row r="912" spans="1:9" x14ac:dyDescent="0.25">
      <c r="A912" t="s">
        <v>114</v>
      </c>
      <c r="B912">
        <v>115</v>
      </c>
      <c r="C912" t="s">
        <v>1674</v>
      </c>
      <c r="D912" t="s">
        <v>376</v>
      </c>
      <c r="E912">
        <v>33</v>
      </c>
      <c r="F912" s="6">
        <v>2100000000</v>
      </c>
      <c r="G912" s="6">
        <v>2331101130</v>
      </c>
      <c r="H912">
        <v>157</v>
      </c>
      <c r="I912" t="s">
        <v>8852</v>
      </c>
    </row>
    <row r="913" spans="1:9" x14ac:dyDescent="0.25">
      <c r="A913" t="s">
        <v>114</v>
      </c>
      <c r="B913">
        <v>117</v>
      </c>
      <c r="C913" t="s">
        <v>1683</v>
      </c>
      <c r="D913" t="s">
        <v>376</v>
      </c>
      <c r="E913">
        <v>33</v>
      </c>
      <c r="F913" s="6">
        <v>2100000000</v>
      </c>
      <c r="G913" s="6">
        <v>2298900000</v>
      </c>
      <c r="H913">
        <v>159</v>
      </c>
      <c r="I913" t="s">
        <v>8853</v>
      </c>
    </row>
    <row r="914" spans="1:9" x14ac:dyDescent="0.25">
      <c r="A914" t="s">
        <v>114</v>
      </c>
      <c r="B914">
        <v>126</v>
      </c>
      <c r="C914" t="s">
        <v>1704</v>
      </c>
      <c r="D914" t="s">
        <v>376</v>
      </c>
      <c r="E914">
        <v>33</v>
      </c>
      <c r="F914" s="6">
        <v>2100000000</v>
      </c>
      <c r="G914" s="6">
        <v>2419999999</v>
      </c>
      <c r="H914">
        <v>168</v>
      </c>
      <c r="I914" t="s">
        <v>8854</v>
      </c>
    </row>
    <row r="915" spans="1:9" x14ac:dyDescent="0.25">
      <c r="A915" t="s">
        <v>114</v>
      </c>
      <c r="B915">
        <v>140</v>
      </c>
      <c r="C915" t="s">
        <v>832</v>
      </c>
      <c r="D915" t="s">
        <v>376</v>
      </c>
      <c r="E915">
        <v>33</v>
      </c>
      <c r="F915" s="6">
        <v>2100000000</v>
      </c>
      <c r="G915" s="6">
        <v>2469999999</v>
      </c>
      <c r="H915">
        <v>182</v>
      </c>
      <c r="I915" t="s">
        <v>8855</v>
      </c>
    </row>
    <row r="916" spans="1:9" x14ac:dyDescent="0.25">
      <c r="A916" t="s">
        <v>114</v>
      </c>
      <c r="B916">
        <v>159</v>
      </c>
      <c r="C916" t="s">
        <v>1844</v>
      </c>
      <c r="D916" t="s">
        <v>376</v>
      </c>
      <c r="E916">
        <v>33</v>
      </c>
      <c r="F916" s="6">
        <v>2100000000</v>
      </c>
      <c r="G916" s="6">
        <v>2470000000</v>
      </c>
      <c r="H916">
        <v>201</v>
      </c>
      <c r="I916" t="s">
        <v>8856</v>
      </c>
    </row>
    <row r="917" spans="1:9" x14ac:dyDescent="0.25">
      <c r="A917" t="s">
        <v>114</v>
      </c>
      <c r="B917">
        <v>188</v>
      </c>
      <c r="C917" t="s">
        <v>1975</v>
      </c>
      <c r="D917" t="s">
        <v>376</v>
      </c>
      <c r="E917">
        <v>33</v>
      </c>
      <c r="F917" s="6">
        <v>2100000000</v>
      </c>
      <c r="G917" s="6">
        <v>2552000000</v>
      </c>
      <c r="H917">
        <v>230</v>
      </c>
      <c r="I917" t="s">
        <v>8857</v>
      </c>
    </row>
    <row r="918" spans="1:9" x14ac:dyDescent="0.25">
      <c r="A918" t="s">
        <v>114</v>
      </c>
      <c r="B918">
        <v>220</v>
      </c>
      <c r="C918" t="s">
        <v>2115</v>
      </c>
      <c r="D918" t="s">
        <v>376</v>
      </c>
      <c r="E918">
        <v>33</v>
      </c>
      <c r="F918" s="6">
        <v>2100000000</v>
      </c>
      <c r="G918" s="6">
        <v>2450000000</v>
      </c>
      <c r="H918">
        <v>262</v>
      </c>
      <c r="I918" t="s">
        <v>8858</v>
      </c>
    </row>
    <row r="919" spans="1:9" x14ac:dyDescent="0.25">
      <c r="A919" t="s">
        <v>114</v>
      </c>
      <c r="B919">
        <v>226</v>
      </c>
      <c r="C919" t="s">
        <v>4350</v>
      </c>
      <c r="D919" t="s">
        <v>325</v>
      </c>
      <c r="E919">
        <v>33</v>
      </c>
      <c r="F919" s="6">
        <v>3570000000</v>
      </c>
      <c r="G919" s="6">
        <v>4313333333</v>
      </c>
      <c r="H919">
        <v>268</v>
      </c>
      <c r="I919" t="s">
        <v>8859</v>
      </c>
    </row>
    <row r="920" spans="1:9" x14ac:dyDescent="0.25">
      <c r="A920" t="s">
        <v>114</v>
      </c>
      <c r="B920">
        <v>250</v>
      </c>
      <c r="C920" t="s">
        <v>3728</v>
      </c>
      <c r="D920" t="s">
        <v>2476</v>
      </c>
      <c r="E920">
        <v>33</v>
      </c>
      <c r="F920" s="6">
        <v>3370000000</v>
      </c>
      <c r="G920" s="6">
        <v>3900000000</v>
      </c>
      <c r="H920">
        <v>292</v>
      </c>
      <c r="I920" t="s">
        <v>8860</v>
      </c>
    </row>
    <row r="921" spans="1:9" x14ac:dyDescent="0.25">
      <c r="A921" t="s">
        <v>114</v>
      </c>
      <c r="B921">
        <v>260</v>
      </c>
      <c r="C921" t="s">
        <v>3747</v>
      </c>
      <c r="D921" t="s">
        <v>2644</v>
      </c>
      <c r="E921">
        <v>33</v>
      </c>
      <c r="F921" s="6">
        <v>3400000000</v>
      </c>
      <c r="G921" s="6">
        <v>3989888800</v>
      </c>
      <c r="H921">
        <v>302</v>
      </c>
      <c r="I921" t="s">
        <v>8861</v>
      </c>
    </row>
    <row r="922" spans="1:9" x14ac:dyDescent="0.25">
      <c r="A922" t="s">
        <v>114</v>
      </c>
      <c r="B922">
        <v>349</v>
      </c>
      <c r="C922" t="s">
        <v>5240</v>
      </c>
      <c r="D922" t="s">
        <v>3242</v>
      </c>
      <c r="E922">
        <v>33</v>
      </c>
      <c r="F922" s="6">
        <v>4750000000</v>
      </c>
      <c r="G922" s="6">
        <v>5409999999</v>
      </c>
      <c r="H922">
        <v>391</v>
      </c>
      <c r="I922" t="s">
        <v>8862</v>
      </c>
    </row>
    <row r="923" spans="1:9" x14ac:dyDescent="0.25">
      <c r="A923" t="s">
        <v>114</v>
      </c>
      <c r="B923">
        <v>397</v>
      </c>
      <c r="C923" t="s">
        <v>5695</v>
      </c>
      <c r="D923" t="s">
        <v>5604</v>
      </c>
      <c r="E923">
        <v>33</v>
      </c>
      <c r="F923" s="6">
        <v>10400000000</v>
      </c>
      <c r="G923" s="6">
        <v>12000000000</v>
      </c>
      <c r="H923">
        <v>441</v>
      </c>
      <c r="I923" t="s">
        <v>8863</v>
      </c>
    </row>
    <row r="924" spans="1:9" x14ac:dyDescent="0.25">
      <c r="A924" t="s">
        <v>114</v>
      </c>
      <c r="B924">
        <v>509</v>
      </c>
      <c r="C924" t="s">
        <v>4610</v>
      </c>
      <c r="D924" t="s">
        <v>4609</v>
      </c>
      <c r="E924">
        <v>33</v>
      </c>
      <c r="F924" s="6">
        <v>4000000000</v>
      </c>
      <c r="G924" s="6">
        <v>5555555555</v>
      </c>
      <c r="H924">
        <v>619</v>
      </c>
      <c r="I924" t="s">
        <v>8864</v>
      </c>
    </row>
    <row r="925" spans="1:9" x14ac:dyDescent="0.25">
      <c r="A925" t="s">
        <v>114</v>
      </c>
      <c r="B925">
        <v>49</v>
      </c>
      <c r="C925" t="s">
        <v>2371</v>
      </c>
      <c r="D925" t="s">
        <v>376</v>
      </c>
      <c r="E925">
        <v>32</v>
      </c>
      <c r="F925" s="6">
        <v>2100000000</v>
      </c>
      <c r="G925" s="6">
        <v>2424222200</v>
      </c>
      <c r="H925">
        <v>91</v>
      </c>
      <c r="I925" t="s">
        <v>8865</v>
      </c>
    </row>
    <row r="926" spans="1:9" x14ac:dyDescent="0.25">
      <c r="A926" t="s">
        <v>114</v>
      </c>
      <c r="B926">
        <v>51</v>
      </c>
      <c r="C926" t="s">
        <v>2380</v>
      </c>
      <c r="D926" t="s">
        <v>376</v>
      </c>
      <c r="E926">
        <v>32</v>
      </c>
      <c r="F926" s="6">
        <v>2100000000</v>
      </c>
      <c r="G926" s="6">
        <v>2467999000</v>
      </c>
      <c r="H926">
        <v>93</v>
      </c>
      <c r="I926" t="s">
        <v>8866</v>
      </c>
    </row>
    <row r="927" spans="1:9" x14ac:dyDescent="0.25">
      <c r="A927" t="s">
        <v>114</v>
      </c>
      <c r="B927">
        <v>54</v>
      </c>
      <c r="C927" t="s">
        <v>2392</v>
      </c>
      <c r="D927" t="s">
        <v>376</v>
      </c>
      <c r="E927">
        <v>32</v>
      </c>
      <c r="F927" s="6">
        <v>2100000000</v>
      </c>
      <c r="G927" s="6">
        <v>2467999000</v>
      </c>
      <c r="H927">
        <v>96</v>
      </c>
      <c r="I927" t="s">
        <v>8867</v>
      </c>
    </row>
    <row r="928" spans="1:9" x14ac:dyDescent="0.25">
      <c r="A928" t="s">
        <v>114</v>
      </c>
      <c r="B928">
        <v>63</v>
      </c>
      <c r="C928" t="s">
        <v>1470</v>
      </c>
      <c r="D928" t="s">
        <v>376</v>
      </c>
      <c r="E928">
        <v>32</v>
      </c>
      <c r="F928" s="6">
        <v>2100000000</v>
      </c>
      <c r="G928" s="6">
        <v>2473000000</v>
      </c>
      <c r="H928">
        <v>105</v>
      </c>
      <c r="I928" t="s">
        <v>8868</v>
      </c>
    </row>
    <row r="929" spans="1:9" x14ac:dyDescent="0.25">
      <c r="A929" t="s">
        <v>114</v>
      </c>
      <c r="B929">
        <v>76</v>
      </c>
      <c r="C929" t="s">
        <v>1524</v>
      </c>
      <c r="D929" t="s">
        <v>376</v>
      </c>
      <c r="E929">
        <v>32</v>
      </c>
      <c r="F929" s="6">
        <v>2100000000</v>
      </c>
      <c r="G929" s="6">
        <v>2477963369</v>
      </c>
      <c r="H929">
        <v>118</v>
      </c>
      <c r="I929" t="s">
        <v>8869</v>
      </c>
    </row>
    <row r="930" spans="1:9" x14ac:dyDescent="0.25">
      <c r="A930" t="s">
        <v>114</v>
      </c>
      <c r="B930">
        <v>162</v>
      </c>
      <c r="C930" t="s">
        <v>1853</v>
      </c>
      <c r="D930" t="s">
        <v>376</v>
      </c>
      <c r="E930">
        <v>32</v>
      </c>
      <c r="F930" s="6">
        <v>2100000000</v>
      </c>
      <c r="G930" s="6">
        <v>2333000000</v>
      </c>
      <c r="H930">
        <v>204</v>
      </c>
      <c r="I930" t="s">
        <v>8870</v>
      </c>
    </row>
    <row r="931" spans="1:9" x14ac:dyDescent="0.25">
      <c r="A931" t="s">
        <v>114</v>
      </c>
      <c r="B931">
        <v>213</v>
      </c>
      <c r="C931" t="s">
        <v>2081</v>
      </c>
      <c r="D931" t="s">
        <v>376</v>
      </c>
      <c r="E931">
        <v>32</v>
      </c>
      <c r="F931" s="6">
        <v>2100000000</v>
      </c>
      <c r="G931" s="6">
        <v>2552000000</v>
      </c>
      <c r="H931">
        <v>255</v>
      </c>
      <c r="I931" t="s">
        <v>8871</v>
      </c>
    </row>
    <row r="932" spans="1:9" x14ac:dyDescent="0.25">
      <c r="A932" t="s">
        <v>114</v>
      </c>
      <c r="B932">
        <v>239</v>
      </c>
      <c r="C932" t="s">
        <v>3063</v>
      </c>
      <c r="D932" t="s">
        <v>2476</v>
      </c>
      <c r="E932">
        <v>32</v>
      </c>
      <c r="F932" s="6">
        <v>3570000000</v>
      </c>
      <c r="G932" s="6">
        <v>5330000000</v>
      </c>
      <c r="H932">
        <v>281</v>
      </c>
      <c r="I932" t="s">
        <v>8872</v>
      </c>
    </row>
    <row r="933" spans="1:9" x14ac:dyDescent="0.25">
      <c r="A933" t="s">
        <v>114</v>
      </c>
      <c r="B933">
        <v>267</v>
      </c>
      <c r="C933" t="s">
        <v>3695</v>
      </c>
      <c r="D933" t="s">
        <v>316</v>
      </c>
      <c r="E933">
        <v>32</v>
      </c>
      <c r="F933" s="6">
        <v>3350000000</v>
      </c>
      <c r="G933" s="6">
        <v>3999900000</v>
      </c>
      <c r="H933">
        <v>309</v>
      </c>
      <c r="I933" t="s">
        <v>8873</v>
      </c>
    </row>
    <row r="934" spans="1:9" x14ac:dyDescent="0.25">
      <c r="A934" t="s">
        <v>114</v>
      </c>
      <c r="B934">
        <v>268</v>
      </c>
      <c r="C934" t="s">
        <v>2931</v>
      </c>
      <c r="D934" t="s">
        <v>316</v>
      </c>
      <c r="E934">
        <v>32</v>
      </c>
      <c r="F934" s="6">
        <v>3400000000</v>
      </c>
      <c r="G934" s="6">
        <v>4113000000</v>
      </c>
      <c r="H934">
        <v>310</v>
      </c>
      <c r="I934" t="s">
        <v>8874</v>
      </c>
    </row>
    <row r="935" spans="1:9" x14ac:dyDescent="0.25">
      <c r="A935" t="s">
        <v>114</v>
      </c>
      <c r="B935">
        <v>361</v>
      </c>
      <c r="C935" t="s">
        <v>5301</v>
      </c>
      <c r="D935" t="s">
        <v>3210</v>
      </c>
      <c r="E935">
        <v>32</v>
      </c>
      <c r="F935" s="6">
        <v>4950000000</v>
      </c>
      <c r="G935" s="6">
        <v>5309999999</v>
      </c>
      <c r="H935">
        <v>403</v>
      </c>
      <c r="I935" t="s">
        <v>8875</v>
      </c>
    </row>
    <row r="936" spans="1:9" x14ac:dyDescent="0.25">
      <c r="A936" t="s">
        <v>114</v>
      </c>
      <c r="B936">
        <v>57</v>
      </c>
      <c r="C936" t="s">
        <v>2404</v>
      </c>
      <c r="D936" t="s">
        <v>376</v>
      </c>
      <c r="E936">
        <v>31</v>
      </c>
      <c r="F936" s="6">
        <v>2100000000</v>
      </c>
      <c r="G936" s="6">
        <v>2532000000</v>
      </c>
      <c r="H936">
        <v>99</v>
      </c>
      <c r="I936" t="s">
        <v>8876</v>
      </c>
    </row>
    <row r="937" spans="1:9" x14ac:dyDescent="0.25">
      <c r="A937" t="s">
        <v>114</v>
      </c>
      <c r="B937">
        <v>70</v>
      </c>
      <c r="C937" t="s">
        <v>1499</v>
      </c>
      <c r="D937" t="s">
        <v>376</v>
      </c>
      <c r="E937">
        <v>31</v>
      </c>
      <c r="F937" s="6">
        <v>2100000000</v>
      </c>
      <c r="G937" s="6">
        <v>2261000111</v>
      </c>
      <c r="H937">
        <v>112</v>
      </c>
      <c r="I937" t="s">
        <v>8877</v>
      </c>
    </row>
    <row r="938" spans="1:9" x14ac:dyDescent="0.25">
      <c r="A938" t="s">
        <v>114</v>
      </c>
      <c r="B938">
        <v>71</v>
      </c>
      <c r="C938" t="s">
        <v>1503</v>
      </c>
      <c r="D938" t="s">
        <v>376</v>
      </c>
      <c r="E938">
        <v>31</v>
      </c>
      <c r="F938" s="6">
        <v>2100000000</v>
      </c>
      <c r="G938" s="6">
        <v>2459999999</v>
      </c>
      <c r="H938">
        <v>113</v>
      </c>
      <c r="I938" t="s">
        <v>8878</v>
      </c>
    </row>
    <row r="939" spans="1:9" x14ac:dyDescent="0.25">
      <c r="A939" t="s">
        <v>114</v>
      </c>
      <c r="B939">
        <v>81</v>
      </c>
      <c r="C939" t="s">
        <v>1536</v>
      </c>
      <c r="D939" t="s">
        <v>376</v>
      </c>
      <c r="E939">
        <v>31</v>
      </c>
      <c r="F939" s="6">
        <v>2100000000</v>
      </c>
      <c r="G939" s="6">
        <v>2293870000</v>
      </c>
      <c r="H939">
        <v>123</v>
      </c>
      <c r="I939" t="s">
        <v>8879</v>
      </c>
    </row>
    <row r="940" spans="1:9" x14ac:dyDescent="0.25">
      <c r="A940" t="s">
        <v>114</v>
      </c>
      <c r="B940">
        <v>90</v>
      </c>
      <c r="C940" t="s">
        <v>1574</v>
      </c>
      <c r="D940" t="s">
        <v>376</v>
      </c>
      <c r="E940">
        <v>31</v>
      </c>
      <c r="F940" s="6">
        <v>2100000000</v>
      </c>
      <c r="G940" s="6">
        <v>2269990100</v>
      </c>
      <c r="H940">
        <v>132</v>
      </c>
      <c r="I940" t="s">
        <v>8880</v>
      </c>
    </row>
    <row r="941" spans="1:9" x14ac:dyDescent="0.25">
      <c r="A941" t="s">
        <v>114</v>
      </c>
      <c r="B941">
        <v>92</v>
      </c>
      <c r="C941" t="s">
        <v>1582</v>
      </c>
      <c r="D941" t="s">
        <v>376</v>
      </c>
      <c r="E941">
        <v>31</v>
      </c>
      <c r="F941" s="6">
        <v>2100000000</v>
      </c>
      <c r="G941" s="6">
        <v>2306500000</v>
      </c>
      <c r="H941">
        <v>134</v>
      </c>
      <c r="I941" t="s">
        <v>8881</v>
      </c>
    </row>
    <row r="942" spans="1:9" x14ac:dyDescent="0.25">
      <c r="A942" t="s">
        <v>114</v>
      </c>
      <c r="B942">
        <v>111</v>
      </c>
      <c r="C942" t="s">
        <v>1657</v>
      </c>
      <c r="D942" t="s">
        <v>376</v>
      </c>
      <c r="E942">
        <v>31</v>
      </c>
      <c r="F942" s="6">
        <v>2100000000</v>
      </c>
      <c r="G942" s="6">
        <v>2312896989</v>
      </c>
      <c r="H942">
        <v>153</v>
      </c>
      <c r="I942" t="s">
        <v>8882</v>
      </c>
    </row>
    <row r="943" spans="1:9" x14ac:dyDescent="0.25">
      <c r="A943" t="s">
        <v>114</v>
      </c>
      <c r="B943">
        <v>123</v>
      </c>
      <c r="C943" t="s">
        <v>859</v>
      </c>
      <c r="D943" t="s">
        <v>376</v>
      </c>
      <c r="E943">
        <v>31</v>
      </c>
      <c r="F943" s="6">
        <v>2100000000</v>
      </c>
      <c r="G943" s="6">
        <v>2400758740</v>
      </c>
      <c r="H943">
        <v>165</v>
      </c>
      <c r="I943" t="s">
        <v>8883</v>
      </c>
    </row>
    <row r="944" spans="1:9" x14ac:dyDescent="0.25">
      <c r="A944" t="s">
        <v>114</v>
      </c>
      <c r="B944">
        <v>144</v>
      </c>
      <c r="C944" t="s">
        <v>1781</v>
      </c>
      <c r="D944" t="s">
        <v>376</v>
      </c>
      <c r="E944">
        <v>31</v>
      </c>
      <c r="F944" s="6">
        <v>2100000000</v>
      </c>
      <c r="G944" s="6">
        <v>2320000000</v>
      </c>
      <c r="H944">
        <v>186</v>
      </c>
      <c r="I944" t="s">
        <v>8884</v>
      </c>
    </row>
    <row r="945" spans="1:9" x14ac:dyDescent="0.25">
      <c r="A945" t="s">
        <v>114</v>
      </c>
      <c r="B945">
        <v>146</v>
      </c>
      <c r="C945" t="s">
        <v>1789</v>
      </c>
      <c r="D945" t="s">
        <v>376</v>
      </c>
      <c r="E945">
        <v>31</v>
      </c>
      <c r="F945" s="6">
        <v>2100000000</v>
      </c>
      <c r="G945" s="6">
        <v>2583999999</v>
      </c>
      <c r="H945">
        <v>188</v>
      </c>
      <c r="I945" t="s">
        <v>8885</v>
      </c>
    </row>
    <row r="946" spans="1:9" x14ac:dyDescent="0.25">
      <c r="A946" t="s">
        <v>114</v>
      </c>
      <c r="B946">
        <v>147</v>
      </c>
      <c r="C946" t="s">
        <v>1793</v>
      </c>
      <c r="D946" t="s">
        <v>376</v>
      </c>
      <c r="E946">
        <v>31</v>
      </c>
      <c r="F946" s="6">
        <v>2100000000</v>
      </c>
      <c r="G946" s="6">
        <v>2431111111</v>
      </c>
      <c r="H946">
        <v>189</v>
      </c>
      <c r="I946" t="s">
        <v>8886</v>
      </c>
    </row>
    <row r="947" spans="1:9" x14ac:dyDescent="0.25">
      <c r="A947" t="s">
        <v>114</v>
      </c>
      <c r="B947">
        <v>181</v>
      </c>
      <c r="C947" t="s">
        <v>1939</v>
      </c>
      <c r="D947" t="s">
        <v>376</v>
      </c>
      <c r="E947">
        <v>31</v>
      </c>
      <c r="F947" s="6">
        <v>2100000000</v>
      </c>
      <c r="G947" s="6">
        <v>2452000000</v>
      </c>
      <c r="H947">
        <v>223</v>
      </c>
      <c r="I947" t="s">
        <v>8887</v>
      </c>
    </row>
    <row r="948" spans="1:9" x14ac:dyDescent="0.25">
      <c r="A948" t="s">
        <v>114</v>
      </c>
      <c r="B948">
        <v>201</v>
      </c>
      <c r="C948" t="s">
        <v>2030</v>
      </c>
      <c r="D948" t="s">
        <v>376</v>
      </c>
      <c r="E948">
        <v>31</v>
      </c>
      <c r="F948" s="6">
        <v>2100000000</v>
      </c>
      <c r="G948" s="6">
        <v>2310000000</v>
      </c>
      <c r="H948">
        <v>243</v>
      </c>
      <c r="I948" t="s">
        <v>8888</v>
      </c>
    </row>
    <row r="949" spans="1:9" x14ac:dyDescent="0.25">
      <c r="A949" t="s">
        <v>114</v>
      </c>
      <c r="B949">
        <v>211</v>
      </c>
      <c r="C949" t="s">
        <v>2071</v>
      </c>
      <c r="D949" t="s">
        <v>376</v>
      </c>
      <c r="E949">
        <v>31</v>
      </c>
      <c r="F949" s="6">
        <v>2100000000</v>
      </c>
      <c r="G949" s="6">
        <v>2431578999</v>
      </c>
      <c r="H949">
        <v>253</v>
      </c>
      <c r="I949" t="s">
        <v>8889</v>
      </c>
    </row>
    <row r="950" spans="1:9" x14ac:dyDescent="0.25">
      <c r="A950" t="s">
        <v>114</v>
      </c>
      <c r="B950">
        <v>215</v>
      </c>
      <c r="C950" t="s">
        <v>2091</v>
      </c>
      <c r="D950" t="s">
        <v>376</v>
      </c>
      <c r="E950">
        <v>31</v>
      </c>
      <c r="F950" s="6">
        <v>2100000000</v>
      </c>
      <c r="G950" s="6">
        <v>2479999999</v>
      </c>
      <c r="H950">
        <v>257</v>
      </c>
      <c r="I950" t="s">
        <v>8890</v>
      </c>
    </row>
    <row r="951" spans="1:9" x14ac:dyDescent="0.25">
      <c r="A951" t="s">
        <v>114</v>
      </c>
      <c r="B951">
        <v>219</v>
      </c>
      <c r="C951" t="s">
        <v>2110</v>
      </c>
      <c r="D951" t="s">
        <v>376</v>
      </c>
      <c r="E951">
        <v>31</v>
      </c>
      <c r="F951" s="6">
        <v>2100000000</v>
      </c>
      <c r="G951" s="6">
        <v>2388888888</v>
      </c>
      <c r="H951">
        <v>261</v>
      </c>
      <c r="I951" t="s">
        <v>8891</v>
      </c>
    </row>
    <row r="952" spans="1:9" x14ac:dyDescent="0.25">
      <c r="A952" t="s">
        <v>114</v>
      </c>
      <c r="B952">
        <v>222</v>
      </c>
      <c r="C952" t="s">
        <v>2125</v>
      </c>
      <c r="D952" t="s">
        <v>376</v>
      </c>
      <c r="E952">
        <v>31</v>
      </c>
      <c r="F952" s="6">
        <v>2100000000</v>
      </c>
      <c r="G952" s="6">
        <v>2310000999</v>
      </c>
      <c r="H952">
        <v>264</v>
      </c>
      <c r="I952" t="s">
        <v>8892</v>
      </c>
    </row>
    <row r="953" spans="1:9" x14ac:dyDescent="0.25">
      <c r="A953" t="s">
        <v>114</v>
      </c>
      <c r="B953">
        <v>234</v>
      </c>
      <c r="C953" t="s">
        <v>5564</v>
      </c>
      <c r="D953" t="s">
        <v>3478</v>
      </c>
      <c r="E953">
        <v>31</v>
      </c>
      <c r="F953" s="6">
        <v>5650000000</v>
      </c>
      <c r="G953" s="6">
        <v>6511286650</v>
      </c>
      <c r="H953">
        <v>276</v>
      </c>
      <c r="I953" t="s">
        <v>8893</v>
      </c>
    </row>
    <row r="954" spans="1:9" x14ac:dyDescent="0.25">
      <c r="A954" t="s">
        <v>114</v>
      </c>
      <c r="B954">
        <v>353</v>
      </c>
      <c r="C954" t="s">
        <v>5578</v>
      </c>
      <c r="D954" t="s">
        <v>8894</v>
      </c>
      <c r="E954">
        <v>31</v>
      </c>
      <c r="F954" s="6">
        <v>5750000000</v>
      </c>
      <c r="G954" s="6">
        <v>6666666000</v>
      </c>
      <c r="H954">
        <v>395</v>
      </c>
      <c r="I954" t="s">
        <v>8895</v>
      </c>
    </row>
    <row r="955" spans="1:9" x14ac:dyDescent="0.25">
      <c r="A955" t="s">
        <v>114</v>
      </c>
      <c r="B955">
        <v>375</v>
      </c>
      <c r="C955" t="s">
        <v>5137</v>
      </c>
      <c r="D955" t="s">
        <v>3250</v>
      </c>
      <c r="E955">
        <v>31</v>
      </c>
      <c r="F955" s="6">
        <v>4260000000</v>
      </c>
      <c r="G955" s="6">
        <v>4743500000</v>
      </c>
      <c r="H955">
        <v>419</v>
      </c>
      <c r="I955" t="s">
        <v>8896</v>
      </c>
    </row>
    <row r="956" spans="1:9" x14ac:dyDescent="0.25">
      <c r="A956" t="s">
        <v>114</v>
      </c>
      <c r="B956">
        <v>15</v>
      </c>
      <c r="C956" t="s">
        <v>2232</v>
      </c>
      <c r="D956" t="s">
        <v>376</v>
      </c>
      <c r="E956">
        <v>30</v>
      </c>
      <c r="F956" s="6">
        <v>2100000000</v>
      </c>
      <c r="G956" s="6">
        <v>2352000000</v>
      </c>
      <c r="H956">
        <v>57</v>
      </c>
      <c r="I956" t="s">
        <v>8897</v>
      </c>
    </row>
    <row r="957" spans="1:9" x14ac:dyDescent="0.25">
      <c r="A957" t="s">
        <v>114</v>
      </c>
      <c r="B957">
        <v>20</v>
      </c>
      <c r="C957" t="s">
        <v>2255</v>
      </c>
      <c r="D957" t="s">
        <v>376</v>
      </c>
      <c r="E957">
        <v>30</v>
      </c>
      <c r="F957" s="6">
        <v>2100000000</v>
      </c>
      <c r="G957" s="6">
        <v>2420000000</v>
      </c>
      <c r="H957">
        <v>62</v>
      </c>
      <c r="I957" t="s">
        <v>8898</v>
      </c>
    </row>
    <row r="958" spans="1:9" x14ac:dyDescent="0.25">
      <c r="A958" t="s">
        <v>114</v>
      </c>
      <c r="B958">
        <v>41</v>
      </c>
      <c r="C958" t="s">
        <v>2339</v>
      </c>
      <c r="D958" t="s">
        <v>376</v>
      </c>
      <c r="E958">
        <v>30</v>
      </c>
      <c r="F958" s="6">
        <v>2100000000</v>
      </c>
      <c r="G958" s="6">
        <v>2425000000</v>
      </c>
      <c r="H958">
        <v>83</v>
      </c>
      <c r="I958" t="s">
        <v>8899</v>
      </c>
    </row>
    <row r="959" spans="1:9" x14ac:dyDescent="0.25">
      <c r="A959" t="s">
        <v>114</v>
      </c>
      <c r="B959">
        <v>86</v>
      </c>
      <c r="C959" t="s">
        <v>1558</v>
      </c>
      <c r="D959" t="s">
        <v>376</v>
      </c>
      <c r="E959">
        <v>30</v>
      </c>
      <c r="F959" s="6">
        <v>2100000000</v>
      </c>
      <c r="G959" s="6">
        <v>2300000000</v>
      </c>
      <c r="H959">
        <v>128</v>
      </c>
      <c r="I959" t="s">
        <v>8900</v>
      </c>
    </row>
    <row r="960" spans="1:9" x14ac:dyDescent="0.25">
      <c r="A960" t="s">
        <v>114</v>
      </c>
      <c r="B960">
        <v>97</v>
      </c>
      <c r="C960" t="s">
        <v>1598</v>
      </c>
      <c r="D960" t="s">
        <v>376</v>
      </c>
      <c r="E960">
        <v>30</v>
      </c>
      <c r="F960" s="6">
        <v>2100000000</v>
      </c>
      <c r="G960" s="6">
        <v>2583259009</v>
      </c>
      <c r="H960">
        <v>139</v>
      </c>
      <c r="I960" t="s">
        <v>8901</v>
      </c>
    </row>
    <row r="961" spans="1:9" x14ac:dyDescent="0.25">
      <c r="A961" t="s">
        <v>114</v>
      </c>
      <c r="B961">
        <v>100</v>
      </c>
      <c r="C961" t="s">
        <v>1611</v>
      </c>
      <c r="D961" t="s">
        <v>376</v>
      </c>
      <c r="E961">
        <v>30</v>
      </c>
      <c r="F961" s="6">
        <v>2100000000</v>
      </c>
      <c r="G961" s="6">
        <v>2671990000</v>
      </c>
      <c r="H961">
        <v>142</v>
      </c>
      <c r="I961" t="s">
        <v>8902</v>
      </c>
    </row>
    <row r="962" spans="1:9" x14ac:dyDescent="0.25">
      <c r="A962" t="s">
        <v>114</v>
      </c>
      <c r="B962">
        <v>101</v>
      </c>
      <c r="C962" t="s">
        <v>1616</v>
      </c>
      <c r="D962" t="s">
        <v>376</v>
      </c>
      <c r="E962">
        <v>30</v>
      </c>
      <c r="F962" s="6">
        <v>2100000000</v>
      </c>
      <c r="G962" s="6">
        <v>2437999000</v>
      </c>
      <c r="H962">
        <v>143</v>
      </c>
      <c r="I962" t="s">
        <v>8903</v>
      </c>
    </row>
    <row r="963" spans="1:9" x14ac:dyDescent="0.25">
      <c r="A963" t="s">
        <v>114</v>
      </c>
      <c r="B963">
        <v>105</v>
      </c>
      <c r="C963" t="s">
        <v>1633</v>
      </c>
      <c r="D963" t="s">
        <v>376</v>
      </c>
      <c r="E963">
        <v>30</v>
      </c>
      <c r="F963" s="6">
        <v>2100000000</v>
      </c>
      <c r="G963" s="6">
        <v>2446999000</v>
      </c>
      <c r="H963">
        <v>147</v>
      </c>
      <c r="I963" t="s">
        <v>8904</v>
      </c>
    </row>
    <row r="964" spans="1:9" x14ac:dyDescent="0.25">
      <c r="A964" t="s">
        <v>114</v>
      </c>
      <c r="B964">
        <v>129</v>
      </c>
      <c r="C964" t="s">
        <v>1718</v>
      </c>
      <c r="D964" t="s">
        <v>376</v>
      </c>
      <c r="E964">
        <v>30</v>
      </c>
      <c r="F964" s="6">
        <v>2100000000</v>
      </c>
      <c r="G964" s="6">
        <v>2360000000</v>
      </c>
      <c r="H964">
        <v>171</v>
      </c>
      <c r="I964" t="s">
        <v>8905</v>
      </c>
    </row>
    <row r="965" spans="1:9" x14ac:dyDescent="0.25">
      <c r="A965" t="s">
        <v>114</v>
      </c>
      <c r="B965">
        <v>142</v>
      </c>
      <c r="C965" t="s">
        <v>1772</v>
      </c>
      <c r="D965" t="s">
        <v>376</v>
      </c>
      <c r="E965">
        <v>30</v>
      </c>
      <c r="F965" s="6">
        <v>2100000000</v>
      </c>
      <c r="G965" s="6">
        <v>2389999999</v>
      </c>
      <c r="H965">
        <v>184</v>
      </c>
      <c r="I965" t="s">
        <v>8906</v>
      </c>
    </row>
    <row r="966" spans="1:9" x14ac:dyDescent="0.25">
      <c r="A966" t="s">
        <v>114</v>
      </c>
      <c r="B966">
        <v>172</v>
      </c>
      <c r="C966" t="s">
        <v>1893</v>
      </c>
      <c r="D966" t="s">
        <v>376</v>
      </c>
      <c r="E966">
        <v>30</v>
      </c>
      <c r="F966" s="6">
        <v>2100000000</v>
      </c>
      <c r="G966" s="6">
        <v>2551000000</v>
      </c>
      <c r="H966">
        <v>214</v>
      </c>
      <c r="I966" t="s">
        <v>8907</v>
      </c>
    </row>
    <row r="967" spans="1:9" x14ac:dyDescent="0.25">
      <c r="A967" t="s">
        <v>114</v>
      </c>
      <c r="B967">
        <v>173</v>
      </c>
      <c r="C967" t="s">
        <v>1898</v>
      </c>
      <c r="D967" t="s">
        <v>376</v>
      </c>
      <c r="E967">
        <v>30</v>
      </c>
      <c r="F967" s="6">
        <v>2100000000</v>
      </c>
      <c r="G967" s="6">
        <v>2285500000</v>
      </c>
      <c r="H967">
        <v>215</v>
      </c>
      <c r="I967" t="s">
        <v>8908</v>
      </c>
    </row>
    <row r="968" spans="1:9" x14ac:dyDescent="0.25">
      <c r="A968" t="s">
        <v>114</v>
      </c>
      <c r="B968">
        <v>193</v>
      </c>
      <c r="C968" t="s">
        <v>1988</v>
      </c>
      <c r="D968" t="s">
        <v>376</v>
      </c>
      <c r="E968">
        <v>30</v>
      </c>
      <c r="F968" s="6">
        <v>2100000000</v>
      </c>
      <c r="G968" s="6">
        <v>2386099999</v>
      </c>
      <c r="H968">
        <v>235</v>
      </c>
      <c r="I968" t="s">
        <v>8909</v>
      </c>
    </row>
    <row r="969" spans="1:9" x14ac:dyDescent="0.25">
      <c r="A969" t="s">
        <v>114</v>
      </c>
      <c r="B969">
        <v>223</v>
      </c>
      <c r="C969" t="s">
        <v>2130</v>
      </c>
      <c r="D969" t="s">
        <v>376</v>
      </c>
      <c r="E969">
        <v>30</v>
      </c>
      <c r="F969" s="6">
        <v>2100000000</v>
      </c>
      <c r="G969" s="6">
        <v>2401000000</v>
      </c>
      <c r="H969">
        <v>265</v>
      </c>
      <c r="I969" t="s">
        <v>8910</v>
      </c>
    </row>
    <row r="970" spans="1:9" x14ac:dyDescent="0.25">
      <c r="A970" t="s">
        <v>114</v>
      </c>
      <c r="B970">
        <v>299</v>
      </c>
      <c r="C970" t="s">
        <v>4977</v>
      </c>
      <c r="D970" t="s">
        <v>8035</v>
      </c>
      <c r="E970">
        <v>30</v>
      </c>
      <c r="F970" s="6">
        <v>5450000000</v>
      </c>
      <c r="G970" s="6">
        <v>6466000000</v>
      </c>
      <c r="H970">
        <v>341</v>
      </c>
      <c r="I970" t="s">
        <v>8911</v>
      </c>
    </row>
    <row r="971" spans="1:9" x14ac:dyDescent="0.25">
      <c r="A971" t="s">
        <v>114</v>
      </c>
      <c r="B971">
        <v>362</v>
      </c>
      <c r="C971" t="s">
        <v>5329</v>
      </c>
      <c r="D971" t="s">
        <v>3210</v>
      </c>
      <c r="E971">
        <v>30</v>
      </c>
      <c r="F971" s="6">
        <v>5050000000</v>
      </c>
      <c r="G971" s="6">
        <v>5669000000</v>
      </c>
      <c r="H971">
        <v>404</v>
      </c>
      <c r="I971" t="s">
        <v>8912</v>
      </c>
    </row>
    <row r="972" spans="1:9" x14ac:dyDescent="0.25">
      <c r="A972" t="s">
        <v>114</v>
      </c>
      <c r="B972">
        <v>371</v>
      </c>
      <c r="C972" t="s">
        <v>5102</v>
      </c>
      <c r="D972" t="s">
        <v>5101</v>
      </c>
      <c r="E972">
        <v>30</v>
      </c>
      <c r="F972" s="6">
        <v>4240000000</v>
      </c>
      <c r="G972" s="6">
        <v>4958530000</v>
      </c>
      <c r="H972">
        <v>413</v>
      </c>
      <c r="I972" t="s">
        <v>8913</v>
      </c>
    </row>
    <row r="973" spans="1:9" x14ac:dyDescent="0.25">
      <c r="A973" t="s">
        <v>114</v>
      </c>
      <c r="B973">
        <v>373</v>
      </c>
      <c r="C973" t="s">
        <v>5310</v>
      </c>
      <c r="D973" t="s">
        <v>3210</v>
      </c>
      <c r="E973">
        <v>30</v>
      </c>
      <c r="F973" s="6">
        <v>4980000000</v>
      </c>
      <c r="G973" s="6">
        <v>5710000000</v>
      </c>
      <c r="H973">
        <v>415</v>
      </c>
      <c r="I973" t="s">
        <v>8914</v>
      </c>
    </row>
    <row r="974" spans="1:9" x14ac:dyDescent="0.25">
      <c r="A974" t="s">
        <v>114</v>
      </c>
      <c r="B974">
        <v>2</v>
      </c>
      <c r="C974" t="s">
        <v>2158</v>
      </c>
      <c r="D974" t="s">
        <v>376</v>
      </c>
      <c r="E974">
        <v>29</v>
      </c>
      <c r="F974" s="6">
        <v>2100000000</v>
      </c>
      <c r="G974" s="6">
        <v>2337999000</v>
      </c>
      <c r="H974">
        <v>44</v>
      </c>
      <c r="I974" t="s">
        <v>8915</v>
      </c>
    </row>
    <row r="975" spans="1:9" x14ac:dyDescent="0.25">
      <c r="A975" t="s">
        <v>114</v>
      </c>
      <c r="B975">
        <v>28</v>
      </c>
      <c r="C975" t="s">
        <v>2284</v>
      </c>
      <c r="D975" t="s">
        <v>376</v>
      </c>
      <c r="E975">
        <v>29</v>
      </c>
      <c r="F975" s="6">
        <v>2100000000</v>
      </c>
      <c r="G975" s="6">
        <v>2487999000</v>
      </c>
      <c r="H975">
        <v>70</v>
      </c>
      <c r="I975" t="s">
        <v>8916</v>
      </c>
    </row>
    <row r="976" spans="1:9" x14ac:dyDescent="0.25">
      <c r="A976" t="s">
        <v>114</v>
      </c>
      <c r="B976">
        <v>40</v>
      </c>
      <c r="C976" t="s">
        <v>2334</v>
      </c>
      <c r="D976" t="s">
        <v>376</v>
      </c>
      <c r="E976">
        <v>29</v>
      </c>
      <c r="F976" s="6">
        <v>2100000000</v>
      </c>
      <c r="G976" s="6">
        <v>2530000000</v>
      </c>
      <c r="H976">
        <v>82</v>
      </c>
      <c r="I976" t="s">
        <v>8917</v>
      </c>
    </row>
    <row r="977" spans="1:9" x14ac:dyDescent="0.25">
      <c r="A977" t="s">
        <v>114</v>
      </c>
      <c r="B977">
        <v>46</v>
      </c>
      <c r="C977" t="s">
        <v>2359</v>
      </c>
      <c r="D977" t="s">
        <v>376</v>
      </c>
      <c r="E977">
        <v>29</v>
      </c>
      <c r="F977" s="6">
        <v>2100000000</v>
      </c>
      <c r="G977" s="6">
        <v>2502200000</v>
      </c>
      <c r="H977">
        <v>88</v>
      </c>
      <c r="I977" t="s">
        <v>8918</v>
      </c>
    </row>
    <row r="978" spans="1:9" x14ac:dyDescent="0.25">
      <c r="A978" t="s">
        <v>114</v>
      </c>
      <c r="B978">
        <v>80</v>
      </c>
      <c r="C978" t="s">
        <v>1532</v>
      </c>
      <c r="D978" t="s">
        <v>376</v>
      </c>
      <c r="E978">
        <v>29</v>
      </c>
      <c r="F978" s="6">
        <v>2100000000</v>
      </c>
      <c r="G978" s="6">
        <v>2377999000</v>
      </c>
      <c r="H978">
        <v>122</v>
      </c>
      <c r="I978" t="s">
        <v>8919</v>
      </c>
    </row>
    <row r="979" spans="1:9" x14ac:dyDescent="0.25">
      <c r="A979" t="s">
        <v>114</v>
      </c>
      <c r="B979">
        <v>87</v>
      </c>
      <c r="C979" t="s">
        <v>1562</v>
      </c>
      <c r="D979" t="s">
        <v>376</v>
      </c>
      <c r="E979">
        <v>29</v>
      </c>
      <c r="F979" s="6">
        <v>2100000000</v>
      </c>
      <c r="G979" s="6">
        <v>2239999999</v>
      </c>
      <c r="H979">
        <v>129</v>
      </c>
      <c r="I979" t="s">
        <v>8920</v>
      </c>
    </row>
    <row r="980" spans="1:9" x14ac:dyDescent="0.25">
      <c r="A980" t="s">
        <v>114</v>
      </c>
      <c r="B980">
        <v>91</v>
      </c>
      <c r="C980" t="s">
        <v>1578</v>
      </c>
      <c r="D980" t="s">
        <v>376</v>
      </c>
      <c r="E980">
        <v>29</v>
      </c>
      <c r="F980" s="6">
        <v>2100000000</v>
      </c>
      <c r="G980" s="6">
        <v>2335000000</v>
      </c>
      <c r="H980">
        <v>133</v>
      </c>
      <c r="I980" t="s">
        <v>8921</v>
      </c>
    </row>
    <row r="981" spans="1:9" x14ac:dyDescent="0.25">
      <c r="A981" t="s">
        <v>114</v>
      </c>
      <c r="B981">
        <v>93</v>
      </c>
      <c r="C981" t="s">
        <v>1444</v>
      </c>
      <c r="D981" t="s">
        <v>376</v>
      </c>
      <c r="E981">
        <v>29</v>
      </c>
      <c r="F981" s="6">
        <v>2070000000</v>
      </c>
      <c r="G981" s="6">
        <v>2299900000</v>
      </c>
      <c r="H981">
        <v>135</v>
      </c>
      <c r="I981" t="s">
        <v>8922</v>
      </c>
    </row>
    <row r="982" spans="1:9" x14ac:dyDescent="0.25">
      <c r="A982" t="s">
        <v>114</v>
      </c>
      <c r="B982">
        <v>125</v>
      </c>
      <c r="C982" t="s">
        <v>894</v>
      </c>
      <c r="D982" t="s">
        <v>376</v>
      </c>
      <c r="E982">
        <v>29</v>
      </c>
      <c r="F982" s="6">
        <v>2100000000</v>
      </c>
      <c r="G982" s="6">
        <v>2363250000</v>
      </c>
      <c r="H982">
        <v>167</v>
      </c>
      <c r="I982" t="s">
        <v>8923</v>
      </c>
    </row>
    <row r="983" spans="1:9" x14ac:dyDescent="0.25">
      <c r="A983" t="s">
        <v>114</v>
      </c>
      <c r="B983">
        <v>138</v>
      </c>
      <c r="C983" t="s">
        <v>1758</v>
      </c>
      <c r="D983" t="s">
        <v>376</v>
      </c>
      <c r="E983">
        <v>29</v>
      </c>
      <c r="F983" s="6">
        <v>2100000000</v>
      </c>
      <c r="G983" s="6">
        <v>2999999999</v>
      </c>
      <c r="H983">
        <v>180</v>
      </c>
      <c r="I983" t="s">
        <v>8924</v>
      </c>
    </row>
    <row r="984" spans="1:9" x14ac:dyDescent="0.25">
      <c r="A984" t="s">
        <v>114</v>
      </c>
      <c r="B984">
        <v>152</v>
      </c>
      <c r="C984" t="s">
        <v>1814</v>
      </c>
      <c r="D984" t="s">
        <v>376</v>
      </c>
      <c r="E984">
        <v>29</v>
      </c>
      <c r="F984" s="6">
        <v>2100000000</v>
      </c>
      <c r="G984" s="6">
        <v>2487999000</v>
      </c>
      <c r="H984">
        <v>194</v>
      </c>
      <c r="I984" t="s">
        <v>8925</v>
      </c>
    </row>
    <row r="985" spans="1:9" x14ac:dyDescent="0.25">
      <c r="A985" t="s">
        <v>114</v>
      </c>
      <c r="B985">
        <v>153</v>
      </c>
      <c r="C985" t="s">
        <v>1818</v>
      </c>
      <c r="D985" t="s">
        <v>376</v>
      </c>
      <c r="E985">
        <v>29</v>
      </c>
      <c r="F985" s="6">
        <v>2100000000</v>
      </c>
      <c r="G985" s="6">
        <v>2467999000</v>
      </c>
      <c r="H985">
        <v>195</v>
      </c>
      <c r="I985" t="s">
        <v>8926</v>
      </c>
    </row>
    <row r="986" spans="1:9" x14ac:dyDescent="0.25">
      <c r="A986" t="s">
        <v>114</v>
      </c>
      <c r="B986">
        <v>178</v>
      </c>
      <c r="C986" t="s">
        <v>1924</v>
      </c>
      <c r="D986" t="s">
        <v>376</v>
      </c>
      <c r="E986">
        <v>29</v>
      </c>
      <c r="F986" s="6">
        <v>2100000000</v>
      </c>
      <c r="G986" s="6">
        <v>2450000000</v>
      </c>
      <c r="H986">
        <v>220</v>
      </c>
      <c r="I986" t="s">
        <v>8927</v>
      </c>
    </row>
    <row r="987" spans="1:9" x14ac:dyDescent="0.25">
      <c r="A987" t="s">
        <v>114</v>
      </c>
      <c r="B987">
        <v>185</v>
      </c>
      <c r="C987" t="s">
        <v>1959</v>
      </c>
      <c r="D987" t="s">
        <v>376</v>
      </c>
      <c r="E987">
        <v>29</v>
      </c>
      <c r="F987" s="6">
        <v>2100000000</v>
      </c>
      <c r="G987" s="6">
        <v>2499999999</v>
      </c>
      <c r="H987">
        <v>227</v>
      </c>
      <c r="I987" t="s">
        <v>8928</v>
      </c>
    </row>
    <row r="988" spans="1:9" x14ac:dyDescent="0.25">
      <c r="A988" t="s">
        <v>114</v>
      </c>
      <c r="B988">
        <v>218</v>
      </c>
      <c r="C988" t="s">
        <v>2106</v>
      </c>
      <c r="D988" t="s">
        <v>376</v>
      </c>
      <c r="E988">
        <v>29</v>
      </c>
      <c r="F988" s="6">
        <v>2100000000</v>
      </c>
      <c r="G988" s="6">
        <v>2321530394</v>
      </c>
      <c r="H988">
        <v>260</v>
      </c>
      <c r="I988" t="s">
        <v>8929</v>
      </c>
    </row>
    <row r="989" spans="1:9" x14ac:dyDescent="0.25">
      <c r="A989" t="s">
        <v>114</v>
      </c>
      <c r="B989">
        <v>221</v>
      </c>
      <c r="C989" t="s">
        <v>2120</v>
      </c>
      <c r="D989" t="s">
        <v>376</v>
      </c>
      <c r="E989">
        <v>29</v>
      </c>
      <c r="F989" s="6">
        <v>2100000000</v>
      </c>
      <c r="G989" s="6">
        <v>2450000111</v>
      </c>
      <c r="H989">
        <v>263</v>
      </c>
      <c r="I989" t="s">
        <v>8930</v>
      </c>
    </row>
    <row r="990" spans="1:9" x14ac:dyDescent="0.25">
      <c r="A990" t="s">
        <v>114</v>
      </c>
      <c r="B990">
        <v>224</v>
      </c>
      <c r="C990" t="s">
        <v>2134</v>
      </c>
      <c r="D990" t="s">
        <v>376</v>
      </c>
      <c r="E990">
        <v>29</v>
      </c>
      <c r="F990" s="6">
        <v>2100000000</v>
      </c>
      <c r="G990" s="6">
        <v>2379999999</v>
      </c>
      <c r="H990">
        <v>266</v>
      </c>
      <c r="I990" t="s">
        <v>8931</v>
      </c>
    </row>
    <row r="991" spans="1:9" x14ac:dyDescent="0.25">
      <c r="A991" t="s">
        <v>114</v>
      </c>
      <c r="B991">
        <v>225</v>
      </c>
      <c r="C991" t="s">
        <v>2139</v>
      </c>
      <c r="D991" t="s">
        <v>376</v>
      </c>
      <c r="E991">
        <v>29</v>
      </c>
      <c r="F991" s="6">
        <v>2100000000</v>
      </c>
      <c r="G991" s="6">
        <v>2380000000</v>
      </c>
      <c r="H991">
        <v>267</v>
      </c>
      <c r="I991" t="s">
        <v>8932</v>
      </c>
    </row>
    <row r="992" spans="1:9" x14ac:dyDescent="0.25">
      <c r="A992" t="s">
        <v>114</v>
      </c>
      <c r="B992">
        <v>240</v>
      </c>
      <c r="C992" t="s">
        <v>3667</v>
      </c>
      <c r="D992" t="s">
        <v>2476</v>
      </c>
      <c r="E992">
        <v>29</v>
      </c>
      <c r="F992" s="6">
        <v>3320000000</v>
      </c>
      <c r="G992" s="6">
        <v>4139895000</v>
      </c>
      <c r="H992">
        <v>282</v>
      </c>
      <c r="I992" t="s">
        <v>8933</v>
      </c>
    </row>
    <row r="993" spans="1:9" x14ac:dyDescent="0.25">
      <c r="A993" t="s">
        <v>114</v>
      </c>
      <c r="B993">
        <v>298</v>
      </c>
      <c r="C993" t="s">
        <v>4624</v>
      </c>
      <c r="D993" t="s">
        <v>8035</v>
      </c>
      <c r="E993">
        <v>29</v>
      </c>
      <c r="F993" s="6">
        <v>5200000000</v>
      </c>
      <c r="G993" s="6">
        <v>6353999999</v>
      </c>
      <c r="H993">
        <v>340</v>
      </c>
      <c r="I993" t="s">
        <v>8934</v>
      </c>
    </row>
    <row r="994" spans="1:9" x14ac:dyDescent="0.25">
      <c r="A994" t="s">
        <v>114</v>
      </c>
      <c r="B994">
        <v>366</v>
      </c>
      <c r="C994" t="s">
        <v>4833</v>
      </c>
      <c r="D994" t="s">
        <v>191</v>
      </c>
      <c r="E994">
        <v>29</v>
      </c>
      <c r="F994" s="6">
        <v>4040000000</v>
      </c>
      <c r="H994">
        <v>408</v>
      </c>
      <c r="I994" t="s">
        <v>8935</v>
      </c>
    </row>
    <row r="995" spans="1:9" x14ac:dyDescent="0.25">
      <c r="A995" t="s">
        <v>114</v>
      </c>
      <c r="B995">
        <v>405</v>
      </c>
      <c r="C995" t="s">
        <v>5677</v>
      </c>
      <c r="D995" t="s">
        <v>5585</v>
      </c>
      <c r="E995">
        <v>29</v>
      </c>
      <c r="F995" s="6">
        <v>9100000000</v>
      </c>
      <c r="G995" s="6">
        <v>10780000000</v>
      </c>
      <c r="H995">
        <v>449</v>
      </c>
      <c r="I995" t="s">
        <v>8936</v>
      </c>
    </row>
    <row r="996" spans="1:9" x14ac:dyDescent="0.25">
      <c r="A996" t="s">
        <v>114</v>
      </c>
      <c r="B996">
        <v>47</v>
      </c>
      <c r="C996" t="s">
        <v>2363</v>
      </c>
      <c r="D996" t="s">
        <v>376</v>
      </c>
      <c r="E996">
        <v>28</v>
      </c>
      <c r="F996" s="6">
        <v>2100000000</v>
      </c>
      <c r="G996" s="6">
        <v>3000000000</v>
      </c>
      <c r="H996">
        <v>89</v>
      </c>
      <c r="I996" t="s">
        <v>8937</v>
      </c>
    </row>
    <row r="997" spans="1:9" x14ac:dyDescent="0.25">
      <c r="A997" t="s">
        <v>114</v>
      </c>
      <c r="B997">
        <v>59</v>
      </c>
      <c r="C997" t="s">
        <v>1453</v>
      </c>
      <c r="D997" t="s">
        <v>376</v>
      </c>
      <c r="E997">
        <v>28</v>
      </c>
      <c r="F997" s="6">
        <v>2100000000</v>
      </c>
      <c r="G997" s="6">
        <v>2553000000</v>
      </c>
      <c r="H997">
        <v>101</v>
      </c>
      <c r="I997" t="s">
        <v>8938</v>
      </c>
    </row>
    <row r="998" spans="1:9" x14ac:dyDescent="0.25">
      <c r="A998" t="s">
        <v>114</v>
      </c>
      <c r="B998">
        <v>74</v>
      </c>
      <c r="C998" t="s">
        <v>1516</v>
      </c>
      <c r="D998" t="s">
        <v>376</v>
      </c>
      <c r="E998">
        <v>28</v>
      </c>
      <c r="F998" s="6">
        <v>2100000000</v>
      </c>
      <c r="G998" s="6">
        <v>2413333333</v>
      </c>
      <c r="H998">
        <v>116</v>
      </c>
      <c r="I998" t="s">
        <v>8939</v>
      </c>
    </row>
    <row r="999" spans="1:9" x14ac:dyDescent="0.25">
      <c r="A999" t="s">
        <v>114</v>
      </c>
      <c r="B999">
        <v>75</v>
      </c>
      <c r="C999" t="s">
        <v>1520</v>
      </c>
      <c r="D999" t="s">
        <v>376</v>
      </c>
      <c r="E999">
        <v>28</v>
      </c>
      <c r="F999" s="6">
        <v>2100000000</v>
      </c>
      <c r="G999" s="6">
        <v>2388888888</v>
      </c>
      <c r="H999">
        <v>117</v>
      </c>
      <c r="I999" t="s">
        <v>8940</v>
      </c>
    </row>
    <row r="1000" spans="1:9" x14ac:dyDescent="0.25">
      <c r="A1000" t="s">
        <v>114</v>
      </c>
      <c r="B1000">
        <v>88</v>
      </c>
      <c r="C1000" t="s">
        <v>1566</v>
      </c>
      <c r="D1000" t="s">
        <v>376</v>
      </c>
      <c r="E1000">
        <v>28</v>
      </c>
      <c r="F1000" s="6">
        <v>2100000000</v>
      </c>
      <c r="G1000" s="6">
        <v>2399999999</v>
      </c>
      <c r="H1000">
        <v>130</v>
      </c>
      <c r="I1000" t="s">
        <v>8941</v>
      </c>
    </row>
    <row r="1001" spans="1:9" x14ac:dyDescent="0.25">
      <c r="A1001" t="s">
        <v>114</v>
      </c>
      <c r="B1001">
        <v>113</v>
      </c>
      <c r="C1001" t="s">
        <v>1665</v>
      </c>
      <c r="D1001" t="s">
        <v>376</v>
      </c>
      <c r="E1001">
        <v>28</v>
      </c>
      <c r="F1001" s="6">
        <v>2100000000</v>
      </c>
      <c r="G1001" s="6">
        <v>2386000000</v>
      </c>
      <c r="H1001">
        <v>155</v>
      </c>
      <c r="I1001" t="s">
        <v>8942</v>
      </c>
    </row>
    <row r="1002" spans="1:9" x14ac:dyDescent="0.25">
      <c r="A1002" t="s">
        <v>114</v>
      </c>
      <c r="B1002">
        <v>163</v>
      </c>
      <c r="C1002" t="s">
        <v>1858</v>
      </c>
      <c r="D1002" t="s">
        <v>376</v>
      </c>
      <c r="E1002">
        <v>28</v>
      </c>
      <c r="F1002" s="6">
        <v>2100000000</v>
      </c>
      <c r="G1002" s="6">
        <v>2260321000</v>
      </c>
      <c r="H1002">
        <v>205</v>
      </c>
      <c r="I1002" t="s">
        <v>8943</v>
      </c>
    </row>
    <row r="1003" spans="1:9" x14ac:dyDescent="0.25">
      <c r="A1003" t="s">
        <v>114</v>
      </c>
      <c r="B1003">
        <v>189</v>
      </c>
      <c r="C1003" t="s">
        <v>904</v>
      </c>
      <c r="D1003" t="s">
        <v>376</v>
      </c>
      <c r="E1003">
        <v>28</v>
      </c>
      <c r="F1003" s="6">
        <v>2100000000</v>
      </c>
      <c r="G1003" s="6">
        <v>2412000000</v>
      </c>
      <c r="H1003">
        <v>231</v>
      </c>
      <c r="I1003" t="s">
        <v>8944</v>
      </c>
    </row>
    <row r="1004" spans="1:9" x14ac:dyDescent="0.25">
      <c r="A1004" t="s">
        <v>114</v>
      </c>
      <c r="B1004">
        <v>195</v>
      </c>
      <c r="C1004" t="s">
        <v>1999</v>
      </c>
      <c r="D1004" t="s">
        <v>376</v>
      </c>
      <c r="E1004">
        <v>28</v>
      </c>
      <c r="F1004" s="6">
        <v>2100000000</v>
      </c>
      <c r="G1004" s="6">
        <v>2388888888</v>
      </c>
      <c r="H1004">
        <v>237</v>
      </c>
      <c r="I1004" t="s">
        <v>8945</v>
      </c>
    </row>
    <row r="1005" spans="1:9" x14ac:dyDescent="0.25">
      <c r="A1005" t="s">
        <v>114</v>
      </c>
      <c r="B1005">
        <v>237</v>
      </c>
      <c r="C1005" t="s">
        <v>5573</v>
      </c>
      <c r="D1005" t="s">
        <v>3478</v>
      </c>
      <c r="E1005">
        <v>28</v>
      </c>
      <c r="F1005" s="6">
        <v>5750000000</v>
      </c>
      <c r="G1005" s="6">
        <v>6665000000</v>
      </c>
      <c r="H1005">
        <v>279</v>
      </c>
      <c r="I1005" t="s">
        <v>8946</v>
      </c>
    </row>
    <row r="1006" spans="1:9" x14ac:dyDescent="0.25">
      <c r="A1006" t="s">
        <v>114</v>
      </c>
      <c r="B1006">
        <v>266</v>
      </c>
      <c r="C1006" t="s">
        <v>2856</v>
      </c>
      <c r="D1006" t="s">
        <v>325</v>
      </c>
      <c r="E1006">
        <v>28</v>
      </c>
      <c r="F1006" s="6">
        <v>3520000000</v>
      </c>
      <c r="G1006" s="6">
        <v>4225000000</v>
      </c>
      <c r="H1006">
        <v>308</v>
      </c>
      <c r="I1006" t="s">
        <v>8947</v>
      </c>
    </row>
    <row r="1007" spans="1:9" x14ac:dyDescent="0.25">
      <c r="A1007" t="s">
        <v>114</v>
      </c>
      <c r="B1007">
        <v>283</v>
      </c>
      <c r="C1007" t="s">
        <v>5377</v>
      </c>
      <c r="D1007" t="s">
        <v>8026</v>
      </c>
      <c r="E1007">
        <v>28</v>
      </c>
      <c r="F1007" s="6">
        <v>5250000000</v>
      </c>
      <c r="G1007" s="6">
        <v>6097500000</v>
      </c>
      <c r="H1007">
        <v>325</v>
      </c>
      <c r="I1007" t="s">
        <v>8948</v>
      </c>
    </row>
    <row r="1008" spans="1:9" x14ac:dyDescent="0.25">
      <c r="A1008" t="s">
        <v>114</v>
      </c>
      <c r="B1008">
        <v>297</v>
      </c>
      <c r="C1008" t="s">
        <v>4819</v>
      </c>
      <c r="D1008" t="s">
        <v>8026</v>
      </c>
      <c r="E1008">
        <v>28</v>
      </c>
      <c r="F1008" s="6">
        <v>5400000000</v>
      </c>
      <c r="G1008" s="6">
        <v>6269380000</v>
      </c>
      <c r="H1008">
        <v>339</v>
      </c>
      <c r="I1008" t="s">
        <v>8949</v>
      </c>
    </row>
    <row r="1009" spans="1:9" x14ac:dyDescent="0.25">
      <c r="A1009" t="s">
        <v>114</v>
      </c>
      <c r="B1009">
        <v>304</v>
      </c>
      <c r="C1009" t="s">
        <v>4899</v>
      </c>
      <c r="D1009" t="s">
        <v>8026</v>
      </c>
      <c r="E1009">
        <v>28</v>
      </c>
      <c r="F1009" s="6">
        <v>5400000000</v>
      </c>
      <c r="G1009" s="6">
        <v>5750000000</v>
      </c>
      <c r="H1009">
        <v>346</v>
      </c>
      <c r="I1009" t="s">
        <v>8950</v>
      </c>
    </row>
    <row r="1010" spans="1:9" x14ac:dyDescent="0.25">
      <c r="A1010" t="s">
        <v>114</v>
      </c>
      <c r="B1010">
        <v>325</v>
      </c>
      <c r="C1010" t="s">
        <v>5426</v>
      </c>
      <c r="D1010" t="s">
        <v>8026</v>
      </c>
      <c r="E1010">
        <v>28</v>
      </c>
      <c r="F1010" s="6">
        <v>5300000000</v>
      </c>
      <c r="G1010" s="6">
        <v>5512000000</v>
      </c>
      <c r="H1010">
        <v>367</v>
      </c>
      <c r="I1010" t="s">
        <v>8951</v>
      </c>
    </row>
    <row r="1011" spans="1:9" x14ac:dyDescent="0.25">
      <c r="A1011" t="s">
        <v>114</v>
      </c>
      <c r="B1011">
        <v>333</v>
      </c>
      <c r="C1011" t="s">
        <v>5532</v>
      </c>
      <c r="D1011" t="s">
        <v>8026</v>
      </c>
      <c r="E1011">
        <v>28</v>
      </c>
      <c r="F1011" s="6">
        <v>5450000000</v>
      </c>
      <c r="G1011" s="6">
        <v>5572000000</v>
      </c>
      <c r="H1011">
        <v>375</v>
      </c>
      <c r="I1011" t="s">
        <v>8952</v>
      </c>
    </row>
    <row r="1012" spans="1:9" x14ac:dyDescent="0.25">
      <c r="A1012" t="s">
        <v>114</v>
      </c>
      <c r="B1012">
        <v>1</v>
      </c>
      <c r="C1012" t="s">
        <v>2153</v>
      </c>
      <c r="D1012" t="s">
        <v>376</v>
      </c>
      <c r="E1012">
        <v>27</v>
      </c>
      <c r="F1012" s="6">
        <v>2100000000</v>
      </c>
      <c r="G1012" s="6">
        <v>3353000000</v>
      </c>
      <c r="H1012">
        <v>43</v>
      </c>
      <c r="I1012" t="s">
        <v>8953</v>
      </c>
    </row>
    <row r="1013" spans="1:9" x14ac:dyDescent="0.25">
      <c r="A1013" t="s">
        <v>114</v>
      </c>
      <c r="B1013">
        <v>6</v>
      </c>
      <c r="C1013" t="s">
        <v>2179</v>
      </c>
      <c r="D1013" t="s">
        <v>376</v>
      </c>
      <c r="E1013">
        <v>27</v>
      </c>
      <c r="F1013" s="6">
        <v>2100000000</v>
      </c>
      <c r="G1013" s="6">
        <v>2625999899</v>
      </c>
      <c r="H1013">
        <v>48</v>
      </c>
      <c r="I1013" t="s">
        <v>8954</v>
      </c>
    </row>
    <row r="1014" spans="1:9" x14ac:dyDescent="0.25">
      <c r="A1014" t="s">
        <v>114</v>
      </c>
      <c r="B1014">
        <v>7</v>
      </c>
      <c r="C1014" t="s">
        <v>2184</v>
      </c>
      <c r="D1014" t="s">
        <v>376</v>
      </c>
      <c r="E1014">
        <v>27</v>
      </c>
      <c r="F1014" s="6">
        <v>2100000000</v>
      </c>
      <c r="G1014" s="6">
        <v>2387999000</v>
      </c>
      <c r="H1014">
        <v>49</v>
      </c>
      <c r="I1014" t="s">
        <v>8955</v>
      </c>
    </row>
    <row r="1015" spans="1:9" x14ac:dyDescent="0.25">
      <c r="A1015" t="s">
        <v>114</v>
      </c>
      <c r="B1015">
        <v>22</v>
      </c>
      <c r="C1015" t="s">
        <v>2263</v>
      </c>
      <c r="D1015" t="s">
        <v>376</v>
      </c>
      <c r="E1015">
        <v>27</v>
      </c>
      <c r="F1015" s="6">
        <v>2100000000</v>
      </c>
      <c r="G1015" s="6">
        <v>2359999999</v>
      </c>
      <c r="H1015">
        <v>64</v>
      </c>
      <c r="I1015" t="s">
        <v>8956</v>
      </c>
    </row>
    <row r="1016" spans="1:9" x14ac:dyDescent="0.25">
      <c r="A1016" t="s">
        <v>114</v>
      </c>
      <c r="B1016">
        <v>24</v>
      </c>
      <c r="C1016" t="s">
        <v>2268</v>
      </c>
      <c r="D1016" t="s">
        <v>376</v>
      </c>
      <c r="E1016">
        <v>27</v>
      </c>
      <c r="F1016" s="6">
        <v>2100000000</v>
      </c>
      <c r="G1016" s="6">
        <v>2400000000</v>
      </c>
      <c r="H1016">
        <v>66</v>
      </c>
      <c r="I1016" t="s">
        <v>8957</v>
      </c>
    </row>
    <row r="1017" spans="1:9" x14ac:dyDescent="0.25">
      <c r="A1017" t="s">
        <v>114</v>
      </c>
      <c r="B1017">
        <v>25</v>
      </c>
      <c r="C1017" t="s">
        <v>2272</v>
      </c>
      <c r="D1017" t="s">
        <v>376</v>
      </c>
      <c r="E1017">
        <v>27</v>
      </c>
      <c r="F1017" s="6">
        <v>2100000000</v>
      </c>
      <c r="G1017" s="6">
        <v>2412345678</v>
      </c>
      <c r="H1017">
        <v>67</v>
      </c>
      <c r="I1017" t="s">
        <v>8958</v>
      </c>
    </row>
    <row r="1018" spans="1:9" x14ac:dyDescent="0.25">
      <c r="A1018" t="s">
        <v>114</v>
      </c>
      <c r="B1018">
        <v>27</v>
      </c>
      <c r="C1018" t="s">
        <v>2280</v>
      </c>
      <c r="D1018" t="s">
        <v>376</v>
      </c>
      <c r="E1018">
        <v>27</v>
      </c>
      <c r="F1018" s="6">
        <v>2100000000</v>
      </c>
      <c r="G1018" s="6">
        <v>2550000000</v>
      </c>
      <c r="H1018">
        <v>69</v>
      </c>
      <c r="I1018" t="s">
        <v>8959</v>
      </c>
    </row>
    <row r="1019" spans="1:9" x14ac:dyDescent="0.25">
      <c r="A1019" t="s">
        <v>114</v>
      </c>
      <c r="B1019">
        <v>31</v>
      </c>
      <c r="C1019" t="s">
        <v>2297</v>
      </c>
      <c r="D1019" t="s">
        <v>376</v>
      </c>
      <c r="E1019">
        <v>27</v>
      </c>
      <c r="F1019" s="6">
        <v>2100000000</v>
      </c>
      <c r="G1019" s="6">
        <v>2467999000</v>
      </c>
      <c r="H1019">
        <v>73</v>
      </c>
      <c r="I1019" t="s">
        <v>8960</v>
      </c>
    </row>
    <row r="1020" spans="1:9" x14ac:dyDescent="0.25">
      <c r="A1020" t="s">
        <v>114</v>
      </c>
      <c r="B1020">
        <v>33</v>
      </c>
      <c r="C1020" t="s">
        <v>2305</v>
      </c>
      <c r="D1020" t="s">
        <v>376</v>
      </c>
      <c r="E1020">
        <v>27</v>
      </c>
      <c r="F1020" s="6">
        <v>2100000000</v>
      </c>
      <c r="G1020" s="6">
        <v>2477999000</v>
      </c>
      <c r="H1020">
        <v>75</v>
      </c>
      <c r="I1020" t="s">
        <v>8961</v>
      </c>
    </row>
    <row r="1021" spans="1:9" x14ac:dyDescent="0.25">
      <c r="A1021" t="s">
        <v>114</v>
      </c>
      <c r="B1021">
        <v>35</v>
      </c>
      <c r="C1021" t="s">
        <v>2313</v>
      </c>
      <c r="D1021" t="s">
        <v>376</v>
      </c>
      <c r="E1021">
        <v>27</v>
      </c>
      <c r="F1021" s="6">
        <v>2100000000</v>
      </c>
      <c r="G1021" s="6">
        <v>2511212127</v>
      </c>
      <c r="H1021">
        <v>77</v>
      </c>
      <c r="I1021" t="s">
        <v>8962</v>
      </c>
    </row>
    <row r="1022" spans="1:9" x14ac:dyDescent="0.25">
      <c r="A1022" t="s">
        <v>114</v>
      </c>
      <c r="B1022">
        <v>38</v>
      </c>
      <c r="C1022" t="s">
        <v>2326</v>
      </c>
      <c r="D1022" t="s">
        <v>376</v>
      </c>
      <c r="E1022">
        <v>27</v>
      </c>
      <c r="F1022" s="6">
        <v>2100000000</v>
      </c>
      <c r="G1022" s="6">
        <v>2451999999</v>
      </c>
      <c r="H1022">
        <v>80</v>
      </c>
      <c r="I1022" t="s">
        <v>8963</v>
      </c>
    </row>
    <row r="1023" spans="1:9" x14ac:dyDescent="0.25">
      <c r="A1023" t="s">
        <v>114</v>
      </c>
      <c r="B1023">
        <v>39</v>
      </c>
      <c r="C1023" t="s">
        <v>2330</v>
      </c>
      <c r="D1023" t="s">
        <v>376</v>
      </c>
      <c r="E1023">
        <v>27</v>
      </c>
      <c r="F1023" s="6">
        <v>2100000000</v>
      </c>
      <c r="G1023" s="6">
        <v>2540000000</v>
      </c>
      <c r="H1023">
        <v>81</v>
      </c>
      <c r="I1023" t="s">
        <v>8964</v>
      </c>
    </row>
    <row r="1024" spans="1:9" x14ac:dyDescent="0.25">
      <c r="A1024" t="s">
        <v>114</v>
      </c>
      <c r="B1024">
        <v>53</v>
      </c>
      <c r="C1024" t="s">
        <v>2388</v>
      </c>
      <c r="D1024" t="s">
        <v>376</v>
      </c>
      <c r="E1024">
        <v>27</v>
      </c>
      <c r="F1024" s="6">
        <v>2100000000</v>
      </c>
      <c r="G1024" s="6">
        <v>2469999999</v>
      </c>
      <c r="H1024">
        <v>95</v>
      </c>
      <c r="I1024" t="s">
        <v>8965</v>
      </c>
    </row>
    <row r="1025" spans="1:9" x14ac:dyDescent="0.25">
      <c r="A1025" t="s">
        <v>114</v>
      </c>
      <c r="B1025">
        <v>60</v>
      </c>
      <c r="C1025" t="s">
        <v>1457</v>
      </c>
      <c r="D1025" t="s">
        <v>376</v>
      </c>
      <c r="E1025">
        <v>27</v>
      </c>
      <c r="F1025" s="6">
        <v>2100000000</v>
      </c>
      <c r="G1025" s="6">
        <v>2679999999</v>
      </c>
      <c r="H1025">
        <v>102</v>
      </c>
      <c r="I1025" t="s">
        <v>8966</v>
      </c>
    </row>
    <row r="1026" spans="1:9" x14ac:dyDescent="0.25">
      <c r="A1026" t="s">
        <v>114</v>
      </c>
      <c r="B1026">
        <v>62</v>
      </c>
      <c r="C1026" t="s">
        <v>1466</v>
      </c>
      <c r="D1026" t="s">
        <v>376</v>
      </c>
      <c r="E1026">
        <v>27</v>
      </c>
      <c r="F1026" s="6">
        <v>2100000000</v>
      </c>
      <c r="G1026" s="6">
        <v>2483000000</v>
      </c>
      <c r="H1026">
        <v>104</v>
      </c>
      <c r="I1026" t="s">
        <v>8967</v>
      </c>
    </row>
    <row r="1027" spans="1:9" x14ac:dyDescent="0.25">
      <c r="A1027" t="s">
        <v>114</v>
      </c>
      <c r="B1027">
        <v>68</v>
      </c>
      <c r="C1027" t="s">
        <v>1490</v>
      </c>
      <c r="D1027" t="s">
        <v>376</v>
      </c>
      <c r="E1027">
        <v>27</v>
      </c>
      <c r="F1027" s="6">
        <v>2100000000</v>
      </c>
      <c r="G1027" s="6">
        <v>2419999999</v>
      </c>
      <c r="H1027">
        <v>110</v>
      </c>
      <c r="I1027" t="s">
        <v>8968</v>
      </c>
    </row>
    <row r="1028" spans="1:9" x14ac:dyDescent="0.25">
      <c r="A1028" t="s">
        <v>114</v>
      </c>
      <c r="B1028">
        <v>69</v>
      </c>
      <c r="C1028" t="s">
        <v>1494</v>
      </c>
      <c r="D1028" t="s">
        <v>376</v>
      </c>
      <c r="E1028">
        <v>27</v>
      </c>
      <c r="F1028" s="6">
        <v>2100000000</v>
      </c>
      <c r="G1028" s="6">
        <v>2439999999</v>
      </c>
      <c r="H1028">
        <v>111</v>
      </c>
      <c r="I1028" t="s">
        <v>8969</v>
      </c>
    </row>
    <row r="1029" spans="1:9" x14ac:dyDescent="0.25">
      <c r="A1029" t="s">
        <v>114</v>
      </c>
      <c r="B1029">
        <v>89</v>
      </c>
      <c r="C1029" t="s">
        <v>1570</v>
      </c>
      <c r="D1029" t="s">
        <v>376</v>
      </c>
      <c r="E1029">
        <v>27</v>
      </c>
      <c r="F1029" s="6">
        <v>2100000000</v>
      </c>
      <c r="G1029" s="6">
        <v>2515000000</v>
      </c>
      <c r="H1029">
        <v>131</v>
      </c>
      <c r="I1029" t="s">
        <v>8970</v>
      </c>
    </row>
    <row r="1030" spans="1:9" x14ac:dyDescent="0.25">
      <c r="A1030" t="s">
        <v>114</v>
      </c>
      <c r="B1030">
        <v>96</v>
      </c>
      <c r="C1030" t="s">
        <v>1594</v>
      </c>
      <c r="D1030" t="s">
        <v>376</v>
      </c>
      <c r="E1030">
        <v>27</v>
      </c>
      <c r="F1030" s="6">
        <v>2100000000</v>
      </c>
      <c r="G1030" s="6">
        <v>2288444888</v>
      </c>
      <c r="H1030">
        <v>138</v>
      </c>
      <c r="I1030" t="s">
        <v>8971</v>
      </c>
    </row>
    <row r="1031" spans="1:9" x14ac:dyDescent="0.25">
      <c r="A1031" t="s">
        <v>114</v>
      </c>
      <c r="B1031">
        <v>99</v>
      </c>
      <c r="C1031" t="s">
        <v>1607</v>
      </c>
      <c r="D1031" t="s">
        <v>376</v>
      </c>
      <c r="E1031">
        <v>27</v>
      </c>
      <c r="F1031" s="6">
        <v>2100000000</v>
      </c>
      <c r="G1031" s="6">
        <v>2558800000</v>
      </c>
      <c r="H1031">
        <v>141</v>
      </c>
      <c r="I1031" t="s">
        <v>8972</v>
      </c>
    </row>
    <row r="1032" spans="1:9" x14ac:dyDescent="0.25">
      <c r="A1032" t="s">
        <v>114</v>
      </c>
      <c r="B1032">
        <v>108</v>
      </c>
      <c r="C1032" t="s">
        <v>1645</v>
      </c>
      <c r="D1032" t="s">
        <v>376</v>
      </c>
      <c r="E1032">
        <v>27</v>
      </c>
      <c r="F1032" s="6">
        <v>2100000000</v>
      </c>
      <c r="G1032" s="6">
        <v>2437999000</v>
      </c>
      <c r="H1032">
        <v>150</v>
      </c>
      <c r="I1032" t="s">
        <v>8973</v>
      </c>
    </row>
    <row r="1033" spans="1:9" x14ac:dyDescent="0.25">
      <c r="A1033" t="s">
        <v>114</v>
      </c>
      <c r="B1033">
        <v>116</v>
      </c>
      <c r="C1033" t="s">
        <v>1678</v>
      </c>
      <c r="D1033" t="s">
        <v>376</v>
      </c>
      <c r="E1033">
        <v>27</v>
      </c>
      <c r="F1033" s="6">
        <v>2100000000</v>
      </c>
      <c r="G1033" s="6">
        <v>2523000000</v>
      </c>
      <c r="H1033">
        <v>158</v>
      </c>
      <c r="I1033" t="s">
        <v>8974</v>
      </c>
    </row>
    <row r="1034" spans="1:9" x14ac:dyDescent="0.25">
      <c r="A1034" t="s">
        <v>114</v>
      </c>
      <c r="B1034">
        <v>127</v>
      </c>
      <c r="C1034" t="s">
        <v>1709</v>
      </c>
      <c r="D1034" t="s">
        <v>376</v>
      </c>
      <c r="E1034">
        <v>27</v>
      </c>
      <c r="F1034" s="6">
        <v>2100000000</v>
      </c>
      <c r="G1034" s="6">
        <v>2340000000</v>
      </c>
      <c r="H1034">
        <v>169</v>
      </c>
      <c r="I1034" t="s">
        <v>8975</v>
      </c>
    </row>
    <row r="1035" spans="1:9" x14ac:dyDescent="0.25">
      <c r="A1035" t="s">
        <v>114</v>
      </c>
      <c r="B1035">
        <v>130</v>
      </c>
      <c r="C1035" t="s">
        <v>1723</v>
      </c>
      <c r="D1035" t="s">
        <v>376</v>
      </c>
      <c r="E1035">
        <v>27</v>
      </c>
      <c r="F1035" s="6">
        <v>2100000000</v>
      </c>
      <c r="G1035" s="6">
        <v>2223470000</v>
      </c>
      <c r="H1035">
        <v>172</v>
      </c>
      <c r="I1035" t="s">
        <v>8976</v>
      </c>
    </row>
    <row r="1036" spans="1:9" x14ac:dyDescent="0.25">
      <c r="A1036" t="s">
        <v>114</v>
      </c>
      <c r="B1036">
        <v>131</v>
      </c>
      <c r="C1036" t="s">
        <v>1727</v>
      </c>
      <c r="D1036" t="s">
        <v>376</v>
      </c>
      <c r="E1036">
        <v>27</v>
      </c>
      <c r="F1036" s="6">
        <v>2100000000</v>
      </c>
      <c r="G1036" s="6">
        <v>2310000000</v>
      </c>
      <c r="H1036">
        <v>173</v>
      </c>
      <c r="I1036" t="s">
        <v>8977</v>
      </c>
    </row>
    <row r="1037" spans="1:9" x14ac:dyDescent="0.25">
      <c r="A1037" t="s">
        <v>114</v>
      </c>
      <c r="B1037">
        <v>133</v>
      </c>
      <c r="C1037" t="s">
        <v>1736</v>
      </c>
      <c r="D1037" t="s">
        <v>376</v>
      </c>
      <c r="E1037">
        <v>27</v>
      </c>
      <c r="F1037" s="6">
        <v>2100000000</v>
      </c>
      <c r="G1037" s="6">
        <v>2572513900</v>
      </c>
      <c r="H1037">
        <v>175</v>
      </c>
      <c r="I1037" t="s">
        <v>8978</v>
      </c>
    </row>
    <row r="1038" spans="1:9" x14ac:dyDescent="0.25">
      <c r="A1038" t="s">
        <v>114</v>
      </c>
      <c r="B1038">
        <v>141</v>
      </c>
      <c r="C1038" t="s">
        <v>1768</v>
      </c>
      <c r="D1038" t="s">
        <v>376</v>
      </c>
      <c r="E1038">
        <v>27</v>
      </c>
      <c r="F1038" s="6">
        <v>2100000000</v>
      </c>
      <c r="G1038" s="6">
        <v>2400000000</v>
      </c>
      <c r="H1038">
        <v>183</v>
      </c>
      <c r="I1038" t="s">
        <v>8979</v>
      </c>
    </row>
    <row r="1039" spans="1:9" x14ac:dyDescent="0.25">
      <c r="A1039" t="s">
        <v>114</v>
      </c>
      <c r="B1039">
        <v>186</v>
      </c>
      <c r="C1039" t="s">
        <v>1964</v>
      </c>
      <c r="D1039" t="s">
        <v>376</v>
      </c>
      <c r="E1039">
        <v>27</v>
      </c>
      <c r="F1039" s="6">
        <v>2100000000</v>
      </c>
      <c r="G1039" s="6">
        <v>2542000000</v>
      </c>
      <c r="H1039">
        <v>228</v>
      </c>
      <c r="I1039" t="s">
        <v>8980</v>
      </c>
    </row>
    <row r="1040" spans="1:9" x14ac:dyDescent="0.25">
      <c r="A1040" t="s">
        <v>114</v>
      </c>
      <c r="B1040">
        <v>203</v>
      </c>
      <c r="C1040" t="s">
        <v>2038</v>
      </c>
      <c r="D1040" t="s">
        <v>376</v>
      </c>
      <c r="E1040">
        <v>27</v>
      </c>
      <c r="F1040" s="6">
        <v>2100000000</v>
      </c>
      <c r="G1040" s="6">
        <v>2333333333</v>
      </c>
      <c r="H1040">
        <v>245</v>
      </c>
      <c r="I1040" t="s">
        <v>8981</v>
      </c>
    </row>
    <row r="1041" spans="1:9" x14ac:dyDescent="0.25">
      <c r="A1041" t="s">
        <v>114</v>
      </c>
      <c r="B1041">
        <v>205</v>
      </c>
      <c r="C1041" t="s">
        <v>7899</v>
      </c>
      <c r="D1041" t="s">
        <v>376</v>
      </c>
      <c r="E1041">
        <v>27</v>
      </c>
      <c r="F1041" s="6">
        <v>2100000000</v>
      </c>
      <c r="G1041" s="6">
        <v>2547999000</v>
      </c>
      <c r="H1041">
        <v>247</v>
      </c>
      <c r="I1041" t="s">
        <v>8982</v>
      </c>
    </row>
    <row r="1042" spans="1:9" x14ac:dyDescent="0.25">
      <c r="A1042" t="s">
        <v>114</v>
      </c>
      <c r="B1042">
        <v>209</v>
      </c>
      <c r="C1042" t="s">
        <v>2061</v>
      </c>
      <c r="D1042" t="s">
        <v>376</v>
      </c>
      <c r="E1042">
        <v>27</v>
      </c>
      <c r="F1042" s="6">
        <v>2100000000</v>
      </c>
      <c r="G1042" s="6">
        <v>2230000000</v>
      </c>
      <c r="H1042">
        <v>251</v>
      </c>
      <c r="I1042" t="s">
        <v>8983</v>
      </c>
    </row>
    <row r="1043" spans="1:9" x14ac:dyDescent="0.25">
      <c r="A1043" t="s">
        <v>114</v>
      </c>
      <c r="B1043">
        <v>385</v>
      </c>
      <c r="C1043" t="s">
        <v>5064</v>
      </c>
      <c r="D1043" t="s">
        <v>191</v>
      </c>
      <c r="E1043">
        <v>27</v>
      </c>
      <c r="F1043" s="6">
        <v>4200000000</v>
      </c>
      <c r="G1043" s="6">
        <v>4941500000</v>
      </c>
      <c r="H1043">
        <v>429</v>
      </c>
      <c r="I1043" t="s">
        <v>8984</v>
      </c>
    </row>
    <row r="1044" spans="1:9" x14ac:dyDescent="0.25">
      <c r="A1044" t="s">
        <v>114</v>
      </c>
      <c r="B1044">
        <v>389</v>
      </c>
      <c r="C1044" t="s">
        <v>4457</v>
      </c>
      <c r="D1044" t="s">
        <v>2898</v>
      </c>
      <c r="E1044">
        <v>27</v>
      </c>
      <c r="F1044" s="6">
        <v>3750000000</v>
      </c>
      <c r="G1044" s="6">
        <v>4232168527</v>
      </c>
      <c r="H1044">
        <v>433</v>
      </c>
      <c r="I1044" t="s">
        <v>8985</v>
      </c>
    </row>
    <row r="1045" spans="1:9" x14ac:dyDescent="0.25">
      <c r="A1045" t="s">
        <v>114</v>
      </c>
      <c r="B1045">
        <v>3</v>
      </c>
      <c r="C1045" t="s">
        <v>2164</v>
      </c>
      <c r="D1045" t="s">
        <v>376</v>
      </c>
      <c r="E1045">
        <v>26</v>
      </c>
      <c r="F1045" s="6">
        <v>2100000000</v>
      </c>
      <c r="G1045" s="6">
        <v>2418888888</v>
      </c>
      <c r="H1045">
        <v>45</v>
      </c>
      <c r="I1045" t="s">
        <v>8986</v>
      </c>
    </row>
    <row r="1046" spans="1:9" x14ac:dyDescent="0.25">
      <c r="A1046" t="s">
        <v>114</v>
      </c>
      <c r="B1046">
        <v>65</v>
      </c>
      <c r="C1046" t="s">
        <v>1478</v>
      </c>
      <c r="D1046" t="s">
        <v>376</v>
      </c>
      <c r="E1046">
        <v>26</v>
      </c>
      <c r="F1046" s="6">
        <v>2100000000</v>
      </c>
      <c r="G1046" s="6">
        <v>2515000000</v>
      </c>
      <c r="H1046">
        <v>107</v>
      </c>
      <c r="I1046" t="s">
        <v>8987</v>
      </c>
    </row>
    <row r="1047" spans="1:9" x14ac:dyDescent="0.25">
      <c r="A1047" t="s">
        <v>114</v>
      </c>
      <c r="B1047">
        <v>95</v>
      </c>
      <c r="C1047" t="s">
        <v>1590</v>
      </c>
      <c r="D1047" t="s">
        <v>376</v>
      </c>
      <c r="E1047">
        <v>26</v>
      </c>
      <c r="F1047" s="6">
        <v>2100000000</v>
      </c>
      <c r="G1047" s="6">
        <v>2419990000</v>
      </c>
      <c r="H1047">
        <v>137</v>
      </c>
      <c r="I1047" t="s">
        <v>8988</v>
      </c>
    </row>
    <row r="1048" spans="1:9" x14ac:dyDescent="0.25">
      <c r="A1048" t="s">
        <v>114</v>
      </c>
      <c r="B1048">
        <v>106</v>
      </c>
      <c r="C1048" t="s">
        <v>1637</v>
      </c>
      <c r="D1048" t="s">
        <v>376</v>
      </c>
      <c r="E1048">
        <v>26</v>
      </c>
      <c r="F1048" s="6">
        <v>2100000000</v>
      </c>
      <c r="G1048" s="6">
        <v>2487999000</v>
      </c>
      <c r="H1048">
        <v>148</v>
      </c>
      <c r="I1048" t="s">
        <v>8989</v>
      </c>
    </row>
    <row r="1049" spans="1:9" x14ac:dyDescent="0.25">
      <c r="A1049" t="s">
        <v>114</v>
      </c>
      <c r="B1049">
        <v>112</v>
      </c>
      <c r="C1049" t="s">
        <v>1661</v>
      </c>
      <c r="D1049" t="s">
        <v>376</v>
      </c>
      <c r="E1049">
        <v>26</v>
      </c>
      <c r="F1049" s="6">
        <v>2100000000</v>
      </c>
      <c r="G1049" s="6">
        <v>2268000000</v>
      </c>
      <c r="H1049">
        <v>154</v>
      </c>
      <c r="I1049" t="s">
        <v>8990</v>
      </c>
    </row>
    <row r="1050" spans="1:9" x14ac:dyDescent="0.25">
      <c r="A1050" t="s">
        <v>114</v>
      </c>
      <c r="B1050">
        <v>128</v>
      </c>
      <c r="C1050" t="s">
        <v>1714</v>
      </c>
      <c r="D1050" t="s">
        <v>376</v>
      </c>
      <c r="E1050">
        <v>26</v>
      </c>
      <c r="F1050" s="6">
        <v>2100000000</v>
      </c>
      <c r="G1050" s="6">
        <v>2305555555</v>
      </c>
      <c r="H1050">
        <v>170</v>
      </c>
      <c r="I1050" t="s">
        <v>8991</v>
      </c>
    </row>
    <row r="1051" spans="1:9" x14ac:dyDescent="0.25">
      <c r="A1051" t="s">
        <v>114</v>
      </c>
      <c r="B1051">
        <v>134</v>
      </c>
      <c r="C1051" t="s">
        <v>1740</v>
      </c>
      <c r="D1051" t="s">
        <v>376</v>
      </c>
      <c r="E1051">
        <v>26</v>
      </c>
      <c r="F1051" s="6">
        <v>2100000000</v>
      </c>
      <c r="G1051" s="6">
        <v>2289999999</v>
      </c>
      <c r="H1051">
        <v>176</v>
      </c>
      <c r="I1051" t="s">
        <v>8992</v>
      </c>
    </row>
    <row r="1052" spans="1:9" x14ac:dyDescent="0.25">
      <c r="A1052" t="s">
        <v>114</v>
      </c>
      <c r="B1052">
        <v>145</v>
      </c>
      <c r="C1052" t="s">
        <v>1785</v>
      </c>
      <c r="D1052" t="s">
        <v>376</v>
      </c>
      <c r="E1052">
        <v>26</v>
      </c>
      <c r="F1052" s="6">
        <v>2100000000</v>
      </c>
      <c r="G1052" s="6">
        <v>2511212127</v>
      </c>
      <c r="H1052">
        <v>187</v>
      </c>
      <c r="I1052" t="s">
        <v>8993</v>
      </c>
    </row>
    <row r="1053" spans="1:9" x14ac:dyDescent="0.25">
      <c r="A1053" t="s">
        <v>114</v>
      </c>
      <c r="B1053">
        <v>174</v>
      </c>
      <c r="C1053" t="s">
        <v>1903</v>
      </c>
      <c r="D1053" t="s">
        <v>376</v>
      </c>
      <c r="E1053">
        <v>26</v>
      </c>
      <c r="F1053" s="6">
        <v>2100000000</v>
      </c>
      <c r="G1053" s="6">
        <v>2386099999</v>
      </c>
      <c r="H1053">
        <v>216</v>
      </c>
      <c r="I1053" t="s">
        <v>8994</v>
      </c>
    </row>
    <row r="1054" spans="1:9" x14ac:dyDescent="0.25">
      <c r="A1054" t="s">
        <v>114</v>
      </c>
      <c r="B1054">
        <v>200</v>
      </c>
      <c r="C1054" t="s">
        <v>2025</v>
      </c>
      <c r="D1054" t="s">
        <v>376</v>
      </c>
      <c r="E1054">
        <v>26</v>
      </c>
      <c r="F1054" s="6">
        <v>2100000000</v>
      </c>
      <c r="G1054" s="6">
        <v>2410000000</v>
      </c>
      <c r="H1054">
        <v>242</v>
      </c>
      <c r="I1054" t="s">
        <v>8995</v>
      </c>
    </row>
    <row r="1055" spans="1:9" x14ac:dyDescent="0.25">
      <c r="A1055" t="s">
        <v>114</v>
      </c>
      <c r="B1055">
        <v>207</v>
      </c>
      <c r="C1055" t="s">
        <v>2051</v>
      </c>
      <c r="D1055" t="s">
        <v>376</v>
      </c>
      <c r="E1055">
        <v>26</v>
      </c>
      <c r="F1055" s="6">
        <v>2100000000</v>
      </c>
      <c r="G1055" s="6">
        <v>2300000000</v>
      </c>
      <c r="H1055">
        <v>249</v>
      </c>
      <c r="I1055" t="s">
        <v>8996</v>
      </c>
    </row>
    <row r="1056" spans="1:9" x14ac:dyDescent="0.25">
      <c r="A1056" t="s">
        <v>114</v>
      </c>
      <c r="B1056">
        <v>227</v>
      </c>
      <c r="C1056" t="s">
        <v>3838</v>
      </c>
      <c r="D1056" t="s">
        <v>325</v>
      </c>
      <c r="E1056">
        <v>26</v>
      </c>
      <c r="F1056" s="6">
        <v>3420000000</v>
      </c>
      <c r="G1056" s="6">
        <v>4280000000</v>
      </c>
      <c r="H1056">
        <v>269</v>
      </c>
      <c r="I1056" t="s">
        <v>8997</v>
      </c>
    </row>
    <row r="1057" spans="1:9" x14ac:dyDescent="0.25">
      <c r="A1057" t="s">
        <v>114</v>
      </c>
      <c r="B1057">
        <v>246</v>
      </c>
      <c r="C1057" t="s">
        <v>5176</v>
      </c>
      <c r="D1057" t="s">
        <v>404</v>
      </c>
      <c r="E1057">
        <v>26</v>
      </c>
      <c r="F1057" s="6">
        <v>4500000000</v>
      </c>
      <c r="G1057" s="6">
        <v>5366666666</v>
      </c>
      <c r="H1057">
        <v>288</v>
      </c>
      <c r="I1057" t="s">
        <v>8998</v>
      </c>
    </row>
    <row r="1058" spans="1:9" x14ac:dyDescent="0.25">
      <c r="A1058" t="s">
        <v>114</v>
      </c>
      <c r="B1058">
        <v>272</v>
      </c>
      <c r="C1058" t="s">
        <v>5410</v>
      </c>
      <c r="D1058" t="s">
        <v>8026</v>
      </c>
      <c r="E1058">
        <v>26</v>
      </c>
      <c r="F1058" s="6">
        <v>5300000000</v>
      </c>
      <c r="G1058" s="6">
        <v>6288888888</v>
      </c>
      <c r="H1058">
        <v>314</v>
      </c>
      <c r="I1058" t="s">
        <v>8999</v>
      </c>
    </row>
    <row r="1059" spans="1:9" x14ac:dyDescent="0.25">
      <c r="A1059" t="s">
        <v>114</v>
      </c>
      <c r="B1059">
        <v>312</v>
      </c>
      <c r="C1059" t="s">
        <v>4846</v>
      </c>
      <c r="D1059" t="s">
        <v>8026</v>
      </c>
      <c r="E1059">
        <v>26</v>
      </c>
      <c r="F1059" s="6">
        <v>5450000000</v>
      </c>
      <c r="G1059" s="6">
        <v>6510000000</v>
      </c>
      <c r="H1059">
        <v>354</v>
      </c>
      <c r="I1059" t="s">
        <v>9000</v>
      </c>
    </row>
    <row r="1060" spans="1:9" x14ac:dyDescent="0.25">
      <c r="A1060" t="s">
        <v>114</v>
      </c>
      <c r="B1060">
        <v>334</v>
      </c>
      <c r="C1060" t="s">
        <v>5468</v>
      </c>
      <c r="D1060" t="s">
        <v>8026</v>
      </c>
      <c r="E1060">
        <v>26</v>
      </c>
      <c r="F1060" s="6">
        <v>5350000000</v>
      </c>
      <c r="G1060" s="6">
        <v>6260000000</v>
      </c>
      <c r="H1060">
        <v>376</v>
      </c>
      <c r="I1060" t="s">
        <v>9001</v>
      </c>
    </row>
    <row r="1061" spans="1:9" x14ac:dyDescent="0.25">
      <c r="A1061" t="s">
        <v>114</v>
      </c>
      <c r="B1061">
        <v>9</v>
      </c>
      <c r="C1061" t="s">
        <v>2203</v>
      </c>
      <c r="D1061" t="s">
        <v>376</v>
      </c>
      <c r="E1061">
        <v>25</v>
      </c>
      <c r="F1061" s="6">
        <v>2100000000</v>
      </c>
      <c r="G1061" s="6">
        <v>2605999999</v>
      </c>
      <c r="H1061">
        <v>51</v>
      </c>
      <c r="I1061" t="s">
        <v>9002</v>
      </c>
    </row>
    <row r="1062" spans="1:9" x14ac:dyDescent="0.25">
      <c r="A1062" t="s">
        <v>114</v>
      </c>
      <c r="B1062">
        <v>19</v>
      </c>
      <c r="C1062" t="s">
        <v>2250</v>
      </c>
      <c r="D1062" t="s">
        <v>376</v>
      </c>
      <c r="E1062">
        <v>25</v>
      </c>
      <c r="F1062" s="6">
        <v>2100000000</v>
      </c>
      <c r="G1062" s="6">
        <v>2500000000</v>
      </c>
      <c r="H1062">
        <v>61</v>
      </c>
      <c r="I1062" t="s">
        <v>9003</v>
      </c>
    </row>
    <row r="1063" spans="1:9" x14ac:dyDescent="0.25">
      <c r="A1063" t="s">
        <v>114</v>
      </c>
      <c r="B1063">
        <v>29</v>
      </c>
      <c r="C1063" t="s">
        <v>2288</v>
      </c>
      <c r="D1063" t="s">
        <v>376</v>
      </c>
      <c r="E1063">
        <v>25</v>
      </c>
      <c r="F1063" s="6">
        <v>2100000000</v>
      </c>
      <c r="G1063" s="6">
        <v>2467999000</v>
      </c>
      <c r="H1063">
        <v>71</v>
      </c>
      <c r="I1063" t="s">
        <v>9004</v>
      </c>
    </row>
    <row r="1064" spans="1:9" x14ac:dyDescent="0.25">
      <c r="A1064" t="s">
        <v>114</v>
      </c>
      <c r="B1064">
        <v>32</v>
      </c>
      <c r="C1064" t="s">
        <v>2301</v>
      </c>
      <c r="D1064" t="s">
        <v>376</v>
      </c>
      <c r="E1064">
        <v>25</v>
      </c>
      <c r="F1064" s="6">
        <v>2100000000</v>
      </c>
      <c r="G1064" s="6">
        <v>2555222100</v>
      </c>
      <c r="H1064">
        <v>74</v>
      </c>
      <c r="I1064" t="s">
        <v>9005</v>
      </c>
    </row>
    <row r="1065" spans="1:9" x14ac:dyDescent="0.25">
      <c r="A1065" t="s">
        <v>114</v>
      </c>
      <c r="B1065">
        <v>37</v>
      </c>
      <c r="C1065" t="s">
        <v>2321</v>
      </c>
      <c r="D1065" t="s">
        <v>376</v>
      </c>
      <c r="E1065">
        <v>25</v>
      </c>
      <c r="F1065" s="6">
        <v>2100000000</v>
      </c>
      <c r="G1065" s="6">
        <v>2458000000</v>
      </c>
      <c r="H1065">
        <v>79</v>
      </c>
      <c r="I1065" t="s">
        <v>9006</v>
      </c>
    </row>
    <row r="1066" spans="1:9" x14ac:dyDescent="0.25">
      <c r="A1066" t="s">
        <v>114</v>
      </c>
      <c r="B1066">
        <v>45</v>
      </c>
      <c r="C1066" t="s">
        <v>2355</v>
      </c>
      <c r="D1066" t="s">
        <v>376</v>
      </c>
      <c r="E1066">
        <v>25</v>
      </c>
      <c r="F1066" s="6">
        <v>2100000000</v>
      </c>
      <c r="G1066" s="6">
        <v>2501009999</v>
      </c>
      <c r="H1066">
        <v>87</v>
      </c>
      <c r="I1066" t="s">
        <v>9007</v>
      </c>
    </row>
    <row r="1067" spans="1:9" x14ac:dyDescent="0.25">
      <c r="A1067" t="s">
        <v>114</v>
      </c>
      <c r="B1067">
        <v>50</v>
      </c>
      <c r="C1067" t="s">
        <v>2375</v>
      </c>
      <c r="D1067" t="s">
        <v>376</v>
      </c>
      <c r="E1067">
        <v>25</v>
      </c>
      <c r="F1067" s="6">
        <v>2100000000</v>
      </c>
      <c r="G1067" s="6">
        <v>2423000000</v>
      </c>
      <c r="H1067">
        <v>92</v>
      </c>
      <c r="I1067" t="s">
        <v>9008</v>
      </c>
    </row>
    <row r="1068" spans="1:9" x14ac:dyDescent="0.25">
      <c r="A1068" t="s">
        <v>114</v>
      </c>
      <c r="B1068">
        <v>52</v>
      </c>
      <c r="C1068" t="s">
        <v>2384</v>
      </c>
      <c r="D1068" t="s">
        <v>376</v>
      </c>
      <c r="E1068">
        <v>25</v>
      </c>
      <c r="F1068" s="6">
        <v>2100000000</v>
      </c>
      <c r="G1068" s="6">
        <v>2469999999</v>
      </c>
      <c r="H1068">
        <v>94</v>
      </c>
      <c r="I1068" t="s">
        <v>9009</v>
      </c>
    </row>
    <row r="1069" spans="1:9" x14ac:dyDescent="0.25">
      <c r="A1069" t="s">
        <v>114</v>
      </c>
      <c r="B1069">
        <v>103</v>
      </c>
      <c r="C1069" t="s">
        <v>1624</v>
      </c>
      <c r="D1069" t="s">
        <v>376</v>
      </c>
      <c r="E1069">
        <v>25</v>
      </c>
      <c r="F1069" s="6">
        <v>2100000000</v>
      </c>
      <c r="G1069" s="6">
        <v>2328800000</v>
      </c>
      <c r="H1069">
        <v>145</v>
      </c>
      <c r="I1069" t="s">
        <v>9010</v>
      </c>
    </row>
    <row r="1070" spans="1:9" x14ac:dyDescent="0.25">
      <c r="A1070" t="s">
        <v>114</v>
      </c>
      <c r="B1070">
        <v>121</v>
      </c>
      <c r="C1070" t="s">
        <v>433</v>
      </c>
      <c r="D1070" t="s">
        <v>376</v>
      </c>
      <c r="E1070">
        <v>25</v>
      </c>
      <c r="F1070" s="6">
        <v>1950000000</v>
      </c>
      <c r="G1070" s="6">
        <v>2300000000</v>
      </c>
      <c r="H1070">
        <v>163</v>
      </c>
      <c r="I1070" t="s">
        <v>9011</v>
      </c>
    </row>
    <row r="1071" spans="1:9" x14ac:dyDescent="0.25">
      <c r="A1071" t="s">
        <v>114</v>
      </c>
      <c r="B1071">
        <v>139</v>
      </c>
      <c r="C1071" t="s">
        <v>1762</v>
      </c>
      <c r="D1071" t="s">
        <v>376</v>
      </c>
      <c r="E1071">
        <v>25</v>
      </c>
      <c r="F1071" s="6">
        <v>2100000000</v>
      </c>
      <c r="G1071" s="6">
        <v>2380001000</v>
      </c>
      <c r="H1071">
        <v>181</v>
      </c>
      <c r="I1071" t="s">
        <v>9012</v>
      </c>
    </row>
    <row r="1072" spans="1:9" x14ac:dyDescent="0.25">
      <c r="A1072" t="s">
        <v>114</v>
      </c>
      <c r="B1072">
        <v>160</v>
      </c>
      <c r="C1072" t="s">
        <v>439</v>
      </c>
      <c r="D1072" t="s">
        <v>376</v>
      </c>
      <c r="E1072">
        <v>25</v>
      </c>
      <c r="F1072" s="6">
        <v>1950000000</v>
      </c>
      <c r="G1072" s="6">
        <v>2355000000</v>
      </c>
      <c r="H1072">
        <v>202</v>
      </c>
      <c r="I1072" t="s">
        <v>9013</v>
      </c>
    </row>
    <row r="1073" spans="1:9" x14ac:dyDescent="0.25">
      <c r="A1073" t="s">
        <v>114</v>
      </c>
      <c r="B1073">
        <v>164</v>
      </c>
      <c r="C1073" t="s">
        <v>1862</v>
      </c>
      <c r="D1073" t="s">
        <v>376</v>
      </c>
      <c r="E1073">
        <v>25</v>
      </c>
      <c r="F1073" s="6">
        <v>2100000000</v>
      </c>
      <c r="G1073" s="6">
        <v>2130000000</v>
      </c>
      <c r="H1073">
        <v>206</v>
      </c>
      <c r="I1073" t="s">
        <v>9014</v>
      </c>
    </row>
    <row r="1074" spans="1:9" x14ac:dyDescent="0.25">
      <c r="A1074" t="s">
        <v>114</v>
      </c>
      <c r="B1074">
        <v>197</v>
      </c>
      <c r="C1074" t="s">
        <v>2010</v>
      </c>
      <c r="D1074" t="s">
        <v>376</v>
      </c>
      <c r="E1074">
        <v>25</v>
      </c>
      <c r="F1074" s="6">
        <v>2100000000</v>
      </c>
      <c r="G1074" s="6">
        <v>2255000000</v>
      </c>
      <c r="H1074">
        <v>239</v>
      </c>
      <c r="I1074" t="s">
        <v>9015</v>
      </c>
    </row>
    <row r="1075" spans="1:9" x14ac:dyDescent="0.25">
      <c r="A1075" t="s">
        <v>114</v>
      </c>
      <c r="B1075">
        <v>198</v>
      </c>
      <c r="C1075" t="s">
        <v>2015</v>
      </c>
      <c r="D1075" t="s">
        <v>376</v>
      </c>
      <c r="E1075">
        <v>25</v>
      </c>
      <c r="F1075" s="6">
        <v>2100000000</v>
      </c>
      <c r="G1075" s="6">
        <v>2265480000</v>
      </c>
      <c r="H1075">
        <v>240</v>
      </c>
      <c r="I1075" t="s">
        <v>9016</v>
      </c>
    </row>
    <row r="1076" spans="1:9" x14ac:dyDescent="0.25">
      <c r="A1076" t="s">
        <v>114</v>
      </c>
      <c r="B1076">
        <v>202</v>
      </c>
      <c r="C1076" t="s">
        <v>2034</v>
      </c>
      <c r="D1076" t="s">
        <v>376</v>
      </c>
      <c r="E1076">
        <v>25</v>
      </c>
      <c r="F1076" s="6">
        <v>2100000000</v>
      </c>
      <c r="G1076" s="6">
        <v>2311101130</v>
      </c>
      <c r="H1076">
        <v>244</v>
      </c>
      <c r="I1076" t="s">
        <v>9017</v>
      </c>
    </row>
    <row r="1077" spans="1:9" x14ac:dyDescent="0.25">
      <c r="A1077" t="s">
        <v>114</v>
      </c>
      <c r="B1077">
        <v>204</v>
      </c>
      <c r="C1077" t="s">
        <v>2042</v>
      </c>
      <c r="D1077" t="s">
        <v>376</v>
      </c>
      <c r="E1077">
        <v>25</v>
      </c>
      <c r="F1077" s="6">
        <v>2100000000</v>
      </c>
      <c r="G1077" s="6">
        <v>2271100000</v>
      </c>
      <c r="H1077">
        <v>246</v>
      </c>
      <c r="I1077" t="s">
        <v>9018</v>
      </c>
    </row>
    <row r="1078" spans="1:9" x14ac:dyDescent="0.25">
      <c r="A1078" t="s">
        <v>114</v>
      </c>
      <c r="B1078">
        <v>216</v>
      </c>
      <c r="C1078" t="s">
        <v>2096</v>
      </c>
      <c r="D1078" t="s">
        <v>376</v>
      </c>
      <c r="E1078">
        <v>25</v>
      </c>
      <c r="F1078" s="6">
        <v>2100000000</v>
      </c>
      <c r="G1078" s="6">
        <v>2469999999</v>
      </c>
      <c r="H1078">
        <v>258</v>
      </c>
      <c r="I1078" t="s">
        <v>9019</v>
      </c>
    </row>
    <row r="1079" spans="1:9" x14ac:dyDescent="0.25">
      <c r="A1079" t="s">
        <v>114</v>
      </c>
      <c r="B1079">
        <v>217</v>
      </c>
      <c r="C1079" t="s">
        <v>2101</v>
      </c>
      <c r="D1079" t="s">
        <v>376</v>
      </c>
      <c r="E1079">
        <v>25</v>
      </c>
      <c r="F1079" s="6">
        <v>2100000000</v>
      </c>
      <c r="G1079" s="6">
        <v>2358900000</v>
      </c>
      <c r="H1079">
        <v>259</v>
      </c>
      <c r="I1079" t="s">
        <v>9020</v>
      </c>
    </row>
    <row r="1080" spans="1:9" x14ac:dyDescent="0.25">
      <c r="A1080" t="s">
        <v>114</v>
      </c>
      <c r="B1080">
        <v>229</v>
      </c>
      <c r="C1080" t="s">
        <v>4304</v>
      </c>
      <c r="D1080" t="s">
        <v>325</v>
      </c>
      <c r="E1080">
        <v>25</v>
      </c>
      <c r="F1080" s="6">
        <v>3520000000</v>
      </c>
      <c r="G1080" s="6">
        <v>4450000000</v>
      </c>
      <c r="H1080">
        <v>271</v>
      </c>
      <c r="I1080" t="s">
        <v>9021</v>
      </c>
    </row>
    <row r="1081" spans="1:9" x14ac:dyDescent="0.25">
      <c r="A1081" t="s">
        <v>114</v>
      </c>
      <c r="B1081">
        <v>262</v>
      </c>
      <c r="C1081" t="s">
        <v>2695</v>
      </c>
      <c r="D1081" t="s">
        <v>1418</v>
      </c>
      <c r="E1081">
        <v>25</v>
      </c>
      <c r="F1081" s="6">
        <v>3500000000</v>
      </c>
      <c r="G1081" s="6">
        <v>4109876543</v>
      </c>
      <c r="H1081">
        <v>304</v>
      </c>
      <c r="I1081" t="s">
        <v>9022</v>
      </c>
    </row>
    <row r="1082" spans="1:9" x14ac:dyDescent="0.25">
      <c r="A1082" t="s">
        <v>114</v>
      </c>
      <c r="B1082">
        <v>282</v>
      </c>
      <c r="C1082" t="s">
        <v>5488</v>
      </c>
      <c r="D1082" t="s">
        <v>8026</v>
      </c>
      <c r="E1082">
        <v>25</v>
      </c>
      <c r="F1082" s="6">
        <v>5400000000</v>
      </c>
      <c r="G1082" s="6">
        <v>6235555555</v>
      </c>
      <c r="H1082">
        <v>324</v>
      </c>
      <c r="I1082" t="s">
        <v>9023</v>
      </c>
    </row>
    <row r="1083" spans="1:9" x14ac:dyDescent="0.25">
      <c r="A1083" t="s">
        <v>114</v>
      </c>
      <c r="B1083">
        <v>301</v>
      </c>
      <c r="C1083" t="s">
        <v>4930</v>
      </c>
      <c r="D1083" t="s">
        <v>8026</v>
      </c>
      <c r="E1083">
        <v>25</v>
      </c>
      <c r="F1083" s="6">
        <v>5450000000</v>
      </c>
      <c r="G1083" s="6">
        <v>6780000000</v>
      </c>
      <c r="H1083">
        <v>343</v>
      </c>
      <c r="I1083" t="s">
        <v>9024</v>
      </c>
    </row>
    <row r="1084" spans="1:9" x14ac:dyDescent="0.25">
      <c r="A1084" t="s">
        <v>114</v>
      </c>
      <c r="B1084">
        <v>320</v>
      </c>
      <c r="C1084" t="s">
        <v>4896</v>
      </c>
      <c r="D1084" t="s">
        <v>8035</v>
      </c>
      <c r="E1084">
        <v>25</v>
      </c>
      <c r="F1084" s="6">
        <v>5450000000</v>
      </c>
      <c r="G1084" s="6">
        <v>6410000000</v>
      </c>
      <c r="H1084">
        <v>362</v>
      </c>
      <c r="I1084" t="s">
        <v>9025</v>
      </c>
    </row>
    <row r="1085" spans="1:9" x14ac:dyDescent="0.25">
      <c r="A1085" t="s">
        <v>114</v>
      </c>
      <c r="B1085">
        <v>335</v>
      </c>
      <c r="C1085" t="s">
        <v>5434</v>
      </c>
      <c r="D1085" t="s">
        <v>8035</v>
      </c>
      <c r="E1085">
        <v>25</v>
      </c>
      <c r="F1085" s="6">
        <v>5300000000</v>
      </c>
      <c r="G1085" s="6">
        <v>6100111000</v>
      </c>
      <c r="H1085">
        <v>377</v>
      </c>
      <c r="I1085" t="s">
        <v>9026</v>
      </c>
    </row>
    <row r="1086" spans="1:9" x14ac:dyDescent="0.25">
      <c r="A1086" t="s">
        <v>114</v>
      </c>
      <c r="B1086">
        <v>356</v>
      </c>
      <c r="C1086" t="s">
        <v>5250</v>
      </c>
      <c r="D1086" t="s">
        <v>8094</v>
      </c>
      <c r="E1086">
        <v>25</v>
      </c>
      <c r="F1086" s="6">
        <v>5750000000</v>
      </c>
      <c r="G1086" s="6">
        <v>6436900000</v>
      </c>
      <c r="H1086">
        <v>398</v>
      </c>
      <c r="I1086" t="s">
        <v>9027</v>
      </c>
    </row>
    <row r="1087" spans="1:9" x14ac:dyDescent="0.25">
      <c r="A1087" t="s">
        <v>114</v>
      </c>
      <c r="B1087">
        <v>365</v>
      </c>
      <c r="C1087" t="s">
        <v>3883</v>
      </c>
      <c r="D1087" t="s">
        <v>3210</v>
      </c>
      <c r="E1087">
        <v>25</v>
      </c>
      <c r="F1087" s="6">
        <v>4980000000</v>
      </c>
      <c r="G1087" s="6">
        <v>5510000000</v>
      </c>
      <c r="H1087">
        <v>407</v>
      </c>
      <c r="I1087" t="s">
        <v>9028</v>
      </c>
    </row>
    <row r="1088" spans="1:9" x14ac:dyDescent="0.25">
      <c r="A1088" t="s">
        <v>114</v>
      </c>
      <c r="B1088">
        <v>379</v>
      </c>
      <c r="C1088" t="s">
        <v>4526</v>
      </c>
      <c r="D1088" t="s">
        <v>191</v>
      </c>
      <c r="E1088">
        <v>25</v>
      </c>
      <c r="F1088" s="6">
        <v>3850000000</v>
      </c>
      <c r="G1088" s="6">
        <v>4395550000</v>
      </c>
      <c r="H1088">
        <v>423</v>
      </c>
      <c r="I1088" t="s">
        <v>9029</v>
      </c>
    </row>
    <row r="1089" spans="1:9" x14ac:dyDescent="0.25">
      <c r="A1089" t="s">
        <v>114</v>
      </c>
      <c r="B1089">
        <v>14</v>
      </c>
      <c r="C1089" t="s">
        <v>2222</v>
      </c>
      <c r="D1089" t="s">
        <v>376</v>
      </c>
      <c r="E1089">
        <v>24</v>
      </c>
      <c r="F1089" s="6">
        <v>2100000000</v>
      </c>
      <c r="G1089" s="6">
        <v>2456000000</v>
      </c>
      <c r="H1089">
        <v>56</v>
      </c>
      <c r="I1089" t="s">
        <v>9030</v>
      </c>
    </row>
    <row r="1090" spans="1:9" x14ac:dyDescent="0.25">
      <c r="A1090" t="s">
        <v>114</v>
      </c>
      <c r="B1090">
        <v>78</v>
      </c>
      <c r="C1090" t="s">
        <v>412</v>
      </c>
      <c r="D1090" t="s">
        <v>376</v>
      </c>
      <c r="E1090">
        <v>24</v>
      </c>
      <c r="F1090" s="6">
        <v>1900000000</v>
      </c>
      <c r="G1090" s="6">
        <v>2300000009</v>
      </c>
      <c r="H1090">
        <v>120</v>
      </c>
      <c r="I1090" t="s">
        <v>9031</v>
      </c>
    </row>
    <row r="1091" spans="1:9" x14ac:dyDescent="0.25">
      <c r="A1091" t="s">
        <v>114</v>
      </c>
      <c r="B1091">
        <v>114</v>
      </c>
      <c r="C1091" t="s">
        <v>1669</v>
      </c>
      <c r="D1091" t="s">
        <v>376</v>
      </c>
      <c r="E1091">
        <v>24</v>
      </c>
      <c r="F1091" s="6">
        <v>2100000000</v>
      </c>
      <c r="G1091" s="6">
        <v>2338000000</v>
      </c>
      <c r="H1091">
        <v>156</v>
      </c>
      <c r="I1091" t="s">
        <v>9032</v>
      </c>
    </row>
    <row r="1092" spans="1:9" x14ac:dyDescent="0.25">
      <c r="A1092" t="s">
        <v>114</v>
      </c>
      <c r="B1092">
        <v>118</v>
      </c>
      <c r="C1092" t="s">
        <v>1687</v>
      </c>
      <c r="D1092" t="s">
        <v>376</v>
      </c>
      <c r="E1092">
        <v>24</v>
      </c>
      <c r="F1092" s="6">
        <v>2100000000</v>
      </c>
      <c r="G1092" s="6">
        <v>2300000100</v>
      </c>
      <c r="H1092">
        <v>160</v>
      </c>
      <c r="I1092" t="s">
        <v>9033</v>
      </c>
    </row>
    <row r="1093" spans="1:9" x14ac:dyDescent="0.25">
      <c r="A1093" t="s">
        <v>114</v>
      </c>
      <c r="B1093">
        <v>210</v>
      </c>
      <c r="C1093" t="s">
        <v>2066</v>
      </c>
      <c r="D1093" t="s">
        <v>376</v>
      </c>
      <c r="E1093">
        <v>24</v>
      </c>
      <c r="F1093" s="6">
        <v>2100000000</v>
      </c>
      <c r="G1093" s="6">
        <v>2610000000</v>
      </c>
      <c r="H1093">
        <v>252</v>
      </c>
      <c r="I1093" t="s">
        <v>9034</v>
      </c>
    </row>
    <row r="1094" spans="1:9" x14ac:dyDescent="0.25">
      <c r="A1094" t="s">
        <v>114</v>
      </c>
      <c r="B1094">
        <v>285</v>
      </c>
      <c r="C1094" t="s">
        <v>5359</v>
      </c>
      <c r="D1094" t="s">
        <v>8026</v>
      </c>
      <c r="E1094">
        <v>24</v>
      </c>
      <c r="F1094" s="6">
        <v>5200000000</v>
      </c>
      <c r="G1094" s="6">
        <v>6021777777</v>
      </c>
      <c r="H1094">
        <v>327</v>
      </c>
      <c r="I1094" t="s">
        <v>9035</v>
      </c>
    </row>
    <row r="1095" spans="1:9" x14ac:dyDescent="0.25">
      <c r="A1095" t="s">
        <v>114</v>
      </c>
      <c r="B1095">
        <v>344</v>
      </c>
      <c r="C1095" t="s">
        <v>5500</v>
      </c>
      <c r="D1095" t="s">
        <v>8026</v>
      </c>
      <c r="E1095">
        <v>24</v>
      </c>
      <c r="F1095" s="6">
        <v>5400000000</v>
      </c>
      <c r="G1095" s="6">
        <v>6066550000</v>
      </c>
      <c r="H1095">
        <v>386</v>
      </c>
      <c r="I1095" t="s">
        <v>9036</v>
      </c>
    </row>
    <row r="1096" spans="1:9" x14ac:dyDescent="0.25">
      <c r="A1096" t="s">
        <v>114</v>
      </c>
      <c r="B1096">
        <v>381</v>
      </c>
      <c r="C1096" t="s">
        <v>4372</v>
      </c>
      <c r="D1096" t="s">
        <v>1418</v>
      </c>
      <c r="E1096">
        <v>24</v>
      </c>
      <c r="F1096" s="6">
        <v>3600000000</v>
      </c>
      <c r="G1096" s="6">
        <v>4308900000</v>
      </c>
      <c r="H1096">
        <v>425</v>
      </c>
      <c r="I1096" t="s">
        <v>9037</v>
      </c>
    </row>
    <row r="1097" spans="1:9" x14ac:dyDescent="0.25">
      <c r="A1097" t="s">
        <v>114</v>
      </c>
      <c r="B1097">
        <v>392</v>
      </c>
      <c r="C1097" t="s">
        <v>5107</v>
      </c>
      <c r="D1097" t="s">
        <v>191</v>
      </c>
      <c r="E1097">
        <v>24</v>
      </c>
      <c r="F1097" s="6">
        <v>4250000000</v>
      </c>
      <c r="G1097" s="6">
        <v>4759999999</v>
      </c>
      <c r="H1097">
        <v>436</v>
      </c>
      <c r="I1097" t="s">
        <v>9038</v>
      </c>
    </row>
    <row r="1098" spans="1:9" x14ac:dyDescent="0.25">
      <c r="A1098" t="s">
        <v>114</v>
      </c>
      <c r="B1098">
        <v>395</v>
      </c>
      <c r="C1098" t="s">
        <v>4310</v>
      </c>
      <c r="D1098" t="s">
        <v>1418</v>
      </c>
      <c r="E1098">
        <v>24</v>
      </c>
      <c r="F1098" s="6">
        <v>3520000000</v>
      </c>
      <c r="G1098" s="6">
        <v>3915141414</v>
      </c>
      <c r="H1098">
        <v>439</v>
      </c>
      <c r="I1098" t="s">
        <v>9039</v>
      </c>
    </row>
    <row r="1099" spans="1:9" x14ac:dyDescent="0.25">
      <c r="A1099" t="s">
        <v>114</v>
      </c>
      <c r="B1099">
        <v>484</v>
      </c>
      <c r="C1099" t="s">
        <v>3114</v>
      </c>
      <c r="D1099" t="s">
        <v>8665</v>
      </c>
      <c r="E1099">
        <v>24</v>
      </c>
      <c r="F1099" s="6">
        <v>2700000000</v>
      </c>
      <c r="G1099" s="6">
        <v>3965051000</v>
      </c>
      <c r="H1099">
        <v>588</v>
      </c>
      <c r="I1099" t="s">
        <v>9040</v>
      </c>
    </row>
    <row r="1100" spans="1:9" x14ac:dyDescent="0.25">
      <c r="A1100" t="s">
        <v>114</v>
      </c>
      <c r="B1100">
        <v>8</v>
      </c>
      <c r="C1100" t="s">
        <v>2198</v>
      </c>
      <c r="D1100" t="s">
        <v>376</v>
      </c>
      <c r="E1100">
        <v>23</v>
      </c>
      <c r="F1100" s="6">
        <v>2100000000</v>
      </c>
      <c r="G1100" s="6">
        <v>2507777777</v>
      </c>
      <c r="H1100">
        <v>50</v>
      </c>
      <c r="I1100" t="s">
        <v>9041</v>
      </c>
    </row>
    <row r="1101" spans="1:9" x14ac:dyDescent="0.25">
      <c r="A1101" t="s">
        <v>114</v>
      </c>
      <c r="B1101">
        <v>43</v>
      </c>
      <c r="C1101" t="s">
        <v>2347</v>
      </c>
      <c r="D1101" t="s">
        <v>376</v>
      </c>
      <c r="E1101">
        <v>23</v>
      </c>
      <c r="F1101" s="6">
        <v>2100000000</v>
      </c>
      <c r="G1101" s="6">
        <v>2403000000</v>
      </c>
      <c r="H1101">
        <v>85</v>
      </c>
      <c r="I1101" t="s">
        <v>9042</v>
      </c>
    </row>
    <row r="1102" spans="1:9" x14ac:dyDescent="0.25">
      <c r="A1102" t="s">
        <v>114</v>
      </c>
      <c r="B1102">
        <v>48</v>
      </c>
      <c r="C1102" t="s">
        <v>2367</v>
      </c>
      <c r="D1102" t="s">
        <v>376</v>
      </c>
      <c r="E1102">
        <v>23</v>
      </c>
      <c r="F1102" s="6">
        <v>2100000000</v>
      </c>
      <c r="G1102" s="6">
        <v>2423000000</v>
      </c>
      <c r="H1102">
        <v>90</v>
      </c>
      <c r="I1102" t="s">
        <v>9043</v>
      </c>
    </row>
    <row r="1103" spans="1:9" x14ac:dyDescent="0.25">
      <c r="A1103" t="s">
        <v>114</v>
      </c>
      <c r="B1103">
        <v>55</v>
      </c>
      <c r="C1103" t="s">
        <v>2396</v>
      </c>
      <c r="D1103" t="s">
        <v>376</v>
      </c>
      <c r="E1103">
        <v>23</v>
      </c>
      <c r="F1103" s="6">
        <v>2100000000</v>
      </c>
      <c r="G1103" s="6">
        <v>2433000000</v>
      </c>
      <c r="H1103">
        <v>97</v>
      </c>
      <c r="I1103" t="s">
        <v>9044</v>
      </c>
    </row>
    <row r="1104" spans="1:9" x14ac:dyDescent="0.25">
      <c r="A1104" t="s">
        <v>114</v>
      </c>
      <c r="B1104">
        <v>58</v>
      </c>
      <c r="C1104" t="s">
        <v>1449</v>
      </c>
      <c r="D1104" t="s">
        <v>376</v>
      </c>
      <c r="E1104">
        <v>23</v>
      </c>
      <c r="F1104" s="6">
        <v>2100000000</v>
      </c>
      <c r="G1104" s="6">
        <v>2467999000</v>
      </c>
      <c r="H1104">
        <v>100</v>
      </c>
      <c r="I1104" t="s">
        <v>9045</v>
      </c>
    </row>
    <row r="1105" spans="1:9" x14ac:dyDescent="0.25">
      <c r="A1105" t="s">
        <v>114</v>
      </c>
      <c r="B1105">
        <v>94</v>
      </c>
      <c r="C1105" t="s">
        <v>1586</v>
      </c>
      <c r="D1105" t="s">
        <v>376</v>
      </c>
      <c r="E1105">
        <v>23</v>
      </c>
      <c r="F1105" s="6">
        <v>2100000000</v>
      </c>
      <c r="G1105" s="6">
        <v>2321000223</v>
      </c>
      <c r="H1105">
        <v>136</v>
      </c>
      <c r="I1105" t="s">
        <v>9046</v>
      </c>
    </row>
    <row r="1106" spans="1:9" x14ac:dyDescent="0.25">
      <c r="A1106" t="s">
        <v>114</v>
      </c>
      <c r="B1106">
        <v>109</v>
      </c>
      <c r="C1106" t="s">
        <v>1649</v>
      </c>
      <c r="D1106" t="s">
        <v>376</v>
      </c>
      <c r="E1106">
        <v>23</v>
      </c>
      <c r="F1106" s="6">
        <v>2100000000</v>
      </c>
      <c r="G1106" s="6">
        <v>2280000000</v>
      </c>
      <c r="H1106">
        <v>151</v>
      </c>
      <c r="I1106" t="s">
        <v>9047</v>
      </c>
    </row>
    <row r="1107" spans="1:9" x14ac:dyDescent="0.25">
      <c r="A1107" t="s">
        <v>114</v>
      </c>
      <c r="B1107">
        <v>252</v>
      </c>
      <c r="C1107" t="s">
        <v>3672</v>
      </c>
      <c r="D1107" t="s">
        <v>2416</v>
      </c>
      <c r="E1107">
        <v>23</v>
      </c>
      <c r="F1107" s="6">
        <v>3320000000</v>
      </c>
      <c r="G1107" s="6">
        <v>4111000000</v>
      </c>
      <c r="H1107">
        <v>294</v>
      </c>
      <c r="I1107" t="s">
        <v>9048</v>
      </c>
    </row>
    <row r="1108" spans="1:9" x14ac:dyDescent="0.25">
      <c r="A1108" t="s">
        <v>114</v>
      </c>
      <c r="B1108">
        <v>316</v>
      </c>
      <c r="C1108" t="s">
        <v>4776</v>
      </c>
      <c r="D1108" t="s">
        <v>8026</v>
      </c>
      <c r="E1108">
        <v>23</v>
      </c>
      <c r="F1108" s="6">
        <v>5350000000</v>
      </c>
      <c r="G1108" s="6">
        <v>6185050000</v>
      </c>
      <c r="H1108">
        <v>358</v>
      </c>
      <c r="I1108" t="s">
        <v>9049</v>
      </c>
    </row>
    <row r="1109" spans="1:9" x14ac:dyDescent="0.25">
      <c r="A1109" t="s">
        <v>114</v>
      </c>
      <c r="B1109">
        <v>360</v>
      </c>
      <c r="C1109" t="s">
        <v>5262</v>
      </c>
      <c r="D1109" t="s">
        <v>3431</v>
      </c>
      <c r="E1109">
        <v>23</v>
      </c>
      <c r="F1109" s="6">
        <v>4800000000</v>
      </c>
      <c r="G1109" s="6">
        <v>5629999999</v>
      </c>
      <c r="H1109">
        <v>402</v>
      </c>
      <c r="I1109" t="s">
        <v>9050</v>
      </c>
    </row>
    <row r="1110" spans="1:9" x14ac:dyDescent="0.25">
      <c r="A1110" t="s">
        <v>114</v>
      </c>
      <c r="B1110">
        <v>367</v>
      </c>
      <c r="C1110" t="s">
        <v>5055</v>
      </c>
      <c r="D1110" t="s">
        <v>191</v>
      </c>
      <c r="E1110">
        <v>23</v>
      </c>
      <c r="F1110" s="6">
        <v>4200000000</v>
      </c>
      <c r="G1110" s="6">
        <v>4967999000</v>
      </c>
      <c r="H1110">
        <v>409</v>
      </c>
      <c r="I1110" t="s">
        <v>9051</v>
      </c>
    </row>
    <row r="1111" spans="1:9" x14ac:dyDescent="0.25">
      <c r="A1111" t="s">
        <v>114</v>
      </c>
      <c r="B1111">
        <v>42</v>
      </c>
      <c r="C1111" t="s">
        <v>2343</v>
      </c>
      <c r="D1111" t="s">
        <v>376</v>
      </c>
      <c r="E1111">
        <v>22</v>
      </c>
      <c r="F1111" s="6">
        <v>2100000000</v>
      </c>
      <c r="G1111" s="6">
        <v>2420000000</v>
      </c>
      <c r="H1111">
        <v>84</v>
      </c>
      <c r="I1111" t="s">
        <v>9052</v>
      </c>
    </row>
    <row r="1112" spans="1:9" x14ac:dyDescent="0.25">
      <c r="A1112" t="s">
        <v>114</v>
      </c>
      <c r="B1112">
        <v>73</v>
      </c>
      <c r="C1112" t="s">
        <v>1511</v>
      </c>
      <c r="D1112" t="s">
        <v>376</v>
      </c>
      <c r="E1112">
        <v>22</v>
      </c>
      <c r="F1112" s="6">
        <v>2100000000</v>
      </c>
      <c r="G1112" s="6">
        <v>2400055555</v>
      </c>
      <c r="H1112">
        <v>115</v>
      </c>
      <c r="I1112" t="s">
        <v>9053</v>
      </c>
    </row>
    <row r="1113" spans="1:9" x14ac:dyDescent="0.25">
      <c r="A1113" t="s">
        <v>114</v>
      </c>
      <c r="B1113">
        <v>77</v>
      </c>
      <c r="C1113" t="s">
        <v>1528</v>
      </c>
      <c r="D1113" t="s">
        <v>376</v>
      </c>
      <c r="E1113">
        <v>22</v>
      </c>
      <c r="F1113" s="6">
        <v>2100000000</v>
      </c>
      <c r="G1113" s="6">
        <v>2534876325</v>
      </c>
      <c r="H1113">
        <v>119</v>
      </c>
      <c r="I1113" t="s">
        <v>9054</v>
      </c>
    </row>
    <row r="1114" spans="1:9" x14ac:dyDescent="0.25">
      <c r="A1114" t="s">
        <v>114</v>
      </c>
      <c r="B1114">
        <v>166</v>
      </c>
      <c r="C1114" t="s">
        <v>1866</v>
      </c>
      <c r="D1114" t="s">
        <v>376</v>
      </c>
      <c r="E1114">
        <v>22</v>
      </c>
      <c r="F1114" s="6">
        <v>2100000000</v>
      </c>
      <c r="G1114" s="6">
        <v>2521000000</v>
      </c>
      <c r="H1114">
        <v>208</v>
      </c>
      <c r="I1114" t="s">
        <v>9055</v>
      </c>
    </row>
    <row r="1115" spans="1:9" x14ac:dyDescent="0.25">
      <c r="A1115" t="s">
        <v>114</v>
      </c>
      <c r="B1115">
        <v>171</v>
      </c>
      <c r="C1115" t="s">
        <v>1888</v>
      </c>
      <c r="D1115" t="s">
        <v>376</v>
      </c>
      <c r="E1115">
        <v>22</v>
      </c>
      <c r="F1115" s="6">
        <v>2100000000</v>
      </c>
      <c r="G1115" s="6">
        <v>2505000000</v>
      </c>
      <c r="H1115">
        <v>213</v>
      </c>
      <c r="I1115" t="s">
        <v>9056</v>
      </c>
    </row>
    <row r="1116" spans="1:9" x14ac:dyDescent="0.25">
      <c r="A1116" t="s">
        <v>114</v>
      </c>
      <c r="B1116">
        <v>191</v>
      </c>
      <c r="C1116" t="s">
        <v>1979</v>
      </c>
      <c r="D1116" t="s">
        <v>376</v>
      </c>
      <c r="E1116">
        <v>22</v>
      </c>
      <c r="F1116" s="6">
        <v>2100000000</v>
      </c>
      <c r="G1116" s="6">
        <v>2399999999</v>
      </c>
      <c r="H1116">
        <v>233</v>
      </c>
      <c r="I1116" t="s">
        <v>9057</v>
      </c>
    </row>
    <row r="1117" spans="1:9" x14ac:dyDescent="0.25">
      <c r="A1117" t="s">
        <v>114</v>
      </c>
      <c r="B1117">
        <v>259</v>
      </c>
      <c r="C1117" t="s">
        <v>4431</v>
      </c>
      <c r="D1117" t="s">
        <v>4366</v>
      </c>
      <c r="E1117">
        <v>22</v>
      </c>
      <c r="F1117" s="6">
        <v>3680000000</v>
      </c>
      <c r="G1117" s="6">
        <v>4141111111</v>
      </c>
      <c r="H1117">
        <v>301</v>
      </c>
      <c r="I1117" t="s">
        <v>9058</v>
      </c>
    </row>
    <row r="1118" spans="1:9" x14ac:dyDescent="0.25">
      <c r="A1118" t="s">
        <v>114</v>
      </c>
      <c r="B1118">
        <v>274</v>
      </c>
      <c r="C1118" t="s">
        <v>5480</v>
      </c>
      <c r="D1118" t="s">
        <v>8026</v>
      </c>
      <c r="E1118">
        <v>22</v>
      </c>
      <c r="F1118" s="6">
        <v>5400000000</v>
      </c>
      <c r="G1118" s="6">
        <v>6000000000</v>
      </c>
      <c r="H1118">
        <v>316</v>
      </c>
      <c r="I1118" t="s">
        <v>9059</v>
      </c>
    </row>
    <row r="1119" spans="1:9" x14ac:dyDescent="0.25">
      <c r="A1119" t="s">
        <v>114</v>
      </c>
      <c r="B1119">
        <v>330</v>
      </c>
      <c r="C1119" t="s">
        <v>5430</v>
      </c>
      <c r="D1119" t="s">
        <v>8026</v>
      </c>
      <c r="E1119">
        <v>22</v>
      </c>
      <c r="F1119" s="6">
        <v>5300000000</v>
      </c>
      <c r="G1119" s="6">
        <v>6057777777</v>
      </c>
      <c r="H1119">
        <v>372</v>
      </c>
      <c r="I1119" t="s">
        <v>9060</v>
      </c>
    </row>
    <row r="1120" spans="1:9" x14ac:dyDescent="0.25">
      <c r="A1120" t="s">
        <v>114</v>
      </c>
      <c r="B1120">
        <v>342</v>
      </c>
      <c r="C1120" t="s">
        <v>5397</v>
      </c>
      <c r="D1120" t="s">
        <v>8035</v>
      </c>
      <c r="E1120">
        <v>22</v>
      </c>
      <c r="F1120" s="6">
        <v>5250000000</v>
      </c>
      <c r="G1120" s="6">
        <v>6200111000</v>
      </c>
      <c r="H1120">
        <v>384</v>
      </c>
      <c r="I1120" t="s">
        <v>9061</v>
      </c>
    </row>
    <row r="1121" spans="1:9" x14ac:dyDescent="0.25">
      <c r="A1121" t="s">
        <v>114</v>
      </c>
      <c r="B1121">
        <v>364</v>
      </c>
      <c r="C1121" t="s">
        <v>4018</v>
      </c>
      <c r="D1121" t="s">
        <v>3210</v>
      </c>
      <c r="E1121">
        <v>22</v>
      </c>
      <c r="F1121" s="6">
        <v>5050000000</v>
      </c>
      <c r="G1121" s="6">
        <v>5532190988</v>
      </c>
      <c r="H1121">
        <v>406</v>
      </c>
      <c r="I1121" t="s">
        <v>9062</v>
      </c>
    </row>
    <row r="1122" spans="1:9" x14ac:dyDescent="0.25">
      <c r="A1122" t="s">
        <v>114</v>
      </c>
      <c r="B1122">
        <v>136</v>
      </c>
      <c r="C1122" t="s">
        <v>1749</v>
      </c>
      <c r="D1122" t="s">
        <v>376</v>
      </c>
      <c r="E1122">
        <v>21</v>
      </c>
      <c r="F1122" s="6">
        <v>2100000000</v>
      </c>
      <c r="G1122" s="6">
        <v>2487999999</v>
      </c>
      <c r="H1122">
        <v>178</v>
      </c>
      <c r="I1122" t="s">
        <v>9063</v>
      </c>
    </row>
    <row r="1123" spans="1:9" x14ac:dyDescent="0.25">
      <c r="A1123" t="s">
        <v>114</v>
      </c>
      <c r="B1123">
        <v>167</v>
      </c>
      <c r="C1123" t="s">
        <v>1871</v>
      </c>
      <c r="D1123" t="s">
        <v>376</v>
      </c>
      <c r="E1123">
        <v>21</v>
      </c>
      <c r="F1123" s="6">
        <v>2100000000</v>
      </c>
      <c r="G1123" s="6">
        <v>2488000000</v>
      </c>
      <c r="H1123">
        <v>209</v>
      </c>
      <c r="I1123" t="s">
        <v>9064</v>
      </c>
    </row>
    <row r="1124" spans="1:9" x14ac:dyDescent="0.25">
      <c r="A1124" t="s">
        <v>114</v>
      </c>
      <c r="B1124">
        <v>170</v>
      </c>
      <c r="C1124" t="s">
        <v>1883</v>
      </c>
      <c r="D1124" t="s">
        <v>376</v>
      </c>
      <c r="E1124">
        <v>21</v>
      </c>
      <c r="F1124" s="6">
        <v>2100000000</v>
      </c>
      <c r="G1124" s="6">
        <v>2300999999</v>
      </c>
      <c r="H1124">
        <v>212</v>
      </c>
      <c r="I1124" t="s">
        <v>9065</v>
      </c>
    </row>
    <row r="1125" spans="1:9" x14ac:dyDescent="0.25">
      <c r="A1125" t="s">
        <v>114</v>
      </c>
      <c r="B1125">
        <v>242</v>
      </c>
      <c r="C1125" t="s">
        <v>4356</v>
      </c>
      <c r="D1125" t="s">
        <v>2476</v>
      </c>
      <c r="E1125">
        <v>21</v>
      </c>
      <c r="F1125" s="6">
        <v>3570000000</v>
      </c>
      <c r="G1125" s="6">
        <v>4629750000</v>
      </c>
      <c r="H1125">
        <v>284</v>
      </c>
      <c r="I1125" t="s">
        <v>9066</v>
      </c>
    </row>
    <row r="1126" spans="1:9" x14ac:dyDescent="0.25">
      <c r="A1126" t="s">
        <v>114</v>
      </c>
      <c r="B1126">
        <v>254</v>
      </c>
      <c r="C1126" t="s">
        <v>3580</v>
      </c>
      <c r="D1126" t="s">
        <v>3579</v>
      </c>
      <c r="E1126">
        <v>21</v>
      </c>
      <c r="F1126" s="6">
        <v>4400000000</v>
      </c>
      <c r="G1126" s="6">
        <v>5431000000</v>
      </c>
      <c r="H1126">
        <v>296</v>
      </c>
      <c r="I1126" t="s">
        <v>9067</v>
      </c>
    </row>
    <row r="1127" spans="1:9" x14ac:dyDescent="0.25">
      <c r="A1127" t="s">
        <v>114</v>
      </c>
      <c r="B1127">
        <v>264</v>
      </c>
      <c r="C1127" t="s">
        <v>4410</v>
      </c>
      <c r="D1127" t="s">
        <v>2568</v>
      </c>
      <c r="E1127">
        <v>21</v>
      </c>
      <c r="F1127" s="6">
        <v>3650000000</v>
      </c>
      <c r="G1127" s="6">
        <v>4538600000</v>
      </c>
      <c r="H1127">
        <v>306</v>
      </c>
      <c r="I1127" t="s">
        <v>9068</v>
      </c>
    </row>
    <row r="1128" spans="1:9" x14ac:dyDescent="0.25">
      <c r="A1128" t="s">
        <v>114</v>
      </c>
      <c r="B1128">
        <v>307</v>
      </c>
      <c r="C1128" t="s">
        <v>4892</v>
      </c>
      <c r="D1128" t="s">
        <v>8035</v>
      </c>
      <c r="E1128">
        <v>21</v>
      </c>
      <c r="F1128" s="6">
        <v>5400000000</v>
      </c>
      <c r="G1128" s="6">
        <v>6128888888</v>
      </c>
      <c r="H1128">
        <v>349</v>
      </c>
      <c r="I1128" t="s">
        <v>9069</v>
      </c>
    </row>
    <row r="1129" spans="1:9" x14ac:dyDescent="0.25">
      <c r="A1129" t="s">
        <v>114</v>
      </c>
      <c r="B1129">
        <v>363</v>
      </c>
      <c r="C1129" t="s">
        <v>5319</v>
      </c>
      <c r="D1129" t="s">
        <v>3210</v>
      </c>
      <c r="E1129">
        <v>21</v>
      </c>
      <c r="F1129" s="6">
        <v>5000000000</v>
      </c>
      <c r="G1129" s="6">
        <v>5385555555</v>
      </c>
      <c r="H1129">
        <v>405</v>
      </c>
      <c r="I1129" t="s">
        <v>9070</v>
      </c>
    </row>
    <row r="1130" spans="1:9" x14ac:dyDescent="0.25">
      <c r="A1130" t="s">
        <v>114</v>
      </c>
      <c r="B1130">
        <v>368</v>
      </c>
      <c r="C1130" t="s">
        <v>5293</v>
      </c>
      <c r="D1130" t="s">
        <v>3431</v>
      </c>
      <c r="E1130">
        <v>21</v>
      </c>
      <c r="F1130" s="6">
        <v>4880000000</v>
      </c>
      <c r="G1130" s="6">
        <v>5520009999</v>
      </c>
      <c r="H1130">
        <v>410</v>
      </c>
      <c r="I1130" t="s">
        <v>9071</v>
      </c>
    </row>
    <row r="1131" spans="1:9" x14ac:dyDescent="0.25">
      <c r="A1131" t="s">
        <v>114</v>
      </c>
      <c r="B1131">
        <v>374</v>
      </c>
      <c r="C1131" t="s">
        <v>3585</v>
      </c>
      <c r="D1131" t="s">
        <v>191</v>
      </c>
      <c r="E1131">
        <v>21</v>
      </c>
      <c r="F1131" s="6">
        <v>4240000000</v>
      </c>
      <c r="G1131" s="6">
        <v>5286800000</v>
      </c>
      <c r="H1131">
        <v>418</v>
      </c>
      <c r="I1131" t="s">
        <v>9072</v>
      </c>
    </row>
    <row r="1132" spans="1:9" x14ac:dyDescent="0.25">
      <c r="A1132" t="s">
        <v>114</v>
      </c>
      <c r="B1132">
        <v>406</v>
      </c>
      <c r="C1132" t="s">
        <v>3964</v>
      </c>
      <c r="D1132" t="s">
        <v>2958</v>
      </c>
      <c r="E1132">
        <v>21</v>
      </c>
      <c r="F1132" s="6">
        <v>3500000000</v>
      </c>
      <c r="G1132" s="6">
        <v>4059999999</v>
      </c>
      <c r="H1132">
        <v>450</v>
      </c>
      <c r="I1132" t="s">
        <v>9073</v>
      </c>
    </row>
    <row r="1133" spans="1:9" x14ac:dyDescent="0.25">
      <c r="A1133" t="s">
        <v>114</v>
      </c>
      <c r="B1133">
        <v>483</v>
      </c>
      <c r="C1133" t="s">
        <v>3108</v>
      </c>
      <c r="D1133" t="s">
        <v>8665</v>
      </c>
      <c r="E1133">
        <v>21</v>
      </c>
      <c r="F1133" s="6">
        <v>2700000000</v>
      </c>
      <c r="G1133" s="6">
        <v>3955010001</v>
      </c>
      <c r="H1133">
        <v>587</v>
      </c>
      <c r="I1133" t="s">
        <v>9074</v>
      </c>
    </row>
    <row r="1134" spans="1:9" x14ac:dyDescent="0.25">
      <c r="A1134" t="s">
        <v>114</v>
      </c>
      <c r="B1134">
        <v>83</v>
      </c>
      <c r="C1134" t="s">
        <v>1544</v>
      </c>
      <c r="D1134" t="s">
        <v>376</v>
      </c>
      <c r="E1134">
        <v>20</v>
      </c>
      <c r="F1134" s="6">
        <v>2100000000</v>
      </c>
      <c r="G1134" s="6">
        <v>2463999000</v>
      </c>
      <c r="H1134">
        <v>125</v>
      </c>
      <c r="I1134" t="s">
        <v>9075</v>
      </c>
    </row>
    <row r="1135" spans="1:9" x14ac:dyDescent="0.25">
      <c r="A1135" t="s">
        <v>114</v>
      </c>
      <c r="B1135">
        <v>175</v>
      </c>
      <c r="C1135" t="s">
        <v>1908</v>
      </c>
      <c r="D1135" t="s">
        <v>376</v>
      </c>
      <c r="E1135">
        <v>20</v>
      </c>
      <c r="F1135" s="6">
        <v>2100000000</v>
      </c>
      <c r="G1135" s="6">
        <v>2301743200</v>
      </c>
      <c r="H1135">
        <v>217</v>
      </c>
      <c r="I1135" t="s">
        <v>9076</v>
      </c>
    </row>
    <row r="1136" spans="1:9" x14ac:dyDescent="0.25">
      <c r="A1136" t="s">
        <v>114</v>
      </c>
      <c r="B1136">
        <v>245</v>
      </c>
      <c r="C1136" t="s">
        <v>5172</v>
      </c>
      <c r="D1136" t="s">
        <v>404</v>
      </c>
      <c r="E1136">
        <v>20</v>
      </c>
      <c r="F1136" s="6">
        <v>4450000000</v>
      </c>
      <c r="G1136" s="6">
        <v>5250000000</v>
      </c>
      <c r="H1136">
        <v>287</v>
      </c>
      <c r="I1136" t="s">
        <v>9077</v>
      </c>
    </row>
    <row r="1137" spans="1:9" x14ac:dyDescent="0.25">
      <c r="A1137" t="s">
        <v>114</v>
      </c>
      <c r="B1137">
        <v>331</v>
      </c>
      <c r="C1137" t="s">
        <v>5464</v>
      </c>
      <c r="D1137" t="s">
        <v>8035</v>
      </c>
      <c r="E1137">
        <v>20</v>
      </c>
      <c r="F1137" s="6">
        <v>5350000000</v>
      </c>
      <c r="G1137" s="6">
        <v>6100111000</v>
      </c>
      <c r="H1137">
        <v>373</v>
      </c>
      <c r="I1137" t="s">
        <v>9078</v>
      </c>
    </row>
    <row r="1138" spans="1:9" x14ac:dyDescent="0.25">
      <c r="A1138" t="s">
        <v>114</v>
      </c>
      <c r="B1138">
        <v>236</v>
      </c>
      <c r="C1138" t="s">
        <v>5552</v>
      </c>
      <c r="D1138" t="s">
        <v>3521</v>
      </c>
      <c r="E1138">
        <v>19</v>
      </c>
      <c r="F1138" s="6">
        <v>5500000000</v>
      </c>
      <c r="G1138" s="6">
        <v>6919999999</v>
      </c>
      <c r="H1138">
        <v>278</v>
      </c>
      <c r="I1138" t="s">
        <v>9079</v>
      </c>
    </row>
    <row r="1139" spans="1:9" x14ac:dyDescent="0.25">
      <c r="A1139" t="s">
        <v>114</v>
      </c>
      <c r="B1139">
        <v>514</v>
      </c>
      <c r="C1139" t="s">
        <v>4916</v>
      </c>
      <c r="D1139" t="s">
        <v>8035</v>
      </c>
      <c r="E1139">
        <v>19</v>
      </c>
      <c r="F1139" s="6">
        <v>4100000000</v>
      </c>
      <c r="G1139" s="6">
        <v>5880000000</v>
      </c>
      <c r="H1139">
        <v>624</v>
      </c>
      <c r="I1139" t="s">
        <v>9080</v>
      </c>
    </row>
    <row r="1140" spans="1:9" x14ac:dyDescent="0.25">
      <c r="A1140" t="s">
        <v>114</v>
      </c>
      <c r="B1140">
        <v>122</v>
      </c>
      <c r="C1140" t="s">
        <v>1700</v>
      </c>
      <c r="D1140" t="s">
        <v>376</v>
      </c>
      <c r="E1140">
        <v>18</v>
      </c>
      <c r="F1140" s="6">
        <v>2100000000</v>
      </c>
      <c r="G1140" s="6">
        <v>2411999999</v>
      </c>
      <c r="H1140">
        <v>164</v>
      </c>
      <c r="I1140" t="s">
        <v>9081</v>
      </c>
    </row>
    <row r="1141" spans="1:9" x14ac:dyDescent="0.25">
      <c r="A1141" t="s">
        <v>114</v>
      </c>
      <c r="B1141">
        <v>168</v>
      </c>
      <c r="C1141" t="s">
        <v>1875</v>
      </c>
      <c r="D1141" t="s">
        <v>376</v>
      </c>
      <c r="E1141">
        <v>18</v>
      </c>
      <c r="F1141" s="6">
        <v>2100000000</v>
      </c>
      <c r="G1141" s="6">
        <v>2469000000</v>
      </c>
      <c r="H1141">
        <v>210</v>
      </c>
      <c r="I1141" t="s">
        <v>9082</v>
      </c>
    </row>
    <row r="1142" spans="1:9" x14ac:dyDescent="0.25">
      <c r="A1142" t="s">
        <v>114</v>
      </c>
      <c r="B1142">
        <v>248</v>
      </c>
      <c r="C1142" t="s">
        <v>5184</v>
      </c>
      <c r="D1142" t="s">
        <v>404</v>
      </c>
      <c r="E1142">
        <v>18</v>
      </c>
      <c r="F1142" s="6">
        <v>4500000000</v>
      </c>
      <c r="G1142" s="6">
        <v>5156758000</v>
      </c>
      <c r="H1142">
        <v>290</v>
      </c>
      <c r="I1142" t="s">
        <v>9083</v>
      </c>
    </row>
    <row r="1143" spans="1:9" x14ac:dyDescent="0.25">
      <c r="A1143" t="s">
        <v>114</v>
      </c>
      <c r="B1143">
        <v>269</v>
      </c>
      <c r="C1143" t="s">
        <v>4447</v>
      </c>
      <c r="D1143" t="s">
        <v>3983</v>
      </c>
      <c r="E1143">
        <v>18</v>
      </c>
      <c r="F1143" s="6">
        <v>3720000000</v>
      </c>
      <c r="G1143" s="6">
        <v>4455550000</v>
      </c>
      <c r="H1143">
        <v>311</v>
      </c>
      <c r="I1143" t="s">
        <v>9084</v>
      </c>
    </row>
    <row r="1144" spans="1:9" x14ac:dyDescent="0.25">
      <c r="A1144" t="s">
        <v>114</v>
      </c>
      <c r="B1144">
        <v>359</v>
      </c>
      <c r="C1144" t="s">
        <v>4261</v>
      </c>
      <c r="D1144" t="s">
        <v>3210</v>
      </c>
      <c r="E1144">
        <v>18</v>
      </c>
      <c r="F1144" s="6">
        <v>4980000000</v>
      </c>
      <c r="G1144" s="6">
        <v>5710000000</v>
      </c>
      <c r="H1144">
        <v>401</v>
      </c>
      <c r="I1144" t="s">
        <v>9085</v>
      </c>
    </row>
    <row r="1145" spans="1:9" x14ac:dyDescent="0.25">
      <c r="A1145" t="s">
        <v>114</v>
      </c>
      <c r="B1145">
        <v>241</v>
      </c>
      <c r="C1145" t="s">
        <v>3843</v>
      </c>
      <c r="D1145" t="s">
        <v>2416</v>
      </c>
      <c r="E1145">
        <v>17</v>
      </c>
      <c r="F1145" s="6">
        <v>3420000000</v>
      </c>
      <c r="G1145" s="6">
        <v>4144444444</v>
      </c>
      <c r="H1145">
        <v>283</v>
      </c>
      <c r="I1145" t="s">
        <v>9086</v>
      </c>
    </row>
    <row r="1146" spans="1:9" x14ac:dyDescent="0.25">
      <c r="A1146" t="s">
        <v>114</v>
      </c>
      <c r="B1146">
        <v>393</v>
      </c>
      <c r="C1146" t="s">
        <v>3761</v>
      </c>
      <c r="D1146" t="s">
        <v>1418</v>
      </c>
      <c r="E1146">
        <v>17</v>
      </c>
      <c r="F1146" s="6">
        <v>3400000000</v>
      </c>
      <c r="H1146">
        <v>437</v>
      </c>
      <c r="I1146" t="s">
        <v>9087</v>
      </c>
    </row>
    <row r="1147" spans="1:9" x14ac:dyDescent="0.25">
      <c r="A1147" t="s">
        <v>114</v>
      </c>
      <c r="B1147">
        <v>263</v>
      </c>
      <c r="C1147" t="s">
        <v>3951</v>
      </c>
      <c r="D1147" t="s">
        <v>2568</v>
      </c>
      <c r="E1147">
        <v>16</v>
      </c>
      <c r="F1147" s="6">
        <v>3500000000</v>
      </c>
      <c r="G1147" s="6">
        <v>3856666666</v>
      </c>
      <c r="H1147">
        <v>305</v>
      </c>
      <c r="I1147" t="s">
        <v>9088</v>
      </c>
    </row>
    <row r="1148" spans="1:9" x14ac:dyDescent="0.25">
      <c r="A1148" t="s">
        <v>114</v>
      </c>
      <c r="B1148">
        <v>271</v>
      </c>
      <c r="C1148" t="s">
        <v>4912</v>
      </c>
      <c r="D1148" t="s">
        <v>3250</v>
      </c>
      <c r="E1148">
        <v>15</v>
      </c>
      <c r="F1148" s="6">
        <v>4100000000</v>
      </c>
      <c r="G1148" s="6">
        <v>4719999999</v>
      </c>
      <c r="H1148">
        <v>313</v>
      </c>
      <c r="I1148" t="s">
        <v>9089</v>
      </c>
    </row>
    <row r="1149" spans="1:9" x14ac:dyDescent="0.25">
      <c r="A1149" t="s">
        <v>114</v>
      </c>
      <c r="B1149">
        <v>427</v>
      </c>
      <c r="C1149" t="s">
        <v>456</v>
      </c>
      <c r="D1149" t="s">
        <v>376</v>
      </c>
      <c r="E1149">
        <v>15</v>
      </c>
      <c r="F1149" s="6">
        <v>1950000000</v>
      </c>
      <c r="G1149" s="6">
        <v>2495222000</v>
      </c>
      <c r="H1149">
        <v>524</v>
      </c>
      <c r="I1149" t="s">
        <v>9090</v>
      </c>
    </row>
    <row r="1150" spans="1:9" x14ac:dyDescent="0.25">
      <c r="A1150" t="s">
        <v>114</v>
      </c>
      <c r="B1150">
        <v>416</v>
      </c>
      <c r="C1150" t="s">
        <v>2618</v>
      </c>
      <c r="D1150" t="s">
        <v>2189</v>
      </c>
      <c r="E1150">
        <v>14</v>
      </c>
      <c r="F1150" s="6">
        <v>2900000000</v>
      </c>
      <c r="G1150" s="6">
        <v>3835001000</v>
      </c>
      <c r="H1150">
        <v>513</v>
      </c>
      <c r="I1150" t="s">
        <v>9091</v>
      </c>
    </row>
    <row r="1151" spans="1:9" x14ac:dyDescent="0.25">
      <c r="A1151" t="s">
        <v>114</v>
      </c>
      <c r="B1151">
        <v>386</v>
      </c>
      <c r="C1151" t="s">
        <v>4377</v>
      </c>
      <c r="D1151" t="s">
        <v>1418</v>
      </c>
      <c r="E1151">
        <v>13</v>
      </c>
      <c r="F1151" s="6">
        <v>3600000000</v>
      </c>
      <c r="G1151" s="6">
        <v>4209660000</v>
      </c>
      <c r="H1151">
        <v>430</v>
      </c>
      <c r="I1151" t="s">
        <v>9092</v>
      </c>
    </row>
    <row r="1152" spans="1:9" x14ac:dyDescent="0.25">
      <c r="A1152" t="s">
        <v>114</v>
      </c>
      <c r="B1152">
        <v>380</v>
      </c>
      <c r="C1152" t="s">
        <v>4967</v>
      </c>
      <c r="D1152" t="s">
        <v>191</v>
      </c>
      <c r="E1152">
        <v>12</v>
      </c>
      <c r="F1152" s="6">
        <v>4120000000</v>
      </c>
      <c r="H1152">
        <v>424</v>
      </c>
      <c r="I1152" t="s">
        <v>9093</v>
      </c>
    </row>
    <row r="1153" spans="1:9" x14ac:dyDescent="0.25">
      <c r="A1153" t="s">
        <v>114</v>
      </c>
      <c r="B1153">
        <v>428</v>
      </c>
      <c r="C1153" t="s">
        <v>462</v>
      </c>
      <c r="D1153" t="s">
        <v>376</v>
      </c>
      <c r="E1153">
        <v>12</v>
      </c>
      <c r="F1153" s="6">
        <v>1950000000</v>
      </c>
      <c r="G1153" s="6">
        <v>2376777777</v>
      </c>
      <c r="H1153">
        <v>525</v>
      </c>
      <c r="I1153" t="s">
        <v>9094</v>
      </c>
    </row>
    <row r="1154" spans="1:9" x14ac:dyDescent="0.25">
      <c r="A1154" t="s">
        <v>114</v>
      </c>
      <c r="B1154">
        <v>454</v>
      </c>
      <c r="C1154" t="s">
        <v>662</v>
      </c>
      <c r="D1154" t="s">
        <v>8761</v>
      </c>
      <c r="E1154">
        <v>12</v>
      </c>
      <c r="F1154" s="6">
        <v>2000000000</v>
      </c>
      <c r="G1154" s="6">
        <v>3459000000</v>
      </c>
      <c r="H1154">
        <v>558</v>
      </c>
      <c r="I1154" t="s">
        <v>9095</v>
      </c>
    </row>
    <row r="1155" spans="1:9" x14ac:dyDescent="0.25">
      <c r="A1155" t="s">
        <v>114</v>
      </c>
      <c r="B1155">
        <v>456</v>
      </c>
      <c r="C1155" t="s">
        <v>2624</v>
      </c>
      <c r="D1155" t="s">
        <v>8703</v>
      </c>
      <c r="E1155">
        <v>12</v>
      </c>
      <c r="F1155" s="6">
        <v>2400000000</v>
      </c>
      <c r="G1155" s="6">
        <v>3749000000</v>
      </c>
      <c r="H1155">
        <v>560</v>
      </c>
      <c r="I1155" t="s">
        <v>9096</v>
      </c>
    </row>
    <row r="1156" spans="1:9" x14ac:dyDescent="0.25">
      <c r="A1156" t="s">
        <v>114</v>
      </c>
      <c r="B1156">
        <v>165</v>
      </c>
      <c r="C1156" t="s">
        <v>1434</v>
      </c>
      <c r="D1156" t="s">
        <v>376</v>
      </c>
      <c r="E1156">
        <v>11</v>
      </c>
      <c r="F1156" s="6">
        <v>2050000000</v>
      </c>
      <c r="G1156" s="6">
        <v>2299111111</v>
      </c>
      <c r="H1156">
        <v>207</v>
      </c>
      <c r="I1156" t="s">
        <v>9097</v>
      </c>
    </row>
    <row r="1157" spans="1:9" x14ac:dyDescent="0.25">
      <c r="A1157" t="s">
        <v>114</v>
      </c>
      <c r="B1157">
        <v>194</v>
      </c>
      <c r="C1157" t="s">
        <v>1993</v>
      </c>
      <c r="D1157" t="s">
        <v>376</v>
      </c>
      <c r="E1157">
        <v>10</v>
      </c>
      <c r="F1157" s="6">
        <v>2100000000</v>
      </c>
      <c r="G1157" s="6">
        <v>2407777777</v>
      </c>
      <c r="H1157">
        <v>236</v>
      </c>
      <c r="I1157" t="s">
        <v>9098</v>
      </c>
    </row>
    <row r="1158" spans="1:9" x14ac:dyDescent="0.25">
      <c r="A1158" t="s">
        <v>114</v>
      </c>
      <c r="B1158">
        <v>391</v>
      </c>
      <c r="C1158" t="s">
        <v>4314</v>
      </c>
      <c r="D1158" t="s">
        <v>1418</v>
      </c>
      <c r="E1158">
        <v>10</v>
      </c>
      <c r="F1158" s="6">
        <v>3550000000</v>
      </c>
      <c r="G1158" s="6">
        <v>3750000000</v>
      </c>
      <c r="H1158">
        <v>435</v>
      </c>
      <c r="I1158" t="s">
        <v>9099</v>
      </c>
    </row>
    <row r="1159" spans="1:9" x14ac:dyDescent="0.25">
      <c r="A1159" t="s">
        <v>114</v>
      </c>
      <c r="B1159">
        <v>426</v>
      </c>
      <c r="C1159" t="s">
        <v>451</v>
      </c>
      <c r="D1159" t="s">
        <v>376</v>
      </c>
      <c r="E1159">
        <v>10</v>
      </c>
      <c r="F1159" s="6">
        <v>1950000000</v>
      </c>
      <c r="G1159" s="6">
        <v>2550999999</v>
      </c>
      <c r="H1159">
        <v>523</v>
      </c>
      <c r="I1159" t="s">
        <v>9100</v>
      </c>
    </row>
    <row r="1160" spans="1:9" x14ac:dyDescent="0.25">
      <c r="A1160" t="s">
        <v>114</v>
      </c>
      <c r="B1160">
        <v>85</v>
      </c>
      <c r="C1160" t="s">
        <v>1553</v>
      </c>
      <c r="D1160" t="s">
        <v>376</v>
      </c>
      <c r="E1160">
        <v>9</v>
      </c>
      <c r="F1160" s="6">
        <v>2100000000</v>
      </c>
      <c r="G1160" s="6">
        <v>2427999000</v>
      </c>
      <c r="H1160">
        <v>127</v>
      </c>
      <c r="I1160" t="s">
        <v>9101</v>
      </c>
    </row>
    <row r="1161" spans="1:9" x14ac:dyDescent="0.25">
      <c r="A1161" t="s">
        <v>114</v>
      </c>
      <c r="B1161">
        <v>265</v>
      </c>
      <c r="C1161" t="s">
        <v>3050</v>
      </c>
      <c r="D1161" t="s">
        <v>1418</v>
      </c>
      <c r="E1161">
        <v>8</v>
      </c>
      <c r="F1161" s="6">
        <v>3400000000</v>
      </c>
      <c r="G1161" s="6">
        <v>3865959564</v>
      </c>
      <c r="H1161">
        <v>307</v>
      </c>
      <c r="I1161" t="s">
        <v>9102</v>
      </c>
    </row>
    <row r="1162" spans="1:9" x14ac:dyDescent="0.25">
      <c r="A1162" t="s">
        <v>114</v>
      </c>
      <c r="B1162">
        <v>515</v>
      </c>
      <c r="C1162" t="s">
        <v>326</v>
      </c>
      <c r="D1162" t="s">
        <v>325</v>
      </c>
      <c r="E1162">
        <v>8</v>
      </c>
      <c r="F1162" s="6">
        <v>1700000000</v>
      </c>
      <c r="G1162" s="6">
        <v>2850000000</v>
      </c>
      <c r="H1162">
        <v>625</v>
      </c>
      <c r="I1162" t="s">
        <v>9103</v>
      </c>
    </row>
    <row r="1163" spans="1:9" x14ac:dyDescent="0.25">
      <c r="A1163" t="s">
        <v>114</v>
      </c>
      <c r="B1163">
        <v>516</v>
      </c>
      <c r="C1163" t="s">
        <v>347</v>
      </c>
      <c r="D1163" t="s">
        <v>325</v>
      </c>
      <c r="E1163">
        <v>8</v>
      </c>
      <c r="F1163" s="6">
        <v>1750000000</v>
      </c>
      <c r="G1163" s="6">
        <v>2490000000</v>
      </c>
      <c r="H1163">
        <v>626</v>
      </c>
      <c r="I1163" t="s">
        <v>9104</v>
      </c>
    </row>
    <row r="1164" spans="1:9" x14ac:dyDescent="0.25">
      <c r="A1164" t="s">
        <v>114</v>
      </c>
      <c r="B1164">
        <v>457</v>
      </c>
      <c r="C1164" t="s">
        <v>2557</v>
      </c>
      <c r="D1164" t="s">
        <v>8761</v>
      </c>
      <c r="E1164">
        <v>7</v>
      </c>
      <c r="F1164" s="6">
        <v>2350000000</v>
      </c>
      <c r="G1164" s="6">
        <v>3626777777</v>
      </c>
      <c r="H1164">
        <v>561</v>
      </c>
      <c r="I1164" t="s">
        <v>9105</v>
      </c>
    </row>
    <row r="1165" spans="1:9" x14ac:dyDescent="0.25">
      <c r="A1165" t="s">
        <v>114</v>
      </c>
      <c r="B1165">
        <v>425</v>
      </c>
      <c r="C1165" t="s">
        <v>445</v>
      </c>
      <c r="D1165" t="s">
        <v>376</v>
      </c>
      <c r="E1165">
        <v>5</v>
      </c>
      <c r="F1165" s="6">
        <v>1950000000</v>
      </c>
      <c r="G1165" s="6">
        <v>2456000000</v>
      </c>
      <c r="H1165">
        <v>522</v>
      </c>
      <c r="I1165" t="s">
        <v>9106</v>
      </c>
    </row>
    <row r="1166" spans="1:9" x14ac:dyDescent="0.25">
      <c r="A1166" t="s">
        <v>114</v>
      </c>
      <c r="B1166">
        <v>517</v>
      </c>
      <c r="C1166" t="s">
        <v>371</v>
      </c>
      <c r="D1166" t="s">
        <v>325</v>
      </c>
      <c r="E1166">
        <v>5</v>
      </c>
      <c r="F1166" s="6">
        <v>1800000000</v>
      </c>
      <c r="G1166" s="6">
        <v>2774563000</v>
      </c>
      <c r="H1166">
        <v>627</v>
      </c>
      <c r="I1166" t="s">
        <v>9107</v>
      </c>
    </row>
    <row r="1167" spans="1:9" x14ac:dyDescent="0.25">
      <c r="A1167" t="s">
        <v>114</v>
      </c>
      <c r="B1167">
        <v>481</v>
      </c>
      <c r="C1167" t="s">
        <v>2442</v>
      </c>
      <c r="D1167" t="s">
        <v>2441</v>
      </c>
      <c r="E1167">
        <v>4</v>
      </c>
      <c r="F1167" s="6">
        <v>2700000000</v>
      </c>
      <c r="G1167" s="6">
        <v>3905000000</v>
      </c>
      <c r="H1167">
        <v>585</v>
      </c>
      <c r="I1167" t="s">
        <v>9108</v>
      </c>
    </row>
    <row r="1168" spans="1:9" x14ac:dyDescent="0.25">
      <c r="A1168" t="s">
        <v>114</v>
      </c>
      <c r="B1168">
        <v>518</v>
      </c>
      <c r="C1168" t="s">
        <v>7900</v>
      </c>
      <c r="D1168" t="s">
        <v>3250</v>
      </c>
      <c r="E1168">
        <v>2</v>
      </c>
      <c r="F1168" s="6">
        <v>3250000000</v>
      </c>
      <c r="G1168" s="6">
        <v>4319999999</v>
      </c>
      <c r="H1168">
        <v>628</v>
      </c>
      <c r="I1168" t="s">
        <v>9109</v>
      </c>
    </row>
    <row r="1169" spans="1:9" x14ac:dyDescent="0.25">
      <c r="A1169" t="s">
        <v>114</v>
      </c>
      <c r="B1169">
        <v>519</v>
      </c>
      <c r="C1169" t="s">
        <v>3555</v>
      </c>
      <c r="D1169" t="s">
        <v>191</v>
      </c>
      <c r="E1169">
        <v>2</v>
      </c>
      <c r="F1169" s="6">
        <v>3300000000</v>
      </c>
      <c r="G1169" s="6">
        <v>4310500000</v>
      </c>
      <c r="H1169">
        <v>629</v>
      </c>
      <c r="I1169" t="s">
        <v>9110</v>
      </c>
    </row>
    <row r="1170" spans="1:9" x14ac:dyDescent="0.25">
      <c r="B1170" t="s">
        <v>7917</v>
      </c>
      <c r="C1170" t="s">
        <v>7918</v>
      </c>
      <c r="D1170" t="s">
        <v>7919</v>
      </c>
      <c r="E1170" t="s">
        <v>7920</v>
      </c>
      <c r="F1170" t="s">
        <v>7921</v>
      </c>
      <c r="G1170" t="s">
        <v>7922</v>
      </c>
      <c r="H1170" t="s">
        <v>7923</v>
      </c>
    </row>
    <row r="1171" spans="1:9" x14ac:dyDescent="0.25">
      <c r="B1171">
        <v>523</v>
      </c>
      <c r="C1171" t="s">
        <v>5720</v>
      </c>
      <c r="D1171" t="s">
        <v>2476</v>
      </c>
      <c r="E1171">
        <v>999999</v>
      </c>
      <c r="F1171" s="6">
        <v>2700000000</v>
      </c>
      <c r="H1171">
        <v>616</v>
      </c>
      <c r="I1171" t="s">
        <v>9111</v>
      </c>
    </row>
    <row r="1172" spans="1:9" x14ac:dyDescent="0.25">
      <c r="B1172">
        <v>527</v>
      </c>
      <c r="C1172" t="s">
        <v>3076</v>
      </c>
      <c r="D1172" t="s">
        <v>3075</v>
      </c>
      <c r="E1172">
        <v>999999</v>
      </c>
      <c r="F1172" s="6">
        <v>2800000000</v>
      </c>
      <c r="H1172">
        <v>620</v>
      </c>
      <c r="I1172" t="s">
        <v>9112</v>
      </c>
    </row>
    <row r="1173" spans="1:9" x14ac:dyDescent="0.25">
      <c r="B1173">
        <v>533</v>
      </c>
      <c r="C1173" t="s">
        <v>5823</v>
      </c>
      <c r="D1173" t="s">
        <v>191</v>
      </c>
      <c r="E1173">
        <v>999999</v>
      </c>
      <c r="F1173" s="6">
        <v>4300000000</v>
      </c>
      <c r="H1173">
        <v>626</v>
      </c>
      <c r="I1173" t="s">
        <v>9113</v>
      </c>
    </row>
    <row r="1174" spans="1:9" x14ac:dyDescent="0.25">
      <c r="B1174">
        <v>535</v>
      </c>
      <c r="C1174" t="s">
        <v>5727</v>
      </c>
      <c r="D1174" t="s">
        <v>5726</v>
      </c>
      <c r="E1174">
        <v>999999</v>
      </c>
      <c r="F1174" s="6">
        <v>2800000000</v>
      </c>
      <c r="H1174">
        <v>628</v>
      </c>
      <c r="I1174" t="s">
        <v>9114</v>
      </c>
    </row>
    <row r="1175" spans="1:9" x14ac:dyDescent="0.25">
      <c r="B1175">
        <v>545</v>
      </c>
      <c r="C1175" t="s">
        <v>5786</v>
      </c>
      <c r="D1175" t="s">
        <v>5785</v>
      </c>
      <c r="E1175">
        <v>999999</v>
      </c>
      <c r="F1175" s="6">
        <v>4000000000</v>
      </c>
      <c r="H1175">
        <v>638</v>
      </c>
      <c r="I1175" t="s">
        <v>9115</v>
      </c>
    </row>
    <row r="1176" spans="1:9" x14ac:dyDescent="0.25">
      <c r="B1176">
        <v>547</v>
      </c>
      <c r="C1176" t="s">
        <v>5835</v>
      </c>
      <c r="D1176" t="s">
        <v>5834</v>
      </c>
      <c r="E1176">
        <v>999999</v>
      </c>
      <c r="F1176" s="6">
        <v>4600000000</v>
      </c>
      <c r="H1176">
        <v>640</v>
      </c>
      <c r="I1176" t="s">
        <v>9116</v>
      </c>
    </row>
    <row r="1177" spans="1:9" x14ac:dyDescent="0.25">
      <c r="B1177">
        <v>549</v>
      </c>
      <c r="C1177" t="s">
        <v>5848</v>
      </c>
      <c r="D1177" t="s">
        <v>3497</v>
      </c>
      <c r="E1177">
        <v>999999</v>
      </c>
      <c r="F1177" s="6">
        <v>4700000000</v>
      </c>
      <c r="H1177">
        <v>642</v>
      </c>
      <c r="I1177" t="s">
        <v>9117</v>
      </c>
    </row>
    <row r="1178" spans="1:9" x14ac:dyDescent="0.25">
      <c r="B1178">
        <v>565</v>
      </c>
      <c r="C1178">
        <v>82229876</v>
      </c>
      <c r="D1178" t="s">
        <v>7435</v>
      </c>
      <c r="E1178">
        <v>999999</v>
      </c>
      <c r="F1178" s="6">
        <v>350000000</v>
      </c>
      <c r="H1178">
        <v>662</v>
      </c>
      <c r="I1178" t="s">
        <v>9118</v>
      </c>
    </row>
    <row r="1179" spans="1:9" x14ac:dyDescent="0.25">
      <c r="B1179">
        <v>566</v>
      </c>
      <c r="C1179" t="s">
        <v>7310</v>
      </c>
      <c r="D1179" t="s">
        <v>7309</v>
      </c>
      <c r="E1179">
        <v>999999</v>
      </c>
      <c r="F1179" s="6">
        <v>400000000</v>
      </c>
      <c r="H1179">
        <v>663</v>
      </c>
      <c r="I1179" t="s">
        <v>9119</v>
      </c>
    </row>
    <row r="1180" spans="1:9" x14ac:dyDescent="0.25">
      <c r="B1180">
        <v>567</v>
      </c>
      <c r="C1180" t="s">
        <v>7440</v>
      </c>
      <c r="D1180" t="s">
        <v>7309</v>
      </c>
      <c r="E1180">
        <v>999999</v>
      </c>
      <c r="F1180" s="6">
        <v>550000000</v>
      </c>
      <c r="H1180">
        <v>664</v>
      </c>
      <c r="I1180" t="s">
        <v>9120</v>
      </c>
    </row>
    <row r="1181" spans="1:9" x14ac:dyDescent="0.25">
      <c r="B1181">
        <v>568</v>
      </c>
      <c r="C1181" t="s">
        <v>7317</v>
      </c>
      <c r="D1181" t="s">
        <v>7316</v>
      </c>
      <c r="E1181">
        <v>999999</v>
      </c>
      <c r="F1181" s="6">
        <v>800000000</v>
      </c>
      <c r="H1181">
        <v>665</v>
      </c>
      <c r="I1181" t="s">
        <v>9121</v>
      </c>
    </row>
    <row r="1182" spans="1:9" x14ac:dyDescent="0.25">
      <c r="B1182">
        <v>569</v>
      </c>
      <c r="C1182" t="s">
        <v>7444</v>
      </c>
      <c r="D1182" t="s">
        <v>7316</v>
      </c>
      <c r="E1182">
        <v>999999</v>
      </c>
      <c r="F1182" s="6">
        <v>820000000</v>
      </c>
      <c r="H1182">
        <v>666</v>
      </c>
      <c r="I1182" t="s">
        <v>9122</v>
      </c>
    </row>
    <row r="1183" spans="1:9" x14ac:dyDescent="0.25">
      <c r="B1183">
        <v>570</v>
      </c>
      <c r="C1183" t="s">
        <v>7323</v>
      </c>
      <c r="D1183" t="s">
        <v>7322</v>
      </c>
      <c r="E1183">
        <v>999999</v>
      </c>
      <c r="F1183" s="6">
        <v>750000000</v>
      </c>
      <c r="H1183">
        <v>667</v>
      </c>
      <c r="I1183" t="s">
        <v>9123</v>
      </c>
    </row>
    <row r="1184" spans="1:9" x14ac:dyDescent="0.25">
      <c r="B1184">
        <v>571</v>
      </c>
      <c r="C1184" t="s">
        <v>7448</v>
      </c>
      <c r="D1184" t="s">
        <v>7322</v>
      </c>
      <c r="E1184">
        <v>999999</v>
      </c>
      <c r="F1184" s="6">
        <v>700000000</v>
      </c>
      <c r="H1184">
        <v>668</v>
      </c>
      <c r="I1184" t="s">
        <v>9124</v>
      </c>
    </row>
    <row r="1185" spans="2:9" x14ac:dyDescent="0.25">
      <c r="B1185">
        <v>572</v>
      </c>
      <c r="C1185" t="s">
        <v>7329</v>
      </c>
      <c r="D1185" t="s">
        <v>7328</v>
      </c>
      <c r="E1185">
        <v>999999</v>
      </c>
      <c r="F1185" s="6">
        <v>680000000</v>
      </c>
      <c r="H1185">
        <v>669</v>
      </c>
      <c r="I1185" t="s">
        <v>9125</v>
      </c>
    </row>
    <row r="1186" spans="2:9" x14ac:dyDescent="0.25">
      <c r="B1186">
        <v>573</v>
      </c>
      <c r="C1186" t="s">
        <v>7452</v>
      </c>
      <c r="D1186" t="s">
        <v>7328</v>
      </c>
      <c r="E1186">
        <v>999999</v>
      </c>
      <c r="F1186" s="6">
        <v>730000000</v>
      </c>
      <c r="H1186">
        <v>670</v>
      </c>
      <c r="I1186" t="s">
        <v>9126</v>
      </c>
    </row>
    <row r="1187" spans="2:9" x14ac:dyDescent="0.25">
      <c r="B1187">
        <v>574</v>
      </c>
      <c r="C1187" t="s">
        <v>7335</v>
      </c>
      <c r="D1187" t="s">
        <v>9127</v>
      </c>
      <c r="E1187">
        <v>999999</v>
      </c>
      <c r="F1187" s="6">
        <v>600000000</v>
      </c>
      <c r="H1187">
        <v>671</v>
      </c>
      <c r="I1187" t="s">
        <v>9128</v>
      </c>
    </row>
    <row r="1188" spans="2:9" x14ac:dyDescent="0.25">
      <c r="B1188">
        <v>575</v>
      </c>
      <c r="C1188" t="s">
        <v>7456</v>
      </c>
      <c r="D1188" t="s">
        <v>9127</v>
      </c>
      <c r="E1188">
        <v>999999</v>
      </c>
      <c r="F1188" s="6">
        <v>600000000</v>
      </c>
      <c r="H1188">
        <v>672</v>
      </c>
      <c r="I1188" t="s">
        <v>9129</v>
      </c>
    </row>
    <row r="1189" spans="2:9" x14ac:dyDescent="0.25">
      <c r="B1189">
        <v>564</v>
      </c>
      <c r="C1189" t="s">
        <v>2805</v>
      </c>
      <c r="D1189" t="s">
        <v>2804</v>
      </c>
      <c r="E1189">
        <v>175907</v>
      </c>
      <c r="F1189" s="6">
        <v>3000000000</v>
      </c>
      <c r="H1189">
        <v>661</v>
      </c>
      <c r="I1189" t="s">
        <v>9130</v>
      </c>
    </row>
    <row r="1190" spans="2:9" x14ac:dyDescent="0.25">
      <c r="B1190">
        <v>543</v>
      </c>
      <c r="C1190" t="s">
        <v>286</v>
      </c>
      <c r="D1190" t="s">
        <v>285</v>
      </c>
      <c r="E1190">
        <v>153981</v>
      </c>
      <c r="F1190" s="6">
        <v>1800000000</v>
      </c>
      <c r="H1190">
        <v>636</v>
      </c>
      <c r="I1190" t="s">
        <v>9131</v>
      </c>
    </row>
    <row r="1191" spans="2:9" x14ac:dyDescent="0.25">
      <c r="B1191">
        <v>539</v>
      </c>
      <c r="C1191" t="s">
        <v>308</v>
      </c>
      <c r="D1191" t="s">
        <v>307</v>
      </c>
      <c r="E1191">
        <v>60760</v>
      </c>
      <c r="F1191" s="6">
        <v>1800000000</v>
      </c>
      <c r="H1191">
        <v>632</v>
      </c>
      <c r="I1191" t="s">
        <v>9132</v>
      </c>
    </row>
    <row r="1192" spans="2:9" x14ac:dyDescent="0.25">
      <c r="B1192">
        <v>517</v>
      </c>
      <c r="C1192" t="s">
        <v>5925</v>
      </c>
      <c r="D1192" t="s">
        <v>5924</v>
      </c>
      <c r="E1192">
        <v>46904</v>
      </c>
      <c r="F1192" s="6">
        <v>8400000000</v>
      </c>
      <c r="H1192">
        <v>610</v>
      </c>
      <c r="I1192" t="s">
        <v>9133</v>
      </c>
    </row>
    <row r="1193" spans="2:9" x14ac:dyDescent="0.25">
      <c r="B1193">
        <v>553</v>
      </c>
      <c r="C1193" t="s">
        <v>5876</v>
      </c>
      <c r="D1193" t="s">
        <v>3521</v>
      </c>
      <c r="E1193">
        <v>44234</v>
      </c>
      <c r="F1193" s="6">
        <v>5350000000</v>
      </c>
      <c r="H1193">
        <v>650</v>
      </c>
      <c r="I1193" t="s">
        <v>9134</v>
      </c>
    </row>
    <row r="1194" spans="2:9" x14ac:dyDescent="0.25">
      <c r="B1194">
        <v>556</v>
      </c>
      <c r="C1194" t="s">
        <v>5871</v>
      </c>
      <c r="D1194" t="s">
        <v>3521</v>
      </c>
      <c r="E1194">
        <v>43158</v>
      </c>
      <c r="F1194" s="6">
        <v>5300000000</v>
      </c>
      <c r="H1194">
        <v>653</v>
      </c>
      <c r="I1194" t="s">
        <v>9135</v>
      </c>
    </row>
    <row r="1195" spans="2:9" x14ac:dyDescent="0.25">
      <c r="B1195">
        <v>526</v>
      </c>
      <c r="C1195" t="s">
        <v>3173</v>
      </c>
      <c r="D1195" t="s">
        <v>325</v>
      </c>
      <c r="E1195">
        <v>38595</v>
      </c>
      <c r="F1195" s="6">
        <v>3350000000</v>
      </c>
      <c r="H1195">
        <v>619</v>
      </c>
      <c r="I1195" t="s">
        <v>9136</v>
      </c>
    </row>
    <row r="1196" spans="2:9" x14ac:dyDescent="0.25">
      <c r="B1196">
        <v>521</v>
      </c>
      <c r="C1196" t="s">
        <v>5768</v>
      </c>
      <c r="D1196" t="s">
        <v>2416</v>
      </c>
      <c r="E1196">
        <v>33408</v>
      </c>
      <c r="F1196" s="6">
        <v>3700000000</v>
      </c>
      <c r="H1196">
        <v>614</v>
      </c>
      <c r="I1196" t="s">
        <v>9137</v>
      </c>
    </row>
    <row r="1197" spans="2:9" x14ac:dyDescent="0.25">
      <c r="B1197">
        <v>554</v>
      </c>
      <c r="C1197" t="s">
        <v>5866</v>
      </c>
      <c r="D1197" t="s">
        <v>3521</v>
      </c>
      <c r="E1197">
        <v>32320</v>
      </c>
      <c r="F1197" s="6">
        <v>5300000000</v>
      </c>
      <c r="H1197">
        <v>651</v>
      </c>
      <c r="I1197" t="s">
        <v>9138</v>
      </c>
    </row>
    <row r="1198" spans="2:9" x14ac:dyDescent="0.25">
      <c r="B1198">
        <v>530</v>
      </c>
      <c r="C1198" t="s">
        <v>5855</v>
      </c>
      <c r="D1198" t="s">
        <v>5854</v>
      </c>
      <c r="E1198">
        <v>31507</v>
      </c>
      <c r="F1198" s="6">
        <v>4850000000</v>
      </c>
      <c r="H1198">
        <v>623</v>
      </c>
      <c r="I1198" t="s">
        <v>9139</v>
      </c>
    </row>
    <row r="1199" spans="2:9" x14ac:dyDescent="0.25">
      <c r="B1199">
        <v>562</v>
      </c>
      <c r="C1199" t="s">
        <v>5805</v>
      </c>
      <c r="D1199" t="s">
        <v>5804</v>
      </c>
      <c r="E1199">
        <v>30221</v>
      </c>
      <c r="F1199" s="6">
        <v>4200000000</v>
      </c>
      <c r="H1199">
        <v>659</v>
      </c>
      <c r="I1199" t="s">
        <v>9140</v>
      </c>
    </row>
    <row r="1200" spans="2:9" x14ac:dyDescent="0.25">
      <c r="B1200">
        <v>532</v>
      </c>
      <c r="C1200" t="s">
        <v>3969</v>
      </c>
      <c r="D1200" t="s">
        <v>191</v>
      </c>
      <c r="E1200">
        <v>26562</v>
      </c>
      <c r="F1200" s="6">
        <v>4200000000</v>
      </c>
      <c r="H1200">
        <v>625</v>
      </c>
      <c r="I1200" t="s">
        <v>9141</v>
      </c>
    </row>
    <row r="1201" spans="2:9" x14ac:dyDescent="0.25">
      <c r="B1201">
        <v>561</v>
      </c>
      <c r="C1201" t="s">
        <v>5818</v>
      </c>
      <c r="D1201" t="s">
        <v>5817</v>
      </c>
      <c r="E1201">
        <v>25077</v>
      </c>
      <c r="F1201" s="6">
        <v>4250000000</v>
      </c>
      <c r="H1201">
        <v>658</v>
      </c>
      <c r="I1201" t="s">
        <v>9142</v>
      </c>
    </row>
    <row r="1202" spans="2:9" x14ac:dyDescent="0.25">
      <c r="B1202">
        <v>560</v>
      </c>
      <c r="C1202" t="s">
        <v>5908</v>
      </c>
      <c r="D1202" t="s">
        <v>3446</v>
      </c>
      <c r="E1202">
        <v>23084</v>
      </c>
      <c r="F1202" s="6">
        <v>5700000000</v>
      </c>
      <c r="H1202">
        <v>657</v>
      </c>
      <c r="I1202" t="s">
        <v>9143</v>
      </c>
    </row>
    <row r="1203" spans="2:9" x14ac:dyDescent="0.25">
      <c r="B1203">
        <v>563</v>
      </c>
      <c r="C1203" t="s">
        <v>5798</v>
      </c>
      <c r="D1203" t="s">
        <v>404</v>
      </c>
      <c r="E1203">
        <v>22803</v>
      </c>
      <c r="F1203" s="6">
        <v>4100000000</v>
      </c>
      <c r="H1203">
        <v>660</v>
      </c>
      <c r="I1203" t="s">
        <v>9144</v>
      </c>
    </row>
    <row r="1204" spans="2:9" x14ac:dyDescent="0.25">
      <c r="B1204">
        <v>537</v>
      </c>
      <c r="C1204" t="s">
        <v>5747</v>
      </c>
      <c r="D1204" t="s">
        <v>2189</v>
      </c>
      <c r="E1204">
        <v>22561</v>
      </c>
      <c r="F1204" s="6">
        <v>3300000000</v>
      </c>
      <c r="H1204">
        <v>630</v>
      </c>
      <c r="I1204" t="s">
        <v>9145</v>
      </c>
    </row>
    <row r="1205" spans="2:9" x14ac:dyDescent="0.25">
      <c r="B1205">
        <v>486</v>
      </c>
      <c r="C1205" t="s">
        <v>5736</v>
      </c>
      <c r="D1205" t="s">
        <v>316</v>
      </c>
      <c r="E1205">
        <v>19206</v>
      </c>
      <c r="F1205" s="6">
        <v>3150000000</v>
      </c>
      <c r="H1205">
        <v>576</v>
      </c>
      <c r="I1205" t="s">
        <v>9146</v>
      </c>
    </row>
    <row r="1206" spans="2:9" x14ac:dyDescent="0.25">
      <c r="B1206">
        <v>555</v>
      </c>
      <c r="C1206" t="s">
        <v>5881</v>
      </c>
      <c r="D1206" t="s">
        <v>5126</v>
      </c>
      <c r="E1206">
        <v>18258</v>
      </c>
      <c r="F1206" s="6">
        <v>5350000000</v>
      </c>
      <c r="H1206">
        <v>652</v>
      </c>
      <c r="I1206" t="s">
        <v>9147</v>
      </c>
    </row>
    <row r="1207" spans="2:9" x14ac:dyDescent="0.25">
      <c r="B1207">
        <v>557</v>
      </c>
      <c r="C1207" t="s">
        <v>5132</v>
      </c>
      <c r="D1207" t="s">
        <v>3478</v>
      </c>
      <c r="E1207">
        <v>17749</v>
      </c>
      <c r="F1207" s="6">
        <v>5270000000</v>
      </c>
      <c r="H1207">
        <v>654</v>
      </c>
      <c r="I1207" t="s">
        <v>9148</v>
      </c>
    </row>
    <row r="1208" spans="2:9" x14ac:dyDescent="0.25">
      <c r="B1208">
        <v>552</v>
      </c>
      <c r="C1208" t="s">
        <v>5913</v>
      </c>
      <c r="D1208" t="s">
        <v>3521</v>
      </c>
      <c r="E1208">
        <v>12107</v>
      </c>
      <c r="F1208" s="6">
        <v>5900000000</v>
      </c>
      <c r="H1208">
        <v>645</v>
      </c>
      <c r="I1208" t="s">
        <v>9149</v>
      </c>
    </row>
    <row r="1209" spans="2:9" x14ac:dyDescent="0.25">
      <c r="B1209">
        <v>534</v>
      </c>
      <c r="C1209" t="s">
        <v>5829</v>
      </c>
      <c r="D1209" t="s">
        <v>3250</v>
      </c>
      <c r="E1209">
        <v>11776</v>
      </c>
      <c r="F1209" s="6">
        <v>4400000000</v>
      </c>
      <c r="H1209">
        <v>627</v>
      </c>
      <c r="I1209" t="s">
        <v>9150</v>
      </c>
    </row>
    <row r="1210" spans="2:9" x14ac:dyDescent="0.25">
      <c r="B1210">
        <v>471</v>
      </c>
      <c r="C1210" t="s">
        <v>7460</v>
      </c>
      <c r="D1210" t="s">
        <v>2476</v>
      </c>
      <c r="E1210">
        <v>9894</v>
      </c>
      <c r="F1210" s="6">
        <v>3650000000</v>
      </c>
      <c r="H1210">
        <v>558</v>
      </c>
      <c r="I1210" t="s">
        <v>9151</v>
      </c>
    </row>
    <row r="1211" spans="2:9" x14ac:dyDescent="0.25">
      <c r="B1211">
        <v>513</v>
      </c>
      <c r="C1211" t="s">
        <v>5942</v>
      </c>
      <c r="D1211" t="s">
        <v>5585</v>
      </c>
      <c r="E1211">
        <v>8086</v>
      </c>
      <c r="F1211" s="6">
        <v>9550000000</v>
      </c>
      <c r="H1211">
        <v>606</v>
      </c>
      <c r="I1211" t="s">
        <v>9152</v>
      </c>
    </row>
    <row r="1212" spans="2:9" x14ac:dyDescent="0.25">
      <c r="B1212">
        <v>528</v>
      </c>
      <c r="C1212" t="s">
        <v>5842</v>
      </c>
      <c r="D1212" t="s">
        <v>5841</v>
      </c>
      <c r="E1212">
        <v>6972</v>
      </c>
      <c r="F1212" s="6">
        <v>4650000000</v>
      </c>
      <c r="H1212">
        <v>621</v>
      </c>
      <c r="I1212" t="s">
        <v>9153</v>
      </c>
    </row>
    <row r="1213" spans="2:9" x14ac:dyDescent="0.25">
      <c r="B1213">
        <v>145</v>
      </c>
      <c r="C1213" t="s">
        <v>7340</v>
      </c>
      <c r="D1213" t="s">
        <v>2476</v>
      </c>
      <c r="E1213">
        <v>5964</v>
      </c>
      <c r="F1213" s="6">
        <v>3550000000</v>
      </c>
      <c r="H1213">
        <v>190</v>
      </c>
      <c r="I1213" t="s">
        <v>9154</v>
      </c>
    </row>
    <row r="1214" spans="2:9" x14ac:dyDescent="0.25">
      <c r="B1214">
        <v>538</v>
      </c>
      <c r="C1214" t="s">
        <v>5763</v>
      </c>
      <c r="D1214" t="s">
        <v>5762</v>
      </c>
      <c r="E1214">
        <v>5685</v>
      </c>
      <c r="F1214" s="6">
        <v>3600000000</v>
      </c>
      <c r="H1214">
        <v>631</v>
      </c>
      <c r="I1214" t="s">
        <v>9155</v>
      </c>
    </row>
    <row r="1215" spans="2:9" x14ac:dyDescent="0.25">
      <c r="B1215">
        <v>144</v>
      </c>
      <c r="C1215" t="s">
        <v>7344</v>
      </c>
      <c r="D1215" t="s">
        <v>2476</v>
      </c>
      <c r="E1215">
        <v>5530</v>
      </c>
      <c r="F1215" s="6">
        <v>3570000000</v>
      </c>
      <c r="H1215">
        <v>188</v>
      </c>
      <c r="I1215" t="s">
        <v>9156</v>
      </c>
    </row>
    <row r="1216" spans="2:9" x14ac:dyDescent="0.25">
      <c r="B1216">
        <v>216</v>
      </c>
      <c r="C1216" t="s">
        <v>7464</v>
      </c>
      <c r="D1216" t="s">
        <v>4343</v>
      </c>
      <c r="E1216">
        <v>5284</v>
      </c>
      <c r="F1216" s="6">
        <v>5050000000</v>
      </c>
      <c r="H1216">
        <v>281</v>
      </c>
      <c r="I1216" t="s">
        <v>9157</v>
      </c>
    </row>
    <row r="1217" spans="2:9" x14ac:dyDescent="0.25">
      <c r="B1217">
        <v>184</v>
      </c>
      <c r="C1217" t="s">
        <v>7348</v>
      </c>
      <c r="D1217" t="s">
        <v>6360</v>
      </c>
      <c r="E1217">
        <v>4962</v>
      </c>
      <c r="F1217" s="6">
        <v>4120000000</v>
      </c>
      <c r="H1217">
        <v>248</v>
      </c>
      <c r="I1217" t="s">
        <v>9158</v>
      </c>
    </row>
    <row r="1218" spans="2:9" x14ac:dyDescent="0.25">
      <c r="B1218">
        <v>143</v>
      </c>
      <c r="C1218" t="s">
        <v>7468</v>
      </c>
      <c r="D1218" t="s">
        <v>2416</v>
      </c>
      <c r="E1218">
        <v>4927</v>
      </c>
      <c r="F1218" s="6">
        <v>3550000000</v>
      </c>
      <c r="H1218">
        <v>187</v>
      </c>
      <c r="I1218" t="s">
        <v>9159</v>
      </c>
    </row>
    <row r="1219" spans="2:9" x14ac:dyDescent="0.25">
      <c r="B1219">
        <v>541</v>
      </c>
      <c r="C1219" t="s">
        <v>4383</v>
      </c>
      <c r="D1219" t="s">
        <v>3870</v>
      </c>
      <c r="E1219">
        <v>4262</v>
      </c>
      <c r="F1219" s="6">
        <v>4100000000</v>
      </c>
      <c r="H1219">
        <v>634</v>
      </c>
      <c r="I1219" t="s">
        <v>9160</v>
      </c>
    </row>
    <row r="1220" spans="2:9" x14ac:dyDescent="0.25">
      <c r="B1220">
        <v>440</v>
      </c>
      <c r="C1220" t="s">
        <v>7472</v>
      </c>
      <c r="D1220" t="s">
        <v>191</v>
      </c>
      <c r="E1220">
        <v>4091</v>
      </c>
      <c r="F1220" s="6">
        <v>4300000000</v>
      </c>
      <c r="H1220">
        <v>521</v>
      </c>
      <c r="I1220" t="s">
        <v>9161</v>
      </c>
    </row>
    <row r="1221" spans="2:9" x14ac:dyDescent="0.25">
      <c r="B1221">
        <v>540</v>
      </c>
      <c r="C1221" t="s">
        <v>5741</v>
      </c>
      <c r="D1221" t="s">
        <v>3309</v>
      </c>
      <c r="E1221">
        <v>3689</v>
      </c>
      <c r="F1221" s="6">
        <v>3300000000</v>
      </c>
      <c r="H1221">
        <v>633</v>
      </c>
      <c r="I1221" t="s">
        <v>9162</v>
      </c>
    </row>
    <row r="1222" spans="2:9" x14ac:dyDescent="0.25">
      <c r="B1222">
        <v>467</v>
      </c>
      <c r="C1222" t="s">
        <v>7476</v>
      </c>
      <c r="D1222" t="s">
        <v>2487</v>
      </c>
      <c r="E1222">
        <v>3670</v>
      </c>
      <c r="F1222" s="6">
        <v>3650000000</v>
      </c>
      <c r="H1222">
        <v>554</v>
      </c>
      <c r="I1222" t="s">
        <v>9163</v>
      </c>
    </row>
    <row r="1223" spans="2:9" x14ac:dyDescent="0.25">
      <c r="B1223">
        <v>559</v>
      </c>
      <c r="C1223" t="s">
        <v>5147</v>
      </c>
      <c r="D1223" t="s">
        <v>3446</v>
      </c>
      <c r="E1223">
        <v>3632</v>
      </c>
      <c r="F1223" s="6">
        <v>5250000000</v>
      </c>
      <c r="H1223">
        <v>656</v>
      </c>
      <c r="I1223" t="s">
        <v>9164</v>
      </c>
    </row>
    <row r="1224" spans="2:9" x14ac:dyDescent="0.25">
      <c r="B1224">
        <v>478</v>
      </c>
      <c r="C1224" t="s">
        <v>7480</v>
      </c>
      <c r="D1224" t="s">
        <v>8534</v>
      </c>
      <c r="E1224">
        <v>3262</v>
      </c>
      <c r="F1224" s="6">
        <v>5700000000</v>
      </c>
      <c r="H1224">
        <v>565</v>
      </c>
      <c r="I1224" t="s">
        <v>9165</v>
      </c>
    </row>
    <row r="1225" spans="2:9" x14ac:dyDescent="0.25">
      <c r="B1225">
        <v>110</v>
      </c>
      <c r="C1225" t="s">
        <v>7352</v>
      </c>
      <c r="D1225" t="s">
        <v>4318</v>
      </c>
      <c r="E1225">
        <v>3145</v>
      </c>
      <c r="F1225" s="6">
        <v>6270000000</v>
      </c>
      <c r="H1225">
        <v>152</v>
      </c>
      <c r="I1225" t="s">
        <v>9166</v>
      </c>
    </row>
    <row r="1226" spans="2:9" x14ac:dyDescent="0.25">
      <c r="B1226">
        <v>4</v>
      </c>
      <c r="C1226" t="s">
        <v>7485</v>
      </c>
      <c r="D1226" t="s">
        <v>7484</v>
      </c>
      <c r="E1226">
        <v>3136</v>
      </c>
      <c r="F1226" s="6">
        <v>5850000000</v>
      </c>
      <c r="H1226">
        <v>46</v>
      </c>
      <c r="I1226" t="s">
        <v>9167</v>
      </c>
    </row>
    <row r="1227" spans="2:9" x14ac:dyDescent="0.25">
      <c r="B1227">
        <v>5</v>
      </c>
      <c r="C1227" t="s">
        <v>7356</v>
      </c>
      <c r="D1227" t="s">
        <v>5976</v>
      </c>
      <c r="E1227">
        <v>3108</v>
      </c>
      <c r="F1227" s="6">
        <v>5650000000</v>
      </c>
      <c r="H1227">
        <v>47</v>
      </c>
      <c r="I1227" t="s">
        <v>9168</v>
      </c>
    </row>
    <row r="1228" spans="2:9" x14ac:dyDescent="0.25">
      <c r="B1228">
        <v>365</v>
      </c>
      <c r="C1228" t="s">
        <v>7489</v>
      </c>
      <c r="D1228" t="s">
        <v>5585</v>
      </c>
      <c r="E1228">
        <v>3096</v>
      </c>
      <c r="F1228" s="6">
        <v>10000000000</v>
      </c>
      <c r="H1228">
        <v>432</v>
      </c>
      <c r="I1228" t="s">
        <v>9169</v>
      </c>
    </row>
    <row r="1229" spans="2:9" x14ac:dyDescent="0.25">
      <c r="B1229">
        <v>19</v>
      </c>
      <c r="C1229" t="s">
        <v>7360</v>
      </c>
      <c r="D1229" t="s">
        <v>5976</v>
      </c>
      <c r="E1229">
        <v>3067</v>
      </c>
      <c r="F1229" s="6">
        <v>5600000000</v>
      </c>
      <c r="H1229">
        <v>61</v>
      </c>
      <c r="I1229" t="s">
        <v>9170</v>
      </c>
    </row>
    <row r="1230" spans="2:9" x14ac:dyDescent="0.25">
      <c r="B1230">
        <v>124</v>
      </c>
      <c r="C1230" t="s">
        <v>3945</v>
      </c>
      <c r="D1230" t="s">
        <v>316</v>
      </c>
      <c r="E1230">
        <v>3043</v>
      </c>
      <c r="F1230" s="6">
        <v>3720000000</v>
      </c>
      <c r="H1230">
        <v>166</v>
      </c>
      <c r="I1230" t="s">
        <v>9171</v>
      </c>
    </row>
    <row r="1231" spans="2:9" x14ac:dyDescent="0.25">
      <c r="B1231">
        <v>468</v>
      </c>
      <c r="C1231" t="s">
        <v>7364</v>
      </c>
      <c r="D1231" t="s">
        <v>2416</v>
      </c>
      <c r="E1231">
        <v>2899</v>
      </c>
      <c r="F1231" s="6">
        <v>3600000000</v>
      </c>
      <c r="H1231">
        <v>555</v>
      </c>
      <c r="I1231" t="s">
        <v>9172</v>
      </c>
    </row>
    <row r="1232" spans="2:9" x14ac:dyDescent="0.25">
      <c r="B1232">
        <v>466</v>
      </c>
      <c r="C1232" t="s">
        <v>7493</v>
      </c>
      <c r="D1232" t="s">
        <v>4366</v>
      </c>
      <c r="E1232">
        <v>2838</v>
      </c>
      <c r="F1232" s="6">
        <v>4000000000</v>
      </c>
      <c r="H1232">
        <v>553</v>
      </c>
      <c r="I1232" t="s">
        <v>9173</v>
      </c>
    </row>
    <row r="1233" spans="2:9" x14ac:dyDescent="0.25">
      <c r="B1233">
        <v>174</v>
      </c>
      <c r="C1233" t="s">
        <v>7368</v>
      </c>
      <c r="D1233" t="s">
        <v>3139</v>
      </c>
      <c r="E1233">
        <v>2798</v>
      </c>
      <c r="F1233" s="6">
        <v>4050000000</v>
      </c>
      <c r="H1233">
        <v>236</v>
      </c>
      <c r="I1233" t="s">
        <v>9174</v>
      </c>
    </row>
    <row r="1234" spans="2:9" x14ac:dyDescent="0.25">
      <c r="B1234">
        <v>155</v>
      </c>
      <c r="C1234" t="s">
        <v>7497</v>
      </c>
      <c r="D1234" t="s">
        <v>2487</v>
      </c>
      <c r="E1234">
        <v>2776</v>
      </c>
      <c r="F1234" s="6">
        <v>3800000000</v>
      </c>
      <c r="H1234">
        <v>204</v>
      </c>
      <c r="I1234" t="s">
        <v>9175</v>
      </c>
    </row>
    <row r="1235" spans="2:9" x14ac:dyDescent="0.25">
      <c r="B1235">
        <v>464</v>
      </c>
      <c r="C1235" t="s">
        <v>7372</v>
      </c>
      <c r="D1235" t="s">
        <v>191</v>
      </c>
      <c r="E1235">
        <v>2774</v>
      </c>
      <c r="F1235" s="6">
        <v>4150000000</v>
      </c>
      <c r="H1235">
        <v>545</v>
      </c>
      <c r="I1235" t="s">
        <v>9176</v>
      </c>
    </row>
    <row r="1236" spans="2:9" x14ac:dyDescent="0.25">
      <c r="B1236">
        <v>181</v>
      </c>
      <c r="C1236" t="s">
        <v>7501</v>
      </c>
      <c r="D1236" t="s">
        <v>4366</v>
      </c>
      <c r="E1236">
        <v>2759</v>
      </c>
      <c r="F1236" s="6">
        <v>4050000000</v>
      </c>
      <c r="H1236">
        <v>245</v>
      </c>
      <c r="I1236" t="s">
        <v>9177</v>
      </c>
    </row>
    <row r="1237" spans="2:9" x14ac:dyDescent="0.25">
      <c r="B1237">
        <v>159</v>
      </c>
      <c r="C1237" t="s">
        <v>7376</v>
      </c>
      <c r="D1237" t="s">
        <v>3928</v>
      </c>
      <c r="E1237">
        <v>2717</v>
      </c>
      <c r="F1237" s="6">
        <v>4200000000</v>
      </c>
      <c r="H1237">
        <v>214</v>
      </c>
      <c r="I1237" t="s">
        <v>9178</v>
      </c>
    </row>
    <row r="1238" spans="2:9" x14ac:dyDescent="0.25">
      <c r="B1238">
        <v>203</v>
      </c>
      <c r="C1238" t="s">
        <v>7505</v>
      </c>
      <c r="D1238" t="s">
        <v>8011</v>
      </c>
      <c r="E1238">
        <v>2592</v>
      </c>
      <c r="F1238" s="6">
        <v>6450000000</v>
      </c>
      <c r="H1238">
        <v>268</v>
      </c>
      <c r="I1238" t="s">
        <v>9179</v>
      </c>
    </row>
    <row r="1239" spans="2:9" x14ac:dyDescent="0.25">
      <c r="B1239">
        <v>156</v>
      </c>
      <c r="C1239" t="s">
        <v>7380</v>
      </c>
      <c r="D1239" t="s">
        <v>2416</v>
      </c>
      <c r="E1239">
        <v>2367</v>
      </c>
      <c r="F1239" s="6">
        <v>3630000000</v>
      </c>
      <c r="H1239">
        <v>207</v>
      </c>
      <c r="I1239" t="s">
        <v>9180</v>
      </c>
    </row>
    <row r="1240" spans="2:9" x14ac:dyDescent="0.25">
      <c r="B1240">
        <v>482</v>
      </c>
      <c r="C1240" t="s">
        <v>7509</v>
      </c>
      <c r="D1240" t="s">
        <v>8183</v>
      </c>
      <c r="E1240">
        <v>2149</v>
      </c>
      <c r="F1240" s="6">
        <v>5620000000</v>
      </c>
      <c r="H1240">
        <v>569</v>
      </c>
      <c r="I1240" t="s">
        <v>9181</v>
      </c>
    </row>
    <row r="1241" spans="2:9" x14ac:dyDescent="0.25">
      <c r="B1241">
        <v>153</v>
      </c>
      <c r="C1241" t="s">
        <v>7384</v>
      </c>
      <c r="D1241" t="s">
        <v>2861</v>
      </c>
      <c r="E1241">
        <v>2131</v>
      </c>
      <c r="F1241" s="6">
        <v>3850000000</v>
      </c>
      <c r="H1241">
        <v>202</v>
      </c>
      <c r="I1241" t="s">
        <v>9182</v>
      </c>
    </row>
    <row r="1242" spans="2:9" x14ac:dyDescent="0.25">
      <c r="B1242">
        <v>524</v>
      </c>
      <c r="C1242" t="s">
        <v>3167</v>
      </c>
      <c r="D1242" t="s">
        <v>3093</v>
      </c>
      <c r="E1242">
        <v>2033</v>
      </c>
      <c r="F1242" s="6">
        <v>3000000000</v>
      </c>
      <c r="H1242">
        <v>617</v>
      </c>
      <c r="I1242" t="s">
        <v>9183</v>
      </c>
    </row>
    <row r="1243" spans="2:9" x14ac:dyDescent="0.25">
      <c r="B1243">
        <v>500</v>
      </c>
      <c r="C1243" t="s">
        <v>7389</v>
      </c>
      <c r="D1243" t="s">
        <v>9184</v>
      </c>
      <c r="E1243">
        <v>1992</v>
      </c>
      <c r="F1243" s="6">
        <v>9150000000</v>
      </c>
      <c r="H1243">
        <v>590</v>
      </c>
      <c r="I1243" t="s">
        <v>9185</v>
      </c>
    </row>
    <row r="1244" spans="2:9" x14ac:dyDescent="0.25">
      <c r="B1244">
        <v>137</v>
      </c>
      <c r="C1244" t="s">
        <v>7513</v>
      </c>
      <c r="D1244" t="s">
        <v>2476</v>
      </c>
      <c r="E1244">
        <v>1962</v>
      </c>
      <c r="F1244" s="6">
        <v>3850000000</v>
      </c>
      <c r="H1244">
        <v>180</v>
      </c>
      <c r="I1244" t="s">
        <v>9186</v>
      </c>
    </row>
    <row r="1245" spans="2:9" x14ac:dyDescent="0.25">
      <c r="B1245">
        <v>172</v>
      </c>
      <c r="C1245" t="s">
        <v>7393</v>
      </c>
      <c r="D1245" t="s">
        <v>4366</v>
      </c>
      <c r="E1245">
        <v>1881</v>
      </c>
      <c r="F1245" s="6">
        <v>4050000000</v>
      </c>
      <c r="H1245">
        <v>234</v>
      </c>
      <c r="I1245" t="s">
        <v>9187</v>
      </c>
    </row>
    <row r="1246" spans="2:9" x14ac:dyDescent="0.25">
      <c r="B1246">
        <v>131</v>
      </c>
      <c r="C1246" t="s">
        <v>7517</v>
      </c>
      <c r="D1246" t="s">
        <v>2476</v>
      </c>
      <c r="E1246">
        <v>1879</v>
      </c>
      <c r="F1246" s="6">
        <v>3500000000</v>
      </c>
      <c r="H1246">
        <v>173</v>
      </c>
      <c r="I1246" t="s">
        <v>9188</v>
      </c>
    </row>
    <row r="1247" spans="2:9" x14ac:dyDescent="0.25">
      <c r="B1247">
        <v>475</v>
      </c>
      <c r="C1247" t="s">
        <v>7397</v>
      </c>
      <c r="D1247" t="s">
        <v>7991</v>
      </c>
      <c r="E1247">
        <v>1534</v>
      </c>
      <c r="F1247" s="6">
        <v>5800000000</v>
      </c>
      <c r="H1247">
        <v>562</v>
      </c>
      <c r="I1247" t="s">
        <v>9189</v>
      </c>
    </row>
    <row r="1248" spans="2:9" x14ac:dyDescent="0.25">
      <c r="B1248">
        <v>529</v>
      </c>
      <c r="C1248" t="s">
        <v>5918</v>
      </c>
      <c r="D1248" t="s">
        <v>8183</v>
      </c>
      <c r="E1248">
        <v>1440</v>
      </c>
      <c r="F1248" s="6">
        <v>6250000000</v>
      </c>
      <c r="H1248">
        <v>622</v>
      </c>
      <c r="I1248" t="s">
        <v>9190</v>
      </c>
    </row>
    <row r="1249" spans="2:9" x14ac:dyDescent="0.25">
      <c r="B1249">
        <v>136</v>
      </c>
      <c r="C1249" t="s">
        <v>7401</v>
      </c>
      <c r="D1249" t="s">
        <v>2487</v>
      </c>
      <c r="E1249">
        <v>1396</v>
      </c>
      <c r="F1249" s="6">
        <v>3850000000</v>
      </c>
      <c r="H1249">
        <v>179</v>
      </c>
      <c r="I1249" t="s">
        <v>9191</v>
      </c>
    </row>
    <row r="1250" spans="2:9" x14ac:dyDescent="0.25">
      <c r="B1250">
        <v>446</v>
      </c>
      <c r="C1250" t="s">
        <v>7521</v>
      </c>
      <c r="D1250" t="s">
        <v>191</v>
      </c>
      <c r="E1250">
        <v>1340</v>
      </c>
      <c r="F1250" s="6">
        <v>3900000000</v>
      </c>
      <c r="H1250">
        <v>527</v>
      </c>
      <c r="I1250" t="s">
        <v>9192</v>
      </c>
    </row>
    <row r="1251" spans="2:9" x14ac:dyDescent="0.25">
      <c r="B1251">
        <v>515</v>
      </c>
      <c r="C1251" t="s">
        <v>5713</v>
      </c>
      <c r="D1251" t="s">
        <v>5604</v>
      </c>
      <c r="E1251">
        <v>1323</v>
      </c>
      <c r="F1251" s="6">
        <v>10800000000</v>
      </c>
      <c r="H1251">
        <v>608</v>
      </c>
      <c r="I1251" t="s">
        <v>9193</v>
      </c>
    </row>
    <row r="1252" spans="2:9" x14ac:dyDescent="0.25">
      <c r="B1252">
        <v>522</v>
      </c>
      <c r="C1252" t="s">
        <v>5774</v>
      </c>
      <c r="D1252" t="s">
        <v>2476</v>
      </c>
      <c r="E1252">
        <v>1253</v>
      </c>
      <c r="F1252" s="6">
        <v>3750000000</v>
      </c>
      <c r="H1252">
        <v>615</v>
      </c>
      <c r="I1252" t="s">
        <v>9194</v>
      </c>
    </row>
    <row r="1253" spans="2:9" x14ac:dyDescent="0.25">
      <c r="B1253">
        <v>371</v>
      </c>
      <c r="C1253" t="s">
        <v>7405</v>
      </c>
      <c r="D1253" t="s">
        <v>5585</v>
      </c>
      <c r="E1253">
        <v>1240</v>
      </c>
      <c r="F1253" s="6">
        <v>10000000000</v>
      </c>
      <c r="H1253">
        <v>438</v>
      </c>
      <c r="I1253" t="s">
        <v>9195</v>
      </c>
    </row>
    <row r="1254" spans="2:9" x14ac:dyDescent="0.25">
      <c r="B1254">
        <v>158</v>
      </c>
      <c r="C1254" t="s">
        <v>7525</v>
      </c>
      <c r="D1254" t="s">
        <v>3928</v>
      </c>
      <c r="E1254">
        <v>1175</v>
      </c>
      <c r="F1254" s="6">
        <v>4250000000</v>
      </c>
      <c r="H1254">
        <v>213</v>
      </c>
      <c r="I1254" t="s">
        <v>9196</v>
      </c>
    </row>
    <row r="1255" spans="2:9" x14ac:dyDescent="0.25">
      <c r="B1255">
        <v>351</v>
      </c>
      <c r="C1255" t="s">
        <v>7409</v>
      </c>
      <c r="D1255" t="s">
        <v>6308</v>
      </c>
      <c r="E1255">
        <v>1155</v>
      </c>
      <c r="F1255" s="6">
        <v>11200000000</v>
      </c>
      <c r="H1255">
        <v>418</v>
      </c>
      <c r="I1255" t="s">
        <v>9197</v>
      </c>
    </row>
    <row r="1256" spans="2:9" x14ac:dyDescent="0.25">
      <c r="B1256">
        <v>189</v>
      </c>
      <c r="C1256" t="s">
        <v>7529</v>
      </c>
      <c r="D1256" t="s">
        <v>7991</v>
      </c>
      <c r="E1256">
        <v>1048</v>
      </c>
      <c r="F1256" s="6">
        <v>5600000000</v>
      </c>
      <c r="H1256">
        <v>254</v>
      </c>
      <c r="I1256" t="s">
        <v>9198</v>
      </c>
    </row>
    <row r="1257" spans="2:9" x14ac:dyDescent="0.25">
      <c r="B1257">
        <v>516</v>
      </c>
      <c r="C1257" t="s">
        <v>5671</v>
      </c>
      <c r="D1257" t="s">
        <v>5604</v>
      </c>
      <c r="E1257">
        <v>1041</v>
      </c>
      <c r="F1257" s="6">
        <v>10800000000</v>
      </c>
      <c r="H1257">
        <v>609</v>
      </c>
      <c r="I1257" t="s">
        <v>9199</v>
      </c>
    </row>
    <row r="1258" spans="2:9" x14ac:dyDescent="0.25">
      <c r="B1258">
        <v>436</v>
      </c>
      <c r="C1258" t="s">
        <v>7533</v>
      </c>
      <c r="D1258" t="s">
        <v>2568</v>
      </c>
      <c r="E1258">
        <v>1000</v>
      </c>
      <c r="F1258" s="6">
        <v>3700000000</v>
      </c>
      <c r="H1258">
        <v>517</v>
      </c>
      <c r="I1258" t="s">
        <v>9200</v>
      </c>
    </row>
    <row r="1259" spans="2:9" x14ac:dyDescent="0.25">
      <c r="B1259">
        <v>506</v>
      </c>
      <c r="C1259" t="s">
        <v>7414</v>
      </c>
      <c r="D1259" t="s">
        <v>7413</v>
      </c>
      <c r="E1259">
        <v>1000</v>
      </c>
      <c r="F1259" s="6">
        <v>3400000000</v>
      </c>
      <c r="H1259">
        <v>596</v>
      </c>
      <c r="I1259" t="s">
        <v>9201</v>
      </c>
    </row>
    <row r="1260" spans="2:9" x14ac:dyDescent="0.25">
      <c r="B1260">
        <v>576</v>
      </c>
      <c r="C1260" t="s">
        <v>7538</v>
      </c>
      <c r="D1260" t="s">
        <v>9202</v>
      </c>
      <c r="E1260">
        <v>1000</v>
      </c>
      <c r="F1260" s="6">
        <v>1800000000</v>
      </c>
      <c r="H1260">
        <v>673</v>
      </c>
      <c r="I1260" t="s">
        <v>9203</v>
      </c>
    </row>
    <row r="1261" spans="2:9" x14ac:dyDescent="0.25">
      <c r="B1261">
        <v>476</v>
      </c>
      <c r="C1261" t="s">
        <v>7419</v>
      </c>
      <c r="D1261" t="s">
        <v>9204</v>
      </c>
      <c r="E1261">
        <v>943</v>
      </c>
      <c r="F1261" s="6">
        <v>6000000000</v>
      </c>
      <c r="H1261">
        <v>563</v>
      </c>
      <c r="I1261" t="s">
        <v>9205</v>
      </c>
    </row>
    <row r="1262" spans="2:9" x14ac:dyDescent="0.25">
      <c r="B1262">
        <v>135</v>
      </c>
      <c r="C1262" t="s">
        <v>7544</v>
      </c>
      <c r="D1262" t="s">
        <v>2476</v>
      </c>
      <c r="E1262">
        <v>934</v>
      </c>
      <c r="F1262" s="6">
        <v>3800000000</v>
      </c>
      <c r="H1262">
        <v>178</v>
      </c>
      <c r="I1262" t="s">
        <v>9206</v>
      </c>
    </row>
    <row r="1263" spans="2:9" x14ac:dyDescent="0.25">
      <c r="B1263">
        <v>151</v>
      </c>
      <c r="C1263" t="s">
        <v>7423</v>
      </c>
      <c r="D1263" t="s">
        <v>2476</v>
      </c>
      <c r="E1263">
        <v>867</v>
      </c>
      <c r="F1263" s="6">
        <v>3850000000</v>
      </c>
      <c r="H1263">
        <v>199</v>
      </c>
      <c r="I1263" t="s">
        <v>9207</v>
      </c>
    </row>
    <row r="1264" spans="2:9" x14ac:dyDescent="0.25">
      <c r="B1264">
        <v>451</v>
      </c>
      <c r="C1264" t="s">
        <v>7548</v>
      </c>
      <c r="D1264" t="s">
        <v>191</v>
      </c>
      <c r="E1264">
        <v>854</v>
      </c>
      <c r="F1264" s="6">
        <v>4400000000</v>
      </c>
      <c r="H1264">
        <v>532</v>
      </c>
      <c r="I1264" t="s">
        <v>9208</v>
      </c>
    </row>
    <row r="1265" spans="2:9" x14ac:dyDescent="0.25">
      <c r="B1265">
        <v>514</v>
      </c>
      <c r="C1265" t="s">
        <v>5948</v>
      </c>
      <c r="D1265" t="s">
        <v>5585</v>
      </c>
      <c r="E1265">
        <v>776</v>
      </c>
      <c r="F1265" s="6">
        <v>9600000000</v>
      </c>
      <c r="H1265">
        <v>607</v>
      </c>
      <c r="I1265" t="s">
        <v>9209</v>
      </c>
    </row>
    <row r="1266" spans="2:9" x14ac:dyDescent="0.25">
      <c r="B1266">
        <v>138</v>
      </c>
      <c r="C1266" t="s">
        <v>7552</v>
      </c>
      <c r="D1266" t="s">
        <v>2476</v>
      </c>
      <c r="E1266">
        <v>726</v>
      </c>
      <c r="F1266" s="6">
        <v>3870000000</v>
      </c>
      <c r="H1266">
        <v>182</v>
      </c>
      <c r="I1266" t="s">
        <v>9210</v>
      </c>
    </row>
    <row r="1267" spans="2:9" x14ac:dyDescent="0.25">
      <c r="B1267">
        <v>211</v>
      </c>
      <c r="C1267" t="s">
        <v>7427</v>
      </c>
      <c r="D1267" t="s">
        <v>8183</v>
      </c>
      <c r="E1267">
        <v>643</v>
      </c>
      <c r="F1267" s="6">
        <v>6050000000</v>
      </c>
      <c r="H1267">
        <v>276</v>
      </c>
      <c r="I1267" t="s">
        <v>9211</v>
      </c>
    </row>
    <row r="1268" spans="2:9" x14ac:dyDescent="0.25">
      <c r="B1268">
        <v>525</v>
      </c>
      <c r="C1268" t="s">
        <v>5752</v>
      </c>
      <c r="D1268" t="s">
        <v>325</v>
      </c>
      <c r="E1268">
        <v>640</v>
      </c>
      <c r="F1268" s="6">
        <v>3400000000</v>
      </c>
      <c r="H1268">
        <v>618</v>
      </c>
      <c r="I1268" t="s">
        <v>9212</v>
      </c>
    </row>
    <row r="1269" spans="2:9" x14ac:dyDescent="0.25">
      <c r="B1269">
        <v>166</v>
      </c>
      <c r="C1269" t="s">
        <v>7431</v>
      </c>
      <c r="D1269" t="s">
        <v>3689</v>
      </c>
      <c r="E1269">
        <v>620</v>
      </c>
      <c r="F1269" s="6">
        <v>3800000000</v>
      </c>
      <c r="H1269">
        <v>224</v>
      </c>
      <c r="I1269" t="s">
        <v>9213</v>
      </c>
    </row>
    <row r="1270" spans="2:9" x14ac:dyDescent="0.25">
      <c r="B1270">
        <v>161</v>
      </c>
      <c r="C1270" t="s">
        <v>7557</v>
      </c>
      <c r="D1270" t="s">
        <v>7556</v>
      </c>
      <c r="E1270">
        <v>549</v>
      </c>
      <c r="F1270" s="6">
        <v>4250000000</v>
      </c>
      <c r="H1270">
        <v>216</v>
      </c>
      <c r="I1270" t="s">
        <v>9214</v>
      </c>
    </row>
    <row r="1271" spans="2:9" x14ac:dyDescent="0.25">
      <c r="B1271" t="s">
        <v>7917</v>
      </c>
      <c r="C1271" t="s">
        <v>7918</v>
      </c>
      <c r="D1271" t="s">
        <v>7919</v>
      </c>
      <c r="E1271" t="s">
        <v>7920</v>
      </c>
      <c r="F1271" t="s">
        <v>7921</v>
      </c>
      <c r="G1271" t="s">
        <v>7922</v>
      </c>
      <c r="H1271" t="s">
        <v>7923</v>
      </c>
    </row>
    <row r="1272" spans="2:9" x14ac:dyDescent="0.25">
      <c r="B1272">
        <v>470</v>
      </c>
      <c r="C1272" t="s">
        <v>6932</v>
      </c>
      <c r="D1272" t="s">
        <v>2476</v>
      </c>
      <c r="E1272">
        <v>547</v>
      </c>
      <c r="F1272" s="6">
        <v>3850000000</v>
      </c>
      <c r="H1272">
        <v>557</v>
      </c>
      <c r="I1272" t="s">
        <v>9215</v>
      </c>
    </row>
    <row r="1273" spans="2:9" x14ac:dyDescent="0.25">
      <c r="B1273">
        <v>485</v>
      </c>
      <c r="C1273" t="s">
        <v>7126</v>
      </c>
      <c r="D1273" t="s">
        <v>87</v>
      </c>
      <c r="E1273">
        <v>528</v>
      </c>
      <c r="F1273" s="6">
        <v>4600000000</v>
      </c>
      <c r="H1273">
        <v>572</v>
      </c>
      <c r="I1273" t="s">
        <v>9216</v>
      </c>
    </row>
    <row r="1274" spans="2:9" x14ac:dyDescent="0.25">
      <c r="B1274">
        <v>361</v>
      </c>
      <c r="C1274" t="s">
        <v>6936</v>
      </c>
      <c r="D1274" t="s">
        <v>5681</v>
      </c>
      <c r="E1274">
        <v>508</v>
      </c>
      <c r="F1274" s="6">
        <v>9330000000</v>
      </c>
      <c r="H1274">
        <v>428</v>
      </c>
      <c r="I1274" t="s">
        <v>9217</v>
      </c>
    </row>
    <row r="1275" spans="2:9" x14ac:dyDescent="0.25">
      <c r="B1275">
        <v>141</v>
      </c>
      <c r="C1275" t="s">
        <v>7130</v>
      </c>
      <c r="D1275" t="s">
        <v>2476</v>
      </c>
      <c r="E1275">
        <v>505</v>
      </c>
      <c r="F1275" s="6">
        <v>3800000000</v>
      </c>
      <c r="H1275">
        <v>185</v>
      </c>
      <c r="I1275" t="s">
        <v>9218</v>
      </c>
    </row>
    <row r="1276" spans="2:9" x14ac:dyDescent="0.25">
      <c r="B1276">
        <v>469</v>
      </c>
      <c r="C1276" t="s">
        <v>6940</v>
      </c>
      <c r="D1276" t="s">
        <v>2476</v>
      </c>
      <c r="E1276">
        <v>492</v>
      </c>
      <c r="F1276" s="6">
        <v>3750000000</v>
      </c>
      <c r="H1276">
        <v>556</v>
      </c>
      <c r="I1276" t="s">
        <v>9219</v>
      </c>
    </row>
    <row r="1277" spans="2:9" x14ac:dyDescent="0.25">
      <c r="B1277">
        <v>463</v>
      </c>
      <c r="C1277" t="s">
        <v>7134</v>
      </c>
      <c r="D1277" t="s">
        <v>191</v>
      </c>
      <c r="E1277">
        <v>483</v>
      </c>
      <c r="F1277" s="6">
        <v>4470000000</v>
      </c>
      <c r="H1277">
        <v>544</v>
      </c>
      <c r="I1277" t="s">
        <v>9220</v>
      </c>
    </row>
    <row r="1278" spans="2:9" x14ac:dyDescent="0.25">
      <c r="B1278">
        <v>149</v>
      </c>
      <c r="C1278" t="s">
        <v>6945</v>
      </c>
      <c r="D1278" t="s">
        <v>6944</v>
      </c>
      <c r="E1278">
        <v>456</v>
      </c>
      <c r="F1278" s="6">
        <v>3850000000</v>
      </c>
      <c r="H1278">
        <v>196</v>
      </c>
      <c r="I1278" t="s">
        <v>9221</v>
      </c>
    </row>
    <row r="1279" spans="2:9" x14ac:dyDescent="0.25">
      <c r="B1279">
        <v>187</v>
      </c>
      <c r="C1279" t="s">
        <v>7138</v>
      </c>
      <c r="D1279" t="s">
        <v>3139</v>
      </c>
      <c r="E1279">
        <v>455</v>
      </c>
      <c r="F1279" s="6">
        <v>4100000000</v>
      </c>
      <c r="H1279">
        <v>252</v>
      </c>
      <c r="I1279" t="s">
        <v>9222</v>
      </c>
    </row>
    <row r="1280" spans="2:9" x14ac:dyDescent="0.25">
      <c r="B1280">
        <v>214</v>
      </c>
      <c r="C1280" t="s">
        <v>6950</v>
      </c>
      <c r="D1280" t="s">
        <v>9223</v>
      </c>
      <c r="E1280">
        <v>403</v>
      </c>
      <c r="F1280" s="6">
        <v>6050000000</v>
      </c>
      <c r="H1280">
        <v>279</v>
      </c>
      <c r="I1280" t="s">
        <v>9224</v>
      </c>
    </row>
    <row r="1281" spans="2:9" x14ac:dyDescent="0.25">
      <c r="B1281">
        <v>473</v>
      </c>
      <c r="C1281" t="s">
        <v>7142</v>
      </c>
      <c r="D1281" t="s">
        <v>2861</v>
      </c>
      <c r="E1281">
        <v>401</v>
      </c>
      <c r="F1281" s="6">
        <v>3850000000</v>
      </c>
      <c r="H1281">
        <v>560</v>
      </c>
      <c r="I1281" t="s">
        <v>9225</v>
      </c>
    </row>
    <row r="1282" spans="2:9" x14ac:dyDescent="0.25">
      <c r="B1282">
        <v>372</v>
      </c>
      <c r="C1282" t="s">
        <v>6954</v>
      </c>
      <c r="D1282" t="s">
        <v>5681</v>
      </c>
      <c r="E1282">
        <v>378</v>
      </c>
      <c r="F1282" s="6">
        <v>9350000000</v>
      </c>
      <c r="H1282">
        <v>439</v>
      </c>
      <c r="I1282" t="s">
        <v>9226</v>
      </c>
    </row>
    <row r="1283" spans="2:9" x14ac:dyDescent="0.25">
      <c r="B1283">
        <v>157</v>
      </c>
      <c r="C1283" t="s">
        <v>7146</v>
      </c>
      <c r="D1283" t="s">
        <v>6944</v>
      </c>
      <c r="E1283">
        <v>370</v>
      </c>
      <c r="F1283" s="6">
        <v>3900000000</v>
      </c>
      <c r="H1283">
        <v>212</v>
      </c>
      <c r="I1283" t="s">
        <v>9227</v>
      </c>
    </row>
    <row r="1284" spans="2:9" x14ac:dyDescent="0.25">
      <c r="B1284">
        <v>472</v>
      </c>
      <c r="C1284" t="s">
        <v>6958</v>
      </c>
      <c r="D1284" t="s">
        <v>6360</v>
      </c>
      <c r="E1284">
        <v>337</v>
      </c>
      <c r="F1284" s="6">
        <v>4050000000</v>
      </c>
      <c r="H1284">
        <v>559</v>
      </c>
      <c r="I1284" t="s">
        <v>9228</v>
      </c>
    </row>
    <row r="1285" spans="2:9" x14ac:dyDescent="0.25">
      <c r="B1285">
        <v>255</v>
      </c>
      <c r="C1285" t="s">
        <v>7150</v>
      </c>
      <c r="D1285" t="s">
        <v>9229</v>
      </c>
      <c r="E1285">
        <v>312</v>
      </c>
      <c r="F1285" s="6">
        <v>6200000000</v>
      </c>
      <c r="H1285">
        <v>320</v>
      </c>
      <c r="I1285" t="s">
        <v>9230</v>
      </c>
    </row>
    <row r="1286" spans="2:9" x14ac:dyDescent="0.25">
      <c r="B1286">
        <v>437</v>
      </c>
      <c r="C1286" t="s">
        <v>6962</v>
      </c>
      <c r="D1286" t="s">
        <v>191</v>
      </c>
      <c r="E1286">
        <v>280</v>
      </c>
      <c r="F1286" s="6">
        <v>4300000000</v>
      </c>
      <c r="H1286">
        <v>518</v>
      </c>
      <c r="I1286" t="s">
        <v>9231</v>
      </c>
    </row>
    <row r="1287" spans="2:9" x14ac:dyDescent="0.25">
      <c r="B1287">
        <v>200</v>
      </c>
      <c r="C1287" t="s">
        <v>7154</v>
      </c>
      <c r="D1287" t="s">
        <v>8110</v>
      </c>
      <c r="E1287">
        <v>274</v>
      </c>
      <c r="F1287" s="6">
        <v>6200000000</v>
      </c>
      <c r="H1287">
        <v>265</v>
      </c>
      <c r="I1287" t="s">
        <v>9232</v>
      </c>
    </row>
    <row r="1288" spans="2:9" x14ac:dyDescent="0.25">
      <c r="B1288">
        <v>202</v>
      </c>
      <c r="C1288" t="s">
        <v>6966</v>
      </c>
      <c r="D1288" t="s">
        <v>8011</v>
      </c>
      <c r="E1288">
        <v>258</v>
      </c>
      <c r="F1288" s="6">
        <v>6200000000</v>
      </c>
      <c r="H1288">
        <v>267</v>
      </c>
      <c r="I1288" t="s">
        <v>9233</v>
      </c>
    </row>
    <row r="1289" spans="2:9" x14ac:dyDescent="0.25">
      <c r="B1289">
        <v>353</v>
      </c>
      <c r="C1289" t="s">
        <v>7158</v>
      </c>
      <c r="D1289" t="s">
        <v>5649</v>
      </c>
      <c r="E1289">
        <v>242</v>
      </c>
      <c r="F1289" s="6">
        <v>11400000000</v>
      </c>
      <c r="H1289">
        <v>420</v>
      </c>
      <c r="I1289" t="s">
        <v>9234</v>
      </c>
    </row>
    <row r="1290" spans="2:9" x14ac:dyDescent="0.25">
      <c r="B1290">
        <v>511</v>
      </c>
      <c r="C1290" t="s">
        <v>5931</v>
      </c>
      <c r="D1290" t="s">
        <v>5661</v>
      </c>
      <c r="E1290">
        <v>226</v>
      </c>
      <c r="F1290" s="6">
        <v>9350000000</v>
      </c>
      <c r="H1290">
        <v>604</v>
      </c>
      <c r="I1290" t="s">
        <v>9235</v>
      </c>
    </row>
    <row r="1291" spans="2:9" x14ac:dyDescent="0.25">
      <c r="B1291">
        <v>512</v>
      </c>
      <c r="C1291" t="s">
        <v>5937</v>
      </c>
      <c r="D1291" t="s">
        <v>5661</v>
      </c>
      <c r="E1291">
        <v>214</v>
      </c>
      <c r="F1291" s="6">
        <v>9500000000</v>
      </c>
      <c r="H1291">
        <v>605</v>
      </c>
      <c r="I1291" t="s">
        <v>9236</v>
      </c>
    </row>
    <row r="1292" spans="2:9" x14ac:dyDescent="0.25">
      <c r="B1292">
        <v>183</v>
      </c>
      <c r="C1292" t="s">
        <v>6970</v>
      </c>
      <c r="D1292" t="s">
        <v>3139</v>
      </c>
      <c r="E1292">
        <v>207</v>
      </c>
      <c r="F1292" s="6">
        <v>3800000000</v>
      </c>
      <c r="H1292">
        <v>247</v>
      </c>
      <c r="I1292" t="s">
        <v>9237</v>
      </c>
    </row>
    <row r="1293" spans="2:9" x14ac:dyDescent="0.25">
      <c r="B1293">
        <v>30</v>
      </c>
      <c r="C1293" t="s">
        <v>7162</v>
      </c>
      <c r="D1293" t="s">
        <v>5976</v>
      </c>
      <c r="E1293">
        <v>195</v>
      </c>
      <c r="F1293" s="6">
        <v>5700000000</v>
      </c>
      <c r="H1293">
        <v>72</v>
      </c>
      <c r="I1293" t="s">
        <v>9238</v>
      </c>
    </row>
    <row r="1294" spans="2:9" x14ac:dyDescent="0.25">
      <c r="B1294">
        <v>278</v>
      </c>
      <c r="C1294" t="s">
        <v>6974</v>
      </c>
      <c r="D1294" t="s">
        <v>9229</v>
      </c>
      <c r="E1294">
        <v>192</v>
      </c>
      <c r="F1294" s="6">
        <v>6200000000</v>
      </c>
      <c r="H1294">
        <v>343</v>
      </c>
      <c r="I1294" t="s">
        <v>9239</v>
      </c>
    </row>
    <row r="1295" spans="2:9" x14ac:dyDescent="0.25">
      <c r="B1295">
        <v>460</v>
      </c>
      <c r="C1295" t="s">
        <v>7165</v>
      </c>
      <c r="D1295" t="s">
        <v>191</v>
      </c>
      <c r="E1295">
        <v>183</v>
      </c>
      <c r="F1295" s="6">
        <v>4250000000</v>
      </c>
      <c r="H1295">
        <v>541</v>
      </c>
      <c r="I1295" t="s">
        <v>9240</v>
      </c>
    </row>
    <row r="1296" spans="2:9" x14ac:dyDescent="0.25">
      <c r="B1296">
        <v>10</v>
      </c>
      <c r="C1296" t="s">
        <v>6978</v>
      </c>
      <c r="D1296" t="s">
        <v>5976</v>
      </c>
      <c r="E1296">
        <v>178</v>
      </c>
      <c r="F1296" s="6">
        <v>5700000000</v>
      </c>
      <c r="H1296">
        <v>52</v>
      </c>
      <c r="I1296" t="s">
        <v>9241</v>
      </c>
    </row>
    <row r="1297" spans="2:9" x14ac:dyDescent="0.25">
      <c r="B1297">
        <v>21</v>
      </c>
      <c r="C1297" t="s">
        <v>7169</v>
      </c>
      <c r="D1297" t="s">
        <v>5997</v>
      </c>
      <c r="E1297">
        <v>171</v>
      </c>
      <c r="F1297" s="6">
        <v>5700000000</v>
      </c>
      <c r="H1297">
        <v>63</v>
      </c>
      <c r="I1297" t="s">
        <v>9242</v>
      </c>
    </row>
    <row r="1298" spans="2:9" x14ac:dyDescent="0.25">
      <c r="B1298">
        <v>242</v>
      </c>
      <c r="C1298" t="s">
        <v>6982</v>
      </c>
      <c r="D1298" t="s">
        <v>9229</v>
      </c>
      <c r="E1298">
        <v>165</v>
      </c>
      <c r="F1298" s="6">
        <v>6200000000</v>
      </c>
      <c r="H1298">
        <v>307</v>
      </c>
      <c r="I1298" t="s">
        <v>9243</v>
      </c>
    </row>
    <row r="1299" spans="2:9" x14ac:dyDescent="0.25">
      <c r="B1299">
        <v>462</v>
      </c>
      <c r="C1299" t="s">
        <v>7173</v>
      </c>
      <c r="D1299" t="s">
        <v>191</v>
      </c>
      <c r="E1299">
        <v>165</v>
      </c>
      <c r="F1299" s="6">
        <v>440000000</v>
      </c>
      <c r="H1299">
        <v>543</v>
      </c>
      <c r="I1299" t="s">
        <v>9244</v>
      </c>
    </row>
    <row r="1300" spans="2:9" x14ac:dyDescent="0.25">
      <c r="B1300">
        <v>445</v>
      </c>
      <c r="C1300" t="s">
        <v>6986</v>
      </c>
      <c r="D1300" t="s">
        <v>191</v>
      </c>
      <c r="E1300">
        <v>160</v>
      </c>
      <c r="F1300" s="6">
        <v>4300000000</v>
      </c>
      <c r="H1300">
        <v>526</v>
      </c>
      <c r="I1300" t="s">
        <v>9245</v>
      </c>
    </row>
    <row r="1301" spans="2:9" x14ac:dyDescent="0.25">
      <c r="B1301">
        <v>39</v>
      </c>
      <c r="C1301" t="s">
        <v>7177</v>
      </c>
      <c r="D1301" t="s">
        <v>5997</v>
      </c>
      <c r="E1301">
        <v>159</v>
      </c>
      <c r="F1301" s="6">
        <v>5700000000</v>
      </c>
      <c r="H1301">
        <v>81</v>
      </c>
      <c r="I1301" t="s">
        <v>9246</v>
      </c>
    </row>
    <row r="1302" spans="2:9" x14ac:dyDescent="0.25">
      <c r="B1302">
        <v>64</v>
      </c>
      <c r="C1302" t="s">
        <v>6990</v>
      </c>
      <c r="D1302" t="s">
        <v>5997</v>
      </c>
      <c r="E1302">
        <v>157</v>
      </c>
      <c r="F1302" s="6">
        <v>5900000000</v>
      </c>
      <c r="H1302">
        <v>106</v>
      </c>
      <c r="I1302" t="s">
        <v>9247</v>
      </c>
    </row>
    <row r="1303" spans="2:9" x14ac:dyDescent="0.25">
      <c r="B1303">
        <v>520</v>
      </c>
      <c r="C1303" t="s">
        <v>5757</v>
      </c>
      <c r="D1303" t="s">
        <v>2796</v>
      </c>
      <c r="E1303">
        <v>150</v>
      </c>
      <c r="F1303" s="6">
        <v>3450000000</v>
      </c>
      <c r="H1303">
        <v>613</v>
      </c>
      <c r="I1303" t="s">
        <v>9248</v>
      </c>
    </row>
    <row r="1304" spans="2:9" x14ac:dyDescent="0.25">
      <c r="B1304">
        <v>95</v>
      </c>
      <c r="C1304" t="s">
        <v>6994</v>
      </c>
      <c r="D1304" t="s">
        <v>5976</v>
      </c>
      <c r="E1304">
        <v>147</v>
      </c>
      <c r="F1304" s="6">
        <v>5900000000</v>
      </c>
      <c r="H1304">
        <v>137</v>
      </c>
      <c r="I1304" t="s">
        <v>9249</v>
      </c>
    </row>
    <row r="1305" spans="2:9" x14ac:dyDescent="0.25">
      <c r="B1305">
        <v>551</v>
      </c>
      <c r="C1305" t="s">
        <v>5860</v>
      </c>
      <c r="D1305" t="s">
        <v>8026</v>
      </c>
      <c r="E1305">
        <v>144</v>
      </c>
      <c r="F1305" s="6">
        <v>5300000000</v>
      </c>
      <c r="H1305">
        <v>644</v>
      </c>
      <c r="I1305" t="s">
        <v>9250</v>
      </c>
    </row>
    <row r="1306" spans="2:9" x14ac:dyDescent="0.25">
      <c r="B1306">
        <v>261</v>
      </c>
      <c r="C1306" t="s">
        <v>6998</v>
      </c>
      <c r="D1306" t="s">
        <v>9229</v>
      </c>
      <c r="E1306">
        <v>139</v>
      </c>
      <c r="F1306" s="6">
        <v>6170000000</v>
      </c>
      <c r="H1306">
        <v>326</v>
      </c>
      <c r="I1306" t="s">
        <v>9251</v>
      </c>
    </row>
    <row r="1307" spans="2:9" x14ac:dyDescent="0.25">
      <c r="B1307">
        <v>152</v>
      </c>
      <c r="C1307" t="s">
        <v>7182</v>
      </c>
      <c r="D1307" t="s">
        <v>7181</v>
      </c>
      <c r="E1307">
        <v>136</v>
      </c>
      <c r="F1307" s="6">
        <v>3850000000</v>
      </c>
      <c r="H1307">
        <v>200</v>
      </c>
      <c r="I1307" t="s">
        <v>9252</v>
      </c>
    </row>
    <row r="1308" spans="2:9" x14ac:dyDescent="0.25">
      <c r="B1308">
        <v>46</v>
      </c>
      <c r="C1308" t="s">
        <v>7002</v>
      </c>
      <c r="D1308" t="s">
        <v>5997</v>
      </c>
      <c r="E1308">
        <v>134</v>
      </c>
      <c r="F1308" s="6">
        <v>5850000000</v>
      </c>
      <c r="H1308">
        <v>88</v>
      </c>
      <c r="I1308" t="s">
        <v>9253</v>
      </c>
    </row>
    <row r="1309" spans="2:9" x14ac:dyDescent="0.25">
      <c r="B1309">
        <v>257</v>
      </c>
      <c r="C1309" t="s">
        <v>7187</v>
      </c>
      <c r="D1309" t="s">
        <v>9229</v>
      </c>
      <c r="E1309">
        <v>134</v>
      </c>
      <c r="F1309" s="6">
        <v>6200000000</v>
      </c>
      <c r="H1309">
        <v>322</v>
      </c>
      <c r="I1309" t="s">
        <v>9254</v>
      </c>
    </row>
    <row r="1310" spans="2:9" x14ac:dyDescent="0.25">
      <c r="B1310">
        <v>207</v>
      </c>
      <c r="C1310" t="s">
        <v>7006</v>
      </c>
      <c r="D1310" t="s">
        <v>8183</v>
      </c>
      <c r="E1310">
        <v>130</v>
      </c>
      <c r="F1310" s="6">
        <v>6420000000</v>
      </c>
      <c r="H1310">
        <v>272</v>
      </c>
      <c r="I1310" t="s">
        <v>9255</v>
      </c>
    </row>
    <row r="1311" spans="2:9" x14ac:dyDescent="0.25">
      <c r="B1311">
        <v>279</v>
      </c>
      <c r="C1311" t="s">
        <v>7190</v>
      </c>
      <c r="D1311" t="s">
        <v>9229</v>
      </c>
      <c r="E1311">
        <v>130</v>
      </c>
      <c r="F1311" s="6">
        <v>6200000000</v>
      </c>
      <c r="H1311">
        <v>344</v>
      </c>
      <c r="I1311" t="s">
        <v>9256</v>
      </c>
    </row>
    <row r="1312" spans="2:9" x14ac:dyDescent="0.25">
      <c r="B1312">
        <v>367</v>
      </c>
      <c r="C1312" t="s">
        <v>7010</v>
      </c>
      <c r="D1312" t="s">
        <v>5585</v>
      </c>
      <c r="E1312">
        <v>130</v>
      </c>
      <c r="F1312" s="6">
        <v>9800000000</v>
      </c>
      <c r="H1312">
        <v>434</v>
      </c>
      <c r="I1312" t="s">
        <v>9257</v>
      </c>
    </row>
    <row r="1313" spans="2:9" x14ac:dyDescent="0.25">
      <c r="B1313">
        <v>273</v>
      </c>
      <c r="C1313" t="s">
        <v>7194</v>
      </c>
      <c r="D1313" t="s">
        <v>9229</v>
      </c>
      <c r="E1313">
        <v>129</v>
      </c>
      <c r="F1313" s="6">
        <v>6200000000</v>
      </c>
      <c r="H1313">
        <v>338</v>
      </c>
      <c r="I1313" t="s">
        <v>9258</v>
      </c>
    </row>
    <row r="1314" spans="2:9" x14ac:dyDescent="0.25">
      <c r="B1314">
        <v>465</v>
      </c>
      <c r="C1314" t="s">
        <v>7014</v>
      </c>
      <c r="D1314" t="s">
        <v>2644</v>
      </c>
      <c r="E1314">
        <v>128</v>
      </c>
      <c r="F1314" s="6">
        <v>4150000000</v>
      </c>
      <c r="H1314">
        <v>552</v>
      </c>
      <c r="I1314" t="s">
        <v>9259</v>
      </c>
    </row>
    <row r="1315" spans="2:9" x14ac:dyDescent="0.25">
      <c r="B1315">
        <v>247</v>
      </c>
      <c r="C1315" t="s">
        <v>7198</v>
      </c>
      <c r="D1315" t="s">
        <v>9229</v>
      </c>
      <c r="E1315">
        <v>127</v>
      </c>
      <c r="F1315" s="6">
        <v>6200000000</v>
      </c>
      <c r="H1315">
        <v>312</v>
      </c>
      <c r="I1315" t="s">
        <v>9260</v>
      </c>
    </row>
    <row r="1316" spans="2:9" x14ac:dyDescent="0.25">
      <c r="B1316">
        <v>531</v>
      </c>
      <c r="C1316" t="s">
        <v>5811</v>
      </c>
      <c r="D1316" t="s">
        <v>191</v>
      </c>
      <c r="E1316">
        <v>126</v>
      </c>
      <c r="F1316" s="6">
        <v>4250000000</v>
      </c>
      <c r="H1316">
        <v>624</v>
      </c>
      <c r="I1316" t="s">
        <v>9261</v>
      </c>
    </row>
    <row r="1317" spans="2:9" x14ac:dyDescent="0.25">
      <c r="B1317">
        <v>384</v>
      </c>
      <c r="C1317" t="s">
        <v>5556</v>
      </c>
      <c r="D1317" t="s">
        <v>8035</v>
      </c>
      <c r="E1317">
        <v>124</v>
      </c>
      <c r="F1317" s="6">
        <v>5700000000</v>
      </c>
      <c r="H1317">
        <v>451</v>
      </c>
      <c r="I1317" t="s">
        <v>9262</v>
      </c>
    </row>
    <row r="1318" spans="2:9" x14ac:dyDescent="0.25">
      <c r="B1318">
        <v>40</v>
      </c>
      <c r="C1318" t="s">
        <v>7018</v>
      </c>
      <c r="D1318" t="s">
        <v>5997</v>
      </c>
      <c r="E1318">
        <v>123</v>
      </c>
      <c r="F1318" s="6">
        <v>5700000000</v>
      </c>
      <c r="H1318">
        <v>82</v>
      </c>
      <c r="I1318" t="s">
        <v>9263</v>
      </c>
    </row>
    <row r="1319" spans="2:9" x14ac:dyDescent="0.25">
      <c r="B1319">
        <v>154</v>
      </c>
      <c r="C1319" t="s">
        <v>7203</v>
      </c>
      <c r="D1319" t="s">
        <v>7202</v>
      </c>
      <c r="E1319">
        <v>123</v>
      </c>
      <c r="F1319" s="6">
        <v>3850000000</v>
      </c>
      <c r="H1319">
        <v>203</v>
      </c>
      <c r="I1319" t="s">
        <v>9264</v>
      </c>
    </row>
    <row r="1320" spans="2:9" x14ac:dyDescent="0.25">
      <c r="B1320">
        <v>248</v>
      </c>
      <c r="C1320" t="s">
        <v>7022</v>
      </c>
      <c r="D1320" t="s">
        <v>9229</v>
      </c>
      <c r="E1320">
        <v>120</v>
      </c>
      <c r="F1320" s="6">
        <v>6200000000</v>
      </c>
      <c r="H1320">
        <v>313</v>
      </c>
      <c r="I1320" t="s">
        <v>9265</v>
      </c>
    </row>
    <row r="1321" spans="2:9" x14ac:dyDescent="0.25">
      <c r="B1321">
        <v>111</v>
      </c>
      <c r="C1321" t="s">
        <v>7207</v>
      </c>
      <c r="D1321" t="s">
        <v>3521</v>
      </c>
      <c r="E1321">
        <v>119</v>
      </c>
      <c r="F1321" s="6">
        <v>6120000000</v>
      </c>
      <c r="H1321">
        <v>153</v>
      </c>
      <c r="I1321" t="s">
        <v>9266</v>
      </c>
    </row>
    <row r="1322" spans="2:9" x14ac:dyDescent="0.25">
      <c r="B1322">
        <v>285</v>
      </c>
      <c r="C1322" t="s">
        <v>7026</v>
      </c>
      <c r="D1322" t="s">
        <v>9229</v>
      </c>
      <c r="E1322">
        <v>115</v>
      </c>
      <c r="F1322" s="6">
        <v>6200000000</v>
      </c>
      <c r="H1322">
        <v>350</v>
      </c>
      <c r="I1322" t="s">
        <v>9267</v>
      </c>
    </row>
    <row r="1323" spans="2:9" x14ac:dyDescent="0.25">
      <c r="B1323">
        <v>213</v>
      </c>
      <c r="C1323" t="s">
        <v>7212</v>
      </c>
      <c r="D1323" t="s">
        <v>7211</v>
      </c>
      <c r="E1323">
        <v>112</v>
      </c>
      <c r="F1323" s="6">
        <v>6200000000</v>
      </c>
      <c r="H1323">
        <v>278</v>
      </c>
      <c r="I1323" t="s">
        <v>9268</v>
      </c>
    </row>
    <row r="1324" spans="2:9" x14ac:dyDescent="0.25">
      <c r="B1324">
        <v>147</v>
      </c>
      <c r="C1324" t="s">
        <v>7030</v>
      </c>
      <c r="D1324" t="s">
        <v>2476</v>
      </c>
      <c r="E1324">
        <v>111</v>
      </c>
      <c r="F1324" s="6">
        <v>3800000000</v>
      </c>
      <c r="H1324">
        <v>193</v>
      </c>
      <c r="I1324" t="s">
        <v>9269</v>
      </c>
    </row>
    <row r="1325" spans="2:9" x14ac:dyDescent="0.25">
      <c r="B1325">
        <v>97</v>
      </c>
      <c r="C1325" t="s">
        <v>7217</v>
      </c>
      <c r="D1325" t="s">
        <v>5976</v>
      </c>
      <c r="E1325">
        <v>110</v>
      </c>
      <c r="F1325" s="6">
        <v>5950000000</v>
      </c>
      <c r="H1325">
        <v>139</v>
      </c>
      <c r="I1325" t="s">
        <v>9270</v>
      </c>
    </row>
    <row r="1326" spans="2:9" x14ac:dyDescent="0.25">
      <c r="B1326">
        <v>282</v>
      </c>
      <c r="C1326" t="s">
        <v>7034</v>
      </c>
      <c r="D1326" t="s">
        <v>9229</v>
      </c>
      <c r="E1326">
        <v>110</v>
      </c>
      <c r="F1326" s="6">
        <v>6200000000</v>
      </c>
      <c r="H1326">
        <v>347</v>
      </c>
      <c r="I1326" t="s">
        <v>9271</v>
      </c>
    </row>
    <row r="1327" spans="2:9" x14ac:dyDescent="0.25">
      <c r="B1327">
        <v>275</v>
      </c>
      <c r="C1327" t="s">
        <v>7221</v>
      </c>
      <c r="D1327" t="s">
        <v>9229</v>
      </c>
      <c r="E1327">
        <v>108</v>
      </c>
      <c r="F1327" s="6">
        <v>6200000000</v>
      </c>
      <c r="H1327">
        <v>340</v>
      </c>
      <c r="I1327" t="s">
        <v>9272</v>
      </c>
    </row>
    <row r="1328" spans="2:9" x14ac:dyDescent="0.25">
      <c r="B1328">
        <v>286</v>
      </c>
      <c r="C1328" t="s">
        <v>7038</v>
      </c>
      <c r="D1328" t="s">
        <v>9229</v>
      </c>
      <c r="E1328">
        <v>107</v>
      </c>
      <c r="F1328" s="6">
        <v>6200000000</v>
      </c>
      <c r="H1328">
        <v>351</v>
      </c>
      <c r="I1328" t="s">
        <v>9273</v>
      </c>
    </row>
    <row r="1329" spans="2:9" x14ac:dyDescent="0.25">
      <c r="B1329">
        <v>268</v>
      </c>
      <c r="C1329" t="s">
        <v>7225</v>
      </c>
      <c r="D1329" t="s">
        <v>9229</v>
      </c>
      <c r="E1329">
        <v>105</v>
      </c>
      <c r="F1329" s="6">
        <v>6200000000</v>
      </c>
      <c r="H1329">
        <v>333</v>
      </c>
      <c r="I1329" t="s">
        <v>9274</v>
      </c>
    </row>
    <row r="1330" spans="2:9" x14ac:dyDescent="0.25">
      <c r="B1330">
        <v>31</v>
      </c>
      <c r="C1330" t="s">
        <v>7042</v>
      </c>
      <c r="D1330" t="s">
        <v>5997</v>
      </c>
      <c r="E1330">
        <v>103</v>
      </c>
      <c r="F1330" s="6">
        <v>5650000000</v>
      </c>
      <c r="H1330">
        <v>73</v>
      </c>
      <c r="I1330" t="s">
        <v>9275</v>
      </c>
    </row>
    <row r="1331" spans="2:9" x14ac:dyDescent="0.25">
      <c r="B1331">
        <v>62</v>
      </c>
      <c r="C1331" t="s">
        <v>7229</v>
      </c>
      <c r="D1331" t="s">
        <v>5976</v>
      </c>
      <c r="E1331">
        <v>103</v>
      </c>
      <c r="F1331" s="6">
        <v>5900000000</v>
      </c>
      <c r="H1331">
        <v>104</v>
      </c>
      <c r="I1331" t="s">
        <v>9276</v>
      </c>
    </row>
    <row r="1332" spans="2:9" x14ac:dyDescent="0.25">
      <c r="B1332">
        <v>188</v>
      </c>
      <c r="C1332" t="s">
        <v>7046</v>
      </c>
      <c r="D1332" t="s">
        <v>8534</v>
      </c>
      <c r="E1332">
        <v>103</v>
      </c>
      <c r="F1332" s="6">
        <v>5650000000</v>
      </c>
      <c r="H1332">
        <v>253</v>
      </c>
      <c r="I1332" t="s">
        <v>9277</v>
      </c>
    </row>
    <row r="1333" spans="2:9" x14ac:dyDescent="0.25">
      <c r="B1333">
        <v>244</v>
      </c>
      <c r="C1333" t="s">
        <v>7233</v>
      </c>
      <c r="D1333" t="s">
        <v>9229</v>
      </c>
      <c r="E1333">
        <v>103</v>
      </c>
      <c r="F1333" s="6">
        <v>6200000000</v>
      </c>
      <c r="H1333">
        <v>309</v>
      </c>
      <c r="I1333" t="s">
        <v>9278</v>
      </c>
    </row>
    <row r="1334" spans="2:9" x14ac:dyDescent="0.25">
      <c r="B1334">
        <v>108</v>
      </c>
      <c r="C1334" t="s">
        <v>7050</v>
      </c>
      <c r="D1334" t="s">
        <v>5976</v>
      </c>
      <c r="E1334">
        <v>100</v>
      </c>
      <c r="F1334" s="6">
        <v>5950000000</v>
      </c>
      <c r="H1334">
        <v>150</v>
      </c>
      <c r="I1334" t="s">
        <v>9279</v>
      </c>
    </row>
    <row r="1335" spans="2:9" x14ac:dyDescent="0.25">
      <c r="B1335">
        <v>403</v>
      </c>
      <c r="C1335" t="s">
        <v>7237</v>
      </c>
      <c r="D1335" t="s">
        <v>8035</v>
      </c>
      <c r="E1335">
        <v>100</v>
      </c>
      <c r="F1335" s="6">
        <v>5700000000</v>
      </c>
      <c r="H1335">
        <v>470</v>
      </c>
      <c r="I1335" t="s">
        <v>9280</v>
      </c>
    </row>
    <row r="1336" spans="2:9" x14ac:dyDescent="0.25">
      <c r="B1336">
        <v>430</v>
      </c>
      <c r="C1336" t="s">
        <v>7053</v>
      </c>
      <c r="D1336" t="s">
        <v>2706</v>
      </c>
      <c r="E1336">
        <v>100</v>
      </c>
      <c r="F1336" s="6">
        <v>2500000000</v>
      </c>
      <c r="H1336">
        <v>507</v>
      </c>
      <c r="I1336" t="s">
        <v>9281</v>
      </c>
    </row>
    <row r="1337" spans="2:9" x14ac:dyDescent="0.25">
      <c r="B1337">
        <v>431</v>
      </c>
      <c r="C1337" t="s">
        <v>7241</v>
      </c>
      <c r="D1337" t="s">
        <v>2706</v>
      </c>
      <c r="E1337">
        <v>100</v>
      </c>
      <c r="F1337" s="6">
        <v>2500000000</v>
      </c>
      <c r="H1337">
        <v>508</v>
      </c>
      <c r="I1337" t="s">
        <v>9282</v>
      </c>
    </row>
    <row r="1338" spans="2:9" x14ac:dyDescent="0.25">
      <c r="B1338">
        <v>432</v>
      </c>
      <c r="C1338" t="s">
        <v>7057</v>
      </c>
      <c r="D1338" t="s">
        <v>2706</v>
      </c>
      <c r="E1338">
        <v>100</v>
      </c>
      <c r="F1338" s="6">
        <v>2500000000</v>
      </c>
      <c r="H1338">
        <v>509</v>
      </c>
      <c r="I1338" t="s">
        <v>9283</v>
      </c>
    </row>
    <row r="1339" spans="2:9" x14ac:dyDescent="0.25">
      <c r="B1339">
        <v>434</v>
      </c>
      <c r="C1339" t="s">
        <v>7245</v>
      </c>
      <c r="D1339" t="s">
        <v>2568</v>
      </c>
      <c r="E1339">
        <v>100</v>
      </c>
      <c r="F1339" s="6">
        <v>2900000000</v>
      </c>
      <c r="H1339">
        <v>513</v>
      </c>
      <c r="I1339" t="s">
        <v>9284</v>
      </c>
    </row>
    <row r="1340" spans="2:9" x14ac:dyDescent="0.25">
      <c r="B1340">
        <v>435</v>
      </c>
      <c r="C1340" t="s">
        <v>7061</v>
      </c>
      <c r="D1340" t="s">
        <v>2568</v>
      </c>
      <c r="E1340">
        <v>100</v>
      </c>
      <c r="F1340" s="6">
        <v>3400000000</v>
      </c>
      <c r="H1340">
        <v>515</v>
      </c>
      <c r="I1340" t="s">
        <v>9285</v>
      </c>
    </row>
    <row r="1341" spans="2:9" x14ac:dyDescent="0.25">
      <c r="B1341">
        <v>474</v>
      </c>
      <c r="C1341" t="s">
        <v>7250</v>
      </c>
      <c r="D1341" t="s">
        <v>7249</v>
      </c>
      <c r="E1341">
        <v>100</v>
      </c>
      <c r="F1341" s="6">
        <v>3500000000</v>
      </c>
      <c r="H1341">
        <v>561</v>
      </c>
      <c r="I1341" t="s">
        <v>9286</v>
      </c>
    </row>
    <row r="1342" spans="2:9" x14ac:dyDescent="0.25">
      <c r="B1342">
        <v>501</v>
      </c>
      <c r="C1342" t="s">
        <v>7065</v>
      </c>
      <c r="D1342" t="s">
        <v>6308</v>
      </c>
      <c r="E1342">
        <v>100</v>
      </c>
      <c r="F1342" s="6">
        <v>10900000000</v>
      </c>
      <c r="H1342">
        <v>591</v>
      </c>
      <c r="I1342" t="s">
        <v>9287</v>
      </c>
    </row>
    <row r="1343" spans="2:9" x14ac:dyDescent="0.25">
      <c r="B1343">
        <v>503</v>
      </c>
      <c r="C1343" t="s">
        <v>7256</v>
      </c>
      <c r="D1343" t="s">
        <v>8035</v>
      </c>
      <c r="E1343">
        <v>100</v>
      </c>
      <c r="F1343" s="6">
        <v>5000000000</v>
      </c>
      <c r="H1343">
        <v>593</v>
      </c>
      <c r="I1343" t="s">
        <v>9288</v>
      </c>
    </row>
    <row r="1344" spans="2:9" x14ac:dyDescent="0.25">
      <c r="B1344">
        <v>507</v>
      </c>
      <c r="C1344" t="s">
        <v>7069</v>
      </c>
      <c r="D1344" t="s">
        <v>316</v>
      </c>
      <c r="E1344">
        <v>100</v>
      </c>
      <c r="F1344" s="6">
        <v>2500000000</v>
      </c>
      <c r="H1344">
        <v>597</v>
      </c>
      <c r="I1344" t="s">
        <v>9289</v>
      </c>
    </row>
    <row r="1345" spans="2:9" x14ac:dyDescent="0.25">
      <c r="B1345">
        <v>336</v>
      </c>
      <c r="C1345" t="s">
        <v>7260</v>
      </c>
      <c r="D1345" t="s">
        <v>5834</v>
      </c>
      <c r="E1345">
        <v>99</v>
      </c>
      <c r="F1345" s="6">
        <v>5300000000</v>
      </c>
      <c r="H1345">
        <v>401</v>
      </c>
      <c r="I1345" t="s">
        <v>9290</v>
      </c>
    </row>
    <row r="1346" spans="2:9" x14ac:dyDescent="0.25">
      <c r="B1346">
        <v>498</v>
      </c>
      <c r="C1346" t="s">
        <v>7073</v>
      </c>
      <c r="D1346" t="s">
        <v>3478</v>
      </c>
      <c r="E1346">
        <v>99</v>
      </c>
      <c r="F1346" s="6">
        <v>6200000000</v>
      </c>
      <c r="H1346">
        <v>588</v>
      </c>
      <c r="I1346" t="s">
        <v>9291</v>
      </c>
    </row>
    <row r="1347" spans="2:9" x14ac:dyDescent="0.25">
      <c r="B1347">
        <v>13</v>
      </c>
      <c r="C1347" t="s">
        <v>7264</v>
      </c>
      <c r="D1347" t="s">
        <v>5976</v>
      </c>
      <c r="E1347">
        <v>97</v>
      </c>
      <c r="F1347" s="6">
        <v>5700000000</v>
      </c>
      <c r="H1347">
        <v>55</v>
      </c>
      <c r="I1347" t="s">
        <v>9292</v>
      </c>
    </row>
    <row r="1348" spans="2:9" x14ac:dyDescent="0.25">
      <c r="B1348">
        <v>71</v>
      </c>
      <c r="C1348" t="s">
        <v>7077</v>
      </c>
      <c r="D1348" t="s">
        <v>5970</v>
      </c>
      <c r="E1348">
        <v>97</v>
      </c>
      <c r="F1348" s="6">
        <v>5900000000</v>
      </c>
      <c r="H1348">
        <v>113</v>
      </c>
      <c r="I1348" t="s">
        <v>9293</v>
      </c>
    </row>
    <row r="1349" spans="2:9" x14ac:dyDescent="0.25">
      <c r="B1349">
        <v>393</v>
      </c>
      <c r="C1349" t="s">
        <v>4604</v>
      </c>
      <c r="D1349" t="s">
        <v>8026</v>
      </c>
      <c r="E1349">
        <v>97</v>
      </c>
      <c r="F1349" s="6">
        <v>5450000000</v>
      </c>
      <c r="H1349">
        <v>460</v>
      </c>
      <c r="I1349" t="s">
        <v>9294</v>
      </c>
    </row>
    <row r="1350" spans="2:9" x14ac:dyDescent="0.25">
      <c r="B1350">
        <v>9</v>
      </c>
      <c r="C1350" t="s">
        <v>7081</v>
      </c>
      <c r="D1350" t="s">
        <v>5976</v>
      </c>
      <c r="E1350">
        <v>96</v>
      </c>
      <c r="F1350" s="6">
        <v>5650000000</v>
      </c>
      <c r="H1350">
        <v>51</v>
      </c>
      <c r="I1350" t="s">
        <v>9295</v>
      </c>
    </row>
    <row r="1351" spans="2:9" x14ac:dyDescent="0.25">
      <c r="B1351">
        <v>53</v>
      </c>
      <c r="C1351" t="s">
        <v>7268</v>
      </c>
      <c r="D1351" t="s">
        <v>5970</v>
      </c>
      <c r="E1351">
        <v>96</v>
      </c>
      <c r="F1351" s="6">
        <v>5950000000</v>
      </c>
      <c r="H1351">
        <v>95</v>
      </c>
      <c r="I1351" t="s">
        <v>9296</v>
      </c>
    </row>
    <row r="1352" spans="2:9" x14ac:dyDescent="0.25">
      <c r="B1352">
        <v>364</v>
      </c>
      <c r="C1352" t="s">
        <v>7086</v>
      </c>
      <c r="D1352" t="s">
        <v>7085</v>
      </c>
      <c r="E1352">
        <v>96</v>
      </c>
      <c r="F1352" s="6">
        <v>10000000000</v>
      </c>
      <c r="H1352">
        <v>431</v>
      </c>
      <c r="I1352" t="s">
        <v>9297</v>
      </c>
    </row>
    <row r="1353" spans="2:9" x14ac:dyDescent="0.25">
      <c r="B1353">
        <v>11</v>
      </c>
      <c r="C1353" t="s">
        <v>7272</v>
      </c>
      <c r="D1353" t="s">
        <v>5997</v>
      </c>
      <c r="E1353">
        <v>95</v>
      </c>
      <c r="F1353" s="6">
        <v>5650000000</v>
      </c>
      <c r="H1353">
        <v>53</v>
      </c>
      <c r="I1353" t="s">
        <v>9298</v>
      </c>
    </row>
    <row r="1354" spans="2:9" x14ac:dyDescent="0.25">
      <c r="B1354">
        <v>89</v>
      </c>
      <c r="C1354" t="s">
        <v>7090</v>
      </c>
      <c r="D1354" t="s">
        <v>5970</v>
      </c>
      <c r="E1354">
        <v>95</v>
      </c>
      <c r="F1354" s="6">
        <v>5900000000</v>
      </c>
      <c r="H1354">
        <v>131</v>
      </c>
      <c r="I1354" t="s">
        <v>9299</v>
      </c>
    </row>
    <row r="1355" spans="2:9" x14ac:dyDescent="0.25">
      <c r="B1355">
        <v>208</v>
      </c>
      <c r="C1355" t="s">
        <v>7276</v>
      </c>
      <c r="D1355" t="s">
        <v>7211</v>
      </c>
      <c r="E1355">
        <v>95</v>
      </c>
      <c r="F1355" s="6">
        <v>6100000000</v>
      </c>
      <c r="H1355">
        <v>273</v>
      </c>
      <c r="I1355" t="s">
        <v>9300</v>
      </c>
    </row>
    <row r="1356" spans="2:9" x14ac:dyDescent="0.25">
      <c r="B1356">
        <v>251</v>
      </c>
      <c r="C1356" t="s">
        <v>7094</v>
      </c>
      <c r="D1356" t="s">
        <v>9229</v>
      </c>
      <c r="E1356">
        <v>95</v>
      </c>
      <c r="F1356" s="6">
        <v>6150000000</v>
      </c>
      <c r="H1356">
        <v>316</v>
      </c>
      <c r="I1356" t="s">
        <v>9301</v>
      </c>
    </row>
    <row r="1357" spans="2:9" x14ac:dyDescent="0.25">
      <c r="B1357">
        <v>266</v>
      </c>
      <c r="C1357" t="s">
        <v>7280</v>
      </c>
      <c r="D1357" t="s">
        <v>9229</v>
      </c>
      <c r="E1357">
        <v>95</v>
      </c>
      <c r="F1357" s="6">
        <v>6150000000</v>
      </c>
      <c r="H1357">
        <v>331</v>
      </c>
      <c r="I1357" t="s">
        <v>9302</v>
      </c>
    </row>
    <row r="1358" spans="2:9" x14ac:dyDescent="0.25">
      <c r="B1358">
        <v>133</v>
      </c>
      <c r="C1358" t="s">
        <v>7098</v>
      </c>
      <c r="D1358" t="s">
        <v>2476</v>
      </c>
      <c r="E1358">
        <v>94</v>
      </c>
      <c r="F1358" s="6">
        <v>3850000000</v>
      </c>
      <c r="H1358">
        <v>176</v>
      </c>
      <c r="I1358" t="s">
        <v>9303</v>
      </c>
    </row>
    <row r="1359" spans="2:9" x14ac:dyDescent="0.25">
      <c r="B1359">
        <v>38</v>
      </c>
      <c r="C1359" t="s">
        <v>7284</v>
      </c>
      <c r="D1359" t="s">
        <v>5997</v>
      </c>
      <c r="E1359">
        <v>93</v>
      </c>
      <c r="F1359" s="6">
        <v>5700000000</v>
      </c>
      <c r="H1359">
        <v>80</v>
      </c>
      <c r="I1359" t="s">
        <v>9304</v>
      </c>
    </row>
    <row r="1360" spans="2:9" x14ac:dyDescent="0.25">
      <c r="B1360">
        <v>72</v>
      </c>
      <c r="C1360" t="s">
        <v>7102</v>
      </c>
      <c r="D1360" t="s">
        <v>6029</v>
      </c>
      <c r="E1360">
        <v>93</v>
      </c>
      <c r="F1360" s="6">
        <v>5900000000</v>
      </c>
      <c r="H1360">
        <v>114</v>
      </c>
      <c r="I1360" t="s">
        <v>9305</v>
      </c>
    </row>
    <row r="1361" spans="2:9" x14ac:dyDescent="0.25">
      <c r="B1361">
        <v>287</v>
      </c>
      <c r="C1361" t="s">
        <v>7287</v>
      </c>
      <c r="D1361" t="s">
        <v>9229</v>
      </c>
      <c r="E1361">
        <v>92</v>
      </c>
      <c r="F1361" s="6">
        <v>6200000000</v>
      </c>
      <c r="H1361">
        <v>352</v>
      </c>
      <c r="I1361" t="s">
        <v>9306</v>
      </c>
    </row>
    <row r="1362" spans="2:9" x14ac:dyDescent="0.25">
      <c r="B1362">
        <v>93</v>
      </c>
      <c r="C1362" t="s">
        <v>7106</v>
      </c>
      <c r="D1362" t="s">
        <v>5970</v>
      </c>
      <c r="E1362">
        <v>91</v>
      </c>
      <c r="F1362" s="6">
        <v>5950000000</v>
      </c>
      <c r="H1362">
        <v>135</v>
      </c>
      <c r="I1362" t="s">
        <v>9307</v>
      </c>
    </row>
    <row r="1363" spans="2:9" x14ac:dyDescent="0.25">
      <c r="B1363">
        <v>41</v>
      </c>
      <c r="C1363" t="s">
        <v>7290</v>
      </c>
      <c r="D1363" t="s">
        <v>5997</v>
      </c>
      <c r="E1363">
        <v>90</v>
      </c>
      <c r="F1363" s="6">
        <v>5700000000</v>
      </c>
      <c r="H1363">
        <v>83</v>
      </c>
      <c r="I1363" t="s">
        <v>9308</v>
      </c>
    </row>
    <row r="1364" spans="2:9" x14ac:dyDescent="0.25">
      <c r="B1364">
        <v>37</v>
      </c>
      <c r="C1364" t="s">
        <v>7110</v>
      </c>
      <c r="D1364" t="s">
        <v>5997</v>
      </c>
      <c r="E1364">
        <v>89</v>
      </c>
      <c r="F1364" s="6">
        <v>5650000000</v>
      </c>
      <c r="H1364">
        <v>79</v>
      </c>
      <c r="I1364" t="s">
        <v>9309</v>
      </c>
    </row>
    <row r="1365" spans="2:9" x14ac:dyDescent="0.25">
      <c r="B1365">
        <v>65</v>
      </c>
      <c r="C1365" t="s">
        <v>7294</v>
      </c>
      <c r="D1365" t="s">
        <v>6029</v>
      </c>
      <c r="E1365">
        <v>89</v>
      </c>
      <c r="F1365" s="6">
        <v>5900000000</v>
      </c>
      <c r="H1365">
        <v>107</v>
      </c>
      <c r="I1365" t="s">
        <v>9310</v>
      </c>
    </row>
    <row r="1366" spans="2:9" x14ac:dyDescent="0.25">
      <c r="B1366">
        <v>74</v>
      </c>
      <c r="C1366" t="s">
        <v>7114</v>
      </c>
      <c r="D1366" t="s">
        <v>5970</v>
      </c>
      <c r="E1366">
        <v>89</v>
      </c>
      <c r="F1366" s="6">
        <v>5900000000</v>
      </c>
      <c r="H1366">
        <v>116</v>
      </c>
      <c r="I1366" t="s">
        <v>9311</v>
      </c>
    </row>
    <row r="1367" spans="2:9" x14ac:dyDescent="0.25">
      <c r="B1367">
        <v>276</v>
      </c>
      <c r="C1367" t="s">
        <v>7298</v>
      </c>
      <c r="D1367" t="s">
        <v>9229</v>
      </c>
      <c r="E1367">
        <v>89</v>
      </c>
      <c r="F1367" s="6">
        <v>6200000000</v>
      </c>
      <c r="H1367">
        <v>341</v>
      </c>
      <c r="I1367" t="s">
        <v>9312</v>
      </c>
    </row>
    <row r="1368" spans="2:9" x14ac:dyDescent="0.25">
      <c r="B1368">
        <v>113</v>
      </c>
      <c r="C1368" t="s">
        <v>7118</v>
      </c>
      <c r="D1368" t="s">
        <v>3478</v>
      </c>
      <c r="E1368">
        <v>87</v>
      </c>
      <c r="F1368" s="6">
        <v>6300000000</v>
      </c>
      <c r="H1368">
        <v>155</v>
      </c>
      <c r="I1368" t="s">
        <v>9313</v>
      </c>
    </row>
    <row r="1369" spans="2:9" x14ac:dyDescent="0.25">
      <c r="B1369">
        <v>252</v>
      </c>
      <c r="C1369" t="s">
        <v>7302</v>
      </c>
      <c r="D1369" t="s">
        <v>9229</v>
      </c>
      <c r="E1369">
        <v>87</v>
      </c>
      <c r="F1369" s="6">
        <v>6200000000</v>
      </c>
      <c r="H1369">
        <v>317</v>
      </c>
      <c r="I1369" t="s">
        <v>9314</v>
      </c>
    </row>
    <row r="1370" spans="2:9" x14ac:dyDescent="0.25">
      <c r="B1370">
        <v>271</v>
      </c>
      <c r="C1370" t="s">
        <v>7122</v>
      </c>
      <c r="D1370" t="s">
        <v>9229</v>
      </c>
      <c r="E1370">
        <v>87</v>
      </c>
      <c r="F1370" s="6">
        <v>6200000000</v>
      </c>
      <c r="H1370">
        <v>336</v>
      </c>
      <c r="I1370" t="s">
        <v>9315</v>
      </c>
    </row>
    <row r="1371" spans="2:9" x14ac:dyDescent="0.25">
      <c r="B1371">
        <v>281</v>
      </c>
      <c r="C1371" t="s">
        <v>7305</v>
      </c>
      <c r="D1371" t="s">
        <v>9229</v>
      </c>
      <c r="E1371">
        <v>87</v>
      </c>
      <c r="F1371" s="6">
        <v>6200000000</v>
      </c>
      <c r="H1371">
        <v>346</v>
      </c>
      <c r="I1371" t="s">
        <v>9316</v>
      </c>
    </row>
    <row r="1372" spans="2:9" x14ac:dyDescent="0.25">
      <c r="B1372" t="s">
        <v>7917</v>
      </c>
      <c r="C1372" t="s">
        <v>7918</v>
      </c>
      <c r="D1372" t="s">
        <v>7919</v>
      </c>
      <c r="E1372" t="s">
        <v>7920</v>
      </c>
      <c r="F1372" t="s">
        <v>7921</v>
      </c>
      <c r="G1372" t="s">
        <v>7922</v>
      </c>
      <c r="H1372" t="s">
        <v>7923</v>
      </c>
    </row>
    <row r="1373" spans="2:9" x14ac:dyDescent="0.25">
      <c r="B1373">
        <v>298</v>
      </c>
      <c r="C1373" t="s">
        <v>6591</v>
      </c>
      <c r="D1373" t="s">
        <v>9317</v>
      </c>
      <c r="E1373">
        <v>87</v>
      </c>
      <c r="F1373" s="6">
        <v>5900000000</v>
      </c>
      <c r="H1373">
        <v>363</v>
      </c>
      <c r="I1373" t="s">
        <v>9318</v>
      </c>
    </row>
    <row r="1374" spans="2:9" x14ac:dyDescent="0.25">
      <c r="B1374">
        <v>341</v>
      </c>
      <c r="C1374" t="s">
        <v>6758</v>
      </c>
      <c r="D1374" t="s">
        <v>5283</v>
      </c>
      <c r="E1374">
        <v>87</v>
      </c>
      <c r="F1374" s="6">
        <v>5300000000</v>
      </c>
      <c r="H1374">
        <v>406</v>
      </c>
      <c r="I1374" t="s">
        <v>9319</v>
      </c>
    </row>
    <row r="1375" spans="2:9" x14ac:dyDescent="0.25">
      <c r="B1375">
        <v>8</v>
      </c>
      <c r="C1375" t="s">
        <v>6595</v>
      </c>
      <c r="D1375" t="s">
        <v>5976</v>
      </c>
      <c r="E1375">
        <v>86</v>
      </c>
      <c r="F1375" s="6">
        <v>5670000000</v>
      </c>
      <c r="H1375">
        <v>50</v>
      </c>
      <c r="I1375" t="s">
        <v>9320</v>
      </c>
    </row>
    <row r="1376" spans="2:9" x14ac:dyDescent="0.25">
      <c r="B1376">
        <v>50</v>
      </c>
      <c r="C1376" t="s">
        <v>6762</v>
      </c>
      <c r="D1376" t="s">
        <v>5970</v>
      </c>
      <c r="E1376">
        <v>86</v>
      </c>
      <c r="F1376" s="6">
        <v>5900000000</v>
      </c>
      <c r="H1376">
        <v>92</v>
      </c>
      <c r="I1376" t="s">
        <v>9321</v>
      </c>
    </row>
    <row r="1377" spans="2:9" x14ac:dyDescent="0.25">
      <c r="B1377">
        <v>34</v>
      </c>
      <c r="C1377" t="s">
        <v>6599</v>
      </c>
      <c r="D1377" t="s">
        <v>5976</v>
      </c>
      <c r="E1377">
        <v>85</v>
      </c>
      <c r="F1377" s="6">
        <v>5650000000</v>
      </c>
      <c r="H1377">
        <v>76</v>
      </c>
      <c r="I1377" t="s">
        <v>9322</v>
      </c>
    </row>
    <row r="1378" spans="2:9" x14ac:dyDescent="0.25">
      <c r="B1378">
        <v>180</v>
      </c>
      <c r="C1378" t="s">
        <v>6766</v>
      </c>
      <c r="D1378" t="s">
        <v>4366</v>
      </c>
      <c r="E1378">
        <v>85</v>
      </c>
      <c r="F1378" s="6">
        <v>4070000000</v>
      </c>
      <c r="H1378">
        <v>243</v>
      </c>
      <c r="I1378" t="s">
        <v>9323</v>
      </c>
    </row>
    <row r="1379" spans="2:9" x14ac:dyDescent="0.25">
      <c r="B1379">
        <v>269</v>
      </c>
      <c r="C1379" t="s">
        <v>6603</v>
      </c>
      <c r="D1379" t="s">
        <v>9229</v>
      </c>
      <c r="E1379">
        <v>85</v>
      </c>
      <c r="F1379" s="6">
        <v>6200000000</v>
      </c>
      <c r="H1379">
        <v>334</v>
      </c>
      <c r="I1379" t="s">
        <v>9324</v>
      </c>
    </row>
    <row r="1380" spans="2:9" x14ac:dyDescent="0.25">
      <c r="B1380">
        <v>495</v>
      </c>
      <c r="C1380" t="s">
        <v>6770</v>
      </c>
      <c r="D1380" t="s">
        <v>6029</v>
      </c>
      <c r="E1380">
        <v>85</v>
      </c>
      <c r="F1380" s="6">
        <v>5550000000</v>
      </c>
      <c r="H1380">
        <v>585</v>
      </c>
      <c r="I1380" t="s">
        <v>9325</v>
      </c>
    </row>
    <row r="1381" spans="2:9" x14ac:dyDescent="0.25">
      <c r="B1381">
        <v>260</v>
      </c>
      <c r="C1381" t="s">
        <v>6607</v>
      </c>
      <c r="D1381" t="s">
        <v>9229</v>
      </c>
      <c r="E1381">
        <v>84</v>
      </c>
      <c r="F1381" s="6">
        <v>6200000000</v>
      </c>
      <c r="H1381">
        <v>325</v>
      </c>
      <c r="I1381" t="s">
        <v>9326</v>
      </c>
    </row>
    <row r="1382" spans="2:9" x14ac:dyDescent="0.25">
      <c r="B1382">
        <v>288</v>
      </c>
      <c r="C1382" t="s">
        <v>6774</v>
      </c>
      <c r="D1382" t="s">
        <v>9229</v>
      </c>
      <c r="E1382">
        <v>84</v>
      </c>
      <c r="F1382" s="6">
        <v>6200000000</v>
      </c>
      <c r="H1382">
        <v>353</v>
      </c>
      <c r="I1382" t="s">
        <v>9327</v>
      </c>
    </row>
    <row r="1383" spans="2:9" x14ac:dyDescent="0.25">
      <c r="B1383">
        <v>150</v>
      </c>
      <c r="C1383" t="s">
        <v>6611</v>
      </c>
      <c r="D1383" t="s">
        <v>2476</v>
      </c>
      <c r="E1383">
        <v>82</v>
      </c>
      <c r="F1383" s="6">
        <v>3850000000</v>
      </c>
      <c r="H1383">
        <v>197</v>
      </c>
      <c r="I1383" t="s">
        <v>9328</v>
      </c>
    </row>
    <row r="1384" spans="2:9" x14ac:dyDescent="0.25">
      <c r="B1384">
        <v>20</v>
      </c>
      <c r="C1384" t="s">
        <v>6778</v>
      </c>
      <c r="D1384" t="s">
        <v>5976</v>
      </c>
      <c r="E1384">
        <v>81</v>
      </c>
      <c r="F1384" s="6">
        <v>5700000000</v>
      </c>
      <c r="H1384">
        <v>62</v>
      </c>
      <c r="I1384" t="s">
        <v>9329</v>
      </c>
    </row>
    <row r="1385" spans="2:9" x14ac:dyDescent="0.25">
      <c r="B1385">
        <v>399</v>
      </c>
      <c r="C1385" t="s">
        <v>4665</v>
      </c>
      <c r="D1385" t="s">
        <v>8035</v>
      </c>
      <c r="E1385">
        <v>81</v>
      </c>
      <c r="F1385" s="6">
        <v>5450000000</v>
      </c>
      <c r="H1385">
        <v>466</v>
      </c>
      <c r="I1385" t="s">
        <v>9330</v>
      </c>
    </row>
    <row r="1386" spans="2:9" x14ac:dyDescent="0.25">
      <c r="B1386">
        <v>16</v>
      </c>
      <c r="C1386" t="s">
        <v>6782</v>
      </c>
      <c r="D1386" t="s">
        <v>5976</v>
      </c>
      <c r="E1386">
        <v>80</v>
      </c>
      <c r="F1386" s="6">
        <v>5650000000</v>
      </c>
      <c r="H1386">
        <v>58</v>
      </c>
      <c r="I1386" t="s">
        <v>9331</v>
      </c>
    </row>
    <row r="1387" spans="2:9" x14ac:dyDescent="0.25">
      <c r="B1387">
        <v>283</v>
      </c>
      <c r="C1387" t="s">
        <v>6615</v>
      </c>
      <c r="D1387" t="s">
        <v>9229</v>
      </c>
      <c r="E1387">
        <v>80</v>
      </c>
      <c r="F1387" s="6">
        <v>6200000000</v>
      </c>
      <c r="H1387">
        <v>348</v>
      </c>
      <c r="I1387" t="s">
        <v>9332</v>
      </c>
    </row>
    <row r="1388" spans="2:9" x14ac:dyDescent="0.25">
      <c r="B1388">
        <v>289</v>
      </c>
      <c r="C1388" t="s">
        <v>6786</v>
      </c>
      <c r="D1388" t="s">
        <v>9229</v>
      </c>
      <c r="E1388">
        <v>80</v>
      </c>
      <c r="F1388" s="6">
        <v>6200000000</v>
      </c>
      <c r="H1388">
        <v>354</v>
      </c>
      <c r="I1388" t="s">
        <v>9333</v>
      </c>
    </row>
    <row r="1389" spans="2:9" x14ac:dyDescent="0.25">
      <c r="B1389">
        <v>558</v>
      </c>
      <c r="C1389" t="s">
        <v>5341</v>
      </c>
      <c r="D1389" t="s">
        <v>3446</v>
      </c>
      <c r="E1389">
        <v>80</v>
      </c>
      <c r="F1389" s="6">
        <v>6100000000</v>
      </c>
      <c r="H1389">
        <v>655</v>
      </c>
      <c r="I1389" t="s">
        <v>9334</v>
      </c>
    </row>
    <row r="1390" spans="2:9" x14ac:dyDescent="0.25">
      <c r="B1390">
        <v>162</v>
      </c>
      <c r="C1390" t="s">
        <v>6791</v>
      </c>
      <c r="D1390" t="s">
        <v>6790</v>
      </c>
      <c r="E1390">
        <v>79</v>
      </c>
      <c r="F1390" s="6">
        <v>4300000000</v>
      </c>
      <c r="H1390">
        <v>217</v>
      </c>
      <c r="I1390" t="s">
        <v>9335</v>
      </c>
    </row>
    <row r="1391" spans="2:9" x14ac:dyDescent="0.25">
      <c r="B1391">
        <v>14</v>
      </c>
      <c r="C1391" t="s">
        <v>6619</v>
      </c>
      <c r="D1391" t="s">
        <v>5976</v>
      </c>
      <c r="E1391">
        <v>78</v>
      </c>
      <c r="F1391" s="6">
        <v>5700000000</v>
      </c>
      <c r="H1391">
        <v>56</v>
      </c>
      <c r="I1391" t="s">
        <v>9336</v>
      </c>
    </row>
    <row r="1392" spans="2:9" x14ac:dyDescent="0.25">
      <c r="B1392">
        <v>32</v>
      </c>
      <c r="C1392" t="s">
        <v>6795</v>
      </c>
      <c r="D1392" t="s">
        <v>5976</v>
      </c>
      <c r="E1392">
        <v>78</v>
      </c>
      <c r="F1392" s="6">
        <v>5650000000</v>
      </c>
      <c r="H1392">
        <v>74</v>
      </c>
      <c r="I1392" t="s">
        <v>9337</v>
      </c>
    </row>
    <row r="1393" spans="2:9" x14ac:dyDescent="0.25">
      <c r="B1393">
        <v>264</v>
      </c>
      <c r="C1393" t="s">
        <v>6623</v>
      </c>
      <c r="D1393" t="s">
        <v>9229</v>
      </c>
      <c r="E1393">
        <v>78</v>
      </c>
      <c r="F1393" s="6">
        <v>6200000000</v>
      </c>
      <c r="H1393">
        <v>329</v>
      </c>
      <c r="I1393" t="s">
        <v>9338</v>
      </c>
    </row>
    <row r="1394" spans="2:9" x14ac:dyDescent="0.25">
      <c r="B1394">
        <v>15</v>
      </c>
      <c r="C1394" t="s">
        <v>6799</v>
      </c>
      <c r="D1394" t="s">
        <v>5976</v>
      </c>
      <c r="E1394">
        <v>77</v>
      </c>
      <c r="F1394" s="6">
        <v>5650000000</v>
      </c>
      <c r="H1394">
        <v>57</v>
      </c>
      <c r="I1394" t="s">
        <v>9339</v>
      </c>
    </row>
    <row r="1395" spans="2:9" x14ac:dyDescent="0.25">
      <c r="B1395">
        <v>26</v>
      </c>
      <c r="C1395" t="s">
        <v>6627</v>
      </c>
      <c r="D1395" t="s">
        <v>5976</v>
      </c>
      <c r="E1395">
        <v>77</v>
      </c>
      <c r="F1395" s="6">
        <v>5700000000</v>
      </c>
      <c r="H1395">
        <v>68</v>
      </c>
      <c r="I1395" t="s">
        <v>9340</v>
      </c>
    </row>
    <row r="1396" spans="2:9" x14ac:dyDescent="0.25">
      <c r="B1396">
        <v>259</v>
      </c>
      <c r="C1396" t="s">
        <v>6803</v>
      </c>
      <c r="D1396" t="s">
        <v>9229</v>
      </c>
      <c r="E1396">
        <v>76</v>
      </c>
      <c r="F1396" s="6">
        <v>6200000000</v>
      </c>
      <c r="H1396">
        <v>324</v>
      </c>
      <c r="I1396" t="s">
        <v>9341</v>
      </c>
    </row>
    <row r="1397" spans="2:9" x14ac:dyDescent="0.25">
      <c r="B1397">
        <v>310</v>
      </c>
      <c r="C1397" t="s">
        <v>6631</v>
      </c>
      <c r="D1397" t="s">
        <v>3497</v>
      </c>
      <c r="E1397">
        <v>76</v>
      </c>
      <c r="F1397" s="6">
        <v>5950000000</v>
      </c>
      <c r="H1397">
        <v>375</v>
      </c>
      <c r="I1397" t="s">
        <v>9342</v>
      </c>
    </row>
    <row r="1398" spans="2:9" x14ac:dyDescent="0.25">
      <c r="B1398">
        <v>6</v>
      </c>
      <c r="C1398" t="s">
        <v>6806</v>
      </c>
      <c r="D1398" t="s">
        <v>5997</v>
      </c>
      <c r="E1398">
        <v>75</v>
      </c>
      <c r="F1398" s="6">
        <v>5650000000</v>
      </c>
      <c r="H1398">
        <v>48</v>
      </c>
      <c r="I1398" t="s">
        <v>9343</v>
      </c>
    </row>
    <row r="1399" spans="2:9" x14ac:dyDescent="0.25">
      <c r="B1399">
        <v>36</v>
      </c>
      <c r="C1399" t="s">
        <v>6635</v>
      </c>
      <c r="D1399" t="s">
        <v>5976</v>
      </c>
      <c r="E1399">
        <v>75</v>
      </c>
      <c r="F1399" s="6">
        <v>5700000000</v>
      </c>
      <c r="H1399">
        <v>78</v>
      </c>
      <c r="I1399" t="s">
        <v>9344</v>
      </c>
    </row>
    <row r="1400" spans="2:9" x14ac:dyDescent="0.25">
      <c r="B1400">
        <v>253</v>
      </c>
      <c r="C1400" t="s">
        <v>6810</v>
      </c>
      <c r="D1400" t="s">
        <v>9229</v>
      </c>
      <c r="E1400">
        <v>75</v>
      </c>
      <c r="F1400" s="6">
        <v>6200000000</v>
      </c>
      <c r="H1400">
        <v>318</v>
      </c>
      <c r="I1400" t="s">
        <v>9345</v>
      </c>
    </row>
    <row r="1401" spans="2:9" x14ac:dyDescent="0.25">
      <c r="B1401">
        <v>265</v>
      </c>
      <c r="C1401" t="s">
        <v>6639</v>
      </c>
      <c r="D1401" t="s">
        <v>9229</v>
      </c>
      <c r="E1401">
        <v>75</v>
      </c>
      <c r="F1401" s="6">
        <v>6200000000</v>
      </c>
      <c r="H1401">
        <v>330</v>
      </c>
      <c r="I1401" t="s">
        <v>9346</v>
      </c>
    </row>
    <row r="1402" spans="2:9" x14ac:dyDescent="0.25">
      <c r="B1402">
        <v>267</v>
      </c>
      <c r="C1402" t="s">
        <v>6813</v>
      </c>
      <c r="D1402" t="s">
        <v>9229</v>
      </c>
      <c r="E1402">
        <v>75</v>
      </c>
      <c r="F1402" s="6">
        <v>6200000000</v>
      </c>
      <c r="H1402">
        <v>332</v>
      </c>
      <c r="I1402" t="s">
        <v>9347</v>
      </c>
    </row>
    <row r="1403" spans="2:9" x14ac:dyDescent="0.25">
      <c r="B1403">
        <v>33</v>
      </c>
      <c r="C1403" t="s">
        <v>6642</v>
      </c>
      <c r="D1403" t="s">
        <v>5976</v>
      </c>
      <c r="E1403">
        <v>74</v>
      </c>
      <c r="F1403" s="6">
        <v>5700000000</v>
      </c>
      <c r="H1403">
        <v>75</v>
      </c>
      <c r="I1403" t="s">
        <v>9348</v>
      </c>
    </row>
    <row r="1404" spans="2:9" x14ac:dyDescent="0.25">
      <c r="B1404">
        <v>59</v>
      </c>
      <c r="C1404" t="s">
        <v>6817</v>
      </c>
      <c r="D1404" t="s">
        <v>5997</v>
      </c>
      <c r="E1404">
        <v>74</v>
      </c>
      <c r="F1404" s="6">
        <v>5900000000</v>
      </c>
      <c r="H1404">
        <v>101</v>
      </c>
      <c r="I1404" t="s">
        <v>9349</v>
      </c>
    </row>
    <row r="1405" spans="2:9" x14ac:dyDescent="0.25">
      <c r="B1405">
        <v>120</v>
      </c>
      <c r="C1405" t="s">
        <v>6646</v>
      </c>
      <c r="D1405" t="s">
        <v>316</v>
      </c>
      <c r="E1405">
        <v>74</v>
      </c>
      <c r="F1405" s="6">
        <v>3600000000</v>
      </c>
      <c r="H1405">
        <v>162</v>
      </c>
      <c r="I1405" t="s">
        <v>9350</v>
      </c>
    </row>
    <row r="1406" spans="2:9" x14ac:dyDescent="0.25">
      <c r="B1406">
        <v>270</v>
      </c>
      <c r="C1406" t="s">
        <v>6821</v>
      </c>
      <c r="D1406" t="s">
        <v>9229</v>
      </c>
      <c r="E1406">
        <v>74</v>
      </c>
      <c r="F1406" s="6">
        <v>6150000000</v>
      </c>
      <c r="H1406">
        <v>335</v>
      </c>
      <c r="I1406" t="s">
        <v>9351</v>
      </c>
    </row>
    <row r="1407" spans="2:9" x14ac:dyDescent="0.25">
      <c r="B1407">
        <v>387</v>
      </c>
      <c r="C1407" t="s">
        <v>6650</v>
      </c>
      <c r="D1407" t="s">
        <v>8035</v>
      </c>
      <c r="E1407">
        <v>74</v>
      </c>
      <c r="F1407" s="6">
        <v>5450000000</v>
      </c>
      <c r="H1407">
        <v>454</v>
      </c>
      <c r="I1407" t="s">
        <v>9352</v>
      </c>
    </row>
    <row r="1408" spans="2:9" x14ac:dyDescent="0.25">
      <c r="B1408">
        <v>550</v>
      </c>
      <c r="C1408" t="s">
        <v>5895</v>
      </c>
      <c r="D1408" t="s">
        <v>9353</v>
      </c>
      <c r="E1408">
        <v>74</v>
      </c>
      <c r="F1408" s="6">
        <v>5400000000</v>
      </c>
      <c r="H1408">
        <v>643</v>
      </c>
      <c r="I1408" t="s">
        <v>9354</v>
      </c>
    </row>
    <row r="1409" spans="2:9" x14ac:dyDescent="0.25">
      <c r="B1409">
        <v>86</v>
      </c>
      <c r="C1409" t="s">
        <v>6654</v>
      </c>
      <c r="D1409" t="s">
        <v>6029</v>
      </c>
      <c r="E1409">
        <v>73</v>
      </c>
      <c r="F1409" s="6">
        <v>5900000000</v>
      </c>
      <c r="H1409">
        <v>128</v>
      </c>
      <c r="I1409" t="s">
        <v>9355</v>
      </c>
    </row>
    <row r="1410" spans="2:9" x14ac:dyDescent="0.25">
      <c r="B1410">
        <v>343</v>
      </c>
      <c r="C1410" t="s">
        <v>6825</v>
      </c>
      <c r="D1410" t="s">
        <v>3242</v>
      </c>
      <c r="E1410">
        <v>73</v>
      </c>
      <c r="F1410" s="6">
        <v>5100000000</v>
      </c>
      <c r="H1410">
        <v>408</v>
      </c>
      <c r="I1410" t="s">
        <v>9356</v>
      </c>
    </row>
    <row r="1411" spans="2:9" x14ac:dyDescent="0.25">
      <c r="B1411">
        <v>493</v>
      </c>
      <c r="C1411" t="s">
        <v>6658</v>
      </c>
      <c r="D1411" t="s">
        <v>3521</v>
      </c>
      <c r="E1411">
        <v>72</v>
      </c>
      <c r="F1411" s="6">
        <v>6050000000</v>
      </c>
      <c r="H1411">
        <v>583</v>
      </c>
      <c r="I1411" t="s">
        <v>9357</v>
      </c>
    </row>
    <row r="1412" spans="2:9" x14ac:dyDescent="0.25">
      <c r="B1412">
        <v>546</v>
      </c>
      <c r="C1412" t="s">
        <v>5902</v>
      </c>
      <c r="D1412" t="s">
        <v>9358</v>
      </c>
      <c r="E1412">
        <v>72</v>
      </c>
      <c r="F1412" s="6">
        <v>5400000000</v>
      </c>
      <c r="H1412">
        <v>639</v>
      </c>
      <c r="I1412" t="s">
        <v>9359</v>
      </c>
    </row>
    <row r="1413" spans="2:9" x14ac:dyDescent="0.25">
      <c r="B1413">
        <v>127</v>
      </c>
      <c r="C1413" t="s">
        <v>6662</v>
      </c>
      <c r="D1413" t="s">
        <v>316</v>
      </c>
      <c r="E1413">
        <v>71</v>
      </c>
      <c r="F1413" s="6">
        <v>3550000000</v>
      </c>
      <c r="H1413">
        <v>169</v>
      </c>
      <c r="I1413" t="s">
        <v>9360</v>
      </c>
    </row>
    <row r="1414" spans="2:9" x14ac:dyDescent="0.25">
      <c r="B1414">
        <v>284</v>
      </c>
      <c r="C1414" t="s">
        <v>6829</v>
      </c>
      <c r="D1414" t="s">
        <v>9229</v>
      </c>
      <c r="E1414">
        <v>71</v>
      </c>
      <c r="F1414" s="6">
        <v>6200000000</v>
      </c>
      <c r="H1414">
        <v>349</v>
      </c>
      <c r="I1414" t="s">
        <v>9361</v>
      </c>
    </row>
    <row r="1415" spans="2:9" x14ac:dyDescent="0.25">
      <c r="B1415">
        <v>182</v>
      </c>
      <c r="C1415" t="s">
        <v>6666</v>
      </c>
      <c r="D1415" t="s">
        <v>4366</v>
      </c>
      <c r="E1415">
        <v>69</v>
      </c>
      <c r="F1415" s="6">
        <v>3800000000</v>
      </c>
      <c r="H1415">
        <v>246</v>
      </c>
      <c r="I1415" t="s">
        <v>9362</v>
      </c>
    </row>
    <row r="1416" spans="2:9" x14ac:dyDescent="0.25">
      <c r="B1416">
        <v>305</v>
      </c>
      <c r="C1416" t="s">
        <v>6833</v>
      </c>
      <c r="D1416" t="s">
        <v>9317</v>
      </c>
      <c r="E1416">
        <v>69</v>
      </c>
      <c r="F1416" s="6">
        <v>5950000000</v>
      </c>
      <c r="H1416">
        <v>370</v>
      </c>
      <c r="I1416" t="s">
        <v>9363</v>
      </c>
    </row>
    <row r="1417" spans="2:9" x14ac:dyDescent="0.25">
      <c r="B1417">
        <v>321</v>
      </c>
      <c r="C1417" t="s">
        <v>6670</v>
      </c>
      <c r="D1417" t="s">
        <v>3242</v>
      </c>
      <c r="E1417">
        <v>69</v>
      </c>
      <c r="F1417" s="6">
        <v>5250000000</v>
      </c>
      <c r="H1417">
        <v>386</v>
      </c>
      <c r="I1417" t="s">
        <v>9364</v>
      </c>
    </row>
    <row r="1418" spans="2:9" x14ac:dyDescent="0.25">
      <c r="B1418">
        <v>18</v>
      </c>
      <c r="C1418" t="s">
        <v>6836</v>
      </c>
      <c r="D1418" t="s">
        <v>5997</v>
      </c>
      <c r="E1418">
        <v>68</v>
      </c>
      <c r="F1418" s="6">
        <v>5650000000</v>
      </c>
      <c r="H1418">
        <v>60</v>
      </c>
      <c r="I1418" t="s">
        <v>9365</v>
      </c>
    </row>
    <row r="1419" spans="2:9" x14ac:dyDescent="0.25">
      <c r="B1419">
        <v>290</v>
      </c>
      <c r="C1419" t="s">
        <v>6674</v>
      </c>
      <c r="D1419" t="s">
        <v>9229</v>
      </c>
      <c r="E1419">
        <v>68</v>
      </c>
      <c r="F1419" s="6">
        <v>6200000000</v>
      </c>
      <c r="H1419">
        <v>355</v>
      </c>
      <c r="I1419" t="s">
        <v>9366</v>
      </c>
    </row>
    <row r="1420" spans="2:9" x14ac:dyDescent="0.25">
      <c r="B1420">
        <v>17</v>
      </c>
      <c r="C1420" t="s">
        <v>6840</v>
      </c>
      <c r="D1420" t="s">
        <v>5976</v>
      </c>
      <c r="E1420">
        <v>67</v>
      </c>
      <c r="F1420" s="6">
        <v>5700000000</v>
      </c>
      <c r="H1420">
        <v>59</v>
      </c>
      <c r="I1420" t="s">
        <v>9367</v>
      </c>
    </row>
    <row r="1421" spans="2:9" x14ac:dyDescent="0.25">
      <c r="B1421">
        <v>22</v>
      </c>
      <c r="C1421" t="s">
        <v>6678</v>
      </c>
      <c r="D1421" t="s">
        <v>5997</v>
      </c>
      <c r="E1421">
        <v>67</v>
      </c>
      <c r="F1421" s="6">
        <v>5650000000</v>
      </c>
      <c r="H1421">
        <v>64</v>
      </c>
      <c r="I1421" t="s">
        <v>9368</v>
      </c>
    </row>
    <row r="1422" spans="2:9" x14ac:dyDescent="0.25">
      <c r="B1422">
        <v>23</v>
      </c>
      <c r="C1422" t="s">
        <v>6844</v>
      </c>
      <c r="D1422" t="s">
        <v>5997</v>
      </c>
      <c r="E1422">
        <v>67</v>
      </c>
      <c r="F1422" s="6">
        <v>5650000000</v>
      </c>
      <c r="H1422">
        <v>65</v>
      </c>
      <c r="I1422" t="s">
        <v>9369</v>
      </c>
    </row>
    <row r="1423" spans="2:9" x14ac:dyDescent="0.25">
      <c r="B1423">
        <v>29</v>
      </c>
      <c r="C1423" t="s">
        <v>6682</v>
      </c>
      <c r="D1423" t="s">
        <v>5997</v>
      </c>
      <c r="E1423">
        <v>67</v>
      </c>
      <c r="F1423" s="6">
        <v>5700000000</v>
      </c>
      <c r="H1423">
        <v>71</v>
      </c>
      <c r="I1423" t="s">
        <v>9370</v>
      </c>
    </row>
    <row r="1424" spans="2:9" x14ac:dyDescent="0.25">
      <c r="B1424">
        <v>68</v>
      </c>
      <c r="C1424" t="s">
        <v>6848</v>
      </c>
      <c r="D1424" t="s">
        <v>5997</v>
      </c>
      <c r="E1424">
        <v>67</v>
      </c>
      <c r="F1424" s="6">
        <v>5900000000</v>
      </c>
      <c r="H1424">
        <v>110</v>
      </c>
      <c r="I1424" t="s">
        <v>9371</v>
      </c>
    </row>
    <row r="1425" spans="2:9" x14ac:dyDescent="0.25">
      <c r="B1425">
        <v>411</v>
      </c>
      <c r="C1425" t="s">
        <v>6686</v>
      </c>
      <c r="D1425" t="s">
        <v>8035</v>
      </c>
      <c r="E1425">
        <v>67</v>
      </c>
      <c r="F1425" s="6">
        <v>5450000000</v>
      </c>
      <c r="H1425">
        <v>478</v>
      </c>
      <c r="I1425" t="s">
        <v>9372</v>
      </c>
    </row>
    <row r="1426" spans="2:9" x14ac:dyDescent="0.25">
      <c r="B1426">
        <v>414</v>
      </c>
      <c r="C1426" t="s">
        <v>6852</v>
      </c>
      <c r="D1426" t="s">
        <v>3497</v>
      </c>
      <c r="E1426">
        <v>67</v>
      </c>
      <c r="F1426" s="6">
        <v>5100000000</v>
      </c>
      <c r="H1426">
        <v>481</v>
      </c>
      <c r="I1426" t="s">
        <v>9373</v>
      </c>
    </row>
    <row r="1427" spans="2:9" x14ac:dyDescent="0.25">
      <c r="B1427">
        <v>324</v>
      </c>
      <c r="C1427" t="s">
        <v>6689</v>
      </c>
      <c r="D1427" t="s">
        <v>3497</v>
      </c>
      <c r="E1427">
        <v>66</v>
      </c>
      <c r="F1427" s="6">
        <v>5300000000</v>
      </c>
      <c r="H1427">
        <v>389</v>
      </c>
      <c r="I1427" t="s">
        <v>9374</v>
      </c>
    </row>
    <row r="1428" spans="2:9" x14ac:dyDescent="0.25">
      <c r="B1428">
        <v>28</v>
      </c>
      <c r="C1428" t="s">
        <v>6856</v>
      </c>
      <c r="D1428" t="s">
        <v>5976</v>
      </c>
      <c r="E1428">
        <v>65</v>
      </c>
      <c r="F1428" s="6">
        <v>5700000000</v>
      </c>
      <c r="H1428">
        <v>70</v>
      </c>
      <c r="I1428" t="s">
        <v>9375</v>
      </c>
    </row>
    <row r="1429" spans="2:9" x14ac:dyDescent="0.25">
      <c r="B1429">
        <v>342</v>
      </c>
      <c r="C1429" t="s">
        <v>6693</v>
      </c>
      <c r="D1429" t="s">
        <v>3242</v>
      </c>
      <c r="E1429">
        <v>65</v>
      </c>
      <c r="F1429" s="6">
        <v>5100000000</v>
      </c>
      <c r="H1429">
        <v>407</v>
      </c>
      <c r="I1429" t="s">
        <v>9376</v>
      </c>
    </row>
    <row r="1430" spans="2:9" x14ac:dyDescent="0.25">
      <c r="B1430">
        <v>249</v>
      </c>
      <c r="C1430" t="s">
        <v>6860</v>
      </c>
      <c r="D1430" t="s">
        <v>9229</v>
      </c>
      <c r="E1430">
        <v>64</v>
      </c>
      <c r="F1430" s="6">
        <v>6200000000</v>
      </c>
      <c r="H1430">
        <v>314</v>
      </c>
      <c r="I1430" t="s">
        <v>9377</v>
      </c>
    </row>
    <row r="1431" spans="2:9" x14ac:dyDescent="0.25">
      <c r="B1431">
        <v>263</v>
      </c>
      <c r="C1431" t="s">
        <v>6696</v>
      </c>
      <c r="D1431" t="s">
        <v>9229</v>
      </c>
      <c r="E1431">
        <v>64</v>
      </c>
      <c r="F1431" s="6">
        <v>6200000000</v>
      </c>
      <c r="H1431">
        <v>328</v>
      </c>
      <c r="I1431" t="s">
        <v>9378</v>
      </c>
    </row>
    <row r="1432" spans="2:9" x14ac:dyDescent="0.25">
      <c r="B1432">
        <v>280</v>
      </c>
      <c r="C1432" t="s">
        <v>6864</v>
      </c>
      <c r="D1432" t="s">
        <v>9229</v>
      </c>
      <c r="E1432">
        <v>64</v>
      </c>
      <c r="F1432" s="6">
        <v>6200000000</v>
      </c>
      <c r="H1432">
        <v>345</v>
      </c>
      <c r="I1432" t="s">
        <v>9379</v>
      </c>
    </row>
    <row r="1433" spans="2:9" x14ac:dyDescent="0.25">
      <c r="B1433">
        <v>231</v>
      </c>
      <c r="C1433" t="s">
        <v>6699</v>
      </c>
      <c r="D1433" t="s">
        <v>87</v>
      </c>
      <c r="E1433">
        <v>63</v>
      </c>
      <c r="F1433" s="6">
        <v>4850000000</v>
      </c>
      <c r="H1433">
        <v>296</v>
      </c>
      <c r="I1433" t="s">
        <v>9380</v>
      </c>
    </row>
    <row r="1434" spans="2:9" x14ac:dyDescent="0.25">
      <c r="B1434">
        <v>236</v>
      </c>
      <c r="C1434" t="s">
        <v>6868</v>
      </c>
      <c r="D1434" t="s">
        <v>6270</v>
      </c>
      <c r="E1434">
        <v>63</v>
      </c>
      <c r="F1434" s="6">
        <v>4850000000</v>
      </c>
      <c r="H1434">
        <v>301</v>
      </c>
      <c r="I1434" t="s">
        <v>9381</v>
      </c>
    </row>
    <row r="1435" spans="2:9" x14ac:dyDescent="0.25">
      <c r="B1435">
        <v>250</v>
      </c>
      <c r="C1435" t="s">
        <v>6702</v>
      </c>
      <c r="D1435" t="s">
        <v>9229</v>
      </c>
      <c r="E1435">
        <v>63</v>
      </c>
      <c r="F1435" s="6">
        <v>6150000000</v>
      </c>
      <c r="H1435">
        <v>315</v>
      </c>
      <c r="I1435" t="s">
        <v>9382</v>
      </c>
    </row>
    <row r="1436" spans="2:9" x14ac:dyDescent="0.25">
      <c r="B1436">
        <v>300</v>
      </c>
      <c r="C1436" t="s">
        <v>6871</v>
      </c>
      <c r="D1436" t="s">
        <v>9317</v>
      </c>
      <c r="E1436">
        <v>63</v>
      </c>
      <c r="F1436" s="6">
        <v>5950000000</v>
      </c>
      <c r="H1436">
        <v>365</v>
      </c>
      <c r="I1436" t="s">
        <v>9383</v>
      </c>
    </row>
    <row r="1437" spans="2:9" x14ac:dyDescent="0.25">
      <c r="B1437">
        <v>544</v>
      </c>
      <c r="C1437" t="s">
        <v>5075</v>
      </c>
      <c r="D1437" t="s">
        <v>5074</v>
      </c>
      <c r="E1437">
        <v>63</v>
      </c>
      <c r="F1437" s="6">
        <v>4850000000</v>
      </c>
      <c r="H1437">
        <v>637</v>
      </c>
      <c r="I1437" t="s">
        <v>9384</v>
      </c>
    </row>
    <row r="1438" spans="2:9" x14ac:dyDescent="0.25">
      <c r="B1438">
        <v>197</v>
      </c>
      <c r="C1438" t="s">
        <v>6875</v>
      </c>
      <c r="D1438" t="s">
        <v>8110</v>
      </c>
      <c r="E1438">
        <v>62</v>
      </c>
      <c r="F1438" s="6">
        <v>6200000000</v>
      </c>
      <c r="H1438">
        <v>262</v>
      </c>
      <c r="I1438" t="s">
        <v>9385</v>
      </c>
    </row>
    <row r="1439" spans="2:9" x14ac:dyDescent="0.25">
      <c r="B1439">
        <v>548</v>
      </c>
      <c r="C1439" t="s">
        <v>5886</v>
      </c>
      <c r="D1439" t="s">
        <v>9386</v>
      </c>
      <c r="E1439">
        <v>62</v>
      </c>
      <c r="F1439" s="6">
        <v>5400000000</v>
      </c>
      <c r="H1439">
        <v>641</v>
      </c>
      <c r="I1439" t="s">
        <v>9387</v>
      </c>
    </row>
    <row r="1440" spans="2:9" x14ac:dyDescent="0.25">
      <c r="B1440">
        <v>25</v>
      </c>
      <c r="C1440" t="s">
        <v>6878</v>
      </c>
      <c r="D1440" t="s">
        <v>5976</v>
      </c>
      <c r="E1440">
        <v>61</v>
      </c>
      <c r="F1440" s="6">
        <v>5650000000</v>
      </c>
      <c r="H1440">
        <v>67</v>
      </c>
      <c r="I1440" t="s">
        <v>9388</v>
      </c>
    </row>
    <row r="1441" spans="2:9" x14ac:dyDescent="0.25">
      <c r="B1441">
        <v>316</v>
      </c>
      <c r="C1441" t="s">
        <v>6706</v>
      </c>
      <c r="D1441" t="s">
        <v>3497</v>
      </c>
      <c r="E1441">
        <v>61</v>
      </c>
      <c r="F1441" s="6">
        <v>5050000000</v>
      </c>
      <c r="H1441">
        <v>381</v>
      </c>
      <c r="I1441" t="s">
        <v>9389</v>
      </c>
    </row>
    <row r="1442" spans="2:9" x14ac:dyDescent="0.25">
      <c r="B1442">
        <v>319</v>
      </c>
      <c r="C1442" t="s">
        <v>6882</v>
      </c>
      <c r="D1442" t="s">
        <v>3497</v>
      </c>
      <c r="E1442">
        <v>61</v>
      </c>
      <c r="F1442" s="6">
        <v>5100000000</v>
      </c>
      <c r="H1442">
        <v>384</v>
      </c>
      <c r="I1442" t="s">
        <v>9390</v>
      </c>
    </row>
    <row r="1443" spans="2:9" x14ac:dyDescent="0.25">
      <c r="B1443">
        <v>327</v>
      </c>
      <c r="C1443" t="s">
        <v>6710</v>
      </c>
      <c r="D1443" t="s">
        <v>3242</v>
      </c>
      <c r="E1443">
        <v>61</v>
      </c>
      <c r="F1443" s="6">
        <v>5100000000</v>
      </c>
      <c r="H1443">
        <v>392</v>
      </c>
      <c r="I1443" t="s">
        <v>9391</v>
      </c>
    </row>
    <row r="1444" spans="2:9" x14ac:dyDescent="0.25">
      <c r="B1444">
        <v>339</v>
      </c>
      <c r="C1444" t="s">
        <v>6886</v>
      </c>
      <c r="D1444" t="s">
        <v>3497</v>
      </c>
      <c r="E1444">
        <v>61</v>
      </c>
      <c r="F1444" s="6">
        <v>5100000000</v>
      </c>
      <c r="H1444">
        <v>404</v>
      </c>
      <c r="I1444" t="s">
        <v>9392</v>
      </c>
    </row>
    <row r="1445" spans="2:9" x14ac:dyDescent="0.25">
      <c r="B1445">
        <v>407</v>
      </c>
      <c r="C1445" t="s">
        <v>6714</v>
      </c>
      <c r="D1445" t="s">
        <v>8035</v>
      </c>
      <c r="E1445">
        <v>61</v>
      </c>
      <c r="F1445" s="6">
        <v>5450000000</v>
      </c>
      <c r="H1445">
        <v>474</v>
      </c>
      <c r="I1445" t="s">
        <v>9393</v>
      </c>
    </row>
    <row r="1446" spans="2:9" x14ac:dyDescent="0.25">
      <c r="B1446">
        <v>477</v>
      </c>
      <c r="C1446" t="s">
        <v>6889</v>
      </c>
      <c r="D1446" t="s">
        <v>7991</v>
      </c>
      <c r="E1446">
        <v>61</v>
      </c>
      <c r="F1446" s="6">
        <v>5950000000</v>
      </c>
      <c r="H1446">
        <v>564</v>
      </c>
      <c r="I1446" t="s">
        <v>9394</v>
      </c>
    </row>
    <row r="1447" spans="2:9" x14ac:dyDescent="0.25">
      <c r="B1447">
        <v>12</v>
      </c>
      <c r="C1447" t="s">
        <v>6717</v>
      </c>
      <c r="D1447" t="s">
        <v>5976</v>
      </c>
      <c r="E1447">
        <v>60</v>
      </c>
      <c r="F1447" s="6">
        <v>5700000000</v>
      </c>
      <c r="H1447">
        <v>54</v>
      </c>
      <c r="I1447" t="s">
        <v>9395</v>
      </c>
    </row>
    <row r="1448" spans="2:9" x14ac:dyDescent="0.25">
      <c r="B1448">
        <v>398</v>
      </c>
      <c r="C1448" t="s">
        <v>4723</v>
      </c>
      <c r="D1448" t="s">
        <v>8026</v>
      </c>
      <c r="E1448">
        <v>60</v>
      </c>
      <c r="F1448" s="6">
        <v>5450000000</v>
      </c>
      <c r="H1448">
        <v>465</v>
      </c>
      <c r="I1448" t="s">
        <v>9396</v>
      </c>
    </row>
    <row r="1449" spans="2:9" x14ac:dyDescent="0.25">
      <c r="B1449">
        <v>401</v>
      </c>
      <c r="C1449" t="s">
        <v>6721</v>
      </c>
      <c r="D1449" t="s">
        <v>8026</v>
      </c>
      <c r="E1449">
        <v>60</v>
      </c>
      <c r="F1449" s="6">
        <v>5450000000</v>
      </c>
      <c r="H1449">
        <v>468</v>
      </c>
      <c r="I1449" t="s">
        <v>9397</v>
      </c>
    </row>
    <row r="1450" spans="2:9" x14ac:dyDescent="0.25">
      <c r="B1450">
        <v>374</v>
      </c>
      <c r="C1450" t="s">
        <v>6893</v>
      </c>
      <c r="D1450" t="s">
        <v>8035</v>
      </c>
      <c r="E1450">
        <v>59</v>
      </c>
      <c r="F1450" s="6">
        <v>5450000000</v>
      </c>
      <c r="H1450">
        <v>441</v>
      </c>
      <c r="I1450" t="s">
        <v>9398</v>
      </c>
    </row>
    <row r="1451" spans="2:9" x14ac:dyDescent="0.25">
      <c r="B1451">
        <v>42</v>
      </c>
      <c r="C1451" t="s">
        <v>6725</v>
      </c>
      <c r="D1451" t="s">
        <v>5976</v>
      </c>
      <c r="E1451">
        <v>58</v>
      </c>
      <c r="F1451" s="6">
        <v>5700000000</v>
      </c>
      <c r="H1451">
        <v>84</v>
      </c>
      <c r="I1451" t="s">
        <v>9399</v>
      </c>
    </row>
    <row r="1452" spans="2:9" x14ac:dyDescent="0.25">
      <c r="B1452">
        <v>58</v>
      </c>
      <c r="C1452" t="s">
        <v>6896</v>
      </c>
      <c r="D1452" t="s">
        <v>5997</v>
      </c>
      <c r="E1452">
        <v>58</v>
      </c>
      <c r="F1452" s="6">
        <v>5900000000</v>
      </c>
      <c r="H1452">
        <v>100</v>
      </c>
      <c r="I1452" t="s">
        <v>9400</v>
      </c>
    </row>
    <row r="1453" spans="2:9" x14ac:dyDescent="0.25">
      <c r="B1453">
        <v>344</v>
      </c>
      <c r="C1453" t="s">
        <v>6729</v>
      </c>
      <c r="D1453" t="s">
        <v>5785</v>
      </c>
      <c r="E1453">
        <v>58</v>
      </c>
      <c r="F1453" s="6">
        <v>5100000000</v>
      </c>
      <c r="H1453">
        <v>409</v>
      </c>
      <c r="I1453" t="s">
        <v>9401</v>
      </c>
    </row>
    <row r="1454" spans="2:9" x14ac:dyDescent="0.25">
      <c r="B1454">
        <v>352</v>
      </c>
      <c r="C1454" t="s">
        <v>6900</v>
      </c>
      <c r="D1454" t="s">
        <v>5604</v>
      </c>
      <c r="E1454">
        <v>58</v>
      </c>
      <c r="F1454" s="6">
        <v>11000000000</v>
      </c>
      <c r="H1454">
        <v>419</v>
      </c>
      <c r="I1454" t="s">
        <v>9402</v>
      </c>
    </row>
    <row r="1455" spans="2:9" x14ac:dyDescent="0.25">
      <c r="B1455">
        <v>377</v>
      </c>
      <c r="C1455" t="s">
        <v>6732</v>
      </c>
      <c r="D1455" t="s">
        <v>8035</v>
      </c>
      <c r="E1455">
        <v>58</v>
      </c>
      <c r="F1455" s="6">
        <v>5450000000</v>
      </c>
      <c r="H1455">
        <v>444</v>
      </c>
      <c r="I1455" t="s">
        <v>9403</v>
      </c>
    </row>
    <row r="1456" spans="2:9" x14ac:dyDescent="0.25">
      <c r="B1456">
        <v>508</v>
      </c>
      <c r="C1456" t="s">
        <v>4987</v>
      </c>
      <c r="D1456" t="s">
        <v>4609</v>
      </c>
      <c r="E1456">
        <v>58</v>
      </c>
      <c r="F1456" s="6">
        <v>5800000000</v>
      </c>
      <c r="H1456">
        <v>601</v>
      </c>
      <c r="I1456" t="s">
        <v>9404</v>
      </c>
    </row>
    <row r="1457" spans="2:9" x14ac:dyDescent="0.25">
      <c r="B1457">
        <v>233</v>
      </c>
      <c r="C1457" t="s">
        <v>6735</v>
      </c>
      <c r="D1457" t="s">
        <v>6270</v>
      </c>
      <c r="E1457">
        <v>57</v>
      </c>
      <c r="F1457" s="6">
        <v>4850000000</v>
      </c>
      <c r="H1457">
        <v>298</v>
      </c>
      <c r="I1457" t="s">
        <v>9405</v>
      </c>
    </row>
    <row r="1458" spans="2:9" x14ac:dyDescent="0.25">
      <c r="B1458">
        <v>519</v>
      </c>
      <c r="C1458" t="s">
        <v>3023</v>
      </c>
      <c r="D1458" t="s">
        <v>2796</v>
      </c>
      <c r="E1458">
        <v>57</v>
      </c>
      <c r="F1458" s="6">
        <v>3450000000</v>
      </c>
      <c r="H1458">
        <v>612</v>
      </c>
      <c r="I1458" t="s">
        <v>9406</v>
      </c>
    </row>
    <row r="1459" spans="2:9" x14ac:dyDescent="0.25">
      <c r="B1459">
        <v>245</v>
      </c>
      <c r="C1459" t="s">
        <v>6739</v>
      </c>
      <c r="D1459" t="s">
        <v>9229</v>
      </c>
      <c r="E1459">
        <v>56</v>
      </c>
      <c r="F1459" s="6">
        <v>6200000000</v>
      </c>
      <c r="H1459">
        <v>310</v>
      </c>
      <c r="I1459" t="s">
        <v>9407</v>
      </c>
    </row>
    <row r="1460" spans="2:9" x14ac:dyDescent="0.25">
      <c r="B1460">
        <v>258</v>
      </c>
      <c r="C1460" t="s">
        <v>6904</v>
      </c>
      <c r="D1460" t="s">
        <v>9229</v>
      </c>
      <c r="E1460">
        <v>56</v>
      </c>
      <c r="F1460" s="6">
        <v>6200000000</v>
      </c>
      <c r="H1460">
        <v>323</v>
      </c>
      <c r="I1460" t="s">
        <v>9408</v>
      </c>
    </row>
    <row r="1461" spans="2:9" x14ac:dyDescent="0.25">
      <c r="B1461">
        <v>375</v>
      </c>
      <c r="C1461" t="s">
        <v>6743</v>
      </c>
      <c r="D1461" t="s">
        <v>8026</v>
      </c>
      <c r="E1461">
        <v>56</v>
      </c>
      <c r="F1461" s="6">
        <v>5450000000</v>
      </c>
      <c r="H1461">
        <v>442</v>
      </c>
      <c r="I1461" t="s">
        <v>9409</v>
      </c>
    </row>
    <row r="1462" spans="2:9" x14ac:dyDescent="0.25">
      <c r="B1462">
        <v>35</v>
      </c>
      <c r="C1462" t="s">
        <v>6908</v>
      </c>
      <c r="D1462" t="s">
        <v>5997</v>
      </c>
      <c r="E1462">
        <v>55</v>
      </c>
      <c r="F1462" s="6">
        <v>5700000000</v>
      </c>
      <c r="H1462">
        <v>77</v>
      </c>
      <c r="I1462" t="s">
        <v>9410</v>
      </c>
    </row>
    <row r="1463" spans="2:9" x14ac:dyDescent="0.25">
      <c r="B1463">
        <v>78</v>
      </c>
      <c r="C1463" t="s">
        <v>6746</v>
      </c>
      <c r="D1463" t="s">
        <v>6029</v>
      </c>
      <c r="E1463">
        <v>55</v>
      </c>
      <c r="F1463" s="6">
        <v>5900000000</v>
      </c>
      <c r="H1463">
        <v>120</v>
      </c>
      <c r="I1463" t="s">
        <v>9411</v>
      </c>
    </row>
    <row r="1464" spans="2:9" x14ac:dyDescent="0.25">
      <c r="B1464">
        <v>221</v>
      </c>
      <c r="C1464" t="s">
        <v>6912</v>
      </c>
      <c r="D1464" t="s">
        <v>87</v>
      </c>
      <c r="E1464">
        <v>55</v>
      </c>
      <c r="F1464" s="6">
        <v>4850000000</v>
      </c>
      <c r="H1464">
        <v>286</v>
      </c>
      <c r="I1464" t="s">
        <v>9412</v>
      </c>
    </row>
    <row r="1465" spans="2:9" x14ac:dyDescent="0.25">
      <c r="B1465">
        <v>317</v>
      </c>
      <c r="C1465" t="s">
        <v>6750</v>
      </c>
      <c r="D1465" t="s">
        <v>3242</v>
      </c>
      <c r="E1465">
        <v>55</v>
      </c>
      <c r="F1465" s="6">
        <v>5300000000</v>
      </c>
      <c r="H1465">
        <v>382</v>
      </c>
      <c r="I1465" t="s">
        <v>9413</v>
      </c>
    </row>
    <row r="1466" spans="2:9" x14ac:dyDescent="0.25">
      <c r="B1466">
        <v>363</v>
      </c>
      <c r="C1466" t="s">
        <v>6916</v>
      </c>
      <c r="D1466" t="s">
        <v>5661</v>
      </c>
      <c r="E1466">
        <v>55</v>
      </c>
      <c r="F1466" s="6">
        <v>9300000000</v>
      </c>
      <c r="H1466">
        <v>430</v>
      </c>
      <c r="I1466" t="s">
        <v>9414</v>
      </c>
    </row>
    <row r="1467" spans="2:9" x14ac:dyDescent="0.25">
      <c r="B1467">
        <v>386</v>
      </c>
      <c r="C1467" t="s">
        <v>5509</v>
      </c>
      <c r="D1467" t="s">
        <v>8026</v>
      </c>
      <c r="E1467">
        <v>55</v>
      </c>
      <c r="F1467" s="6">
        <v>5700000000</v>
      </c>
      <c r="H1467">
        <v>453</v>
      </c>
      <c r="I1467" t="s">
        <v>9415</v>
      </c>
    </row>
    <row r="1468" spans="2:9" x14ac:dyDescent="0.25">
      <c r="B1468">
        <v>483</v>
      </c>
      <c r="C1468" t="s">
        <v>6921</v>
      </c>
      <c r="D1468" t="s">
        <v>9204</v>
      </c>
      <c r="E1468">
        <v>55</v>
      </c>
      <c r="F1468" s="6">
        <v>6100000000</v>
      </c>
      <c r="H1468">
        <v>570</v>
      </c>
      <c r="I1468" t="s">
        <v>9416</v>
      </c>
    </row>
    <row r="1469" spans="2:9" x14ac:dyDescent="0.25">
      <c r="B1469">
        <v>509</v>
      </c>
      <c r="C1469" t="s">
        <v>5028</v>
      </c>
      <c r="D1469" t="s">
        <v>4609</v>
      </c>
      <c r="E1469">
        <v>55</v>
      </c>
      <c r="F1469" s="6">
        <v>5800000000</v>
      </c>
      <c r="H1469">
        <v>602</v>
      </c>
      <c r="I1469" t="s">
        <v>9417</v>
      </c>
    </row>
    <row r="1470" spans="2:9" x14ac:dyDescent="0.25">
      <c r="B1470">
        <v>199</v>
      </c>
      <c r="C1470" t="s">
        <v>6926</v>
      </c>
      <c r="D1470" t="s">
        <v>7991</v>
      </c>
      <c r="E1470">
        <v>54</v>
      </c>
      <c r="F1470" s="6">
        <v>6200000000</v>
      </c>
      <c r="H1470">
        <v>264</v>
      </c>
      <c r="I1470" t="s">
        <v>9418</v>
      </c>
    </row>
    <row r="1471" spans="2:9" x14ac:dyDescent="0.25">
      <c r="B1471">
        <v>240</v>
      </c>
      <c r="C1471" t="s">
        <v>6754</v>
      </c>
      <c r="D1471" t="s">
        <v>6270</v>
      </c>
      <c r="E1471">
        <v>54</v>
      </c>
      <c r="F1471" s="6">
        <v>4850000000</v>
      </c>
      <c r="H1471">
        <v>305</v>
      </c>
      <c r="I1471" t="s">
        <v>9419</v>
      </c>
    </row>
    <row r="1472" spans="2:9" x14ac:dyDescent="0.25">
      <c r="B1472">
        <v>318</v>
      </c>
      <c r="C1472" t="s">
        <v>6929</v>
      </c>
      <c r="D1472" t="s">
        <v>3497</v>
      </c>
      <c r="E1472">
        <v>54</v>
      </c>
      <c r="F1472" s="6">
        <v>5100000000</v>
      </c>
      <c r="H1472">
        <v>383</v>
      </c>
      <c r="I1472" t="s">
        <v>9420</v>
      </c>
    </row>
    <row r="1473" spans="2:9" x14ac:dyDescent="0.25">
      <c r="B1473" t="s">
        <v>7917</v>
      </c>
      <c r="C1473" t="s">
        <v>7918</v>
      </c>
      <c r="D1473" t="s">
        <v>7919</v>
      </c>
      <c r="E1473" t="s">
        <v>7920</v>
      </c>
      <c r="F1473" t="s">
        <v>7921</v>
      </c>
      <c r="G1473" t="s">
        <v>7922</v>
      </c>
      <c r="H1473" t="s">
        <v>7923</v>
      </c>
    </row>
    <row r="1474" spans="2:9" x14ac:dyDescent="0.25">
      <c r="B1474">
        <v>376</v>
      </c>
      <c r="C1474" t="s">
        <v>6233</v>
      </c>
      <c r="D1474" t="s">
        <v>8026</v>
      </c>
      <c r="E1474">
        <v>54</v>
      </c>
      <c r="F1474" s="6">
        <v>5450000000</v>
      </c>
      <c r="H1474">
        <v>443</v>
      </c>
      <c r="I1474" t="s">
        <v>9421</v>
      </c>
    </row>
    <row r="1475" spans="2:9" x14ac:dyDescent="0.25">
      <c r="B1475">
        <v>406</v>
      </c>
      <c r="C1475" t="s">
        <v>6415</v>
      </c>
      <c r="D1475" t="s">
        <v>8035</v>
      </c>
      <c r="E1475">
        <v>54</v>
      </c>
      <c r="F1475" s="6">
        <v>5450000000</v>
      </c>
      <c r="H1475">
        <v>473</v>
      </c>
      <c r="I1475" t="s">
        <v>9422</v>
      </c>
    </row>
    <row r="1476" spans="2:9" x14ac:dyDescent="0.25">
      <c r="B1476">
        <v>510</v>
      </c>
      <c r="C1476" t="s">
        <v>5593</v>
      </c>
      <c r="D1476" t="s">
        <v>5592</v>
      </c>
      <c r="E1476">
        <v>54</v>
      </c>
      <c r="F1476" s="6">
        <v>7100000000</v>
      </c>
      <c r="H1476">
        <v>603</v>
      </c>
      <c r="I1476" t="s">
        <v>9423</v>
      </c>
    </row>
    <row r="1477" spans="2:9" x14ac:dyDescent="0.25">
      <c r="B1477">
        <v>241</v>
      </c>
      <c r="C1477" t="s">
        <v>6418</v>
      </c>
      <c r="D1477" t="s">
        <v>9229</v>
      </c>
      <c r="E1477">
        <v>53</v>
      </c>
      <c r="F1477" s="6">
        <v>6200000000</v>
      </c>
      <c r="H1477">
        <v>306</v>
      </c>
      <c r="I1477" t="s">
        <v>9424</v>
      </c>
    </row>
    <row r="1478" spans="2:9" x14ac:dyDescent="0.25">
      <c r="B1478">
        <v>246</v>
      </c>
      <c r="C1478" t="s">
        <v>6238</v>
      </c>
      <c r="D1478" t="s">
        <v>9229</v>
      </c>
      <c r="E1478">
        <v>53</v>
      </c>
      <c r="F1478" s="6">
        <v>6200000000</v>
      </c>
      <c r="H1478">
        <v>311</v>
      </c>
      <c r="I1478" t="s">
        <v>9425</v>
      </c>
    </row>
    <row r="1479" spans="2:9" x14ac:dyDescent="0.25">
      <c r="B1479">
        <v>295</v>
      </c>
      <c r="C1479" t="s">
        <v>6422</v>
      </c>
      <c r="D1479" t="s">
        <v>9317</v>
      </c>
      <c r="E1479">
        <v>53</v>
      </c>
      <c r="F1479" s="6">
        <v>5950000000</v>
      </c>
      <c r="H1479">
        <v>360</v>
      </c>
      <c r="I1479" t="s">
        <v>9426</v>
      </c>
    </row>
    <row r="1480" spans="2:9" x14ac:dyDescent="0.25">
      <c r="B1480">
        <v>347</v>
      </c>
      <c r="C1480" t="s">
        <v>6243</v>
      </c>
      <c r="D1480" t="s">
        <v>3242</v>
      </c>
      <c r="E1480">
        <v>53</v>
      </c>
      <c r="F1480" s="6">
        <v>5250000000</v>
      </c>
      <c r="H1480">
        <v>412</v>
      </c>
      <c r="I1480" t="s">
        <v>9427</v>
      </c>
    </row>
    <row r="1481" spans="2:9" x14ac:dyDescent="0.25">
      <c r="B1481">
        <v>388</v>
      </c>
      <c r="C1481" t="s">
        <v>4735</v>
      </c>
      <c r="D1481" t="s">
        <v>8035</v>
      </c>
      <c r="E1481">
        <v>53</v>
      </c>
      <c r="F1481" s="6">
        <v>5450000000</v>
      </c>
      <c r="H1481">
        <v>455</v>
      </c>
      <c r="I1481" t="s">
        <v>9428</v>
      </c>
    </row>
    <row r="1482" spans="2:9" x14ac:dyDescent="0.25">
      <c r="B1482">
        <v>410</v>
      </c>
      <c r="C1482" t="s">
        <v>6247</v>
      </c>
      <c r="D1482" t="s">
        <v>8035</v>
      </c>
      <c r="E1482">
        <v>53</v>
      </c>
      <c r="F1482" s="6">
        <v>5450000000</v>
      </c>
      <c r="H1482">
        <v>477</v>
      </c>
      <c r="I1482" t="s">
        <v>9429</v>
      </c>
    </row>
    <row r="1483" spans="2:9" x14ac:dyDescent="0.25">
      <c r="B1483">
        <v>424</v>
      </c>
      <c r="C1483" t="s">
        <v>6427</v>
      </c>
      <c r="D1483" t="s">
        <v>6426</v>
      </c>
      <c r="E1483">
        <v>53</v>
      </c>
      <c r="F1483" s="6">
        <v>3550000000</v>
      </c>
      <c r="H1483">
        <v>491</v>
      </c>
      <c r="I1483" t="s">
        <v>9430</v>
      </c>
    </row>
    <row r="1484" spans="2:9" x14ac:dyDescent="0.25">
      <c r="B1484">
        <v>502</v>
      </c>
      <c r="C1484" t="s">
        <v>6250</v>
      </c>
      <c r="D1484" t="s">
        <v>8035</v>
      </c>
      <c r="E1484">
        <v>53</v>
      </c>
      <c r="F1484" s="6">
        <v>5300000000</v>
      </c>
      <c r="H1484">
        <v>592</v>
      </c>
      <c r="I1484" t="s">
        <v>9431</v>
      </c>
    </row>
    <row r="1485" spans="2:9" x14ac:dyDescent="0.25">
      <c r="B1485">
        <v>45</v>
      </c>
      <c r="C1485" t="s">
        <v>6430</v>
      </c>
      <c r="D1485" t="s">
        <v>5970</v>
      </c>
      <c r="E1485">
        <v>52</v>
      </c>
      <c r="F1485" s="6">
        <v>5900000000</v>
      </c>
      <c r="H1485">
        <v>87</v>
      </c>
      <c r="I1485" t="s">
        <v>9432</v>
      </c>
    </row>
    <row r="1486" spans="2:9" x14ac:dyDescent="0.25">
      <c r="B1486">
        <v>102</v>
      </c>
      <c r="C1486" t="s">
        <v>6254</v>
      </c>
      <c r="D1486" t="s">
        <v>5976</v>
      </c>
      <c r="E1486">
        <v>52</v>
      </c>
      <c r="F1486" s="6">
        <v>5950000000</v>
      </c>
      <c r="H1486">
        <v>144</v>
      </c>
      <c r="I1486" t="s">
        <v>9433</v>
      </c>
    </row>
    <row r="1487" spans="2:9" x14ac:dyDescent="0.25">
      <c r="B1487">
        <v>313</v>
      </c>
      <c r="C1487" t="s">
        <v>6434</v>
      </c>
      <c r="D1487" t="s">
        <v>3242</v>
      </c>
      <c r="E1487">
        <v>52</v>
      </c>
      <c r="F1487" s="6">
        <v>5100000000</v>
      </c>
      <c r="H1487">
        <v>378</v>
      </c>
      <c r="I1487" t="s">
        <v>9434</v>
      </c>
    </row>
    <row r="1488" spans="2:9" x14ac:dyDescent="0.25">
      <c r="B1488">
        <v>345</v>
      </c>
      <c r="C1488" t="s">
        <v>6257</v>
      </c>
      <c r="D1488" t="s">
        <v>3242</v>
      </c>
      <c r="E1488">
        <v>52</v>
      </c>
      <c r="F1488" s="6">
        <v>5100000000</v>
      </c>
      <c r="H1488">
        <v>410</v>
      </c>
      <c r="I1488" t="s">
        <v>9435</v>
      </c>
    </row>
    <row r="1489" spans="2:9" x14ac:dyDescent="0.25">
      <c r="B1489">
        <v>7</v>
      </c>
      <c r="C1489" t="s">
        <v>6438</v>
      </c>
      <c r="D1489" t="s">
        <v>5997</v>
      </c>
      <c r="E1489">
        <v>51</v>
      </c>
      <c r="F1489" s="6">
        <v>5700000000</v>
      </c>
      <c r="H1489">
        <v>49</v>
      </c>
      <c r="I1489" t="s">
        <v>9436</v>
      </c>
    </row>
    <row r="1490" spans="2:9" x14ac:dyDescent="0.25">
      <c r="B1490">
        <v>81</v>
      </c>
      <c r="C1490" t="s">
        <v>6260</v>
      </c>
      <c r="D1490" t="s">
        <v>5970</v>
      </c>
      <c r="E1490">
        <v>51</v>
      </c>
      <c r="F1490" s="6">
        <v>5950000000</v>
      </c>
      <c r="H1490">
        <v>123</v>
      </c>
      <c r="I1490" t="s">
        <v>9437</v>
      </c>
    </row>
    <row r="1491" spans="2:9" x14ac:dyDescent="0.25">
      <c r="B1491">
        <v>129</v>
      </c>
      <c r="C1491" t="s">
        <v>6442</v>
      </c>
      <c r="D1491" t="s">
        <v>3179</v>
      </c>
      <c r="E1491">
        <v>51</v>
      </c>
      <c r="F1491" s="6">
        <v>3950000000</v>
      </c>
      <c r="H1491">
        <v>171</v>
      </c>
      <c r="I1491" t="s">
        <v>9438</v>
      </c>
    </row>
    <row r="1492" spans="2:9" x14ac:dyDescent="0.25">
      <c r="B1492">
        <v>314</v>
      </c>
      <c r="C1492" t="s">
        <v>6264</v>
      </c>
      <c r="D1492" t="s">
        <v>3497</v>
      </c>
      <c r="E1492">
        <v>51</v>
      </c>
      <c r="F1492" s="6">
        <v>5100000000</v>
      </c>
      <c r="H1492">
        <v>379</v>
      </c>
      <c r="I1492" t="s">
        <v>9439</v>
      </c>
    </row>
    <row r="1493" spans="2:9" x14ac:dyDescent="0.25">
      <c r="B1493">
        <v>408</v>
      </c>
      <c r="C1493" t="s">
        <v>6445</v>
      </c>
      <c r="D1493" t="s">
        <v>8026</v>
      </c>
      <c r="E1493">
        <v>51</v>
      </c>
      <c r="F1493" s="6">
        <v>5450000000</v>
      </c>
      <c r="H1493">
        <v>475</v>
      </c>
      <c r="I1493" t="s">
        <v>9440</v>
      </c>
    </row>
    <row r="1494" spans="2:9" x14ac:dyDescent="0.25">
      <c r="B1494">
        <v>104</v>
      </c>
      <c r="C1494" t="s">
        <v>6267</v>
      </c>
      <c r="D1494" t="s">
        <v>5976</v>
      </c>
      <c r="E1494">
        <v>50</v>
      </c>
      <c r="F1494" s="6">
        <v>5950000000</v>
      </c>
      <c r="H1494">
        <v>146</v>
      </c>
      <c r="I1494" t="s">
        <v>9441</v>
      </c>
    </row>
    <row r="1495" spans="2:9" x14ac:dyDescent="0.25">
      <c r="B1495">
        <v>176</v>
      </c>
      <c r="C1495" t="s">
        <v>6449</v>
      </c>
      <c r="D1495" t="s">
        <v>4366</v>
      </c>
      <c r="E1495">
        <v>50</v>
      </c>
      <c r="F1495" s="6">
        <v>4150000000</v>
      </c>
      <c r="H1495">
        <v>238</v>
      </c>
      <c r="I1495" t="s">
        <v>9442</v>
      </c>
    </row>
    <row r="1496" spans="2:9" x14ac:dyDescent="0.25">
      <c r="B1496">
        <v>239</v>
      </c>
      <c r="C1496" t="s">
        <v>6271</v>
      </c>
      <c r="D1496" t="s">
        <v>6270</v>
      </c>
      <c r="E1496">
        <v>50</v>
      </c>
      <c r="F1496" s="6">
        <v>4850000000</v>
      </c>
      <c r="H1496">
        <v>304</v>
      </c>
      <c r="I1496" t="s">
        <v>9443</v>
      </c>
    </row>
    <row r="1497" spans="2:9" x14ac:dyDescent="0.25">
      <c r="B1497">
        <v>274</v>
      </c>
      <c r="C1497" t="s">
        <v>6453</v>
      </c>
      <c r="D1497" t="s">
        <v>9229</v>
      </c>
      <c r="E1497">
        <v>50</v>
      </c>
      <c r="F1497" s="6">
        <v>6150000000</v>
      </c>
      <c r="H1497">
        <v>339</v>
      </c>
      <c r="I1497" t="s">
        <v>9444</v>
      </c>
    </row>
    <row r="1498" spans="2:9" x14ac:dyDescent="0.25">
      <c r="B1498">
        <v>323</v>
      </c>
      <c r="C1498" t="s">
        <v>6276</v>
      </c>
      <c r="D1498" t="s">
        <v>3242</v>
      </c>
      <c r="E1498">
        <v>50</v>
      </c>
      <c r="F1498" s="6">
        <v>5300000000</v>
      </c>
      <c r="H1498">
        <v>388</v>
      </c>
      <c r="I1498" t="s">
        <v>9445</v>
      </c>
    </row>
    <row r="1499" spans="2:9" x14ac:dyDescent="0.25">
      <c r="B1499">
        <v>335</v>
      </c>
      <c r="C1499" t="s">
        <v>6457</v>
      </c>
      <c r="D1499" t="s">
        <v>3242</v>
      </c>
      <c r="E1499">
        <v>50</v>
      </c>
      <c r="F1499" s="6">
        <v>5220000000</v>
      </c>
      <c r="H1499">
        <v>400</v>
      </c>
      <c r="I1499" t="s">
        <v>9446</v>
      </c>
    </row>
    <row r="1500" spans="2:9" x14ac:dyDescent="0.25">
      <c r="B1500">
        <v>412</v>
      </c>
      <c r="C1500" t="s">
        <v>6280</v>
      </c>
      <c r="D1500" t="s">
        <v>8026</v>
      </c>
      <c r="E1500">
        <v>50</v>
      </c>
      <c r="F1500" s="6">
        <v>5450000000</v>
      </c>
      <c r="H1500">
        <v>479</v>
      </c>
      <c r="I1500" t="s">
        <v>9447</v>
      </c>
    </row>
    <row r="1501" spans="2:9" x14ac:dyDescent="0.25">
      <c r="B1501">
        <v>421</v>
      </c>
      <c r="C1501" t="s">
        <v>6461</v>
      </c>
      <c r="D1501" t="s">
        <v>3579</v>
      </c>
      <c r="E1501">
        <v>50</v>
      </c>
      <c r="F1501" s="6">
        <v>4950000000</v>
      </c>
      <c r="H1501">
        <v>488</v>
      </c>
      <c r="I1501" t="s">
        <v>9448</v>
      </c>
    </row>
    <row r="1502" spans="2:9" x14ac:dyDescent="0.25">
      <c r="B1502">
        <v>119</v>
      </c>
      <c r="C1502" t="s">
        <v>6284</v>
      </c>
      <c r="D1502" t="s">
        <v>3521</v>
      </c>
      <c r="E1502">
        <v>49</v>
      </c>
      <c r="F1502" s="6">
        <v>6330000000</v>
      </c>
      <c r="H1502">
        <v>161</v>
      </c>
      <c r="I1502" t="s">
        <v>9449</v>
      </c>
    </row>
    <row r="1503" spans="2:9" x14ac:dyDescent="0.25">
      <c r="B1503">
        <v>164</v>
      </c>
      <c r="C1503" t="s">
        <v>6465</v>
      </c>
      <c r="D1503" t="s">
        <v>2416</v>
      </c>
      <c r="E1503">
        <v>49</v>
      </c>
      <c r="F1503" s="6">
        <v>3700000000</v>
      </c>
      <c r="H1503">
        <v>219</v>
      </c>
      <c r="I1503" t="s">
        <v>9450</v>
      </c>
    </row>
    <row r="1504" spans="2:9" x14ac:dyDescent="0.25">
      <c r="B1504">
        <v>328</v>
      </c>
      <c r="C1504" t="s">
        <v>6289</v>
      </c>
      <c r="D1504" t="s">
        <v>6288</v>
      </c>
      <c r="E1504">
        <v>49</v>
      </c>
      <c r="F1504" s="6">
        <v>5100000000</v>
      </c>
      <c r="H1504">
        <v>393</v>
      </c>
      <c r="I1504" t="s">
        <v>9451</v>
      </c>
    </row>
    <row r="1505" spans="2:9" x14ac:dyDescent="0.25">
      <c r="B1505">
        <v>380</v>
      </c>
      <c r="C1505" t="s">
        <v>6469</v>
      </c>
      <c r="D1505" t="s">
        <v>8026</v>
      </c>
      <c r="E1505">
        <v>49</v>
      </c>
      <c r="F1505" s="6">
        <v>5450000000</v>
      </c>
      <c r="H1505">
        <v>447</v>
      </c>
      <c r="I1505" t="s">
        <v>9452</v>
      </c>
    </row>
    <row r="1506" spans="2:9" x14ac:dyDescent="0.25">
      <c r="B1506">
        <v>382</v>
      </c>
      <c r="C1506" t="s">
        <v>6293</v>
      </c>
      <c r="D1506" t="s">
        <v>8026</v>
      </c>
      <c r="E1506">
        <v>49</v>
      </c>
      <c r="F1506" s="6">
        <v>5450000000</v>
      </c>
      <c r="H1506">
        <v>449</v>
      </c>
      <c r="I1506" t="s">
        <v>9453</v>
      </c>
    </row>
    <row r="1507" spans="2:9" x14ac:dyDescent="0.25">
      <c r="B1507">
        <v>391</v>
      </c>
      <c r="C1507" t="s">
        <v>6472</v>
      </c>
      <c r="D1507" t="s">
        <v>8026</v>
      </c>
      <c r="E1507">
        <v>49</v>
      </c>
      <c r="F1507" s="6">
        <v>5650000000</v>
      </c>
      <c r="H1507">
        <v>458</v>
      </c>
      <c r="I1507" t="s">
        <v>9454</v>
      </c>
    </row>
    <row r="1508" spans="2:9" x14ac:dyDescent="0.25">
      <c r="B1508">
        <v>409</v>
      </c>
      <c r="C1508" t="s">
        <v>6297</v>
      </c>
      <c r="D1508" t="s">
        <v>8035</v>
      </c>
      <c r="E1508">
        <v>49</v>
      </c>
      <c r="F1508" s="6">
        <v>5450000000</v>
      </c>
      <c r="H1508">
        <v>476</v>
      </c>
      <c r="I1508" t="s">
        <v>9455</v>
      </c>
    </row>
    <row r="1509" spans="2:9" x14ac:dyDescent="0.25">
      <c r="B1509">
        <v>210</v>
      </c>
      <c r="C1509" t="s">
        <v>6476</v>
      </c>
      <c r="D1509" t="s">
        <v>7991</v>
      </c>
      <c r="E1509">
        <v>48</v>
      </c>
      <c r="F1509" s="6">
        <v>6200000000</v>
      </c>
      <c r="H1509">
        <v>275</v>
      </c>
      <c r="I1509" t="s">
        <v>9456</v>
      </c>
    </row>
    <row r="1510" spans="2:9" x14ac:dyDescent="0.25">
      <c r="B1510">
        <v>215</v>
      </c>
      <c r="C1510" t="s">
        <v>6300</v>
      </c>
      <c r="D1510" t="s">
        <v>7991</v>
      </c>
      <c r="E1510">
        <v>48</v>
      </c>
      <c r="F1510" s="6">
        <v>6200000000</v>
      </c>
      <c r="H1510">
        <v>280</v>
      </c>
      <c r="I1510" t="s">
        <v>9457</v>
      </c>
    </row>
    <row r="1511" spans="2:9" x14ac:dyDescent="0.25">
      <c r="B1511">
        <v>232</v>
      </c>
      <c r="C1511" t="s">
        <v>6479</v>
      </c>
      <c r="D1511" t="s">
        <v>6270</v>
      </c>
      <c r="E1511">
        <v>48</v>
      </c>
      <c r="F1511" s="6">
        <v>4850000000</v>
      </c>
      <c r="H1511">
        <v>297</v>
      </c>
      <c r="I1511" t="s">
        <v>9458</v>
      </c>
    </row>
    <row r="1512" spans="2:9" x14ac:dyDescent="0.25">
      <c r="B1512">
        <v>332</v>
      </c>
      <c r="C1512" t="s">
        <v>6304</v>
      </c>
      <c r="D1512" t="s">
        <v>3497</v>
      </c>
      <c r="E1512">
        <v>48</v>
      </c>
      <c r="F1512" s="6">
        <v>5300000000</v>
      </c>
      <c r="H1512">
        <v>397</v>
      </c>
      <c r="I1512" t="s">
        <v>9459</v>
      </c>
    </row>
    <row r="1513" spans="2:9" x14ac:dyDescent="0.25">
      <c r="B1513">
        <v>340</v>
      </c>
      <c r="C1513" t="s">
        <v>6482</v>
      </c>
      <c r="D1513" t="s">
        <v>3497</v>
      </c>
      <c r="E1513">
        <v>48</v>
      </c>
      <c r="F1513" s="6">
        <v>5100000000</v>
      </c>
      <c r="H1513">
        <v>405</v>
      </c>
      <c r="I1513" t="s">
        <v>9460</v>
      </c>
    </row>
    <row r="1514" spans="2:9" x14ac:dyDescent="0.25">
      <c r="B1514">
        <v>356</v>
      </c>
      <c r="C1514" t="s">
        <v>6309</v>
      </c>
      <c r="D1514" t="s">
        <v>6308</v>
      </c>
      <c r="E1514">
        <v>48</v>
      </c>
      <c r="F1514" s="6">
        <v>11300000000</v>
      </c>
      <c r="H1514">
        <v>423</v>
      </c>
      <c r="I1514" t="s">
        <v>9461</v>
      </c>
    </row>
    <row r="1515" spans="2:9" x14ac:dyDescent="0.25">
      <c r="B1515">
        <v>177</v>
      </c>
      <c r="C1515" t="s">
        <v>6486</v>
      </c>
      <c r="D1515" t="s">
        <v>3139</v>
      </c>
      <c r="E1515">
        <v>47</v>
      </c>
      <c r="F1515" s="6">
        <v>4150000000</v>
      </c>
      <c r="H1515">
        <v>240</v>
      </c>
      <c r="I1515" t="s">
        <v>9462</v>
      </c>
    </row>
    <row r="1516" spans="2:9" x14ac:dyDescent="0.25">
      <c r="B1516">
        <v>194</v>
      </c>
      <c r="C1516" t="s">
        <v>6313</v>
      </c>
      <c r="D1516" t="s">
        <v>7991</v>
      </c>
      <c r="E1516">
        <v>47</v>
      </c>
      <c r="F1516" s="6">
        <v>6200000000</v>
      </c>
      <c r="H1516">
        <v>259</v>
      </c>
      <c r="I1516" t="s">
        <v>9463</v>
      </c>
    </row>
    <row r="1517" spans="2:9" x14ac:dyDescent="0.25">
      <c r="B1517">
        <v>229</v>
      </c>
      <c r="C1517" t="s">
        <v>6490</v>
      </c>
      <c r="D1517" t="s">
        <v>87</v>
      </c>
      <c r="E1517">
        <v>47</v>
      </c>
      <c r="F1517" s="6">
        <v>4850000000</v>
      </c>
      <c r="H1517">
        <v>294</v>
      </c>
      <c r="I1517" t="s">
        <v>9464</v>
      </c>
    </row>
    <row r="1518" spans="2:9" x14ac:dyDescent="0.25">
      <c r="B1518">
        <v>234</v>
      </c>
      <c r="C1518" t="s">
        <v>6318</v>
      </c>
      <c r="D1518" t="s">
        <v>6317</v>
      </c>
      <c r="E1518">
        <v>47</v>
      </c>
      <c r="F1518" s="6">
        <v>4850000000</v>
      </c>
      <c r="H1518">
        <v>299</v>
      </c>
      <c r="I1518" t="s">
        <v>9465</v>
      </c>
    </row>
    <row r="1519" spans="2:9" x14ac:dyDescent="0.25">
      <c r="B1519">
        <v>235</v>
      </c>
      <c r="C1519" t="s">
        <v>6494</v>
      </c>
      <c r="D1519" t="s">
        <v>6317</v>
      </c>
      <c r="E1519">
        <v>47</v>
      </c>
      <c r="F1519" s="6">
        <v>4850000000</v>
      </c>
      <c r="H1519">
        <v>300</v>
      </c>
      <c r="I1519" t="s">
        <v>9466</v>
      </c>
    </row>
    <row r="1520" spans="2:9" x14ac:dyDescent="0.25">
      <c r="B1520">
        <v>315</v>
      </c>
      <c r="C1520" t="s">
        <v>6321</v>
      </c>
      <c r="D1520" t="s">
        <v>3242</v>
      </c>
      <c r="E1520">
        <v>47</v>
      </c>
      <c r="F1520" s="6">
        <v>5100000000</v>
      </c>
      <c r="H1520">
        <v>380</v>
      </c>
      <c r="I1520" t="s">
        <v>9467</v>
      </c>
    </row>
    <row r="1521" spans="2:9" x14ac:dyDescent="0.25">
      <c r="B1521">
        <v>378</v>
      </c>
      <c r="C1521" t="s">
        <v>6498</v>
      </c>
      <c r="D1521" t="s">
        <v>8035</v>
      </c>
      <c r="E1521">
        <v>47</v>
      </c>
      <c r="F1521" s="6">
        <v>5450000000</v>
      </c>
      <c r="H1521">
        <v>445</v>
      </c>
      <c r="I1521" t="s">
        <v>9468</v>
      </c>
    </row>
    <row r="1522" spans="2:9" x14ac:dyDescent="0.25">
      <c r="B1522">
        <v>413</v>
      </c>
      <c r="C1522" t="s">
        <v>6325</v>
      </c>
      <c r="D1522" t="s">
        <v>8035</v>
      </c>
      <c r="E1522">
        <v>47</v>
      </c>
      <c r="F1522" s="6">
        <v>5450000000</v>
      </c>
      <c r="H1522">
        <v>480</v>
      </c>
      <c r="I1522" t="s">
        <v>9469</v>
      </c>
    </row>
    <row r="1523" spans="2:9" x14ac:dyDescent="0.25">
      <c r="B1523">
        <v>504</v>
      </c>
      <c r="C1523" t="s">
        <v>6501</v>
      </c>
      <c r="D1523" t="s">
        <v>3242</v>
      </c>
      <c r="E1523">
        <v>47</v>
      </c>
      <c r="F1523" s="6">
        <v>5000000000</v>
      </c>
      <c r="H1523">
        <v>594</v>
      </c>
      <c r="I1523" t="s">
        <v>9470</v>
      </c>
    </row>
    <row r="1524" spans="2:9" x14ac:dyDescent="0.25">
      <c r="B1524">
        <v>49</v>
      </c>
      <c r="C1524" t="s">
        <v>6329</v>
      </c>
      <c r="D1524" t="s">
        <v>6029</v>
      </c>
      <c r="E1524">
        <v>46</v>
      </c>
      <c r="F1524" s="6">
        <v>5900000000</v>
      </c>
      <c r="H1524">
        <v>91</v>
      </c>
      <c r="I1524" t="s">
        <v>9471</v>
      </c>
    </row>
    <row r="1525" spans="2:9" x14ac:dyDescent="0.25">
      <c r="B1525">
        <v>333</v>
      </c>
      <c r="C1525" t="s">
        <v>6505</v>
      </c>
      <c r="D1525" t="s">
        <v>5785</v>
      </c>
      <c r="E1525">
        <v>46</v>
      </c>
      <c r="F1525" s="6">
        <v>5100000000</v>
      </c>
      <c r="H1525">
        <v>398</v>
      </c>
      <c r="I1525" t="s">
        <v>9472</v>
      </c>
    </row>
    <row r="1526" spans="2:9" x14ac:dyDescent="0.25">
      <c r="B1526">
        <v>362</v>
      </c>
      <c r="C1526" t="s">
        <v>6333</v>
      </c>
      <c r="D1526" t="s">
        <v>5585</v>
      </c>
      <c r="E1526">
        <v>46</v>
      </c>
      <c r="F1526" s="6">
        <v>9350000000</v>
      </c>
      <c r="H1526">
        <v>429</v>
      </c>
      <c r="I1526" t="s">
        <v>9473</v>
      </c>
    </row>
    <row r="1527" spans="2:9" x14ac:dyDescent="0.25">
      <c r="B1527">
        <v>366</v>
      </c>
      <c r="C1527" t="s">
        <v>6509</v>
      </c>
      <c r="D1527" t="s">
        <v>5661</v>
      </c>
      <c r="E1527">
        <v>46</v>
      </c>
      <c r="F1527" s="6">
        <v>9350000000</v>
      </c>
      <c r="H1527">
        <v>433</v>
      </c>
      <c r="I1527" t="s">
        <v>9474</v>
      </c>
    </row>
    <row r="1528" spans="2:9" x14ac:dyDescent="0.25">
      <c r="B1528">
        <v>381</v>
      </c>
      <c r="C1528" t="s">
        <v>6337</v>
      </c>
      <c r="D1528" t="s">
        <v>8026</v>
      </c>
      <c r="E1528">
        <v>46</v>
      </c>
      <c r="F1528" s="6">
        <v>5450000000</v>
      </c>
      <c r="H1528">
        <v>448</v>
      </c>
      <c r="I1528" t="s">
        <v>9475</v>
      </c>
    </row>
    <row r="1529" spans="2:9" x14ac:dyDescent="0.25">
      <c r="B1529">
        <v>448</v>
      </c>
      <c r="C1529" t="s">
        <v>6513</v>
      </c>
      <c r="D1529" t="s">
        <v>191</v>
      </c>
      <c r="E1529">
        <v>46</v>
      </c>
      <c r="F1529" s="6">
        <v>4300000000</v>
      </c>
      <c r="H1529">
        <v>529</v>
      </c>
      <c r="I1529" t="s">
        <v>9476</v>
      </c>
    </row>
    <row r="1530" spans="2:9" x14ac:dyDescent="0.25">
      <c r="B1530">
        <v>3</v>
      </c>
      <c r="C1530" t="s">
        <v>6340</v>
      </c>
      <c r="D1530" t="s">
        <v>5364</v>
      </c>
      <c r="E1530">
        <v>45</v>
      </c>
      <c r="F1530" s="6">
        <v>5750000000</v>
      </c>
      <c r="H1530">
        <v>45</v>
      </c>
      <c r="I1530" t="s">
        <v>9477</v>
      </c>
    </row>
    <row r="1531" spans="2:9" x14ac:dyDescent="0.25">
      <c r="B1531">
        <v>195</v>
      </c>
      <c r="C1531" t="s">
        <v>6517</v>
      </c>
      <c r="D1531" t="s">
        <v>7991</v>
      </c>
      <c r="E1531">
        <v>45</v>
      </c>
      <c r="F1531" s="6">
        <v>6200000000</v>
      </c>
      <c r="H1531">
        <v>260</v>
      </c>
      <c r="I1531" t="s">
        <v>9478</v>
      </c>
    </row>
    <row r="1532" spans="2:9" x14ac:dyDescent="0.25">
      <c r="B1532">
        <v>198</v>
      </c>
      <c r="C1532" t="s">
        <v>6344</v>
      </c>
      <c r="D1532" t="s">
        <v>7991</v>
      </c>
      <c r="E1532">
        <v>45</v>
      </c>
      <c r="F1532" s="6">
        <v>6200000000</v>
      </c>
      <c r="H1532">
        <v>263</v>
      </c>
      <c r="I1532" t="s">
        <v>9479</v>
      </c>
    </row>
    <row r="1533" spans="2:9" x14ac:dyDescent="0.25">
      <c r="B1533">
        <v>230</v>
      </c>
      <c r="C1533" t="s">
        <v>6521</v>
      </c>
      <c r="D1533" t="s">
        <v>6270</v>
      </c>
      <c r="E1533">
        <v>45</v>
      </c>
      <c r="F1533" s="6">
        <v>4850000000</v>
      </c>
      <c r="H1533">
        <v>295</v>
      </c>
      <c r="I1533" t="s">
        <v>9480</v>
      </c>
    </row>
    <row r="1534" spans="2:9" x14ac:dyDescent="0.25">
      <c r="B1534">
        <v>331</v>
      </c>
      <c r="C1534" t="s">
        <v>6348</v>
      </c>
      <c r="D1534" t="s">
        <v>3242</v>
      </c>
      <c r="E1534">
        <v>45</v>
      </c>
      <c r="F1534" s="6">
        <v>5250000000</v>
      </c>
      <c r="H1534">
        <v>396</v>
      </c>
      <c r="I1534" t="s">
        <v>9481</v>
      </c>
    </row>
    <row r="1535" spans="2:9" x14ac:dyDescent="0.25">
      <c r="B1535">
        <v>337</v>
      </c>
      <c r="C1535" t="s">
        <v>6524</v>
      </c>
      <c r="D1535" t="s">
        <v>3242</v>
      </c>
      <c r="E1535">
        <v>45</v>
      </c>
      <c r="F1535" s="6">
        <v>5100000000</v>
      </c>
      <c r="H1535">
        <v>402</v>
      </c>
      <c r="I1535" t="s">
        <v>9482</v>
      </c>
    </row>
    <row r="1536" spans="2:9" x14ac:dyDescent="0.25">
      <c r="B1536">
        <v>2</v>
      </c>
      <c r="C1536" t="s">
        <v>5365</v>
      </c>
      <c r="D1536" t="s">
        <v>5364</v>
      </c>
      <c r="E1536">
        <v>44</v>
      </c>
      <c r="F1536" s="6">
        <v>5800000000</v>
      </c>
      <c r="H1536">
        <v>44</v>
      </c>
      <c r="I1536" t="s">
        <v>9483</v>
      </c>
    </row>
    <row r="1537" spans="2:9" x14ac:dyDescent="0.25">
      <c r="B1537">
        <v>311</v>
      </c>
      <c r="C1537" t="s">
        <v>6527</v>
      </c>
      <c r="D1537" t="s">
        <v>3242</v>
      </c>
      <c r="E1537">
        <v>44</v>
      </c>
      <c r="F1537" s="6">
        <v>5950000000</v>
      </c>
      <c r="H1537">
        <v>376</v>
      </c>
      <c r="I1537" t="s">
        <v>9484</v>
      </c>
    </row>
    <row r="1538" spans="2:9" x14ac:dyDescent="0.25">
      <c r="B1538">
        <v>355</v>
      </c>
      <c r="C1538" t="s">
        <v>6352</v>
      </c>
      <c r="D1538" t="s">
        <v>6308</v>
      </c>
      <c r="E1538">
        <v>44</v>
      </c>
      <c r="F1538" s="6">
        <v>11000000000</v>
      </c>
      <c r="H1538">
        <v>422</v>
      </c>
      <c r="I1538" t="s">
        <v>9485</v>
      </c>
    </row>
    <row r="1539" spans="2:9" x14ac:dyDescent="0.25">
      <c r="B1539">
        <v>397</v>
      </c>
      <c r="C1539" t="s">
        <v>4650</v>
      </c>
      <c r="D1539" t="s">
        <v>8026</v>
      </c>
      <c r="E1539">
        <v>44</v>
      </c>
      <c r="F1539" s="6">
        <v>5450000000</v>
      </c>
      <c r="H1539">
        <v>464</v>
      </c>
      <c r="I1539" t="s">
        <v>9486</v>
      </c>
    </row>
    <row r="1540" spans="2:9" x14ac:dyDescent="0.25">
      <c r="B1540">
        <v>441</v>
      </c>
      <c r="C1540" t="s">
        <v>6356</v>
      </c>
      <c r="D1540" t="s">
        <v>191</v>
      </c>
      <c r="E1540">
        <v>44</v>
      </c>
      <c r="F1540" s="6">
        <v>4000000000</v>
      </c>
      <c r="H1540">
        <v>522</v>
      </c>
      <c r="I1540" t="s">
        <v>9487</v>
      </c>
    </row>
    <row r="1541" spans="2:9" x14ac:dyDescent="0.25">
      <c r="B1541">
        <v>170</v>
      </c>
      <c r="C1541" t="s">
        <v>6530</v>
      </c>
      <c r="D1541" t="s">
        <v>3139</v>
      </c>
      <c r="E1541">
        <v>43</v>
      </c>
      <c r="F1541" s="6">
        <v>4050000000</v>
      </c>
      <c r="H1541">
        <v>232</v>
      </c>
      <c r="I1541" t="s">
        <v>9488</v>
      </c>
    </row>
    <row r="1542" spans="2:9" x14ac:dyDescent="0.25">
      <c r="B1542">
        <v>185</v>
      </c>
      <c r="C1542" t="s">
        <v>6361</v>
      </c>
      <c r="D1542" t="s">
        <v>6360</v>
      </c>
      <c r="E1542">
        <v>43</v>
      </c>
      <c r="F1542" s="6">
        <v>4150000000</v>
      </c>
      <c r="H1542">
        <v>250</v>
      </c>
      <c r="I1542" t="s">
        <v>9489</v>
      </c>
    </row>
    <row r="1543" spans="2:9" x14ac:dyDescent="0.25">
      <c r="B1543">
        <v>201</v>
      </c>
      <c r="C1543" t="s">
        <v>6534</v>
      </c>
      <c r="D1543" t="s">
        <v>7991</v>
      </c>
      <c r="E1543">
        <v>43</v>
      </c>
      <c r="F1543" s="6">
        <v>6200000000</v>
      </c>
      <c r="H1543">
        <v>266</v>
      </c>
      <c r="I1543" t="s">
        <v>9490</v>
      </c>
    </row>
    <row r="1544" spans="2:9" x14ac:dyDescent="0.25">
      <c r="B1544">
        <v>227</v>
      </c>
      <c r="C1544" t="s">
        <v>6365</v>
      </c>
      <c r="D1544" t="s">
        <v>87</v>
      </c>
      <c r="E1544">
        <v>43</v>
      </c>
      <c r="F1544" s="6">
        <v>4850000000</v>
      </c>
      <c r="H1544">
        <v>292</v>
      </c>
      <c r="I1544" t="s">
        <v>9491</v>
      </c>
    </row>
    <row r="1545" spans="2:9" x14ac:dyDescent="0.25">
      <c r="B1545">
        <v>359</v>
      </c>
      <c r="C1545" t="s">
        <v>6537</v>
      </c>
      <c r="D1545" t="s">
        <v>5661</v>
      </c>
      <c r="E1545">
        <v>43</v>
      </c>
      <c r="F1545" s="6">
        <v>10000000000</v>
      </c>
      <c r="H1545">
        <v>426</v>
      </c>
      <c r="I1545" t="s">
        <v>9492</v>
      </c>
    </row>
    <row r="1546" spans="2:9" x14ac:dyDescent="0.25">
      <c r="B1546">
        <v>116</v>
      </c>
      <c r="C1546" t="s">
        <v>6368</v>
      </c>
      <c r="D1546" t="s">
        <v>3478</v>
      </c>
      <c r="E1546">
        <v>42</v>
      </c>
      <c r="F1546" s="6">
        <v>6350000000</v>
      </c>
      <c r="H1546">
        <v>158</v>
      </c>
      <c r="I1546" t="s">
        <v>9493</v>
      </c>
    </row>
    <row r="1547" spans="2:9" x14ac:dyDescent="0.25">
      <c r="B1547">
        <v>191</v>
      </c>
      <c r="C1547" t="s">
        <v>6541</v>
      </c>
      <c r="D1547" t="s">
        <v>7991</v>
      </c>
      <c r="E1547">
        <v>42</v>
      </c>
      <c r="F1547" s="6">
        <v>6200000000</v>
      </c>
      <c r="H1547">
        <v>256</v>
      </c>
      <c r="I1547" t="s">
        <v>9494</v>
      </c>
    </row>
    <row r="1548" spans="2:9" x14ac:dyDescent="0.25">
      <c r="B1548">
        <v>196</v>
      </c>
      <c r="C1548" t="s">
        <v>6372</v>
      </c>
      <c r="D1548" t="s">
        <v>7991</v>
      </c>
      <c r="E1548">
        <v>42</v>
      </c>
      <c r="F1548" s="6">
        <v>6200000000</v>
      </c>
      <c r="H1548">
        <v>261</v>
      </c>
      <c r="I1548" t="s">
        <v>9495</v>
      </c>
    </row>
    <row r="1549" spans="2:9" x14ac:dyDescent="0.25">
      <c r="B1549">
        <v>223</v>
      </c>
      <c r="C1549" t="s">
        <v>6544</v>
      </c>
      <c r="D1549" t="s">
        <v>4343</v>
      </c>
      <c r="E1549">
        <v>42</v>
      </c>
      <c r="F1549" s="6">
        <v>4850000000</v>
      </c>
      <c r="H1549">
        <v>288</v>
      </c>
      <c r="I1549" t="s">
        <v>9496</v>
      </c>
    </row>
    <row r="1550" spans="2:9" x14ac:dyDescent="0.25">
      <c r="B1550">
        <v>262</v>
      </c>
      <c r="C1550" t="s">
        <v>6375</v>
      </c>
      <c r="D1550" t="s">
        <v>9229</v>
      </c>
      <c r="E1550">
        <v>42</v>
      </c>
      <c r="F1550" s="6">
        <v>6200000000</v>
      </c>
      <c r="H1550">
        <v>327</v>
      </c>
      <c r="I1550" t="s">
        <v>9497</v>
      </c>
    </row>
    <row r="1551" spans="2:9" x14ac:dyDescent="0.25">
      <c r="B1551">
        <v>312</v>
      </c>
      <c r="C1551" t="s">
        <v>6548</v>
      </c>
      <c r="D1551" t="s">
        <v>3242</v>
      </c>
      <c r="E1551">
        <v>42</v>
      </c>
      <c r="F1551" s="6">
        <v>5300000000</v>
      </c>
      <c r="H1551">
        <v>377</v>
      </c>
      <c r="I1551" t="s">
        <v>9498</v>
      </c>
    </row>
    <row r="1552" spans="2:9" x14ac:dyDescent="0.25">
      <c r="B1552">
        <v>360</v>
      </c>
      <c r="C1552" t="s">
        <v>6379</v>
      </c>
      <c r="D1552" t="s">
        <v>5585</v>
      </c>
      <c r="E1552">
        <v>42</v>
      </c>
      <c r="F1552" s="6">
        <v>9350000000</v>
      </c>
      <c r="H1552">
        <v>427</v>
      </c>
      <c r="I1552" t="s">
        <v>9499</v>
      </c>
    </row>
    <row r="1553" spans="2:9" x14ac:dyDescent="0.25">
      <c r="B1553">
        <v>480</v>
      </c>
      <c r="C1553" t="s">
        <v>6552</v>
      </c>
      <c r="D1553" t="s">
        <v>8183</v>
      </c>
      <c r="E1553">
        <v>42</v>
      </c>
      <c r="F1553" s="6">
        <v>5550000000</v>
      </c>
      <c r="H1553">
        <v>567</v>
      </c>
      <c r="I1553" t="s">
        <v>9500</v>
      </c>
    </row>
    <row r="1554" spans="2:9" x14ac:dyDescent="0.25">
      <c r="B1554">
        <v>193</v>
      </c>
      <c r="C1554" t="s">
        <v>6383</v>
      </c>
      <c r="D1554" t="s">
        <v>7991</v>
      </c>
      <c r="E1554">
        <v>41</v>
      </c>
      <c r="F1554" s="6">
        <v>6200000000</v>
      </c>
      <c r="H1554">
        <v>258</v>
      </c>
      <c r="I1554" t="s">
        <v>9501</v>
      </c>
    </row>
    <row r="1555" spans="2:9" x14ac:dyDescent="0.25">
      <c r="B1555">
        <v>225</v>
      </c>
      <c r="C1555" t="s">
        <v>6556</v>
      </c>
      <c r="D1555" t="s">
        <v>6270</v>
      </c>
      <c r="E1555">
        <v>41</v>
      </c>
      <c r="F1555" s="6">
        <v>4850000000</v>
      </c>
      <c r="H1555">
        <v>290</v>
      </c>
      <c r="I1555" t="s">
        <v>9502</v>
      </c>
    </row>
    <row r="1556" spans="2:9" x14ac:dyDescent="0.25">
      <c r="B1556">
        <v>254</v>
      </c>
      <c r="C1556" t="s">
        <v>6386</v>
      </c>
      <c r="D1556" t="s">
        <v>9229</v>
      </c>
      <c r="E1556">
        <v>41</v>
      </c>
      <c r="F1556" s="6">
        <v>6200000000</v>
      </c>
      <c r="H1556">
        <v>319</v>
      </c>
      <c r="I1556" t="s">
        <v>9503</v>
      </c>
    </row>
    <row r="1557" spans="2:9" x14ac:dyDescent="0.25">
      <c r="B1557">
        <v>416</v>
      </c>
      <c r="C1557" t="s">
        <v>6560</v>
      </c>
      <c r="D1557" t="s">
        <v>6559</v>
      </c>
      <c r="E1557">
        <v>41</v>
      </c>
      <c r="F1557" s="6">
        <v>5100000000</v>
      </c>
      <c r="H1557">
        <v>483</v>
      </c>
      <c r="I1557" t="s">
        <v>9504</v>
      </c>
    </row>
    <row r="1558" spans="2:9" x14ac:dyDescent="0.25">
      <c r="B1558">
        <v>192</v>
      </c>
      <c r="C1558" t="s">
        <v>6390</v>
      </c>
      <c r="D1558" t="s">
        <v>7991</v>
      </c>
      <c r="E1558">
        <v>40</v>
      </c>
      <c r="F1558" s="6">
        <v>6200000000</v>
      </c>
      <c r="H1558">
        <v>257</v>
      </c>
      <c r="I1558" t="s">
        <v>9505</v>
      </c>
    </row>
    <row r="1559" spans="2:9" x14ac:dyDescent="0.25">
      <c r="B1559">
        <v>209</v>
      </c>
      <c r="C1559" t="s">
        <v>6565</v>
      </c>
      <c r="D1559" t="s">
        <v>7991</v>
      </c>
      <c r="E1559">
        <v>40</v>
      </c>
      <c r="F1559" s="6">
        <v>6200000000</v>
      </c>
      <c r="H1559">
        <v>274</v>
      </c>
      <c r="I1559" t="s">
        <v>9506</v>
      </c>
    </row>
    <row r="1560" spans="2:9" x14ac:dyDescent="0.25">
      <c r="B1560">
        <v>222</v>
      </c>
      <c r="C1560" t="s">
        <v>6393</v>
      </c>
      <c r="D1560" t="s">
        <v>4343</v>
      </c>
      <c r="E1560">
        <v>40</v>
      </c>
      <c r="F1560" s="6">
        <v>4850000000</v>
      </c>
      <c r="H1560">
        <v>287</v>
      </c>
      <c r="I1560" t="s">
        <v>9507</v>
      </c>
    </row>
    <row r="1561" spans="2:9" x14ac:dyDescent="0.25">
      <c r="B1561">
        <v>228</v>
      </c>
      <c r="C1561" t="s">
        <v>6568</v>
      </c>
      <c r="D1561" t="s">
        <v>87</v>
      </c>
      <c r="E1561">
        <v>40</v>
      </c>
      <c r="F1561" s="6">
        <v>4850000000</v>
      </c>
      <c r="H1561">
        <v>293</v>
      </c>
      <c r="I1561" t="s">
        <v>9508</v>
      </c>
    </row>
    <row r="1562" spans="2:9" x14ac:dyDescent="0.25">
      <c r="B1562">
        <v>163</v>
      </c>
      <c r="C1562" t="s">
        <v>6397</v>
      </c>
      <c r="D1562" t="s">
        <v>2476</v>
      </c>
      <c r="E1562">
        <v>39</v>
      </c>
      <c r="F1562" s="6">
        <v>3700000000</v>
      </c>
      <c r="H1562">
        <v>218</v>
      </c>
      <c r="I1562" t="s">
        <v>9509</v>
      </c>
    </row>
    <row r="1563" spans="2:9" x14ac:dyDescent="0.25">
      <c r="B1563">
        <v>179</v>
      </c>
      <c r="C1563" t="s">
        <v>6571</v>
      </c>
      <c r="D1563" t="s">
        <v>3689</v>
      </c>
      <c r="E1563">
        <v>39</v>
      </c>
      <c r="F1563" s="6">
        <v>4150000000</v>
      </c>
      <c r="H1563">
        <v>242</v>
      </c>
      <c r="I1563" t="s">
        <v>9510</v>
      </c>
    </row>
    <row r="1564" spans="2:9" x14ac:dyDescent="0.25">
      <c r="B1564">
        <v>226</v>
      </c>
      <c r="C1564" t="s">
        <v>6401</v>
      </c>
      <c r="D1564" t="s">
        <v>5854</v>
      </c>
      <c r="E1564">
        <v>39</v>
      </c>
      <c r="F1564" s="6">
        <v>5100000000</v>
      </c>
      <c r="H1564">
        <v>291</v>
      </c>
      <c r="I1564" t="s">
        <v>9511</v>
      </c>
    </row>
    <row r="1565" spans="2:9" x14ac:dyDescent="0.25">
      <c r="B1565">
        <v>348</v>
      </c>
      <c r="C1565" t="s">
        <v>6575</v>
      </c>
      <c r="D1565" t="s">
        <v>3242</v>
      </c>
      <c r="E1565">
        <v>39</v>
      </c>
      <c r="F1565" s="6">
        <v>5100000000</v>
      </c>
      <c r="H1565">
        <v>413</v>
      </c>
      <c r="I1565" t="s">
        <v>9512</v>
      </c>
    </row>
    <row r="1566" spans="2:9" x14ac:dyDescent="0.25">
      <c r="B1566">
        <v>379</v>
      </c>
      <c r="C1566" t="s">
        <v>6405</v>
      </c>
      <c r="D1566" t="s">
        <v>8035</v>
      </c>
      <c r="E1566">
        <v>39</v>
      </c>
      <c r="F1566" s="6">
        <v>5450000000</v>
      </c>
      <c r="H1566">
        <v>446</v>
      </c>
      <c r="I1566" t="s">
        <v>9513</v>
      </c>
    </row>
    <row r="1567" spans="2:9" x14ac:dyDescent="0.25">
      <c r="B1567">
        <v>390</v>
      </c>
      <c r="C1567" t="s">
        <v>5517</v>
      </c>
      <c r="D1567" t="s">
        <v>8026</v>
      </c>
      <c r="E1567">
        <v>39</v>
      </c>
      <c r="F1567" s="6">
        <v>5700000000</v>
      </c>
      <c r="H1567">
        <v>457</v>
      </c>
      <c r="I1567" t="s">
        <v>9514</v>
      </c>
    </row>
    <row r="1568" spans="2:9" x14ac:dyDescent="0.25">
      <c r="B1568">
        <v>542</v>
      </c>
      <c r="C1568" t="s">
        <v>3976</v>
      </c>
      <c r="D1568" t="s">
        <v>3771</v>
      </c>
      <c r="E1568">
        <v>39</v>
      </c>
      <c r="F1568" s="6">
        <v>4050000000</v>
      </c>
      <c r="H1568">
        <v>635</v>
      </c>
      <c r="I1568" t="s">
        <v>9515</v>
      </c>
    </row>
    <row r="1569" spans="2:9" x14ac:dyDescent="0.25">
      <c r="B1569">
        <v>55</v>
      </c>
      <c r="C1569" t="s">
        <v>6579</v>
      </c>
      <c r="D1569" t="s">
        <v>5970</v>
      </c>
      <c r="E1569">
        <v>38</v>
      </c>
      <c r="F1569" s="6">
        <v>5950000000</v>
      </c>
      <c r="H1569">
        <v>97</v>
      </c>
      <c r="I1569" t="s">
        <v>9516</v>
      </c>
    </row>
    <row r="1570" spans="2:9" x14ac:dyDescent="0.25">
      <c r="B1570">
        <v>130</v>
      </c>
      <c r="C1570" t="s">
        <v>6408</v>
      </c>
      <c r="D1570" t="s">
        <v>2487</v>
      </c>
      <c r="E1570">
        <v>38</v>
      </c>
      <c r="F1570" s="6">
        <v>3600000000</v>
      </c>
      <c r="H1570">
        <v>172</v>
      </c>
      <c r="I1570" t="s">
        <v>9517</v>
      </c>
    </row>
    <row r="1571" spans="2:9" x14ac:dyDescent="0.25">
      <c r="B1571">
        <v>139</v>
      </c>
      <c r="C1571" t="s">
        <v>6583</v>
      </c>
      <c r="D1571" t="s">
        <v>2476</v>
      </c>
      <c r="E1571">
        <v>38</v>
      </c>
      <c r="F1571" s="6">
        <v>3900000000</v>
      </c>
      <c r="H1571">
        <v>183</v>
      </c>
      <c r="I1571" t="s">
        <v>9518</v>
      </c>
    </row>
    <row r="1572" spans="2:9" x14ac:dyDescent="0.25">
      <c r="B1572">
        <v>219</v>
      </c>
      <c r="C1572" t="s">
        <v>6412</v>
      </c>
      <c r="D1572" t="s">
        <v>87</v>
      </c>
      <c r="E1572">
        <v>38</v>
      </c>
      <c r="F1572" s="6">
        <v>4850000000</v>
      </c>
      <c r="H1572">
        <v>284</v>
      </c>
      <c r="I1572" t="s">
        <v>9519</v>
      </c>
    </row>
    <row r="1573" spans="2:9" x14ac:dyDescent="0.25">
      <c r="B1573">
        <v>220</v>
      </c>
      <c r="C1573" t="s">
        <v>6587</v>
      </c>
      <c r="D1573" t="s">
        <v>87</v>
      </c>
      <c r="E1573">
        <v>38</v>
      </c>
      <c r="F1573" s="6">
        <v>4850000000</v>
      </c>
      <c r="H1573">
        <v>285</v>
      </c>
      <c r="I1573" t="s">
        <v>9520</v>
      </c>
    </row>
    <row r="1574" spans="2:9" x14ac:dyDescent="0.25">
      <c r="B1574" t="s">
        <v>7917</v>
      </c>
      <c r="C1574" t="s">
        <v>7918</v>
      </c>
      <c r="D1574" t="s">
        <v>7919</v>
      </c>
      <c r="E1574" t="s">
        <v>7920</v>
      </c>
      <c r="F1574" t="s">
        <v>7921</v>
      </c>
      <c r="G1574" t="s">
        <v>7922</v>
      </c>
      <c r="H1574" t="s">
        <v>7923</v>
      </c>
    </row>
    <row r="1575" spans="2:9" x14ac:dyDescent="0.25">
      <c r="B1575">
        <v>237</v>
      </c>
      <c r="C1575" t="s">
        <v>7561</v>
      </c>
      <c r="D1575" t="s">
        <v>6270</v>
      </c>
      <c r="E1575">
        <v>38</v>
      </c>
      <c r="F1575" s="6">
        <v>4850000000</v>
      </c>
      <c r="H1575">
        <v>302</v>
      </c>
      <c r="I1575" t="s">
        <v>9521</v>
      </c>
    </row>
    <row r="1576" spans="2:9" x14ac:dyDescent="0.25">
      <c r="B1576">
        <v>357</v>
      </c>
      <c r="C1576" t="s">
        <v>7734</v>
      </c>
      <c r="D1576" t="s">
        <v>6308</v>
      </c>
      <c r="E1576">
        <v>38</v>
      </c>
      <c r="F1576" s="6">
        <v>11400000000</v>
      </c>
      <c r="H1576">
        <v>424</v>
      </c>
      <c r="I1576" t="s">
        <v>9522</v>
      </c>
    </row>
    <row r="1577" spans="2:9" x14ac:dyDescent="0.25">
      <c r="B1577">
        <v>454</v>
      </c>
      <c r="C1577" t="s">
        <v>7565</v>
      </c>
      <c r="D1577" t="s">
        <v>191</v>
      </c>
      <c r="E1577">
        <v>38</v>
      </c>
      <c r="F1577" s="6">
        <v>4550000000</v>
      </c>
      <c r="H1577">
        <v>535</v>
      </c>
      <c r="I1577" t="s">
        <v>9523</v>
      </c>
    </row>
    <row r="1578" spans="2:9" x14ac:dyDescent="0.25">
      <c r="B1578">
        <v>27</v>
      </c>
      <c r="C1578" t="s">
        <v>7738</v>
      </c>
      <c r="D1578" t="s">
        <v>5976</v>
      </c>
      <c r="E1578">
        <v>37</v>
      </c>
      <c r="F1578" s="6">
        <v>5700000000</v>
      </c>
      <c r="H1578">
        <v>69</v>
      </c>
      <c r="I1578" t="s">
        <v>9524</v>
      </c>
    </row>
    <row r="1579" spans="2:9" x14ac:dyDescent="0.25">
      <c r="B1579">
        <v>190</v>
      </c>
      <c r="C1579" t="s">
        <v>7569</v>
      </c>
      <c r="D1579" t="s">
        <v>7991</v>
      </c>
      <c r="E1579">
        <v>37</v>
      </c>
      <c r="F1579" s="6">
        <v>6200000000</v>
      </c>
      <c r="H1579">
        <v>255</v>
      </c>
      <c r="I1579" t="s">
        <v>9525</v>
      </c>
    </row>
    <row r="1580" spans="2:9" x14ac:dyDescent="0.25">
      <c r="B1580">
        <v>302</v>
      </c>
      <c r="C1580" t="s">
        <v>7742</v>
      </c>
      <c r="D1580" t="s">
        <v>9317</v>
      </c>
      <c r="E1580">
        <v>37</v>
      </c>
      <c r="F1580" s="6">
        <v>5900000000</v>
      </c>
      <c r="H1580">
        <v>367</v>
      </c>
      <c r="I1580" t="s">
        <v>9526</v>
      </c>
    </row>
    <row r="1581" spans="2:9" x14ac:dyDescent="0.25">
      <c r="B1581">
        <v>338</v>
      </c>
      <c r="C1581" t="s">
        <v>7572</v>
      </c>
      <c r="D1581" t="s">
        <v>3497</v>
      </c>
      <c r="E1581">
        <v>37</v>
      </c>
      <c r="F1581" s="6">
        <v>5100000000</v>
      </c>
      <c r="H1581">
        <v>403</v>
      </c>
      <c r="I1581" t="s">
        <v>9527</v>
      </c>
    </row>
    <row r="1582" spans="2:9" x14ac:dyDescent="0.25">
      <c r="B1582">
        <v>395</v>
      </c>
      <c r="C1582" t="s">
        <v>5452</v>
      </c>
      <c r="D1582" t="s">
        <v>8026</v>
      </c>
      <c r="E1582">
        <v>37</v>
      </c>
      <c r="F1582" s="6">
        <v>5700000000</v>
      </c>
      <c r="H1582">
        <v>462</v>
      </c>
      <c r="I1582" t="s">
        <v>9528</v>
      </c>
    </row>
    <row r="1583" spans="2:9" x14ac:dyDescent="0.25">
      <c r="B1583">
        <v>400</v>
      </c>
      <c r="C1583" t="s">
        <v>5422</v>
      </c>
      <c r="D1583" t="s">
        <v>8026</v>
      </c>
      <c r="E1583">
        <v>37</v>
      </c>
      <c r="F1583" s="6">
        <v>5700000000</v>
      </c>
      <c r="H1583">
        <v>467</v>
      </c>
      <c r="I1583" t="s">
        <v>9529</v>
      </c>
    </row>
    <row r="1584" spans="2:9" x14ac:dyDescent="0.25">
      <c r="B1584">
        <v>99</v>
      </c>
      <c r="C1584" t="s">
        <v>7746</v>
      </c>
      <c r="D1584" t="s">
        <v>5976</v>
      </c>
      <c r="E1584">
        <v>36</v>
      </c>
      <c r="F1584" s="6">
        <v>5950000000</v>
      </c>
      <c r="H1584">
        <v>141</v>
      </c>
      <c r="I1584" t="s">
        <v>9530</v>
      </c>
    </row>
    <row r="1585" spans="2:9" x14ac:dyDescent="0.25">
      <c r="B1585">
        <v>117</v>
      </c>
      <c r="C1585" t="s">
        <v>7576</v>
      </c>
      <c r="D1585" t="s">
        <v>3446</v>
      </c>
      <c r="E1585">
        <v>36</v>
      </c>
      <c r="F1585" s="6">
        <v>6330000000</v>
      </c>
      <c r="H1585">
        <v>159</v>
      </c>
      <c r="I1585" t="s">
        <v>9531</v>
      </c>
    </row>
    <row r="1586" spans="2:9" x14ac:dyDescent="0.25">
      <c r="B1586">
        <v>146</v>
      </c>
      <c r="C1586" t="s">
        <v>7749</v>
      </c>
      <c r="D1586" t="s">
        <v>2476</v>
      </c>
      <c r="E1586">
        <v>36</v>
      </c>
      <c r="F1586" s="6">
        <v>3850000000</v>
      </c>
      <c r="H1586">
        <v>192</v>
      </c>
      <c r="I1586" t="s">
        <v>9532</v>
      </c>
    </row>
    <row r="1587" spans="2:9" x14ac:dyDescent="0.25">
      <c r="B1587">
        <v>277</v>
      </c>
      <c r="C1587" t="s">
        <v>7580</v>
      </c>
      <c r="D1587" t="s">
        <v>9229</v>
      </c>
      <c r="E1587">
        <v>36</v>
      </c>
      <c r="F1587" s="6">
        <v>6200000000</v>
      </c>
      <c r="H1587">
        <v>342</v>
      </c>
      <c r="I1587" t="s">
        <v>9533</v>
      </c>
    </row>
    <row r="1588" spans="2:9" x14ac:dyDescent="0.25">
      <c r="B1588">
        <v>293</v>
      </c>
      <c r="C1588" t="s">
        <v>7753</v>
      </c>
      <c r="D1588" t="s">
        <v>9317</v>
      </c>
      <c r="E1588">
        <v>36</v>
      </c>
      <c r="F1588" s="6">
        <v>5950000000</v>
      </c>
      <c r="H1588">
        <v>358</v>
      </c>
      <c r="I1588" t="s">
        <v>9534</v>
      </c>
    </row>
    <row r="1589" spans="2:9" x14ac:dyDescent="0.25">
      <c r="B1589">
        <v>304</v>
      </c>
      <c r="C1589" t="s">
        <v>7584</v>
      </c>
      <c r="D1589" t="s">
        <v>9317</v>
      </c>
      <c r="E1589">
        <v>36</v>
      </c>
      <c r="F1589" s="6">
        <v>5900000000</v>
      </c>
      <c r="H1589">
        <v>369</v>
      </c>
      <c r="I1589" t="s">
        <v>9535</v>
      </c>
    </row>
    <row r="1590" spans="2:9" x14ac:dyDescent="0.25">
      <c r="B1590">
        <v>322</v>
      </c>
      <c r="C1590" t="s">
        <v>7757</v>
      </c>
      <c r="D1590" t="s">
        <v>3242</v>
      </c>
      <c r="E1590">
        <v>36</v>
      </c>
      <c r="F1590" s="6">
        <v>5250000000</v>
      </c>
      <c r="H1590">
        <v>387</v>
      </c>
      <c r="I1590" t="s">
        <v>9536</v>
      </c>
    </row>
    <row r="1591" spans="2:9" x14ac:dyDescent="0.25">
      <c r="B1591">
        <v>334</v>
      </c>
      <c r="C1591" t="s">
        <v>7588</v>
      </c>
      <c r="D1591" t="s">
        <v>6559</v>
      </c>
      <c r="E1591">
        <v>36</v>
      </c>
      <c r="F1591" s="6">
        <v>5200000000</v>
      </c>
      <c r="H1591">
        <v>399</v>
      </c>
      <c r="I1591" t="s">
        <v>9537</v>
      </c>
    </row>
    <row r="1592" spans="2:9" x14ac:dyDescent="0.25">
      <c r="B1592">
        <v>358</v>
      </c>
      <c r="C1592" t="s">
        <v>7761</v>
      </c>
      <c r="D1592" t="s">
        <v>6308</v>
      </c>
      <c r="E1592">
        <v>36</v>
      </c>
      <c r="F1592" s="6">
        <v>11300000000</v>
      </c>
      <c r="H1592">
        <v>425</v>
      </c>
      <c r="I1592" t="s">
        <v>9538</v>
      </c>
    </row>
    <row r="1593" spans="2:9" x14ac:dyDescent="0.25">
      <c r="B1593">
        <v>497</v>
      </c>
      <c r="C1593" t="s">
        <v>7592</v>
      </c>
      <c r="D1593" t="s">
        <v>3446</v>
      </c>
      <c r="E1593">
        <v>36</v>
      </c>
      <c r="F1593" s="6">
        <v>6000000000</v>
      </c>
      <c r="H1593">
        <v>587</v>
      </c>
      <c r="I1593" t="s">
        <v>9539</v>
      </c>
    </row>
    <row r="1594" spans="2:9" x14ac:dyDescent="0.25">
      <c r="B1594">
        <v>76</v>
      </c>
      <c r="C1594" t="s">
        <v>7765</v>
      </c>
      <c r="D1594" t="s">
        <v>5970</v>
      </c>
      <c r="E1594">
        <v>35</v>
      </c>
      <c r="F1594" s="6">
        <v>5900000000</v>
      </c>
      <c r="H1594">
        <v>118</v>
      </c>
      <c r="I1594" t="s">
        <v>9540</v>
      </c>
    </row>
    <row r="1595" spans="2:9" x14ac:dyDescent="0.25">
      <c r="B1595">
        <v>105</v>
      </c>
      <c r="C1595" t="s">
        <v>7596</v>
      </c>
      <c r="D1595" t="s">
        <v>5976</v>
      </c>
      <c r="E1595">
        <v>35</v>
      </c>
      <c r="F1595" s="6">
        <v>5950000000</v>
      </c>
      <c r="H1595">
        <v>147</v>
      </c>
      <c r="I1595" t="s">
        <v>9541</v>
      </c>
    </row>
    <row r="1596" spans="2:9" x14ac:dyDescent="0.25">
      <c r="B1596">
        <v>165</v>
      </c>
      <c r="C1596" t="s">
        <v>7769</v>
      </c>
      <c r="D1596" t="s">
        <v>2416</v>
      </c>
      <c r="E1596">
        <v>35</v>
      </c>
      <c r="F1596" s="6">
        <v>3700000000</v>
      </c>
      <c r="H1596">
        <v>220</v>
      </c>
      <c r="I1596" t="s">
        <v>9542</v>
      </c>
    </row>
    <row r="1597" spans="2:9" x14ac:dyDescent="0.25">
      <c r="B1597">
        <v>272</v>
      </c>
      <c r="C1597" t="s">
        <v>7599</v>
      </c>
      <c r="D1597" t="s">
        <v>9229</v>
      </c>
      <c r="E1597">
        <v>35</v>
      </c>
      <c r="F1597" s="6">
        <v>6200000000</v>
      </c>
      <c r="H1597">
        <v>337</v>
      </c>
      <c r="I1597" t="s">
        <v>9543</v>
      </c>
    </row>
    <row r="1598" spans="2:9" x14ac:dyDescent="0.25">
      <c r="B1598">
        <v>419</v>
      </c>
      <c r="C1598" t="s">
        <v>7773</v>
      </c>
      <c r="D1598" t="s">
        <v>3411</v>
      </c>
      <c r="E1598">
        <v>35</v>
      </c>
      <c r="F1598" s="6">
        <v>4950000000</v>
      </c>
      <c r="H1598">
        <v>486</v>
      </c>
      <c r="I1598" t="s">
        <v>9544</v>
      </c>
    </row>
    <row r="1599" spans="2:9" x14ac:dyDescent="0.25">
      <c r="B1599">
        <v>429</v>
      </c>
      <c r="C1599" t="s">
        <v>7603</v>
      </c>
      <c r="D1599" t="s">
        <v>2568</v>
      </c>
      <c r="E1599">
        <v>35</v>
      </c>
      <c r="F1599" s="6">
        <v>3700000000</v>
      </c>
      <c r="H1599">
        <v>506</v>
      </c>
      <c r="I1599" t="s">
        <v>9545</v>
      </c>
    </row>
    <row r="1600" spans="2:9" x14ac:dyDescent="0.25">
      <c r="B1600">
        <v>109</v>
      </c>
      <c r="C1600" t="s">
        <v>7777</v>
      </c>
      <c r="D1600" t="s">
        <v>3521</v>
      </c>
      <c r="E1600">
        <v>34</v>
      </c>
      <c r="F1600" s="6">
        <v>6300000000</v>
      </c>
      <c r="H1600">
        <v>151</v>
      </c>
      <c r="I1600" t="s">
        <v>9546</v>
      </c>
    </row>
    <row r="1601" spans="2:9" x14ac:dyDescent="0.25">
      <c r="B1601">
        <v>118</v>
      </c>
      <c r="C1601" t="s">
        <v>7608</v>
      </c>
      <c r="D1601" t="s">
        <v>7607</v>
      </c>
      <c r="E1601">
        <v>34</v>
      </c>
      <c r="F1601" s="6">
        <v>6330000000</v>
      </c>
      <c r="H1601">
        <v>160</v>
      </c>
      <c r="I1601" t="s">
        <v>9547</v>
      </c>
    </row>
    <row r="1602" spans="2:9" x14ac:dyDescent="0.25">
      <c r="B1602">
        <v>168</v>
      </c>
      <c r="C1602" t="s">
        <v>7781</v>
      </c>
      <c r="D1602" t="s">
        <v>6360</v>
      </c>
      <c r="E1602">
        <v>34</v>
      </c>
      <c r="F1602" s="6">
        <v>4150000000</v>
      </c>
      <c r="H1602">
        <v>230</v>
      </c>
      <c r="I1602" t="s">
        <v>9548</v>
      </c>
    </row>
    <row r="1603" spans="2:9" x14ac:dyDescent="0.25">
      <c r="B1603">
        <v>294</v>
      </c>
      <c r="C1603" t="s">
        <v>7613</v>
      </c>
      <c r="D1603" t="s">
        <v>9317</v>
      </c>
      <c r="E1603">
        <v>34</v>
      </c>
      <c r="F1603" s="6">
        <v>5950000000</v>
      </c>
      <c r="H1603">
        <v>359</v>
      </c>
      <c r="I1603" t="s">
        <v>9549</v>
      </c>
    </row>
    <row r="1604" spans="2:9" x14ac:dyDescent="0.25">
      <c r="B1604">
        <v>326</v>
      </c>
      <c r="C1604" t="s">
        <v>7785</v>
      </c>
      <c r="D1604" t="s">
        <v>3497</v>
      </c>
      <c r="E1604">
        <v>34</v>
      </c>
      <c r="F1604" s="6">
        <v>5250000000</v>
      </c>
      <c r="H1604">
        <v>391</v>
      </c>
      <c r="I1604" t="s">
        <v>9550</v>
      </c>
    </row>
    <row r="1605" spans="2:9" x14ac:dyDescent="0.25">
      <c r="B1605">
        <v>349</v>
      </c>
      <c r="C1605" t="s">
        <v>7616</v>
      </c>
      <c r="D1605" t="s">
        <v>3242</v>
      </c>
      <c r="E1605">
        <v>34</v>
      </c>
      <c r="F1605" s="6">
        <v>5100000000</v>
      </c>
      <c r="H1605">
        <v>414</v>
      </c>
      <c r="I1605" t="s">
        <v>9551</v>
      </c>
    </row>
    <row r="1606" spans="2:9" x14ac:dyDescent="0.25">
      <c r="B1606">
        <v>368</v>
      </c>
      <c r="C1606" t="s">
        <v>7789</v>
      </c>
      <c r="D1606" t="s">
        <v>5661</v>
      </c>
      <c r="E1606">
        <v>34</v>
      </c>
      <c r="F1606" s="6">
        <v>10000000000</v>
      </c>
      <c r="H1606">
        <v>435</v>
      </c>
      <c r="I1606" t="s">
        <v>9552</v>
      </c>
    </row>
    <row r="1607" spans="2:9" x14ac:dyDescent="0.25">
      <c r="B1607">
        <v>426</v>
      </c>
      <c r="C1607" t="s">
        <v>3718</v>
      </c>
      <c r="D1607" t="s">
        <v>325</v>
      </c>
      <c r="E1607">
        <v>34</v>
      </c>
      <c r="F1607" s="6">
        <v>3700000000</v>
      </c>
      <c r="H1607">
        <v>493</v>
      </c>
      <c r="I1607" t="s">
        <v>9553</v>
      </c>
    </row>
    <row r="1608" spans="2:9" x14ac:dyDescent="0.25">
      <c r="B1608">
        <v>66</v>
      </c>
      <c r="C1608" t="s">
        <v>7793</v>
      </c>
      <c r="D1608" t="s">
        <v>5970</v>
      </c>
      <c r="E1608">
        <v>33</v>
      </c>
      <c r="F1608" s="6">
        <v>5900000000</v>
      </c>
      <c r="H1608">
        <v>108</v>
      </c>
      <c r="I1608" t="s">
        <v>9554</v>
      </c>
    </row>
    <row r="1609" spans="2:9" x14ac:dyDescent="0.25">
      <c r="B1609">
        <v>75</v>
      </c>
      <c r="C1609" t="s">
        <v>7619</v>
      </c>
      <c r="D1609" t="s">
        <v>5970</v>
      </c>
      <c r="E1609">
        <v>33</v>
      </c>
      <c r="F1609" s="6">
        <v>5850000000</v>
      </c>
      <c r="H1609">
        <v>117</v>
      </c>
      <c r="I1609" t="s">
        <v>9555</v>
      </c>
    </row>
    <row r="1610" spans="2:9" x14ac:dyDescent="0.25">
      <c r="B1610">
        <v>123</v>
      </c>
      <c r="C1610" t="s">
        <v>7797</v>
      </c>
      <c r="D1610" t="s">
        <v>316</v>
      </c>
      <c r="E1610">
        <v>33</v>
      </c>
      <c r="F1610" s="6">
        <v>3700000000</v>
      </c>
      <c r="H1610">
        <v>165</v>
      </c>
      <c r="I1610" t="s">
        <v>9556</v>
      </c>
    </row>
    <row r="1611" spans="2:9" x14ac:dyDescent="0.25">
      <c r="B1611">
        <v>329</v>
      </c>
      <c r="C1611" t="s">
        <v>7623</v>
      </c>
      <c r="D1611" t="s">
        <v>3242</v>
      </c>
      <c r="E1611">
        <v>33</v>
      </c>
      <c r="F1611" s="6">
        <v>5250000000</v>
      </c>
      <c r="H1611">
        <v>394</v>
      </c>
      <c r="I1611" t="s">
        <v>9557</v>
      </c>
    </row>
    <row r="1612" spans="2:9" x14ac:dyDescent="0.25">
      <c r="B1612">
        <v>417</v>
      </c>
      <c r="C1612" t="s">
        <v>7801</v>
      </c>
      <c r="D1612" t="s">
        <v>3242</v>
      </c>
      <c r="E1612">
        <v>33</v>
      </c>
      <c r="F1612" s="6">
        <v>5300000000</v>
      </c>
      <c r="H1612">
        <v>484</v>
      </c>
      <c r="I1612" t="s">
        <v>9558</v>
      </c>
    </row>
    <row r="1613" spans="2:9" x14ac:dyDescent="0.25">
      <c r="B1613">
        <v>125</v>
      </c>
      <c r="C1613" t="s">
        <v>3695</v>
      </c>
      <c r="D1613" t="s">
        <v>316</v>
      </c>
      <c r="E1613">
        <v>32</v>
      </c>
      <c r="F1613" s="6">
        <v>3680000000</v>
      </c>
      <c r="H1613">
        <v>167</v>
      </c>
      <c r="I1613" t="s">
        <v>9559</v>
      </c>
    </row>
    <row r="1614" spans="2:9" x14ac:dyDescent="0.25">
      <c r="B1614">
        <v>256</v>
      </c>
      <c r="C1614" t="s">
        <v>7805</v>
      </c>
      <c r="D1614" t="s">
        <v>9229</v>
      </c>
      <c r="E1614">
        <v>32</v>
      </c>
      <c r="F1614" s="6">
        <v>6200000000</v>
      </c>
      <c r="H1614">
        <v>321</v>
      </c>
      <c r="I1614" t="s">
        <v>9560</v>
      </c>
    </row>
    <row r="1615" spans="2:9" x14ac:dyDescent="0.25">
      <c r="B1615">
        <v>418</v>
      </c>
      <c r="C1615" t="s">
        <v>7627</v>
      </c>
      <c r="D1615" t="s">
        <v>3411</v>
      </c>
      <c r="E1615">
        <v>32</v>
      </c>
      <c r="F1615" s="6">
        <v>4950000000</v>
      </c>
      <c r="H1615">
        <v>485</v>
      </c>
      <c r="I1615" t="s">
        <v>9561</v>
      </c>
    </row>
    <row r="1616" spans="2:9" x14ac:dyDescent="0.25">
      <c r="B1616">
        <v>490</v>
      </c>
      <c r="C1616" t="s">
        <v>1524</v>
      </c>
      <c r="D1616" t="s">
        <v>376</v>
      </c>
      <c r="E1616">
        <v>32</v>
      </c>
      <c r="F1616" s="6">
        <v>2250000000</v>
      </c>
      <c r="H1616">
        <v>580</v>
      </c>
      <c r="I1616" t="s">
        <v>9562</v>
      </c>
    </row>
    <row r="1617" spans="2:9" x14ac:dyDescent="0.25">
      <c r="B1617">
        <v>122</v>
      </c>
      <c r="C1617" t="s">
        <v>7631</v>
      </c>
      <c r="D1617" t="s">
        <v>316</v>
      </c>
      <c r="E1617">
        <v>31</v>
      </c>
      <c r="F1617" s="6">
        <v>3650000000</v>
      </c>
      <c r="H1617">
        <v>164</v>
      </c>
      <c r="I1617" t="s">
        <v>9563</v>
      </c>
    </row>
    <row r="1618" spans="2:9" x14ac:dyDescent="0.25">
      <c r="B1618">
        <v>206</v>
      </c>
      <c r="C1618" t="s">
        <v>5578</v>
      </c>
      <c r="D1618" t="s">
        <v>8894</v>
      </c>
      <c r="E1618">
        <v>31</v>
      </c>
      <c r="F1618" s="6">
        <v>6200000000</v>
      </c>
      <c r="H1618">
        <v>271</v>
      </c>
      <c r="I1618" t="s">
        <v>9564</v>
      </c>
    </row>
    <row r="1619" spans="2:9" x14ac:dyDescent="0.25">
      <c r="B1619">
        <v>224</v>
      </c>
      <c r="C1619" t="s">
        <v>7635</v>
      </c>
      <c r="D1619" t="s">
        <v>5854</v>
      </c>
      <c r="E1619">
        <v>31</v>
      </c>
      <c r="F1619" s="6">
        <v>5150000000</v>
      </c>
      <c r="H1619">
        <v>289</v>
      </c>
      <c r="I1619" t="s">
        <v>9565</v>
      </c>
    </row>
    <row r="1620" spans="2:9" x14ac:dyDescent="0.25">
      <c r="B1620">
        <v>383</v>
      </c>
      <c r="C1620" t="s">
        <v>7809</v>
      </c>
      <c r="D1620" t="s">
        <v>8035</v>
      </c>
      <c r="E1620">
        <v>31</v>
      </c>
      <c r="F1620" s="6">
        <v>5450000000</v>
      </c>
      <c r="H1620">
        <v>450</v>
      </c>
      <c r="I1620" t="s">
        <v>9566</v>
      </c>
    </row>
    <row r="1621" spans="2:9" x14ac:dyDescent="0.25">
      <c r="B1621">
        <v>24</v>
      </c>
      <c r="C1621" t="s">
        <v>7639</v>
      </c>
      <c r="D1621" t="s">
        <v>5976</v>
      </c>
      <c r="E1621">
        <v>30</v>
      </c>
      <c r="F1621" s="6">
        <v>5650000000</v>
      </c>
      <c r="H1621">
        <v>66</v>
      </c>
      <c r="I1621" t="s">
        <v>9567</v>
      </c>
    </row>
    <row r="1622" spans="2:9" x14ac:dyDescent="0.25">
      <c r="B1622">
        <v>91</v>
      </c>
      <c r="C1622" t="s">
        <v>7812</v>
      </c>
      <c r="D1622" t="s">
        <v>5970</v>
      </c>
      <c r="E1622">
        <v>30</v>
      </c>
      <c r="F1622" s="6">
        <v>5900000000</v>
      </c>
      <c r="H1622">
        <v>133</v>
      </c>
      <c r="I1622" t="s">
        <v>9568</v>
      </c>
    </row>
    <row r="1623" spans="2:9" x14ac:dyDescent="0.25">
      <c r="B1623">
        <v>299</v>
      </c>
      <c r="C1623" t="s">
        <v>7643</v>
      </c>
      <c r="D1623" t="s">
        <v>9317</v>
      </c>
      <c r="E1623">
        <v>30</v>
      </c>
      <c r="F1623" s="6">
        <v>5850000000</v>
      </c>
      <c r="H1623">
        <v>364</v>
      </c>
      <c r="I1623" t="s">
        <v>9569</v>
      </c>
    </row>
    <row r="1624" spans="2:9" x14ac:dyDescent="0.25">
      <c r="B1624">
        <v>320</v>
      </c>
      <c r="C1624" t="s">
        <v>7816</v>
      </c>
      <c r="D1624" t="s">
        <v>3242</v>
      </c>
      <c r="E1624">
        <v>30</v>
      </c>
      <c r="F1624" s="6">
        <v>5250000000</v>
      </c>
      <c r="H1624">
        <v>385</v>
      </c>
      <c r="I1624" t="s">
        <v>9570</v>
      </c>
    </row>
    <row r="1625" spans="2:9" x14ac:dyDescent="0.25">
      <c r="B1625">
        <v>112</v>
      </c>
      <c r="C1625" t="s">
        <v>7647</v>
      </c>
      <c r="D1625" t="s">
        <v>3521</v>
      </c>
      <c r="E1625">
        <v>29</v>
      </c>
      <c r="F1625" s="6">
        <v>6330000000</v>
      </c>
      <c r="H1625">
        <v>154</v>
      </c>
      <c r="I1625" t="s">
        <v>9571</v>
      </c>
    </row>
    <row r="1626" spans="2:9" x14ac:dyDescent="0.25">
      <c r="B1626">
        <v>132</v>
      </c>
      <c r="C1626" t="s">
        <v>7820</v>
      </c>
      <c r="D1626" t="s">
        <v>2476</v>
      </c>
      <c r="E1626">
        <v>29</v>
      </c>
      <c r="F1626" s="6">
        <v>3850000000</v>
      </c>
      <c r="H1626">
        <v>174</v>
      </c>
      <c r="I1626" t="s">
        <v>9572</v>
      </c>
    </row>
    <row r="1627" spans="2:9" x14ac:dyDescent="0.25">
      <c r="B1627">
        <v>186</v>
      </c>
      <c r="C1627" t="s">
        <v>7651</v>
      </c>
      <c r="D1627" t="s">
        <v>3139</v>
      </c>
      <c r="E1627">
        <v>29</v>
      </c>
      <c r="F1627" s="6">
        <v>4150000000</v>
      </c>
      <c r="H1627">
        <v>251</v>
      </c>
      <c r="I1627" t="s">
        <v>9573</v>
      </c>
    </row>
    <row r="1628" spans="2:9" x14ac:dyDescent="0.25">
      <c r="B1628">
        <v>325</v>
      </c>
      <c r="C1628" t="s">
        <v>7824</v>
      </c>
      <c r="D1628" t="s">
        <v>5834</v>
      </c>
      <c r="E1628">
        <v>29</v>
      </c>
      <c r="F1628" s="6">
        <v>5250000000</v>
      </c>
      <c r="H1628">
        <v>390</v>
      </c>
      <c r="I1628" t="s">
        <v>9574</v>
      </c>
    </row>
    <row r="1629" spans="2:9" x14ac:dyDescent="0.25">
      <c r="B1629">
        <v>354</v>
      </c>
      <c r="C1629" t="s">
        <v>7655</v>
      </c>
      <c r="D1629" t="s">
        <v>6308</v>
      </c>
      <c r="E1629">
        <v>29</v>
      </c>
      <c r="F1629" s="6">
        <v>11100000000</v>
      </c>
      <c r="H1629">
        <v>421</v>
      </c>
      <c r="I1629" t="s">
        <v>9575</v>
      </c>
    </row>
    <row r="1630" spans="2:9" x14ac:dyDescent="0.25">
      <c r="B1630">
        <v>369</v>
      </c>
      <c r="C1630" t="s">
        <v>7828</v>
      </c>
      <c r="D1630" t="s">
        <v>5661</v>
      </c>
      <c r="E1630">
        <v>29</v>
      </c>
      <c r="F1630" s="6">
        <v>9350000000</v>
      </c>
      <c r="H1630">
        <v>436</v>
      </c>
      <c r="I1630" t="s">
        <v>9576</v>
      </c>
    </row>
    <row r="1631" spans="2:9" x14ac:dyDescent="0.25">
      <c r="B1631">
        <v>373</v>
      </c>
      <c r="C1631" t="s">
        <v>7659</v>
      </c>
      <c r="D1631" t="s">
        <v>5585</v>
      </c>
      <c r="E1631">
        <v>29</v>
      </c>
      <c r="F1631" s="6">
        <v>9850000000</v>
      </c>
      <c r="H1631">
        <v>440</v>
      </c>
      <c r="I1631" t="s">
        <v>9577</v>
      </c>
    </row>
    <row r="1632" spans="2:9" x14ac:dyDescent="0.25">
      <c r="B1632">
        <v>392</v>
      </c>
      <c r="C1632" t="s">
        <v>4624</v>
      </c>
      <c r="D1632" t="s">
        <v>8035</v>
      </c>
      <c r="E1632">
        <v>29</v>
      </c>
      <c r="F1632" s="6">
        <v>5450000000</v>
      </c>
      <c r="H1632">
        <v>459</v>
      </c>
      <c r="I1632" t="s">
        <v>9578</v>
      </c>
    </row>
    <row r="1633" spans="2:9" x14ac:dyDescent="0.25">
      <c r="B1633">
        <v>404</v>
      </c>
      <c r="C1633" t="s">
        <v>7663</v>
      </c>
      <c r="D1633" t="s">
        <v>8035</v>
      </c>
      <c r="E1633">
        <v>29</v>
      </c>
      <c r="F1633" s="6">
        <v>5650000000</v>
      </c>
      <c r="H1633">
        <v>471</v>
      </c>
      <c r="I1633" t="s">
        <v>9579</v>
      </c>
    </row>
    <row r="1634" spans="2:9" x14ac:dyDescent="0.25">
      <c r="B1634">
        <v>450</v>
      </c>
      <c r="C1634" t="s">
        <v>4833</v>
      </c>
      <c r="D1634" t="s">
        <v>191</v>
      </c>
      <c r="E1634">
        <v>29</v>
      </c>
      <c r="F1634" s="6">
        <v>4350000000</v>
      </c>
      <c r="H1634">
        <v>531</v>
      </c>
      <c r="I1634" t="s">
        <v>9580</v>
      </c>
    </row>
    <row r="1635" spans="2:9" x14ac:dyDescent="0.25">
      <c r="B1635">
        <v>489</v>
      </c>
      <c r="C1635" t="s">
        <v>1758</v>
      </c>
      <c r="D1635" t="s">
        <v>376</v>
      </c>
      <c r="E1635">
        <v>29</v>
      </c>
      <c r="F1635" s="6">
        <v>2100000000</v>
      </c>
      <c r="H1635">
        <v>579</v>
      </c>
      <c r="I1635" t="s">
        <v>9581</v>
      </c>
    </row>
    <row r="1636" spans="2:9" x14ac:dyDescent="0.25">
      <c r="B1636">
        <v>115</v>
      </c>
      <c r="C1636" t="s">
        <v>5573</v>
      </c>
      <c r="D1636" t="s">
        <v>3478</v>
      </c>
      <c r="E1636">
        <v>28</v>
      </c>
      <c r="F1636" s="6">
        <v>6330000000</v>
      </c>
      <c r="H1636">
        <v>157</v>
      </c>
      <c r="I1636" t="s">
        <v>9582</v>
      </c>
    </row>
    <row r="1637" spans="2:9" x14ac:dyDescent="0.25">
      <c r="B1637">
        <v>126</v>
      </c>
      <c r="C1637" t="s">
        <v>7667</v>
      </c>
      <c r="D1637" t="s">
        <v>316</v>
      </c>
      <c r="E1637">
        <v>28</v>
      </c>
      <c r="F1637" s="6">
        <v>3650000000</v>
      </c>
      <c r="H1637">
        <v>168</v>
      </c>
      <c r="I1637" t="s">
        <v>9583</v>
      </c>
    </row>
    <row r="1638" spans="2:9" x14ac:dyDescent="0.25">
      <c r="B1638">
        <v>134</v>
      </c>
      <c r="C1638" t="s">
        <v>7832</v>
      </c>
      <c r="D1638" t="s">
        <v>2476</v>
      </c>
      <c r="E1638">
        <v>28</v>
      </c>
      <c r="F1638" s="6">
        <v>3900000000</v>
      </c>
      <c r="H1638">
        <v>177</v>
      </c>
      <c r="I1638" t="s">
        <v>9584</v>
      </c>
    </row>
    <row r="1639" spans="2:9" x14ac:dyDescent="0.25">
      <c r="B1639">
        <v>142</v>
      </c>
      <c r="C1639" t="s">
        <v>7671</v>
      </c>
      <c r="D1639" t="s">
        <v>2476</v>
      </c>
      <c r="E1639">
        <v>28</v>
      </c>
      <c r="F1639" s="6">
        <v>3830000000</v>
      </c>
      <c r="H1639">
        <v>186</v>
      </c>
      <c r="I1639" t="s">
        <v>9585</v>
      </c>
    </row>
    <row r="1640" spans="2:9" x14ac:dyDescent="0.25">
      <c r="B1640">
        <v>385</v>
      </c>
      <c r="C1640" t="s">
        <v>7836</v>
      </c>
      <c r="D1640" t="s">
        <v>8026</v>
      </c>
      <c r="E1640">
        <v>28</v>
      </c>
      <c r="F1640" s="6">
        <v>5680000000</v>
      </c>
      <c r="H1640">
        <v>452</v>
      </c>
      <c r="I1640" t="s">
        <v>9586</v>
      </c>
    </row>
    <row r="1641" spans="2:9" x14ac:dyDescent="0.25">
      <c r="B1641">
        <v>394</v>
      </c>
      <c r="C1641" t="s">
        <v>5377</v>
      </c>
      <c r="D1641" t="s">
        <v>8026</v>
      </c>
      <c r="E1641">
        <v>28</v>
      </c>
      <c r="F1641" s="6">
        <v>5600000000</v>
      </c>
      <c r="H1641">
        <v>461</v>
      </c>
      <c r="I1641" t="s">
        <v>9587</v>
      </c>
    </row>
    <row r="1642" spans="2:9" x14ac:dyDescent="0.25">
      <c r="B1642">
        <v>420</v>
      </c>
      <c r="C1642" t="s">
        <v>7840</v>
      </c>
      <c r="D1642" t="s">
        <v>3411</v>
      </c>
      <c r="E1642">
        <v>28</v>
      </c>
      <c r="F1642" s="6">
        <v>4900000000</v>
      </c>
      <c r="H1642">
        <v>487</v>
      </c>
      <c r="I1642" t="s">
        <v>9588</v>
      </c>
    </row>
    <row r="1643" spans="2:9" x14ac:dyDescent="0.25">
      <c r="B1643">
        <v>428</v>
      </c>
      <c r="C1643" t="s">
        <v>7675</v>
      </c>
      <c r="D1643" t="s">
        <v>9229</v>
      </c>
      <c r="E1643">
        <v>28</v>
      </c>
      <c r="F1643" s="6">
        <v>6300000000</v>
      </c>
      <c r="H1643">
        <v>495</v>
      </c>
      <c r="I1643" t="s">
        <v>9589</v>
      </c>
    </row>
    <row r="1644" spans="2:9" x14ac:dyDescent="0.25">
      <c r="B1644">
        <v>488</v>
      </c>
      <c r="C1644" t="s">
        <v>2363</v>
      </c>
      <c r="D1644" t="s">
        <v>376</v>
      </c>
      <c r="E1644">
        <v>28</v>
      </c>
      <c r="F1644" s="6">
        <v>2250000000</v>
      </c>
      <c r="H1644">
        <v>578</v>
      </c>
      <c r="I1644" t="s">
        <v>9590</v>
      </c>
    </row>
    <row r="1645" spans="2:9" x14ac:dyDescent="0.25">
      <c r="B1645">
        <v>63</v>
      </c>
      <c r="C1645" t="s">
        <v>7679</v>
      </c>
      <c r="D1645" t="s">
        <v>6029</v>
      </c>
      <c r="E1645">
        <v>27</v>
      </c>
      <c r="F1645" s="6">
        <v>5900000000</v>
      </c>
      <c r="H1645">
        <v>105</v>
      </c>
      <c r="I1645" t="s">
        <v>9591</v>
      </c>
    </row>
    <row r="1646" spans="2:9" x14ac:dyDescent="0.25">
      <c r="B1646">
        <v>88</v>
      </c>
      <c r="C1646" t="s">
        <v>7844</v>
      </c>
      <c r="D1646" t="s">
        <v>5970</v>
      </c>
      <c r="E1646">
        <v>27</v>
      </c>
      <c r="F1646" s="6">
        <v>5900000000</v>
      </c>
      <c r="H1646">
        <v>130</v>
      </c>
      <c r="I1646" t="s">
        <v>9592</v>
      </c>
    </row>
    <row r="1647" spans="2:9" x14ac:dyDescent="0.25">
      <c r="B1647">
        <v>173</v>
      </c>
      <c r="C1647" t="s">
        <v>7683</v>
      </c>
      <c r="D1647" t="s">
        <v>6360</v>
      </c>
      <c r="E1647">
        <v>27</v>
      </c>
      <c r="F1647" s="6">
        <v>4100000000</v>
      </c>
      <c r="H1647">
        <v>235</v>
      </c>
      <c r="I1647" t="s">
        <v>9593</v>
      </c>
    </row>
    <row r="1648" spans="2:9" x14ac:dyDescent="0.25">
      <c r="B1648">
        <v>291</v>
      </c>
      <c r="C1648" t="s">
        <v>7848</v>
      </c>
      <c r="D1648" t="s">
        <v>9317</v>
      </c>
      <c r="E1648">
        <v>27</v>
      </c>
      <c r="F1648" s="6">
        <v>5950000000</v>
      </c>
      <c r="H1648">
        <v>356</v>
      </c>
      <c r="I1648" t="s">
        <v>9594</v>
      </c>
    </row>
    <row r="1649" spans="2:9" x14ac:dyDescent="0.25">
      <c r="B1649">
        <v>330</v>
      </c>
      <c r="C1649" t="s">
        <v>7687</v>
      </c>
      <c r="D1649" t="s">
        <v>6288</v>
      </c>
      <c r="E1649">
        <v>27</v>
      </c>
      <c r="F1649" s="6">
        <v>5250000000</v>
      </c>
      <c r="H1649">
        <v>395</v>
      </c>
      <c r="I1649" t="s">
        <v>9595</v>
      </c>
    </row>
    <row r="1650" spans="2:9" x14ac:dyDescent="0.25">
      <c r="B1650">
        <v>350</v>
      </c>
      <c r="C1650" t="s">
        <v>7852</v>
      </c>
      <c r="D1650" t="s">
        <v>3242</v>
      </c>
      <c r="E1650">
        <v>27</v>
      </c>
      <c r="F1650" s="6">
        <v>5100000000</v>
      </c>
      <c r="H1650">
        <v>415</v>
      </c>
      <c r="I1650" t="s">
        <v>9596</v>
      </c>
    </row>
    <row r="1651" spans="2:9" x14ac:dyDescent="0.25">
      <c r="B1651">
        <v>438</v>
      </c>
      <c r="C1651" t="s">
        <v>7691</v>
      </c>
      <c r="D1651" t="s">
        <v>3356</v>
      </c>
      <c r="E1651">
        <v>27</v>
      </c>
      <c r="F1651" s="6">
        <v>4250000000</v>
      </c>
      <c r="H1651">
        <v>519</v>
      </c>
      <c r="I1651" t="s">
        <v>9597</v>
      </c>
    </row>
    <row r="1652" spans="2:9" x14ac:dyDescent="0.25">
      <c r="B1652">
        <v>456</v>
      </c>
      <c r="C1652" t="s">
        <v>5064</v>
      </c>
      <c r="D1652" t="s">
        <v>191</v>
      </c>
      <c r="E1652">
        <v>27</v>
      </c>
      <c r="F1652" s="6">
        <v>4570000000</v>
      </c>
      <c r="H1652">
        <v>537</v>
      </c>
      <c r="I1652" t="s">
        <v>9598</v>
      </c>
    </row>
    <row r="1653" spans="2:9" x14ac:dyDescent="0.25">
      <c r="B1653">
        <v>491</v>
      </c>
      <c r="C1653" t="s">
        <v>2153</v>
      </c>
      <c r="D1653" t="s">
        <v>376</v>
      </c>
      <c r="E1653">
        <v>27</v>
      </c>
      <c r="F1653" s="6">
        <v>2250000000</v>
      </c>
      <c r="H1653">
        <v>581</v>
      </c>
      <c r="I1653" t="s">
        <v>9599</v>
      </c>
    </row>
    <row r="1654" spans="2:9" x14ac:dyDescent="0.25">
      <c r="B1654">
        <v>48</v>
      </c>
      <c r="C1654" t="s">
        <v>7856</v>
      </c>
      <c r="D1654" t="s">
        <v>5970</v>
      </c>
      <c r="E1654">
        <v>26</v>
      </c>
      <c r="F1654" s="6">
        <v>5900000000</v>
      </c>
      <c r="H1654">
        <v>90</v>
      </c>
      <c r="I1654" t="s">
        <v>9600</v>
      </c>
    </row>
    <row r="1655" spans="2:9" x14ac:dyDescent="0.25">
      <c r="B1655">
        <v>60</v>
      </c>
      <c r="C1655" t="s">
        <v>7695</v>
      </c>
      <c r="D1655" t="s">
        <v>5976</v>
      </c>
      <c r="E1655">
        <v>26</v>
      </c>
      <c r="F1655" s="6">
        <v>5900000000</v>
      </c>
      <c r="H1655">
        <v>102</v>
      </c>
      <c r="I1655" t="s">
        <v>9601</v>
      </c>
    </row>
    <row r="1656" spans="2:9" x14ac:dyDescent="0.25">
      <c r="B1656">
        <v>140</v>
      </c>
      <c r="C1656" t="s">
        <v>7860</v>
      </c>
      <c r="D1656" t="s">
        <v>2861</v>
      </c>
      <c r="E1656">
        <v>26</v>
      </c>
      <c r="F1656" s="6">
        <v>3950000000</v>
      </c>
      <c r="H1656">
        <v>184</v>
      </c>
      <c r="I1656" t="s">
        <v>9602</v>
      </c>
    </row>
    <row r="1657" spans="2:9" x14ac:dyDescent="0.25">
      <c r="B1657">
        <v>169</v>
      </c>
      <c r="C1657" t="s">
        <v>7698</v>
      </c>
      <c r="D1657" t="s">
        <v>3689</v>
      </c>
      <c r="E1657">
        <v>26</v>
      </c>
      <c r="F1657" s="6">
        <v>4150000000</v>
      </c>
      <c r="H1657">
        <v>231</v>
      </c>
      <c r="I1657" t="s">
        <v>9603</v>
      </c>
    </row>
    <row r="1658" spans="2:9" x14ac:dyDescent="0.25">
      <c r="B1658">
        <v>217</v>
      </c>
      <c r="C1658" t="s">
        <v>7864</v>
      </c>
      <c r="D1658" t="s">
        <v>4343</v>
      </c>
      <c r="E1658">
        <v>26</v>
      </c>
      <c r="F1658" s="6">
        <v>5100000000</v>
      </c>
      <c r="H1658">
        <v>282</v>
      </c>
      <c r="I1658" t="s">
        <v>9604</v>
      </c>
    </row>
    <row r="1659" spans="2:9" x14ac:dyDescent="0.25">
      <c r="B1659">
        <v>423</v>
      </c>
      <c r="C1659" t="s">
        <v>7702</v>
      </c>
      <c r="D1659" t="s">
        <v>3411</v>
      </c>
      <c r="E1659">
        <v>26</v>
      </c>
      <c r="F1659" s="6">
        <v>4900000000</v>
      </c>
      <c r="H1659">
        <v>490</v>
      </c>
      <c r="I1659" t="s">
        <v>9605</v>
      </c>
    </row>
    <row r="1660" spans="2:9" x14ac:dyDescent="0.25">
      <c r="B1660">
        <v>427</v>
      </c>
      <c r="C1660" t="s">
        <v>3838</v>
      </c>
      <c r="D1660" t="s">
        <v>325</v>
      </c>
      <c r="E1660">
        <v>26</v>
      </c>
      <c r="F1660" s="6">
        <v>3700000000</v>
      </c>
      <c r="H1660">
        <v>494</v>
      </c>
      <c r="I1660" t="s">
        <v>9606</v>
      </c>
    </row>
    <row r="1661" spans="2:9" x14ac:dyDescent="0.25">
      <c r="B1661">
        <v>171</v>
      </c>
      <c r="C1661" t="s">
        <v>7706</v>
      </c>
      <c r="D1661" t="s">
        <v>4366</v>
      </c>
      <c r="E1661">
        <v>25</v>
      </c>
      <c r="F1661" s="6">
        <v>4150000000</v>
      </c>
      <c r="H1661">
        <v>233</v>
      </c>
      <c r="I1661" t="s">
        <v>9607</v>
      </c>
    </row>
    <row r="1662" spans="2:9" x14ac:dyDescent="0.25">
      <c r="B1662">
        <v>175</v>
      </c>
      <c r="C1662" t="s">
        <v>7868</v>
      </c>
      <c r="D1662" t="s">
        <v>4366</v>
      </c>
      <c r="E1662">
        <v>25</v>
      </c>
      <c r="F1662" s="6">
        <v>4150000000</v>
      </c>
      <c r="H1662">
        <v>237</v>
      </c>
      <c r="I1662" t="s">
        <v>9608</v>
      </c>
    </row>
    <row r="1663" spans="2:9" x14ac:dyDescent="0.25">
      <c r="B1663">
        <v>178</v>
      </c>
      <c r="C1663" t="s">
        <v>7710</v>
      </c>
      <c r="D1663" t="s">
        <v>4366</v>
      </c>
      <c r="E1663">
        <v>25</v>
      </c>
      <c r="F1663" s="6">
        <v>4100000000</v>
      </c>
      <c r="H1663">
        <v>241</v>
      </c>
      <c r="I1663" t="s">
        <v>9609</v>
      </c>
    </row>
    <row r="1664" spans="2:9" x14ac:dyDescent="0.25">
      <c r="B1664">
        <v>204</v>
      </c>
      <c r="C1664" t="s">
        <v>7872</v>
      </c>
      <c r="D1664" t="s">
        <v>7991</v>
      </c>
      <c r="E1664">
        <v>25</v>
      </c>
      <c r="F1664" s="6">
        <v>6300000000</v>
      </c>
      <c r="H1664">
        <v>269</v>
      </c>
      <c r="I1664" t="s">
        <v>9610</v>
      </c>
    </row>
    <row r="1665" spans="2:9" x14ac:dyDescent="0.25">
      <c r="B1665">
        <v>301</v>
      </c>
      <c r="C1665" t="s">
        <v>7714</v>
      </c>
      <c r="D1665" t="s">
        <v>9317</v>
      </c>
      <c r="E1665">
        <v>25</v>
      </c>
      <c r="F1665" s="6">
        <v>5950000000</v>
      </c>
      <c r="H1665">
        <v>366</v>
      </c>
      <c r="I1665" t="s">
        <v>9611</v>
      </c>
    </row>
    <row r="1666" spans="2:9" x14ac:dyDescent="0.25">
      <c r="B1666">
        <v>308</v>
      </c>
      <c r="C1666" t="s">
        <v>7876</v>
      </c>
      <c r="D1666" t="s">
        <v>9317</v>
      </c>
      <c r="E1666">
        <v>25</v>
      </c>
      <c r="F1666" s="6">
        <v>5900000000</v>
      </c>
      <c r="H1666">
        <v>373</v>
      </c>
      <c r="I1666" t="s">
        <v>9612</v>
      </c>
    </row>
    <row r="1667" spans="2:9" x14ac:dyDescent="0.25">
      <c r="B1667">
        <v>309</v>
      </c>
      <c r="C1667" t="s">
        <v>7717</v>
      </c>
      <c r="D1667" t="s">
        <v>9317</v>
      </c>
      <c r="E1667">
        <v>25</v>
      </c>
      <c r="F1667" s="6">
        <v>5950000000</v>
      </c>
      <c r="H1667">
        <v>374</v>
      </c>
      <c r="I1667" t="s">
        <v>9613</v>
      </c>
    </row>
    <row r="1668" spans="2:9" x14ac:dyDescent="0.25">
      <c r="B1668">
        <v>396</v>
      </c>
      <c r="C1668" t="s">
        <v>5488</v>
      </c>
      <c r="D1668" t="s">
        <v>8026</v>
      </c>
      <c r="E1668">
        <v>25</v>
      </c>
      <c r="F1668" s="6">
        <v>5700000000</v>
      </c>
      <c r="H1668">
        <v>463</v>
      </c>
      <c r="I1668" t="s">
        <v>9614</v>
      </c>
    </row>
    <row r="1669" spans="2:9" x14ac:dyDescent="0.25">
      <c r="B1669">
        <v>433</v>
      </c>
      <c r="C1669" t="s">
        <v>7721</v>
      </c>
      <c r="D1669" t="s">
        <v>7720</v>
      </c>
      <c r="E1669">
        <v>25</v>
      </c>
      <c r="F1669" s="6">
        <v>3930000000</v>
      </c>
      <c r="H1669">
        <v>512</v>
      </c>
      <c r="I1669" t="s">
        <v>9615</v>
      </c>
    </row>
    <row r="1670" spans="2:9" x14ac:dyDescent="0.25">
      <c r="B1670">
        <v>492</v>
      </c>
      <c r="C1670" t="s">
        <v>7880</v>
      </c>
      <c r="D1670" t="s">
        <v>191</v>
      </c>
      <c r="E1670">
        <v>25</v>
      </c>
      <c r="F1670" s="6">
        <v>4450000000</v>
      </c>
      <c r="H1670">
        <v>582</v>
      </c>
      <c r="I1670" t="s">
        <v>9616</v>
      </c>
    </row>
    <row r="1671" spans="2:9" x14ac:dyDescent="0.25">
      <c r="B1671">
        <v>85</v>
      </c>
      <c r="C1671" t="s">
        <v>7727</v>
      </c>
      <c r="D1671" t="s">
        <v>7726</v>
      </c>
      <c r="E1671">
        <v>24</v>
      </c>
      <c r="F1671" s="6">
        <v>5900000000</v>
      </c>
      <c r="H1671">
        <v>127</v>
      </c>
      <c r="I1671" t="s">
        <v>9617</v>
      </c>
    </row>
    <row r="1672" spans="2:9" x14ac:dyDescent="0.25">
      <c r="B1672">
        <v>107</v>
      </c>
      <c r="C1672" t="s">
        <v>7884</v>
      </c>
      <c r="D1672" t="s">
        <v>5997</v>
      </c>
      <c r="E1672">
        <v>24</v>
      </c>
      <c r="F1672" s="6">
        <v>5950000000</v>
      </c>
      <c r="H1672">
        <v>149</v>
      </c>
      <c r="I1672" t="s">
        <v>9618</v>
      </c>
    </row>
    <row r="1673" spans="2:9" x14ac:dyDescent="0.25">
      <c r="B1673">
        <v>243</v>
      </c>
      <c r="C1673" t="s">
        <v>7731</v>
      </c>
      <c r="D1673" t="s">
        <v>9229</v>
      </c>
      <c r="E1673">
        <v>24</v>
      </c>
      <c r="F1673" s="6">
        <v>6200000000</v>
      </c>
      <c r="H1673">
        <v>308</v>
      </c>
      <c r="I1673" t="s">
        <v>9619</v>
      </c>
    </row>
    <row r="1674" spans="2:9" x14ac:dyDescent="0.25">
      <c r="B1674">
        <v>292</v>
      </c>
      <c r="C1674" t="s">
        <v>7887</v>
      </c>
      <c r="D1674" t="s">
        <v>9317</v>
      </c>
      <c r="E1674">
        <v>24</v>
      </c>
      <c r="F1674" s="6">
        <v>5950000000</v>
      </c>
      <c r="H1674">
        <v>357</v>
      </c>
      <c r="I1674" t="s">
        <v>9620</v>
      </c>
    </row>
    <row r="1675" spans="2:9" x14ac:dyDescent="0.25">
      <c r="B1675" t="s">
        <v>7917</v>
      </c>
      <c r="C1675" t="s">
        <v>7918</v>
      </c>
      <c r="D1675" t="s">
        <v>7919</v>
      </c>
      <c r="E1675" t="s">
        <v>7920</v>
      </c>
      <c r="F1675" t="s">
        <v>7921</v>
      </c>
      <c r="G1675" t="s">
        <v>7922</v>
      </c>
      <c r="H1675" t="s">
        <v>7923</v>
      </c>
    </row>
    <row r="1676" spans="2:9" x14ac:dyDescent="0.25">
      <c r="B1676">
        <v>303</v>
      </c>
      <c r="C1676" t="s">
        <v>5955</v>
      </c>
      <c r="D1676" t="s">
        <v>9317</v>
      </c>
      <c r="E1676">
        <v>24</v>
      </c>
      <c r="F1676" s="6">
        <v>5900000000</v>
      </c>
      <c r="H1676">
        <v>368</v>
      </c>
      <c r="I1676" t="s">
        <v>9621</v>
      </c>
    </row>
    <row r="1677" spans="2:9" x14ac:dyDescent="0.25">
      <c r="B1677">
        <v>306</v>
      </c>
      <c r="C1677" t="s">
        <v>6101</v>
      </c>
      <c r="D1677" t="s">
        <v>9317</v>
      </c>
      <c r="E1677">
        <v>24</v>
      </c>
      <c r="F1677" s="6">
        <v>5950000000</v>
      </c>
      <c r="H1677">
        <v>371</v>
      </c>
      <c r="I1677" t="s">
        <v>9622</v>
      </c>
    </row>
    <row r="1678" spans="2:9" x14ac:dyDescent="0.25">
      <c r="B1678">
        <v>370</v>
      </c>
      <c r="C1678" t="s">
        <v>5961</v>
      </c>
      <c r="D1678" t="s">
        <v>5960</v>
      </c>
      <c r="E1678">
        <v>24</v>
      </c>
      <c r="F1678" s="6">
        <v>9350000000</v>
      </c>
      <c r="H1678">
        <v>437</v>
      </c>
      <c r="I1678" t="s">
        <v>9623</v>
      </c>
    </row>
    <row r="1679" spans="2:9" x14ac:dyDescent="0.25">
      <c r="B1679">
        <v>415</v>
      </c>
      <c r="C1679" t="s">
        <v>6105</v>
      </c>
      <c r="D1679" t="s">
        <v>5834</v>
      </c>
      <c r="E1679">
        <v>24</v>
      </c>
      <c r="F1679" s="6">
        <v>5250000000</v>
      </c>
      <c r="H1679">
        <v>482</v>
      </c>
      <c r="I1679" t="s">
        <v>9624</v>
      </c>
    </row>
    <row r="1680" spans="2:9" x14ac:dyDescent="0.25">
      <c r="B1680">
        <v>457</v>
      </c>
      <c r="C1680" t="s">
        <v>5966</v>
      </c>
      <c r="D1680" t="s">
        <v>191</v>
      </c>
      <c r="E1680">
        <v>24</v>
      </c>
      <c r="F1680" s="6">
        <v>4600000000</v>
      </c>
      <c r="H1680">
        <v>538</v>
      </c>
      <c r="I1680" t="s">
        <v>9625</v>
      </c>
    </row>
    <row r="1681" spans="2:9" x14ac:dyDescent="0.25">
      <c r="B1681">
        <v>61</v>
      </c>
      <c r="C1681" t="s">
        <v>6109</v>
      </c>
      <c r="D1681" t="s">
        <v>6029</v>
      </c>
      <c r="E1681">
        <v>23</v>
      </c>
      <c r="F1681" s="6">
        <v>5900000000</v>
      </c>
      <c r="H1681">
        <v>103</v>
      </c>
      <c r="I1681" t="s">
        <v>9626</v>
      </c>
    </row>
    <row r="1682" spans="2:9" x14ac:dyDescent="0.25">
      <c r="B1682">
        <v>77</v>
      </c>
      <c r="C1682" t="s">
        <v>5971</v>
      </c>
      <c r="D1682" t="s">
        <v>5970</v>
      </c>
      <c r="E1682">
        <v>23</v>
      </c>
      <c r="F1682" s="6">
        <v>5900000000</v>
      </c>
      <c r="H1682">
        <v>119</v>
      </c>
      <c r="I1682" t="s">
        <v>9627</v>
      </c>
    </row>
    <row r="1683" spans="2:9" x14ac:dyDescent="0.25">
      <c r="B1683">
        <v>80</v>
      </c>
      <c r="C1683" t="s">
        <v>6113</v>
      </c>
      <c r="D1683" t="s">
        <v>5997</v>
      </c>
      <c r="E1683">
        <v>23</v>
      </c>
      <c r="F1683" s="6">
        <v>5900000000</v>
      </c>
      <c r="H1683">
        <v>122</v>
      </c>
      <c r="I1683" t="s">
        <v>9628</v>
      </c>
    </row>
    <row r="1684" spans="2:9" x14ac:dyDescent="0.25">
      <c r="B1684">
        <v>103</v>
      </c>
      <c r="C1684" t="s">
        <v>5977</v>
      </c>
      <c r="D1684" t="s">
        <v>5976</v>
      </c>
      <c r="E1684">
        <v>23</v>
      </c>
      <c r="F1684" s="6">
        <v>5950000000</v>
      </c>
      <c r="H1684">
        <v>145</v>
      </c>
      <c r="I1684" t="s">
        <v>9629</v>
      </c>
    </row>
    <row r="1685" spans="2:9" x14ac:dyDescent="0.25">
      <c r="B1685">
        <v>121</v>
      </c>
      <c r="C1685" t="s">
        <v>6117</v>
      </c>
      <c r="D1685" t="s">
        <v>316</v>
      </c>
      <c r="E1685">
        <v>23</v>
      </c>
      <c r="F1685" s="6">
        <v>3650000000</v>
      </c>
      <c r="H1685">
        <v>163</v>
      </c>
      <c r="I1685" t="s">
        <v>9630</v>
      </c>
    </row>
    <row r="1686" spans="2:9" x14ac:dyDescent="0.25">
      <c r="B1686">
        <v>148</v>
      </c>
      <c r="C1686" t="s">
        <v>5981</v>
      </c>
      <c r="D1686" t="s">
        <v>2476</v>
      </c>
      <c r="E1686">
        <v>23</v>
      </c>
      <c r="F1686" s="6">
        <v>3850000000</v>
      </c>
      <c r="H1686">
        <v>194</v>
      </c>
      <c r="I1686" t="s">
        <v>9631</v>
      </c>
    </row>
    <row r="1687" spans="2:9" x14ac:dyDescent="0.25">
      <c r="B1687">
        <v>160</v>
      </c>
      <c r="C1687" t="s">
        <v>6121</v>
      </c>
      <c r="D1687" t="s">
        <v>3928</v>
      </c>
      <c r="E1687">
        <v>23</v>
      </c>
      <c r="F1687" s="6">
        <v>4270000000</v>
      </c>
      <c r="H1687">
        <v>215</v>
      </c>
      <c r="I1687" t="s">
        <v>9632</v>
      </c>
    </row>
    <row r="1688" spans="2:9" x14ac:dyDescent="0.25">
      <c r="B1688">
        <v>212</v>
      </c>
      <c r="C1688" t="s">
        <v>5985</v>
      </c>
      <c r="D1688" t="s">
        <v>8011</v>
      </c>
      <c r="E1688">
        <v>23</v>
      </c>
      <c r="F1688" s="6">
        <v>6200000000</v>
      </c>
      <c r="H1688">
        <v>277</v>
      </c>
      <c r="I1688" t="s">
        <v>9633</v>
      </c>
    </row>
    <row r="1689" spans="2:9" x14ac:dyDescent="0.25">
      <c r="B1689">
        <v>297</v>
      </c>
      <c r="C1689" t="s">
        <v>6125</v>
      </c>
      <c r="D1689" t="s">
        <v>9317</v>
      </c>
      <c r="E1689">
        <v>23</v>
      </c>
      <c r="F1689" s="6">
        <v>5950000000</v>
      </c>
      <c r="H1689">
        <v>362</v>
      </c>
      <c r="I1689" t="s">
        <v>9634</v>
      </c>
    </row>
    <row r="1690" spans="2:9" x14ac:dyDescent="0.25">
      <c r="B1690">
        <v>346</v>
      </c>
      <c r="C1690" t="s">
        <v>5989</v>
      </c>
      <c r="D1690" t="s">
        <v>3497</v>
      </c>
      <c r="E1690">
        <v>23</v>
      </c>
      <c r="F1690" s="6">
        <v>5100000000</v>
      </c>
      <c r="H1690">
        <v>411</v>
      </c>
      <c r="I1690" t="s">
        <v>9635</v>
      </c>
    </row>
    <row r="1691" spans="2:9" x14ac:dyDescent="0.25">
      <c r="B1691">
        <v>422</v>
      </c>
      <c r="C1691" t="s">
        <v>6130</v>
      </c>
      <c r="D1691" t="s">
        <v>6129</v>
      </c>
      <c r="E1691">
        <v>23</v>
      </c>
      <c r="F1691" s="6">
        <v>4950000000</v>
      </c>
      <c r="H1691">
        <v>489</v>
      </c>
      <c r="I1691" t="s">
        <v>9636</v>
      </c>
    </row>
    <row r="1692" spans="2:9" x14ac:dyDescent="0.25">
      <c r="B1692">
        <v>496</v>
      </c>
      <c r="C1692" t="s">
        <v>5993</v>
      </c>
      <c r="D1692" t="s">
        <v>3521</v>
      </c>
      <c r="E1692">
        <v>23</v>
      </c>
      <c r="F1692" s="6">
        <v>6000000000</v>
      </c>
      <c r="H1692">
        <v>586</v>
      </c>
      <c r="I1692" t="s">
        <v>9637</v>
      </c>
    </row>
    <row r="1693" spans="2:9" x14ac:dyDescent="0.25">
      <c r="B1693">
        <v>67</v>
      </c>
      <c r="C1693" t="s">
        <v>6135</v>
      </c>
      <c r="D1693" t="s">
        <v>5970</v>
      </c>
      <c r="E1693">
        <v>22</v>
      </c>
      <c r="F1693" s="6">
        <v>5850000000</v>
      </c>
      <c r="H1693">
        <v>109</v>
      </c>
      <c r="I1693" t="s">
        <v>9638</v>
      </c>
    </row>
    <row r="1694" spans="2:9" x14ac:dyDescent="0.25">
      <c r="B1694">
        <v>70</v>
      </c>
      <c r="C1694" t="s">
        <v>5998</v>
      </c>
      <c r="D1694" t="s">
        <v>5997</v>
      </c>
      <c r="E1694">
        <v>22</v>
      </c>
      <c r="F1694" s="6">
        <v>5900000000</v>
      </c>
      <c r="H1694">
        <v>112</v>
      </c>
      <c r="I1694" t="s">
        <v>9639</v>
      </c>
    </row>
    <row r="1695" spans="2:9" x14ac:dyDescent="0.25">
      <c r="B1695">
        <v>73</v>
      </c>
      <c r="C1695" t="s">
        <v>6139</v>
      </c>
      <c r="D1695" t="s">
        <v>5997</v>
      </c>
      <c r="E1695">
        <v>22</v>
      </c>
      <c r="F1695" s="6">
        <v>5900000000</v>
      </c>
      <c r="H1695">
        <v>115</v>
      </c>
      <c r="I1695" t="s">
        <v>9640</v>
      </c>
    </row>
    <row r="1696" spans="2:9" x14ac:dyDescent="0.25">
      <c r="B1696">
        <v>402</v>
      </c>
      <c r="C1696" t="s">
        <v>6002</v>
      </c>
      <c r="D1696" t="s">
        <v>8026</v>
      </c>
      <c r="E1696">
        <v>22</v>
      </c>
      <c r="F1696" s="6">
        <v>5450000000</v>
      </c>
      <c r="H1696">
        <v>469</v>
      </c>
      <c r="I1696" t="s">
        <v>9641</v>
      </c>
    </row>
    <row r="1697" spans="2:9" x14ac:dyDescent="0.25">
      <c r="B1697">
        <v>405</v>
      </c>
      <c r="C1697" t="s">
        <v>6143</v>
      </c>
      <c r="D1697" t="s">
        <v>8026</v>
      </c>
      <c r="E1697">
        <v>22</v>
      </c>
      <c r="F1697" s="6">
        <v>5450000000</v>
      </c>
      <c r="H1697">
        <v>472</v>
      </c>
      <c r="I1697" t="s">
        <v>9642</v>
      </c>
    </row>
    <row r="1698" spans="2:9" x14ac:dyDescent="0.25">
      <c r="B1698">
        <v>461</v>
      </c>
      <c r="C1698" t="s">
        <v>6006</v>
      </c>
      <c r="D1698" t="s">
        <v>191</v>
      </c>
      <c r="E1698">
        <v>22</v>
      </c>
      <c r="F1698" s="6">
        <v>4500000000</v>
      </c>
      <c r="H1698">
        <v>542</v>
      </c>
      <c r="I1698" t="s">
        <v>9643</v>
      </c>
    </row>
    <row r="1699" spans="2:9" x14ac:dyDescent="0.25">
      <c r="B1699">
        <v>487</v>
      </c>
      <c r="C1699" t="s">
        <v>1528</v>
      </c>
      <c r="D1699" t="s">
        <v>376</v>
      </c>
      <c r="E1699">
        <v>22</v>
      </c>
      <c r="F1699" s="6">
        <v>2250000000</v>
      </c>
      <c r="H1699">
        <v>577</v>
      </c>
      <c r="I1699" t="s">
        <v>9644</v>
      </c>
    </row>
    <row r="1700" spans="2:9" x14ac:dyDescent="0.25">
      <c r="B1700">
        <v>494</v>
      </c>
      <c r="C1700" t="s">
        <v>6010</v>
      </c>
      <c r="D1700" t="s">
        <v>5970</v>
      </c>
      <c r="E1700">
        <v>22</v>
      </c>
      <c r="F1700" s="6">
        <v>5600000000</v>
      </c>
      <c r="H1700">
        <v>584</v>
      </c>
      <c r="I1700" t="s">
        <v>9645</v>
      </c>
    </row>
    <row r="1701" spans="2:9" x14ac:dyDescent="0.25">
      <c r="B1701">
        <v>1</v>
      </c>
      <c r="C1701" t="s">
        <v>6147</v>
      </c>
      <c r="D1701" t="s">
        <v>3677</v>
      </c>
      <c r="E1701">
        <v>21</v>
      </c>
      <c r="F1701" s="6">
        <v>5450000000</v>
      </c>
      <c r="H1701">
        <v>43</v>
      </c>
      <c r="I1701" t="s">
        <v>9646</v>
      </c>
    </row>
    <row r="1702" spans="2:9" x14ac:dyDescent="0.25">
      <c r="B1702">
        <v>47</v>
      </c>
      <c r="C1702" t="s">
        <v>6014</v>
      </c>
      <c r="D1702" t="s">
        <v>5997</v>
      </c>
      <c r="E1702">
        <v>21</v>
      </c>
      <c r="F1702" s="6">
        <v>5900000000</v>
      </c>
      <c r="H1702">
        <v>89</v>
      </c>
      <c r="I1702" t="s">
        <v>9647</v>
      </c>
    </row>
    <row r="1703" spans="2:9" x14ac:dyDescent="0.25">
      <c r="B1703">
        <v>54</v>
      </c>
      <c r="C1703" t="s">
        <v>6151</v>
      </c>
      <c r="D1703" t="s">
        <v>6029</v>
      </c>
      <c r="E1703">
        <v>21</v>
      </c>
      <c r="F1703" s="6">
        <v>5850000000</v>
      </c>
      <c r="H1703">
        <v>96</v>
      </c>
      <c r="I1703" t="s">
        <v>9648</v>
      </c>
    </row>
    <row r="1704" spans="2:9" x14ac:dyDescent="0.25">
      <c r="B1704">
        <v>56</v>
      </c>
      <c r="C1704" t="s">
        <v>6018</v>
      </c>
      <c r="D1704" t="s">
        <v>5997</v>
      </c>
      <c r="E1704">
        <v>21</v>
      </c>
      <c r="F1704" s="6">
        <v>5900000000</v>
      </c>
      <c r="H1704">
        <v>98</v>
      </c>
      <c r="I1704" t="s">
        <v>9649</v>
      </c>
    </row>
    <row r="1705" spans="2:9" x14ac:dyDescent="0.25">
      <c r="B1705">
        <v>83</v>
      </c>
      <c r="C1705" t="s">
        <v>6155</v>
      </c>
      <c r="D1705" t="s">
        <v>5997</v>
      </c>
      <c r="E1705">
        <v>21</v>
      </c>
      <c r="F1705" s="6">
        <v>5900000000</v>
      </c>
      <c r="H1705">
        <v>125</v>
      </c>
      <c r="I1705" t="s">
        <v>9650</v>
      </c>
    </row>
    <row r="1706" spans="2:9" x14ac:dyDescent="0.25">
      <c r="B1706">
        <v>96</v>
      </c>
      <c r="C1706" t="s">
        <v>6022</v>
      </c>
      <c r="D1706" t="s">
        <v>5970</v>
      </c>
      <c r="E1706">
        <v>21</v>
      </c>
      <c r="F1706" s="6">
        <v>5900000000</v>
      </c>
      <c r="H1706">
        <v>138</v>
      </c>
      <c r="I1706" t="s">
        <v>9651</v>
      </c>
    </row>
    <row r="1707" spans="2:9" x14ac:dyDescent="0.25">
      <c r="B1707">
        <v>106</v>
      </c>
      <c r="C1707" t="s">
        <v>6159</v>
      </c>
      <c r="D1707" t="s">
        <v>5976</v>
      </c>
      <c r="E1707">
        <v>21</v>
      </c>
      <c r="F1707" s="6">
        <v>5950000000</v>
      </c>
      <c r="H1707">
        <v>148</v>
      </c>
      <c r="I1707" t="s">
        <v>9652</v>
      </c>
    </row>
    <row r="1708" spans="2:9" x14ac:dyDescent="0.25">
      <c r="B1708">
        <v>167</v>
      </c>
      <c r="C1708" t="s">
        <v>6026</v>
      </c>
      <c r="D1708" t="s">
        <v>3689</v>
      </c>
      <c r="E1708">
        <v>21</v>
      </c>
      <c r="F1708" s="6">
        <v>4150000000</v>
      </c>
      <c r="H1708">
        <v>229</v>
      </c>
      <c r="I1708" t="s">
        <v>9653</v>
      </c>
    </row>
    <row r="1709" spans="2:9" x14ac:dyDescent="0.25">
      <c r="B1709">
        <v>455</v>
      </c>
      <c r="C1709" t="s">
        <v>6163</v>
      </c>
      <c r="D1709" t="s">
        <v>191</v>
      </c>
      <c r="E1709">
        <v>21</v>
      </c>
      <c r="F1709" s="6">
        <v>4600000000</v>
      </c>
      <c r="H1709">
        <v>536</v>
      </c>
      <c r="I1709" t="s">
        <v>9654</v>
      </c>
    </row>
    <row r="1710" spans="2:9" x14ac:dyDescent="0.25">
      <c r="B1710">
        <v>459</v>
      </c>
      <c r="C1710" t="s">
        <v>3585</v>
      </c>
      <c r="D1710" t="s">
        <v>191</v>
      </c>
      <c r="E1710">
        <v>21</v>
      </c>
      <c r="F1710" s="6">
        <v>4600000000</v>
      </c>
      <c r="H1710">
        <v>540</v>
      </c>
      <c r="I1710" t="s">
        <v>9655</v>
      </c>
    </row>
    <row r="1711" spans="2:9" x14ac:dyDescent="0.25">
      <c r="B1711">
        <v>518</v>
      </c>
      <c r="C1711" t="s">
        <v>5792</v>
      </c>
      <c r="D1711" t="s">
        <v>4366</v>
      </c>
      <c r="E1711">
        <v>21</v>
      </c>
      <c r="F1711" s="6">
        <v>4100000000</v>
      </c>
      <c r="H1711">
        <v>611</v>
      </c>
      <c r="I1711" t="s">
        <v>9656</v>
      </c>
    </row>
    <row r="1712" spans="2:9" x14ac:dyDescent="0.25">
      <c r="B1712">
        <v>98</v>
      </c>
      <c r="C1712" t="s">
        <v>6030</v>
      </c>
      <c r="D1712" t="s">
        <v>6029</v>
      </c>
      <c r="E1712">
        <v>20</v>
      </c>
      <c r="F1712" s="6">
        <v>5900000000</v>
      </c>
      <c r="H1712">
        <v>140</v>
      </c>
      <c r="I1712" t="s">
        <v>9657</v>
      </c>
    </row>
    <row r="1713" spans="2:9" x14ac:dyDescent="0.25">
      <c r="B1713">
        <v>100</v>
      </c>
      <c r="C1713" t="s">
        <v>6167</v>
      </c>
      <c r="D1713" t="s">
        <v>5997</v>
      </c>
      <c r="E1713">
        <v>20</v>
      </c>
      <c r="F1713" s="6">
        <v>5950000000</v>
      </c>
      <c r="H1713">
        <v>142</v>
      </c>
      <c r="I1713" t="s">
        <v>9658</v>
      </c>
    </row>
    <row r="1714" spans="2:9" x14ac:dyDescent="0.25">
      <c r="B1714">
        <v>238</v>
      </c>
      <c r="C1714" t="s">
        <v>6034</v>
      </c>
      <c r="D1714" t="s">
        <v>5314</v>
      </c>
      <c r="E1714">
        <v>20</v>
      </c>
      <c r="F1714" s="6">
        <v>5100000000</v>
      </c>
      <c r="H1714">
        <v>303</v>
      </c>
      <c r="I1714" t="s">
        <v>9659</v>
      </c>
    </row>
    <row r="1715" spans="2:9" x14ac:dyDescent="0.25">
      <c r="B1715">
        <v>296</v>
      </c>
      <c r="C1715" t="s">
        <v>6170</v>
      </c>
      <c r="D1715" t="s">
        <v>9317</v>
      </c>
      <c r="E1715">
        <v>20</v>
      </c>
      <c r="F1715" s="6">
        <v>5950000000</v>
      </c>
      <c r="H1715">
        <v>361</v>
      </c>
      <c r="I1715" t="s">
        <v>9660</v>
      </c>
    </row>
    <row r="1716" spans="2:9" x14ac:dyDescent="0.25">
      <c r="B1716">
        <v>92</v>
      </c>
      <c r="C1716" t="s">
        <v>6038</v>
      </c>
      <c r="D1716" t="s">
        <v>5970</v>
      </c>
      <c r="E1716">
        <v>19</v>
      </c>
      <c r="F1716" s="6">
        <v>5950000000</v>
      </c>
      <c r="H1716">
        <v>134</v>
      </c>
      <c r="I1716" t="s">
        <v>9661</v>
      </c>
    </row>
    <row r="1717" spans="2:9" x14ac:dyDescent="0.25">
      <c r="B1717">
        <v>101</v>
      </c>
      <c r="C1717" t="s">
        <v>6174</v>
      </c>
      <c r="D1717" t="s">
        <v>5976</v>
      </c>
      <c r="E1717">
        <v>19</v>
      </c>
      <c r="F1717" s="6">
        <v>5950000000</v>
      </c>
      <c r="H1717">
        <v>143</v>
      </c>
      <c r="I1717" t="s">
        <v>9662</v>
      </c>
    </row>
    <row r="1718" spans="2:9" x14ac:dyDescent="0.25">
      <c r="B1718">
        <v>114</v>
      </c>
      <c r="C1718" t="s">
        <v>5552</v>
      </c>
      <c r="D1718" t="s">
        <v>3521</v>
      </c>
      <c r="E1718">
        <v>19</v>
      </c>
      <c r="F1718" s="6">
        <v>6250000000</v>
      </c>
      <c r="H1718">
        <v>156</v>
      </c>
      <c r="I1718" t="s">
        <v>9663</v>
      </c>
    </row>
    <row r="1719" spans="2:9" x14ac:dyDescent="0.25">
      <c r="B1719">
        <v>128</v>
      </c>
      <c r="C1719" t="s">
        <v>6177</v>
      </c>
      <c r="D1719" t="s">
        <v>3126</v>
      </c>
      <c r="E1719">
        <v>19</v>
      </c>
      <c r="F1719" s="6">
        <v>4100000000</v>
      </c>
      <c r="H1719">
        <v>170</v>
      </c>
      <c r="I1719" t="s">
        <v>9664</v>
      </c>
    </row>
    <row r="1720" spans="2:9" x14ac:dyDescent="0.25">
      <c r="B1720">
        <v>479</v>
      </c>
      <c r="C1720" t="s">
        <v>6042</v>
      </c>
      <c r="D1720" t="s">
        <v>7991</v>
      </c>
      <c r="E1720">
        <v>19</v>
      </c>
      <c r="F1720" s="6">
        <v>6050000000</v>
      </c>
      <c r="H1720">
        <v>566</v>
      </c>
      <c r="I1720" t="s">
        <v>9665</v>
      </c>
    </row>
    <row r="1721" spans="2:9" x14ac:dyDescent="0.25">
      <c r="B1721">
        <v>84</v>
      </c>
      <c r="C1721" t="s">
        <v>6181</v>
      </c>
      <c r="D1721" t="s">
        <v>5970</v>
      </c>
      <c r="E1721">
        <v>18</v>
      </c>
      <c r="F1721" s="6">
        <v>5950000000</v>
      </c>
      <c r="H1721">
        <v>126</v>
      </c>
      <c r="I1721" t="s">
        <v>9666</v>
      </c>
    </row>
    <row r="1722" spans="2:9" x14ac:dyDescent="0.25">
      <c r="B1722">
        <v>90</v>
      </c>
      <c r="C1722" t="s">
        <v>6046</v>
      </c>
      <c r="D1722" t="s">
        <v>5970</v>
      </c>
      <c r="E1722">
        <v>18</v>
      </c>
      <c r="F1722" s="6">
        <v>5900000000</v>
      </c>
      <c r="H1722">
        <v>132</v>
      </c>
      <c r="I1722" t="s">
        <v>9667</v>
      </c>
    </row>
    <row r="1723" spans="2:9" x14ac:dyDescent="0.25">
      <c r="B1723">
        <v>205</v>
      </c>
      <c r="C1723" t="s">
        <v>6185</v>
      </c>
      <c r="D1723" t="s">
        <v>8094</v>
      </c>
      <c r="E1723">
        <v>18</v>
      </c>
      <c r="F1723" s="6">
        <v>6300000000</v>
      </c>
      <c r="H1723">
        <v>270</v>
      </c>
      <c r="I1723" t="s">
        <v>9668</v>
      </c>
    </row>
    <row r="1724" spans="2:9" x14ac:dyDescent="0.25">
      <c r="B1724">
        <v>218</v>
      </c>
      <c r="C1724" t="s">
        <v>6050</v>
      </c>
      <c r="D1724" t="s">
        <v>5854</v>
      </c>
      <c r="E1724">
        <v>18</v>
      </c>
      <c r="F1724" s="6">
        <v>5150000000</v>
      </c>
      <c r="H1724">
        <v>283</v>
      </c>
      <c r="I1724" t="s">
        <v>9669</v>
      </c>
    </row>
    <row r="1725" spans="2:9" x14ac:dyDescent="0.25">
      <c r="B1725">
        <v>307</v>
      </c>
      <c r="C1725" t="s">
        <v>6189</v>
      </c>
      <c r="D1725" t="s">
        <v>9317</v>
      </c>
      <c r="E1725">
        <v>18</v>
      </c>
      <c r="F1725" s="6">
        <v>5950000000</v>
      </c>
      <c r="H1725">
        <v>372</v>
      </c>
      <c r="I1725" t="s">
        <v>9670</v>
      </c>
    </row>
    <row r="1726" spans="2:9" x14ac:dyDescent="0.25">
      <c r="B1726">
        <v>43</v>
      </c>
      <c r="C1726" t="s">
        <v>6054</v>
      </c>
      <c r="D1726" t="s">
        <v>6029</v>
      </c>
      <c r="E1726">
        <v>17</v>
      </c>
      <c r="F1726" s="6">
        <v>5900000000</v>
      </c>
      <c r="H1726">
        <v>85</v>
      </c>
      <c r="I1726" t="s">
        <v>9671</v>
      </c>
    </row>
    <row r="1727" spans="2:9" x14ac:dyDescent="0.25">
      <c r="B1727">
        <v>44</v>
      </c>
      <c r="C1727" t="s">
        <v>6193</v>
      </c>
      <c r="D1727" t="s">
        <v>6029</v>
      </c>
      <c r="E1727">
        <v>17</v>
      </c>
      <c r="F1727" s="6">
        <v>5900000000</v>
      </c>
      <c r="H1727">
        <v>86</v>
      </c>
      <c r="I1727" t="s">
        <v>9672</v>
      </c>
    </row>
    <row r="1728" spans="2:9" x14ac:dyDescent="0.25">
      <c r="B1728">
        <v>52</v>
      </c>
      <c r="C1728" t="s">
        <v>6058</v>
      </c>
      <c r="D1728" t="s">
        <v>5997</v>
      </c>
      <c r="E1728">
        <v>17</v>
      </c>
      <c r="F1728" s="6">
        <v>5950000000</v>
      </c>
      <c r="H1728">
        <v>94</v>
      </c>
      <c r="I1728" t="s">
        <v>9673</v>
      </c>
    </row>
    <row r="1729" spans="2:9" x14ac:dyDescent="0.25">
      <c r="B1729">
        <v>57</v>
      </c>
      <c r="C1729" t="s">
        <v>6197</v>
      </c>
      <c r="D1729" t="s">
        <v>5970</v>
      </c>
      <c r="E1729">
        <v>17</v>
      </c>
      <c r="F1729" s="6">
        <v>5900000000</v>
      </c>
      <c r="H1729">
        <v>99</v>
      </c>
      <c r="I1729" t="s">
        <v>9674</v>
      </c>
    </row>
    <row r="1730" spans="2:9" x14ac:dyDescent="0.25">
      <c r="B1730">
        <v>82</v>
      </c>
      <c r="C1730" t="s">
        <v>6062</v>
      </c>
      <c r="D1730" t="s">
        <v>5970</v>
      </c>
      <c r="E1730">
        <v>17</v>
      </c>
      <c r="F1730" s="6">
        <v>5900000000</v>
      </c>
      <c r="H1730">
        <v>124</v>
      </c>
      <c r="I1730" t="s">
        <v>9675</v>
      </c>
    </row>
    <row r="1731" spans="2:9" x14ac:dyDescent="0.25">
      <c r="B1731">
        <v>87</v>
      </c>
      <c r="C1731" t="s">
        <v>6201</v>
      </c>
      <c r="D1731" t="s">
        <v>5970</v>
      </c>
      <c r="E1731">
        <v>17</v>
      </c>
      <c r="F1731" s="6">
        <v>5900000000</v>
      </c>
      <c r="H1731">
        <v>129</v>
      </c>
      <c r="I1731" t="s">
        <v>9676</v>
      </c>
    </row>
    <row r="1732" spans="2:9" x14ac:dyDescent="0.25">
      <c r="B1732">
        <v>389</v>
      </c>
      <c r="C1732" t="s">
        <v>6066</v>
      </c>
      <c r="D1732" t="s">
        <v>8026</v>
      </c>
      <c r="E1732">
        <v>17</v>
      </c>
      <c r="F1732" s="6">
        <v>5700000000</v>
      </c>
      <c r="H1732">
        <v>456</v>
      </c>
      <c r="I1732" t="s">
        <v>9677</v>
      </c>
    </row>
    <row r="1733" spans="2:9" x14ac:dyDescent="0.25">
      <c r="B1733">
        <v>425</v>
      </c>
      <c r="C1733" t="s">
        <v>6205</v>
      </c>
      <c r="D1733" t="s">
        <v>325</v>
      </c>
      <c r="E1733">
        <v>17</v>
      </c>
      <c r="F1733" s="6">
        <v>3700000000</v>
      </c>
      <c r="H1733">
        <v>492</v>
      </c>
      <c r="I1733" t="s">
        <v>9678</v>
      </c>
    </row>
    <row r="1734" spans="2:9" x14ac:dyDescent="0.25">
      <c r="B1734">
        <v>442</v>
      </c>
      <c r="C1734" t="s">
        <v>6070</v>
      </c>
      <c r="D1734" t="s">
        <v>191</v>
      </c>
      <c r="E1734">
        <v>17</v>
      </c>
      <c r="F1734" s="6">
        <v>4400000000</v>
      </c>
      <c r="H1734">
        <v>523</v>
      </c>
      <c r="I1734" t="s">
        <v>9679</v>
      </c>
    </row>
    <row r="1735" spans="2:9" x14ac:dyDescent="0.25">
      <c r="B1735">
        <v>453</v>
      </c>
      <c r="C1735" t="s">
        <v>6209</v>
      </c>
      <c r="D1735" t="s">
        <v>191</v>
      </c>
      <c r="E1735">
        <v>17</v>
      </c>
      <c r="F1735" s="6">
        <v>4500000000</v>
      </c>
      <c r="H1735">
        <v>534</v>
      </c>
      <c r="I1735" t="s">
        <v>9680</v>
      </c>
    </row>
    <row r="1736" spans="2:9" x14ac:dyDescent="0.25">
      <c r="B1736">
        <v>51</v>
      </c>
      <c r="C1736" t="s">
        <v>6074</v>
      </c>
      <c r="D1736" t="s">
        <v>5970</v>
      </c>
      <c r="E1736">
        <v>16</v>
      </c>
      <c r="F1736" s="6">
        <v>5850000000</v>
      </c>
      <c r="H1736">
        <v>93</v>
      </c>
      <c r="I1736" t="s">
        <v>9681</v>
      </c>
    </row>
    <row r="1737" spans="2:9" x14ac:dyDescent="0.25">
      <c r="B1737">
        <v>69</v>
      </c>
      <c r="C1737" t="s">
        <v>6213</v>
      </c>
      <c r="D1737" t="s">
        <v>5997</v>
      </c>
      <c r="E1737">
        <v>16</v>
      </c>
      <c r="F1737" s="6">
        <v>5850000000</v>
      </c>
      <c r="H1737">
        <v>111</v>
      </c>
      <c r="I1737" t="s">
        <v>9682</v>
      </c>
    </row>
    <row r="1738" spans="2:9" x14ac:dyDescent="0.25">
      <c r="B1738">
        <v>94</v>
      </c>
      <c r="C1738" t="s">
        <v>6077</v>
      </c>
      <c r="D1738" t="s">
        <v>5970</v>
      </c>
      <c r="E1738">
        <v>16</v>
      </c>
      <c r="F1738" s="6">
        <v>5900000000</v>
      </c>
      <c r="H1738">
        <v>136</v>
      </c>
      <c r="I1738" t="s">
        <v>9683</v>
      </c>
    </row>
    <row r="1739" spans="2:9" x14ac:dyDescent="0.25">
      <c r="B1739">
        <v>458</v>
      </c>
      <c r="C1739" t="s">
        <v>6217</v>
      </c>
      <c r="D1739" t="s">
        <v>191</v>
      </c>
      <c r="E1739">
        <v>16</v>
      </c>
      <c r="F1739" s="6">
        <v>4500000000</v>
      </c>
      <c r="H1739">
        <v>539</v>
      </c>
      <c r="I1739" t="s">
        <v>9684</v>
      </c>
    </row>
    <row r="1740" spans="2:9" x14ac:dyDescent="0.25">
      <c r="B1740">
        <v>79</v>
      </c>
      <c r="C1740" t="s">
        <v>6081</v>
      </c>
      <c r="D1740" t="s">
        <v>6029</v>
      </c>
      <c r="E1740">
        <v>14</v>
      </c>
      <c r="F1740" s="6">
        <v>5950000000</v>
      </c>
      <c r="H1740">
        <v>121</v>
      </c>
      <c r="I1740" t="s">
        <v>9685</v>
      </c>
    </row>
    <row r="1741" spans="2:9" x14ac:dyDescent="0.25">
      <c r="B1741">
        <v>452</v>
      </c>
      <c r="C1741" t="s">
        <v>4967</v>
      </c>
      <c r="D1741" t="s">
        <v>191</v>
      </c>
      <c r="E1741">
        <v>12</v>
      </c>
      <c r="F1741" s="6">
        <v>4450000000</v>
      </c>
      <c r="H1741">
        <v>533</v>
      </c>
      <c r="I1741" t="s">
        <v>9686</v>
      </c>
    </row>
    <row r="1742" spans="2:9" x14ac:dyDescent="0.25">
      <c r="B1742">
        <v>484</v>
      </c>
      <c r="C1742" t="s">
        <v>6085</v>
      </c>
      <c r="D1742" t="s">
        <v>8110</v>
      </c>
      <c r="E1742">
        <v>11</v>
      </c>
      <c r="F1742" s="6">
        <v>6000000000</v>
      </c>
      <c r="H1742">
        <v>571</v>
      </c>
      <c r="I1742" t="s">
        <v>9687</v>
      </c>
    </row>
    <row r="1743" spans="2:9" x14ac:dyDescent="0.25">
      <c r="B1743">
        <v>447</v>
      </c>
      <c r="C1743" t="s">
        <v>6221</v>
      </c>
      <c r="D1743" t="s">
        <v>191</v>
      </c>
      <c r="E1743">
        <v>9</v>
      </c>
      <c r="F1743" s="6">
        <v>4250000000</v>
      </c>
      <c r="H1743">
        <v>528</v>
      </c>
      <c r="I1743" t="s">
        <v>9688</v>
      </c>
    </row>
    <row r="1744" spans="2:9" x14ac:dyDescent="0.25">
      <c r="B1744">
        <v>499</v>
      </c>
      <c r="C1744" t="s">
        <v>6089</v>
      </c>
      <c r="D1744" t="s">
        <v>5976</v>
      </c>
      <c r="E1744">
        <v>9</v>
      </c>
      <c r="F1744" s="6">
        <v>5200000000</v>
      </c>
      <c r="H1744">
        <v>589</v>
      </c>
      <c r="I1744" t="s">
        <v>9689</v>
      </c>
    </row>
    <row r="1745" spans="2:9" x14ac:dyDescent="0.25">
      <c r="B1745">
        <v>505</v>
      </c>
      <c r="C1745" t="s">
        <v>326</v>
      </c>
      <c r="D1745" t="s">
        <v>325</v>
      </c>
      <c r="E1745">
        <v>8</v>
      </c>
      <c r="F1745" s="6">
        <v>2800000000</v>
      </c>
      <c r="H1745">
        <v>595</v>
      </c>
      <c r="I1745" t="s">
        <v>9690</v>
      </c>
    </row>
    <row r="1746" spans="2:9" x14ac:dyDescent="0.25">
      <c r="B1746">
        <v>443</v>
      </c>
      <c r="C1746" t="s">
        <v>6093</v>
      </c>
      <c r="D1746" t="s">
        <v>191</v>
      </c>
      <c r="E1746">
        <v>7</v>
      </c>
      <c r="F1746" s="6">
        <v>4470000000</v>
      </c>
      <c r="H1746">
        <v>524</v>
      </c>
      <c r="I1746" t="s">
        <v>9691</v>
      </c>
    </row>
    <row r="1747" spans="2:9" x14ac:dyDescent="0.25">
      <c r="B1747">
        <v>444</v>
      </c>
      <c r="C1747" t="s">
        <v>6225</v>
      </c>
      <c r="D1747" t="s">
        <v>191</v>
      </c>
      <c r="E1747">
        <v>6</v>
      </c>
      <c r="F1747" s="6">
        <v>4500000000</v>
      </c>
      <c r="H1747">
        <v>525</v>
      </c>
      <c r="I1747" t="s">
        <v>9692</v>
      </c>
    </row>
    <row r="1748" spans="2:9" x14ac:dyDescent="0.25">
      <c r="B1748">
        <v>536</v>
      </c>
      <c r="C1748" t="s">
        <v>5780</v>
      </c>
      <c r="D1748" t="s">
        <v>2568</v>
      </c>
      <c r="E1748">
        <v>6</v>
      </c>
      <c r="F1748" s="6">
        <v>3800000000</v>
      </c>
      <c r="H1748">
        <v>629</v>
      </c>
      <c r="I1748" t="s">
        <v>9693</v>
      </c>
    </row>
    <row r="1749" spans="2:9" x14ac:dyDescent="0.25">
      <c r="B1749">
        <v>439</v>
      </c>
      <c r="C1749" t="s">
        <v>6229</v>
      </c>
      <c r="D1749" t="s">
        <v>191</v>
      </c>
      <c r="E1749">
        <v>5</v>
      </c>
      <c r="F1749" s="6">
        <v>4200000000</v>
      </c>
      <c r="H1749">
        <v>520</v>
      </c>
      <c r="I1749" t="s">
        <v>9694</v>
      </c>
    </row>
    <row r="1750" spans="2:9" x14ac:dyDescent="0.25">
      <c r="B1750">
        <v>481</v>
      </c>
      <c r="C1750" t="s">
        <v>6097</v>
      </c>
      <c r="D1750" t="s">
        <v>8183</v>
      </c>
      <c r="E1750">
        <v>4</v>
      </c>
      <c r="F1750" s="6">
        <v>5580000000</v>
      </c>
      <c r="H1750">
        <v>568</v>
      </c>
      <c r="I1750" t="s">
        <v>9695</v>
      </c>
    </row>
    <row r="1751" spans="2:9" x14ac:dyDescent="0.25">
      <c r="B1751">
        <v>449</v>
      </c>
      <c r="C1751" t="s">
        <v>3555</v>
      </c>
      <c r="D1751" t="s">
        <v>191</v>
      </c>
      <c r="E1751">
        <v>2</v>
      </c>
      <c r="F1751" s="6">
        <v>4300000000</v>
      </c>
      <c r="H1751">
        <v>530</v>
      </c>
      <c r="I1751" t="s">
        <v>9696</v>
      </c>
    </row>
    <row r="1752" spans="2:9" x14ac:dyDescent="0.25">
      <c r="B1752" t="s">
        <v>7917</v>
      </c>
      <c r="C1752" t="s">
        <v>7918</v>
      </c>
      <c r="D1752" t="s">
        <v>7919</v>
      </c>
      <c r="E1752" t="s">
        <v>7920</v>
      </c>
      <c r="F1752" t="s">
        <v>7921</v>
      </c>
      <c r="G1752" t="s">
        <v>7922</v>
      </c>
      <c r="H1752" t="s">
        <v>7923</v>
      </c>
    </row>
    <row r="1753" spans="2:9" x14ac:dyDescent="0.25">
      <c r="B1753">
        <v>470</v>
      </c>
      <c r="C1753" t="s">
        <v>6932</v>
      </c>
      <c r="D1753" t="s">
        <v>2476</v>
      </c>
      <c r="E1753">
        <v>547</v>
      </c>
      <c r="F1753" s="6">
        <v>3850000000</v>
      </c>
      <c r="H1753">
        <v>557</v>
      </c>
      <c r="I1753" t="s">
        <v>9215</v>
      </c>
    </row>
    <row r="1754" spans="2:9" x14ac:dyDescent="0.25">
      <c r="B1754">
        <v>485</v>
      </c>
      <c r="C1754" t="s">
        <v>7126</v>
      </c>
      <c r="D1754" t="s">
        <v>87</v>
      </c>
      <c r="E1754">
        <v>528</v>
      </c>
      <c r="F1754" s="6">
        <v>4600000000</v>
      </c>
      <c r="H1754">
        <v>572</v>
      </c>
      <c r="I1754" t="s">
        <v>9216</v>
      </c>
    </row>
    <row r="1755" spans="2:9" x14ac:dyDescent="0.25">
      <c r="B1755">
        <v>361</v>
      </c>
      <c r="C1755" t="s">
        <v>6936</v>
      </c>
      <c r="D1755" t="s">
        <v>5681</v>
      </c>
      <c r="E1755">
        <v>508</v>
      </c>
      <c r="F1755" s="6">
        <v>9330000000</v>
      </c>
      <c r="H1755">
        <v>428</v>
      </c>
      <c r="I1755" t="s">
        <v>9217</v>
      </c>
    </row>
    <row r="1756" spans="2:9" x14ac:dyDescent="0.25">
      <c r="B1756">
        <v>141</v>
      </c>
      <c r="C1756" t="s">
        <v>7130</v>
      </c>
      <c r="D1756" t="s">
        <v>2476</v>
      </c>
      <c r="E1756">
        <v>505</v>
      </c>
      <c r="F1756" s="6">
        <v>3800000000</v>
      </c>
      <c r="H1756">
        <v>185</v>
      </c>
      <c r="I1756" t="s">
        <v>9218</v>
      </c>
    </row>
    <row r="1757" spans="2:9" x14ac:dyDescent="0.25">
      <c r="B1757">
        <v>469</v>
      </c>
      <c r="C1757" t="s">
        <v>6940</v>
      </c>
      <c r="D1757" t="s">
        <v>2476</v>
      </c>
      <c r="E1757">
        <v>492</v>
      </c>
      <c r="F1757" s="6">
        <v>3750000000</v>
      </c>
      <c r="H1757">
        <v>556</v>
      </c>
      <c r="I1757" t="s">
        <v>9219</v>
      </c>
    </row>
    <row r="1758" spans="2:9" x14ac:dyDescent="0.25">
      <c r="B1758">
        <v>463</v>
      </c>
      <c r="C1758" t="s">
        <v>7134</v>
      </c>
      <c r="D1758" t="s">
        <v>191</v>
      </c>
      <c r="E1758">
        <v>483</v>
      </c>
      <c r="F1758" s="6">
        <v>4470000000</v>
      </c>
      <c r="H1758">
        <v>544</v>
      </c>
      <c r="I1758" t="s">
        <v>9220</v>
      </c>
    </row>
    <row r="1759" spans="2:9" x14ac:dyDescent="0.25">
      <c r="B1759">
        <v>149</v>
      </c>
      <c r="C1759" t="s">
        <v>6945</v>
      </c>
      <c r="D1759" t="s">
        <v>6944</v>
      </c>
      <c r="E1759">
        <v>456</v>
      </c>
      <c r="F1759" s="6">
        <v>3850000000</v>
      </c>
      <c r="H1759">
        <v>196</v>
      </c>
      <c r="I1759" t="s">
        <v>9221</v>
      </c>
    </row>
    <row r="1760" spans="2:9" x14ac:dyDescent="0.25">
      <c r="B1760">
        <v>187</v>
      </c>
      <c r="C1760" t="s">
        <v>7138</v>
      </c>
      <c r="D1760" t="s">
        <v>3139</v>
      </c>
      <c r="E1760">
        <v>455</v>
      </c>
      <c r="F1760" s="6">
        <v>4100000000</v>
      </c>
      <c r="H1760">
        <v>252</v>
      </c>
      <c r="I1760" t="s">
        <v>9222</v>
      </c>
    </row>
    <row r="1761" spans="2:9" x14ac:dyDescent="0.25">
      <c r="B1761">
        <v>214</v>
      </c>
      <c r="C1761" t="s">
        <v>6950</v>
      </c>
      <c r="D1761" t="s">
        <v>9223</v>
      </c>
      <c r="E1761">
        <v>403</v>
      </c>
      <c r="F1761" s="6">
        <v>6050000000</v>
      </c>
      <c r="H1761">
        <v>279</v>
      </c>
      <c r="I1761" t="s">
        <v>9224</v>
      </c>
    </row>
    <row r="1762" spans="2:9" x14ac:dyDescent="0.25">
      <c r="B1762">
        <v>473</v>
      </c>
      <c r="C1762" t="s">
        <v>7142</v>
      </c>
      <c r="D1762" t="s">
        <v>2861</v>
      </c>
      <c r="E1762">
        <v>401</v>
      </c>
      <c r="F1762" s="6">
        <v>3850000000</v>
      </c>
      <c r="H1762">
        <v>560</v>
      </c>
      <c r="I1762" t="s">
        <v>9225</v>
      </c>
    </row>
    <row r="1763" spans="2:9" x14ac:dyDescent="0.25">
      <c r="B1763">
        <v>372</v>
      </c>
      <c r="C1763" t="s">
        <v>6954</v>
      </c>
      <c r="D1763" t="s">
        <v>5681</v>
      </c>
      <c r="E1763">
        <v>378</v>
      </c>
      <c r="F1763" s="6">
        <v>9350000000</v>
      </c>
      <c r="H1763">
        <v>439</v>
      </c>
      <c r="I1763" t="s">
        <v>9226</v>
      </c>
    </row>
    <row r="1764" spans="2:9" x14ac:dyDescent="0.25">
      <c r="B1764">
        <v>157</v>
      </c>
      <c r="C1764" t="s">
        <v>7146</v>
      </c>
      <c r="D1764" t="s">
        <v>6944</v>
      </c>
      <c r="E1764">
        <v>370</v>
      </c>
      <c r="F1764" s="6">
        <v>3900000000</v>
      </c>
      <c r="H1764">
        <v>212</v>
      </c>
      <c r="I1764" t="s">
        <v>9227</v>
      </c>
    </row>
    <row r="1765" spans="2:9" x14ac:dyDescent="0.25">
      <c r="B1765">
        <v>472</v>
      </c>
      <c r="C1765" t="s">
        <v>6958</v>
      </c>
      <c r="D1765" t="s">
        <v>6360</v>
      </c>
      <c r="E1765">
        <v>337</v>
      </c>
      <c r="F1765" s="6">
        <v>4050000000</v>
      </c>
      <c r="H1765">
        <v>559</v>
      </c>
      <c r="I1765" t="s">
        <v>9228</v>
      </c>
    </row>
    <row r="1766" spans="2:9" x14ac:dyDescent="0.25">
      <c r="B1766">
        <v>255</v>
      </c>
      <c r="C1766" t="s">
        <v>7150</v>
      </c>
      <c r="D1766" t="s">
        <v>9229</v>
      </c>
      <c r="E1766">
        <v>312</v>
      </c>
      <c r="F1766" s="6">
        <v>6200000000</v>
      </c>
      <c r="H1766">
        <v>320</v>
      </c>
      <c r="I1766" t="s">
        <v>9230</v>
      </c>
    </row>
    <row r="1767" spans="2:9" x14ac:dyDescent="0.25">
      <c r="B1767">
        <v>437</v>
      </c>
      <c r="C1767" t="s">
        <v>6962</v>
      </c>
      <c r="D1767" t="s">
        <v>191</v>
      </c>
      <c r="E1767">
        <v>280</v>
      </c>
      <c r="F1767" s="6">
        <v>4300000000</v>
      </c>
      <c r="H1767">
        <v>518</v>
      </c>
      <c r="I1767" t="s">
        <v>9231</v>
      </c>
    </row>
    <row r="1768" spans="2:9" x14ac:dyDescent="0.25">
      <c r="B1768">
        <v>200</v>
      </c>
      <c r="C1768" t="s">
        <v>7154</v>
      </c>
      <c r="D1768" t="s">
        <v>8110</v>
      </c>
      <c r="E1768">
        <v>274</v>
      </c>
      <c r="F1768" s="6">
        <v>6200000000</v>
      </c>
      <c r="H1768">
        <v>265</v>
      </c>
      <c r="I1768" t="s">
        <v>9232</v>
      </c>
    </row>
    <row r="1769" spans="2:9" x14ac:dyDescent="0.25">
      <c r="B1769">
        <v>202</v>
      </c>
      <c r="C1769" t="s">
        <v>6966</v>
      </c>
      <c r="D1769" t="s">
        <v>8011</v>
      </c>
      <c r="E1769">
        <v>258</v>
      </c>
      <c r="F1769" s="6">
        <v>6200000000</v>
      </c>
      <c r="H1769">
        <v>267</v>
      </c>
      <c r="I1769" t="s">
        <v>9233</v>
      </c>
    </row>
    <row r="1770" spans="2:9" x14ac:dyDescent="0.25">
      <c r="B1770">
        <v>353</v>
      </c>
      <c r="C1770" t="s">
        <v>7158</v>
      </c>
      <c r="D1770" t="s">
        <v>5649</v>
      </c>
      <c r="E1770">
        <v>242</v>
      </c>
      <c r="F1770" s="6">
        <v>11400000000</v>
      </c>
      <c r="H1770">
        <v>420</v>
      </c>
      <c r="I1770" t="s">
        <v>9234</v>
      </c>
    </row>
    <row r="1771" spans="2:9" x14ac:dyDescent="0.25">
      <c r="B1771">
        <v>511</v>
      </c>
      <c r="C1771" t="s">
        <v>5931</v>
      </c>
      <c r="D1771" t="s">
        <v>5661</v>
      </c>
      <c r="E1771">
        <v>226</v>
      </c>
      <c r="F1771" s="6">
        <v>9350000000</v>
      </c>
      <c r="H1771">
        <v>604</v>
      </c>
      <c r="I1771" t="s">
        <v>9235</v>
      </c>
    </row>
    <row r="1772" spans="2:9" x14ac:dyDescent="0.25">
      <c r="B1772">
        <v>512</v>
      </c>
      <c r="C1772" t="s">
        <v>5937</v>
      </c>
      <c r="D1772" t="s">
        <v>5661</v>
      </c>
      <c r="E1772">
        <v>214</v>
      </c>
      <c r="F1772" s="6">
        <v>9500000000</v>
      </c>
      <c r="H1772">
        <v>605</v>
      </c>
      <c r="I1772" t="s">
        <v>9236</v>
      </c>
    </row>
    <row r="1773" spans="2:9" x14ac:dyDescent="0.25">
      <c r="B1773">
        <v>183</v>
      </c>
      <c r="C1773" t="s">
        <v>6970</v>
      </c>
      <c r="D1773" t="s">
        <v>3139</v>
      </c>
      <c r="E1773">
        <v>207</v>
      </c>
      <c r="F1773" s="6">
        <v>3800000000</v>
      </c>
      <c r="H1773">
        <v>247</v>
      </c>
      <c r="I1773" t="s">
        <v>9237</v>
      </c>
    </row>
    <row r="1774" spans="2:9" x14ac:dyDescent="0.25">
      <c r="B1774">
        <v>30</v>
      </c>
      <c r="C1774" t="s">
        <v>7162</v>
      </c>
      <c r="D1774" t="s">
        <v>5976</v>
      </c>
      <c r="E1774">
        <v>195</v>
      </c>
      <c r="F1774" s="6">
        <v>5700000000</v>
      </c>
      <c r="H1774">
        <v>72</v>
      </c>
      <c r="I1774" t="s">
        <v>9238</v>
      </c>
    </row>
    <row r="1775" spans="2:9" x14ac:dyDescent="0.25">
      <c r="B1775">
        <v>278</v>
      </c>
      <c r="C1775" t="s">
        <v>6974</v>
      </c>
      <c r="D1775" t="s">
        <v>9229</v>
      </c>
      <c r="E1775">
        <v>192</v>
      </c>
      <c r="F1775" s="6">
        <v>6200000000</v>
      </c>
      <c r="H1775">
        <v>343</v>
      </c>
      <c r="I1775" t="s">
        <v>9239</v>
      </c>
    </row>
    <row r="1776" spans="2:9" x14ac:dyDescent="0.25">
      <c r="B1776">
        <v>460</v>
      </c>
      <c r="C1776" t="s">
        <v>7165</v>
      </c>
      <c r="D1776" t="s">
        <v>191</v>
      </c>
      <c r="E1776">
        <v>183</v>
      </c>
      <c r="F1776" s="6">
        <v>4250000000</v>
      </c>
      <c r="H1776">
        <v>541</v>
      </c>
      <c r="I1776" t="s">
        <v>9240</v>
      </c>
    </row>
    <row r="1777" spans="2:9" x14ac:dyDescent="0.25">
      <c r="B1777">
        <v>10</v>
      </c>
      <c r="C1777" t="s">
        <v>6978</v>
      </c>
      <c r="D1777" t="s">
        <v>5976</v>
      </c>
      <c r="E1777">
        <v>178</v>
      </c>
      <c r="F1777" s="6">
        <v>5700000000</v>
      </c>
      <c r="H1777">
        <v>52</v>
      </c>
      <c r="I1777" t="s">
        <v>9241</v>
      </c>
    </row>
    <row r="1778" spans="2:9" x14ac:dyDescent="0.25">
      <c r="B1778">
        <v>21</v>
      </c>
      <c r="C1778" t="s">
        <v>7169</v>
      </c>
      <c r="D1778" t="s">
        <v>5997</v>
      </c>
      <c r="E1778">
        <v>171</v>
      </c>
      <c r="F1778" s="6">
        <v>5700000000</v>
      </c>
      <c r="H1778">
        <v>63</v>
      </c>
      <c r="I1778" t="s">
        <v>9242</v>
      </c>
    </row>
    <row r="1779" spans="2:9" x14ac:dyDescent="0.25">
      <c r="B1779">
        <v>242</v>
      </c>
      <c r="C1779" t="s">
        <v>6982</v>
      </c>
      <c r="D1779" t="s">
        <v>9229</v>
      </c>
      <c r="E1779">
        <v>165</v>
      </c>
      <c r="F1779" s="6">
        <v>6200000000</v>
      </c>
      <c r="H1779">
        <v>307</v>
      </c>
      <c r="I1779" t="s">
        <v>9243</v>
      </c>
    </row>
    <row r="1780" spans="2:9" x14ac:dyDescent="0.25">
      <c r="B1780">
        <v>462</v>
      </c>
      <c r="C1780" t="s">
        <v>7173</v>
      </c>
      <c r="D1780" t="s">
        <v>191</v>
      </c>
      <c r="E1780">
        <v>165</v>
      </c>
      <c r="F1780" s="6">
        <v>440000000</v>
      </c>
      <c r="H1780">
        <v>543</v>
      </c>
      <c r="I1780" t="s">
        <v>9244</v>
      </c>
    </row>
    <row r="1781" spans="2:9" x14ac:dyDescent="0.25">
      <c r="B1781">
        <v>445</v>
      </c>
      <c r="C1781" t="s">
        <v>6986</v>
      </c>
      <c r="D1781" t="s">
        <v>191</v>
      </c>
      <c r="E1781">
        <v>160</v>
      </c>
      <c r="F1781" s="6">
        <v>4300000000</v>
      </c>
      <c r="H1781">
        <v>526</v>
      </c>
      <c r="I1781" t="s">
        <v>9245</v>
      </c>
    </row>
    <row r="1782" spans="2:9" x14ac:dyDescent="0.25">
      <c r="B1782">
        <v>39</v>
      </c>
      <c r="C1782" t="s">
        <v>7177</v>
      </c>
      <c r="D1782" t="s">
        <v>5997</v>
      </c>
      <c r="E1782">
        <v>159</v>
      </c>
      <c r="F1782" s="6">
        <v>5700000000</v>
      </c>
      <c r="H1782">
        <v>81</v>
      </c>
      <c r="I1782" t="s">
        <v>9246</v>
      </c>
    </row>
    <row r="1783" spans="2:9" x14ac:dyDescent="0.25">
      <c r="B1783">
        <v>64</v>
      </c>
      <c r="C1783" t="s">
        <v>6990</v>
      </c>
      <c r="D1783" t="s">
        <v>5997</v>
      </c>
      <c r="E1783">
        <v>157</v>
      </c>
      <c r="F1783" s="6">
        <v>5900000000</v>
      </c>
      <c r="H1783">
        <v>106</v>
      </c>
      <c r="I1783" t="s">
        <v>9247</v>
      </c>
    </row>
    <row r="1784" spans="2:9" x14ac:dyDescent="0.25">
      <c r="B1784">
        <v>520</v>
      </c>
      <c r="C1784" t="s">
        <v>5757</v>
      </c>
      <c r="D1784" t="s">
        <v>2796</v>
      </c>
      <c r="E1784">
        <v>150</v>
      </c>
      <c r="F1784" s="6">
        <v>3450000000</v>
      </c>
      <c r="H1784">
        <v>613</v>
      </c>
      <c r="I1784" t="s">
        <v>9248</v>
      </c>
    </row>
    <row r="1785" spans="2:9" x14ac:dyDescent="0.25">
      <c r="B1785">
        <v>95</v>
      </c>
      <c r="C1785" t="s">
        <v>6994</v>
      </c>
      <c r="D1785" t="s">
        <v>5976</v>
      </c>
      <c r="E1785">
        <v>147</v>
      </c>
      <c r="F1785" s="6">
        <v>5900000000</v>
      </c>
      <c r="H1785">
        <v>137</v>
      </c>
      <c r="I1785" t="s">
        <v>9249</v>
      </c>
    </row>
    <row r="1786" spans="2:9" x14ac:dyDescent="0.25">
      <c r="B1786">
        <v>551</v>
      </c>
      <c r="C1786" t="s">
        <v>5860</v>
      </c>
      <c r="D1786" t="s">
        <v>8026</v>
      </c>
      <c r="E1786">
        <v>144</v>
      </c>
      <c r="F1786" s="6">
        <v>5300000000</v>
      </c>
      <c r="H1786">
        <v>644</v>
      </c>
      <c r="I1786" t="s">
        <v>9250</v>
      </c>
    </row>
    <row r="1787" spans="2:9" x14ac:dyDescent="0.25">
      <c r="B1787">
        <v>261</v>
      </c>
      <c r="C1787" t="s">
        <v>6998</v>
      </c>
      <c r="D1787" t="s">
        <v>9229</v>
      </c>
      <c r="E1787">
        <v>139</v>
      </c>
      <c r="F1787" s="6">
        <v>6170000000</v>
      </c>
      <c r="H1787">
        <v>326</v>
      </c>
      <c r="I1787" t="s">
        <v>9251</v>
      </c>
    </row>
    <row r="1788" spans="2:9" x14ac:dyDescent="0.25">
      <c r="B1788">
        <v>152</v>
      </c>
      <c r="C1788" t="s">
        <v>7182</v>
      </c>
      <c r="D1788" t="s">
        <v>7181</v>
      </c>
      <c r="E1788">
        <v>136</v>
      </c>
      <c r="F1788" s="6">
        <v>3850000000</v>
      </c>
      <c r="H1788">
        <v>200</v>
      </c>
      <c r="I1788" t="s">
        <v>9252</v>
      </c>
    </row>
    <row r="1789" spans="2:9" x14ac:dyDescent="0.25">
      <c r="B1789">
        <v>46</v>
      </c>
      <c r="C1789" t="s">
        <v>7002</v>
      </c>
      <c r="D1789" t="s">
        <v>5997</v>
      </c>
      <c r="E1789">
        <v>134</v>
      </c>
      <c r="F1789" s="6">
        <v>5850000000</v>
      </c>
      <c r="H1789">
        <v>88</v>
      </c>
      <c r="I1789" t="s">
        <v>9253</v>
      </c>
    </row>
    <row r="1790" spans="2:9" x14ac:dyDescent="0.25">
      <c r="B1790">
        <v>257</v>
      </c>
      <c r="C1790" t="s">
        <v>7187</v>
      </c>
      <c r="D1790" t="s">
        <v>9229</v>
      </c>
      <c r="E1790">
        <v>134</v>
      </c>
      <c r="F1790" s="6">
        <v>6200000000</v>
      </c>
      <c r="H1790">
        <v>322</v>
      </c>
      <c r="I1790" t="s">
        <v>9254</v>
      </c>
    </row>
    <row r="1791" spans="2:9" x14ac:dyDescent="0.25">
      <c r="B1791">
        <v>207</v>
      </c>
      <c r="C1791" t="s">
        <v>7006</v>
      </c>
      <c r="D1791" t="s">
        <v>8183</v>
      </c>
      <c r="E1791">
        <v>130</v>
      </c>
      <c r="F1791" s="6">
        <v>6420000000</v>
      </c>
      <c r="H1791">
        <v>272</v>
      </c>
      <c r="I1791" t="s">
        <v>9255</v>
      </c>
    </row>
    <row r="1792" spans="2:9" x14ac:dyDescent="0.25">
      <c r="B1792">
        <v>279</v>
      </c>
      <c r="C1792" t="s">
        <v>7190</v>
      </c>
      <c r="D1792" t="s">
        <v>9229</v>
      </c>
      <c r="E1792">
        <v>130</v>
      </c>
      <c r="F1792" s="6">
        <v>6200000000</v>
      </c>
      <c r="H1792">
        <v>344</v>
      </c>
      <c r="I1792" t="s">
        <v>9256</v>
      </c>
    </row>
    <row r="1793" spans="2:9" x14ac:dyDescent="0.25">
      <c r="B1793">
        <v>367</v>
      </c>
      <c r="C1793" t="s">
        <v>7010</v>
      </c>
      <c r="D1793" t="s">
        <v>5585</v>
      </c>
      <c r="E1793">
        <v>130</v>
      </c>
      <c r="F1793" s="6">
        <v>9800000000</v>
      </c>
      <c r="H1793">
        <v>434</v>
      </c>
      <c r="I1793" t="s">
        <v>9257</v>
      </c>
    </row>
    <row r="1794" spans="2:9" x14ac:dyDescent="0.25">
      <c r="B1794">
        <v>273</v>
      </c>
      <c r="C1794" t="s">
        <v>7194</v>
      </c>
      <c r="D1794" t="s">
        <v>9229</v>
      </c>
      <c r="E1794">
        <v>129</v>
      </c>
      <c r="F1794" s="6">
        <v>6200000000</v>
      </c>
      <c r="H1794">
        <v>338</v>
      </c>
      <c r="I1794" t="s">
        <v>9258</v>
      </c>
    </row>
    <row r="1795" spans="2:9" x14ac:dyDescent="0.25">
      <c r="B1795">
        <v>465</v>
      </c>
      <c r="C1795" t="s">
        <v>7014</v>
      </c>
      <c r="D1795" t="s">
        <v>2644</v>
      </c>
      <c r="E1795">
        <v>128</v>
      </c>
      <c r="F1795" s="6">
        <v>4150000000</v>
      </c>
      <c r="H1795">
        <v>552</v>
      </c>
      <c r="I1795" t="s">
        <v>9259</v>
      </c>
    </row>
    <row r="1796" spans="2:9" x14ac:dyDescent="0.25">
      <c r="B1796">
        <v>247</v>
      </c>
      <c r="C1796" t="s">
        <v>7198</v>
      </c>
      <c r="D1796" t="s">
        <v>9229</v>
      </c>
      <c r="E1796">
        <v>127</v>
      </c>
      <c r="F1796" s="6">
        <v>6200000000</v>
      </c>
      <c r="H1796">
        <v>312</v>
      </c>
      <c r="I1796" t="s">
        <v>9260</v>
      </c>
    </row>
    <row r="1797" spans="2:9" x14ac:dyDescent="0.25">
      <c r="B1797">
        <v>531</v>
      </c>
      <c r="C1797" t="s">
        <v>5811</v>
      </c>
      <c r="D1797" t="s">
        <v>191</v>
      </c>
      <c r="E1797">
        <v>126</v>
      </c>
      <c r="F1797" s="6">
        <v>4250000000</v>
      </c>
      <c r="H1797">
        <v>624</v>
      </c>
      <c r="I1797" t="s">
        <v>9261</v>
      </c>
    </row>
    <row r="1798" spans="2:9" x14ac:dyDescent="0.25">
      <c r="B1798">
        <v>384</v>
      </c>
      <c r="C1798" t="s">
        <v>5556</v>
      </c>
      <c r="D1798" t="s">
        <v>8035</v>
      </c>
      <c r="E1798">
        <v>124</v>
      </c>
      <c r="F1798" s="6">
        <v>5700000000</v>
      </c>
      <c r="H1798">
        <v>451</v>
      </c>
      <c r="I1798" t="s">
        <v>9262</v>
      </c>
    </row>
    <row r="1799" spans="2:9" x14ac:dyDescent="0.25">
      <c r="B1799">
        <v>40</v>
      </c>
      <c r="C1799" t="s">
        <v>7018</v>
      </c>
      <c r="D1799" t="s">
        <v>5997</v>
      </c>
      <c r="E1799">
        <v>123</v>
      </c>
      <c r="F1799" s="6">
        <v>5700000000</v>
      </c>
      <c r="H1799">
        <v>82</v>
      </c>
      <c r="I1799" t="s">
        <v>9263</v>
      </c>
    </row>
    <row r="1800" spans="2:9" x14ac:dyDescent="0.25">
      <c r="B1800">
        <v>154</v>
      </c>
      <c r="C1800" t="s">
        <v>7203</v>
      </c>
      <c r="D1800" t="s">
        <v>7202</v>
      </c>
      <c r="E1800">
        <v>123</v>
      </c>
      <c r="F1800" s="6">
        <v>3850000000</v>
      </c>
      <c r="H1800">
        <v>203</v>
      </c>
      <c r="I1800" t="s">
        <v>9264</v>
      </c>
    </row>
    <row r="1801" spans="2:9" x14ac:dyDescent="0.25">
      <c r="B1801">
        <v>248</v>
      </c>
      <c r="C1801" t="s">
        <v>7022</v>
      </c>
      <c r="D1801" t="s">
        <v>9229</v>
      </c>
      <c r="E1801">
        <v>120</v>
      </c>
      <c r="F1801" s="6">
        <v>6200000000</v>
      </c>
      <c r="H1801">
        <v>313</v>
      </c>
      <c r="I1801" t="s">
        <v>9265</v>
      </c>
    </row>
    <row r="1802" spans="2:9" x14ac:dyDescent="0.25">
      <c r="B1802">
        <v>111</v>
      </c>
      <c r="C1802" t="s">
        <v>7207</v>
      </c>
      <c r="D1802" t="s">
        <v>3521</v>
      </c>
      <c r="E1802">
        <v>119</v>
      </c>
      <c r="F1802" s="6">
        <v>6120000000</v>
      </c>
      <c r="H1802">
        <v>153</v>
      </c>
      <c r="I1802" t="s">
        <v>9266</v>
      </c>
    </row>
    <row r="1803" spans="2:9" x14ac:dyDescent="0.25">
      <c r="B1803">
        <v>285</v>
      </c>
      <c r="C1803" t="s">
        <v>7026</v>
      </c>
      <c r="D1803" t="s">
        <v>9229</v>
      </c>
      <c r="E1803">
        <v>115</v>
      </c>
      <c r="F1803" s="6">
        <v>6200000000</v>
      </c>
      <c r="H1803">
        <v>350</v>
      </c>
      <c r="I1803" t="s">
        <v>9267</v>
      </c>
    </row>
    <row r="1804" spans="2:9" x14ac:dyDescent="0.25">
      <c r="B1804">
        <v>213</v>
      </c>
      <c r="C1804" t="s">
        <v>7212</v>
      </c>
      <c r="D1804" t="s">
        <v>7211</v>
      </c>
      <c r="E1804">
        <v>112</v>
      </c>
      <c r="F1804" s="6">
        <v>6200000000</v>
      </c>
      <c r="H1804">
        <v>278</v>
      </c>
      <c r="I1804" t="s">
        <v>9268</v>
      </c>
    </row>
    <row r="1805" spans="2:9" x14ac:dyDescent="0.25">
      <c r="B1805">
        <v>147</v>
      </c>
      <c r="C1805" t="s">
        <v>7030</v>
      </c>
      <c r="D1805" t="s">
        <v>2476</v>
      </c>
      <c r="E1805">
        <v>111</v>
      </c>
      <c r="F1805" s="6">
        <v>3800000000</v>
      </c>
      <c r="H1805">
        <v>193</v>
      </c>
      <c r="I1805" t="s">
        <v>9269</v>
      </c>
    </row>
    <row r="1806" spans="2:9" x14ac:dyDescent="0.25">
      <c r="B1806">
        <v>97</v>
      </c>
      <c r="C1806" t="s">
        <v>7217</v>
      </c>
      <c r="D1806" t="s">
        <v>5976</v>
      </c>
      <c r="E1806">
        <v>110</v>
      </c>
      <c r="F1806" s="6">
        <v>5950000000</v>
      </c>
      <c r="H1806">
        <v>139</v>
      </c>
      <c r="I1806" t="s">
        <v>9270</v>
      </c>
    </row>
    <row r="1807" spans="2:9" x14ac:dyDescent="0.25">
      <c r="B1807">
        <v>282</v>
      </c>
      <c r="C1807" t="s">
        <v>7034</v>
      </c>
      <c r="D1807" t="s">
        <v>9229</v>
      </c>
      <c r="E1807">
        <v>110</v>
      </c>
      <c r="F1807" s="6">
        <v>6200000000</v>
      </c>
      <c r="H1807">
        <v>347</v>
      </c>
      <c r="I1807" t="s">
        <v>9271</v>
      </c>
    </row>
    <row r="1808" spans="2:9" x14ac:dyDescent="0.25">
      <c r="B1808">
        <v>275</v>
      </c>
      <c r="C1808" t="s">
        <v>7221</v>
      </c>
      <c r="D1808" t="s">
        <v>9229</v>
      </c>
      <c r="E1808">
        <v>108</v>
      </c>
      <c r="F1808" s="6">
        <v>6200000000</v>
      </c>
      <c r="H1808">
        <v>340</v>
      </c>
      <c r="I1808" t="s">
        <v>9272</v>
      </c>
    </row>
    <row r="1809" spans="2:9" x14ac:dyDescent="0.25">
      <c r="B1809">
        <v>286</v>
      </c>
      <c r="C1809" t="s">
        <v>7038</v>
      </c>
      <c r="D1809" t="s">
        <v>9229</v>
      </c>
      <c r="E1809">
        <v>107</v>
      </c>
      <c r="F1809" s="6">
        <v>6200000000</v>
      </c>
      <c r="H1809">
        <v>351</v>
      </c>
      <c r="I1809" t="s">
        <v>9273</v>
      </c>
    </row>
    <row r="1810" spans="2:9" x14ac:dyDescent="0.25">
      <c r="B1810">
        <v>268</v>
      </c>
      <c r="C1810" t="s">
        <v>7225</v>
      </c>
      <c r="D1810" t="s">
        <v>9229</v>
      </c>
      <c r="E1810">
        <v>105</v>
      </c>
      <c r="F1810" s="6">
        <v>6200000000</v>
      </c>
      <c r="H1810">
        <v>333</v>
      </c>
      <c r="I1810" t="s">
        <v>9274</v>
      </c>
    </row>
    <row r="1811" spans="2:9" x14ac:dyDescent="0.25">
      <c r="B1811">
        <v>31</v>
      </c>
      <c r="C1811" t="s">
        <v>7042</v>
      </c>
      <c r="D1811" t="s">
        <v>5997</v>
      </c>
      <c r="E1811">
        <v>103</v>
      </c>
      <c r="F1811" s="6">
        <v>5650000000</v>
      </c>
      <c r="H1811">
        <v>73</v>
      </c>
      <c r="I1811" t="s">
        <v>9275</v>
      </c>
    </row>
    <row r="1812" spans="2:9" x14ac:dyDescent="0.25">
      <c r="B1812">
        <v>62</v>
      </c>
      <c r="C1812" t="s">
        <v>7229</v>
      </c>
      <c r="D1812" t="s">
        <v>5976</v>
      </c>
      <c r="E1812">
        <v>103</v>
      </c>
      <c r="F1812" s="6">
        <v>5900000000</v>
      </c>
      <c r="H1812">
        <v>104</v>
      </c>
      <c r="I1812" t="s">
        <v>9276</v>
      </c>
    </row>
    <row r="1813" spans="2:9" x14ac:dyDescent="0.25">
      <c r="B1813">
        <v>188</v>
      </c>
      <c r="C1813" t="s">
        <v>7046</v>
      </c>
      <c r="D1813" t="s">
        <v>8534</v>
      </c>
      <c r="E1813">
        <v>103</v>
      </c>
      <c r="F1813" s="6">
        <v>5650000000</v>
      </c>
      <c r="H1813">
        <v>253</v>
      </c>
      <c r="I1813" t="s">
        <v>9277</v>
      </c>
    </row>
    <row r="1814" spans="2:9" x14ac:dyDescent="0.25">
      <c r="B1814">
        <v>244</v>
      </c>
      <c r="C1814" t="s">
        <v>7233</v>
      </c>
      <c r="D1814" t="s">
        <v>9229</v>
      </c>
      <c r="E1814">
        <v>103</v>
      </c>
      <c r="F1814" s="6">
        <v>6200000000</v>
      </c>
      <c r="H1814">
        <v>309</v>
      </c>
      <c r="I1814" t="s">
        <v>9278</v>
      </c>
    </row>
    <row r="1815" spans="2:9" x14ac:dyDescent="0.25">
      <c r="B1815">
        <v>108</v>
      </c>
      <c r="C1815" t="s">
        <v>7050</v>
      </c>
      <c r="D1815" t="s">
        <v>5976</v>
      </c>
      <c r="E1815">
        <v>100</v>
      </c>
      <c r="F1815" s="6">
        <v>5950000000</v>
      </c>
      <c r="H1815">
        <v>150</v>
      </c>
      <c r="I1815" t="s">
        <v>9279</v>
      </c>
    </row>
    <row r="1816" spans="2:9" x14ac:dyDescent="0.25">
      <c r="B1816">
        <v>403</v>
      </c>
      <c r="C1816" t="s">
        <v>7237</v>
      </c>
      <c r="D1816" t="s">
        <v>8035</v>
      </c>
      <c r="E1816">
        <v>100</v>
      </c>
      <c r="F1816" s="6">
        <v>5700000000</v>
      </c>
      <c r="H1816">
        <v>470</v>
      </c>
      <c r="I1816" t="s">
        <v>9280</v>
      </c>
    </row>
    <row r="1817" spans="2:9" x14ac:dyDescent="0.25">
      <c r="B1817">
        <v>430</v>
      </c>
      <c r="C1817" t="s">
        <v>7053</v>
      </c>
      <c r="D1817" t="s">
        <v>2706</v>
      </c>
      <c r="E1817">
        <v>100</v>
      </c>
      <c r="F1817" s="6">
        <v>2500000000</v>
      </c>
      <c r="H1817">
        <v>507</v>
      </c>
      <c r="I1817" t="s">
        <v>9281</v>
      </c>
    </row>
    <row r="1818" spans="2:9" x14ac:dyDescent="0.25">
      <c r="B1818">
        <v>431</v>
      </c>
      <c r="C1818" t="s">
        <v>7241</v>
      </c>
      <c r="D1818" t="s">
        <v>2706</v>
      </c>
      <c r="E1818">
        <v>100</v>
      </c>
      <c r="F1818" s="6">
        <v>2500000000</v>
      </c>
      <c r="H1818">
        <v>508</v>
      </c>
      <c r="I1818" t="s">
        <v>9282</v>
      </c>
    </row>
    <row r="1819" spans="2:9" x14ac:dyDescent="0.25">
      <c r="B1819">
        <v>432</v>
      </c>
      <c r="C1819" t="s">
        <v>7057</v>
      </c>
      <c r="D1819" t="s">
        <v>2706</v>
      </c>
      <c r="E1819">
        <v>100</v>
      </c>
      <c r="F1819" s="6">
        <v>2500000000</v>
      </c>
      <c r="H1819">
        <v>509</v>
      </c>
      <c r="I1819" t="s">
        <v>9283</v>
      </c>
    </row>
    <row r="1820" spans="2:9" x14ac:dyDescent="0.25">
      <c r="B1820">
        <v>434</v>
      </c>
      <c r="C1820" t="s">
        <v>7245</v>
      </c>
      <c r="D1820" t="s">
        <v>2568</v>
      </c>
      <c r="E1820">
        <v>100</v>
      </c>
      <c r="F1820" s="6">
        <v>2900000000</v>
      </c>
      <c r="H1820">
        <v>513</v>
      </c>
      <c r="I1820" t="s">
        <v>9284</v>
      </c>
    </row>
    <row r="1821" spans="2:9" x14ac:dyDescent="0.25">
      <c r="B1821">
        <v>435</v>
      </c>
      <c r="C1821" t="s">
        <v>7061</v>
      </c>
      <c r="D1821" t="s">
        <v>2568</v>
      </c>
      <c r="E1821">
        <v>100</v>
      </c>
      <c r="F1821" s="6">
        <v>3400000000</v>
      </c>
      <c r="H1821">
        <v>515</v>
      </c>
      <c r="I1821" t="s">
        <v>9285</v>
      </c>
    </row>
    <row r="1822" spans="2:9" x14ac:dyDescent="0.25">
      <c r="B1822">
        <v>474</v>
      </c>
      <c r="C1822" t="s">
        <v>7250</v>
      </c>
      <c r="D1822" t="s">
        <v>7249</v>
      </c>
      <c r="E1822">
        <v>100</v>
      </c>
      <c r="F1822" s="6">
        <v>3500000000</v>
      </c>
      <c r="H1822">
        <v>561</v>
      </c>
      <c r="I1822" t="s">
        <v>9286</v>
      </c>
    </row>
    <row r="1823" spans="2:9" x14ac:dyDescent="0.25">
      <c r="B1823">
        <v>501</v>
      </c>
      <c r="C1823" t="s">
        <v>7065</v>
      </c>
      <c r="D1823" t="s">
        <v>6308</v>
      </c>
      <c r="E1823">
        <v>100</v>
      </c>
      <c r="F1823" s="6">
        <v>10900000000</v>
      </c>
      <c r="H1823">
        <v>591</v>
      </c>
      <c r="I1823" t="s">
        <v>9287</v>
      </c>
    </row>
    <row r="1824" spans="2:9" x14ac:dyDescent="0.25">
      <c r="B1824">
        <v>503</v>
      </c>
      <c r="C1824" t="s">
        <v>7256</v>
      </c>
      <c r="D1824" t="s">
        <v>8035</v>
      </c>
      <c r="E1824">
        <v>100</v>
      </c>
      <c r="F1824" s="6">
        <v>5000000000</v>
      </c>
      <c r="H1824">
        <v>593</v>
      </c>
      <c r="I1824" t="s">
        <v>9288</v>
      </c>
    </row>
    <row r="1825" spans="2:9" x14ac:dyDescent="0.25">
      <c r="B1825">
        <v>507</v>
      </c>
      <c r="C1825" t="s">
        <v>7069</v>
      </c>
      <c r="D1825" t="s">
        <v>316</v>
      </c>
      <c r="E1825">
        <v>100</v>
      </c>
      <c r="F1825" s="6">
        <v>2500000000</v>
      </c>
      <c r="H1825">
        <v>597</v>
      </c>
      <c r="I1825" t="s">
        <v>9289</v>
      </c>
    </row>
    <row r="1826" spans="2:9" x14ac:dyDescent="0.25">
      <c r="B1826">
        <v>336</v>
      </c>
      <c r="C1826" t="s">
        <v>7260</v>
      </c>
      <c r="D1826" t="s">
        <v>5834</v>
      </c>
      <c r="E1826">
        <v>99</v>
      </c>
      <c r="F1826" s="6">
        <v>5300000000</v>
      </c>
      <c r="H1826">
        <v>401</v>
      </c>
      <c r="I1826" t="s">
        <v>9290</v>
      </c>
    </row>
    <row r="1827" spans="2:9" x14ac:dyDescent="0.25">
      <c r="B1827">
        <v>498</v>
      </c>
      <c r="C1827" t="s">
        <v>7073</v>
      </c>
      <c r="D1827" t="s">
        <v>3478</v>
      </c>
      <c r="E1827">
        <v>99</v>
      </c>
      <c r="F1827" s="6">
        <v>6200000000</v>
      </c>
      <c r="H1827">
        <v>588</v>
      </c>
      <c r="I1827" t="s">
        <v>9291</v>
      </c>
    </row>
    <row r="1828" spans="2:9" x14ac:dyDescent="0.25">
      <c r="B1828">
        <v>13</v>
      </c>
      <c r="C1828" t="s">
        <v>7264</v>
      </c>
      <c r="D1828" t="s">
        <v>5976</v>
      </c>
      <c r="E1828">
        <v>97</v>
      </c>
      <c r="F1828" s="6">
        <v>5700000000</v>
      </c>
      <c r="H1828">
        <v>55</v>
      </c>
      <c r="I1828" t="s">
        <v>9292</v>
      </c>
    </row>
    <row r="1829" spans="2:9" x14ac:dyDescent="0.25">
      <c r="B1829">
        <v>71</v>
      </c>
      <c r="C1829" t="s">
        <v>7077</v>
      </c>
      <c r="D1829" t="s">
        <v>5970</v>
      </c>
      <c r="E1829">
        <v>97</v>
      </c>
      <c r="F1829" s="6">
        <v>5900000000</v>
      </c>
      <c r="H1829">
        <v>113</v>
      </c>
      <c r="I1829" t="s">
        <v>9293</v>
      </c>
    </row>
    <row r="1830" spans="2:9" x14ac:dyDescent="0.25">
      <c r="B1830">
        <v>393</v>
      </c>
      <c r="C1830" t="s">
        <v>4604</v>
      </c>
      <c r="D1830" t="s">
        <v>8026</v>
      </c>
      <c r="E1830">
        <v>97</v>
      </c>
      <c r="F1830" s="6">
        <v>5450000000</v>
      </c>
      <c r="H1830">
        <v>460</v>
      </c>
      <c r="I1830" t="s">
        <v>9294</v>
      </c>
    </row>
    <row r="1831" spans="2:9" x14ac:dyDescent="0.25">
      <c r="B1831">
        <v>9</v>
      </c>
      <c r="C1831" t="s">
        <v>7081</v>
      </c>
      <c r="D1831" t="s">
        <v>5976</v>
      </c>
      <c r="E1831">
        <v>96</v>
      </c>
      <c r="F1831" s="6">
        <v>5650000000</v>
      </c>
      <c r="H1831">
        <v>51</v>
      </c>
      <c r="I1831" t="s">
        <v>9295</v>
      </c>
    </row>
    <row r="1832" spans="2:9" x14ac:dyDescent="0.25">
      <c r="B1832">
        <v>53</v>
      </c>
      <c r="C1832" t="s">
        <v>7268</v>
      </c>
      <c r="D1832" t="s">
        <v>5970</v>
      </c>
      <c r="E1832">
        <v>96</v>
      </c>
      <c r="F1832" s="6">
        <v>5950000000</v>
      </c>
      <c r="H1832">
        <v>95</v>
      </c>
      <c r="I1832" t="s">
        <v>9296</v>
      </c>
    </row>
    <row r="1833" spans="2:9" x14ac:dyDescent="0.25">
      <c r="B1833">
        <v>364</v>
      </c>
      <c r="C1833" t="s">
        <v>7086</v>
      </c>
      <c r="D1833" t="s">
        <v>7085</v>
      </c>
      <c r="E1833">
        <v>96</v>
      </c>
      <c r="F1833" s="6">
        <v>10000000000</v>
      </c>
      <c r="H1833">
        <v>431</v>
      </c>
      <c r="I1833" t="s">
        <v>9297</v>
      </c>
    </row>
    <row r="1834" spans="2:9" x14ac:dyDescent="0.25">
      <c r="B1834">
        <v>11</v>
      </c>
      <c r="C1834" t="s">
        <v>7272</v>
      </c>
      <c r="D1834" t="s">
        <v>5997</v>
      </c>
      <c r="E1834">
        <v>95</v>
      </c>
      <c r="F1834" s="6">
        <v>5650000000</v>
      </c>
      <c r="H1834">
        <v>53</v>
      </c>
      <c r="I1834" t="s">
        <v>9298</v>
      </c>
    </row>
    <row r="1835" spans="2:9" x14ac:dyDescent="0.25">
      <c r="B1835">
        <v>89</v>
      </c>
      <c r="C1835" t="s">
        <v>7090</v>
      </c>
      <c r="D1835" t="s">
        <v>5970</v>
      </c>
      <c r="E1835">
        <v>95</v>
      </c>
      <c r="F1835" s="6">
        <v>5900000000</v>
      </c>
      <c r="H1835">
        <v>131</v>
      </c>
      <c r="I1835" t="s">
        <v>9299</v>
      </c>
    </row>
    <row r="1836" spans="2:9" x14ac:dyDescent="0.25">
      <c r="B1836">
        <v>208</v>
      </c>
      <c r="C1836" t="s">
        <v>7276</v>
      </c>
      <c r="D1836" t="s">
        <v>7211</v>
      </c>
      <c r="E1836">
        <v>95</v>
      </c>
      <c r="F1836" s="6">
        <v>6100000000</v>
      </c>
      <c r="H1836">
        <v>273</v>
      </c>
      <c r="I1836" t="s">
        <v>9300</v>
      </c>
    </row>
    <row r="1837" spans="2:9" x14ac:dyDescent="0.25">
      <c r="B1837">
        <v>251</v>
      </c>
      <c r="C1837" t="s">
        <v>7094</v>
      </c>
      <c r="D1837" t="s">
        <v>9229</v>
      </c>
      <c r="E1837">
        <v>95</v>
      </c>
      <c r="F1837" s="6">
        <v>6150000000</v>
      </c>
      <c r="H1837">
        <v>316</v>
      </c>
      <c r="I1837" t="s">
        <v>9301</v>
      </c>
    </row>
    <row r="1838" spans="2:9" x14ac:dyDescent="0.25">
      <c r="B1838">
        <v>266</v>
      </c>
      <c r="C1838" t="s">
        <v>7280</v>
      </c>
      <c r="D1838" t="s">
        <v>9229</v>
      </c>
      <c r="E1838">
        <v>95</v>
      </c>
      <c r="F1838" s="6">
        <v>6150000000</v>
      </c>
      <c r="H1838">
        <v>331</v>
      </c>
      <c r="I1838" t="s">
        <v>9302</v>
      </c>
    </row>
    <row r="1839" spans="2:9" x14ac:dyDescent="0.25">
      <c r="B1839">
        <v>133</v>
      </c>
      <c r="C1839" t="s">
        <v>7098</v>
      </c>
      <c r="D1839" t="s">
        <v>2476</v>
      </c>
      <c r="E1839">
        <v>94</v>
      </c>
      <c r="F1839" s="6">
        <v>3850000000</v>
      </c>
      <c r="H1839">
        <v>176</v>
      </c>
      <c r="I1839" t="s">
        <v>9303</v>
      </c>
    </row>
    <row r="1840" spans="2:9" x14ac:dyDescent="0.25">
      <c r="B1840">
        <v>38</v>
      </c>
      <c r="C1840" t="s">
        <v>7284</v>
      </c>
      <c r="D1840" t="s">
        <v>5997</v>
      </c>
      <c r="E1840">
        <v>93</v>
      </c>
      <c r="F1840" s="6">
        <v>5700000000</v>
      </c>
      <c r="H1840">
        <v>80</v>
      </c>
      <c r="I1840" t="s">
        <v>9304</v>
      </c>
    </row>
    <row r="1841" spans="2:9" x14ac:dyDescent="0.25">
      <c r="B1841">
        <v>72</v>
      </c>
      <c r="C1841" t="s">
        <v>7102</v>
      </c>
      <c r="D1841" t="s">
        <v>6029</v>
      </c>
      <c r="E1841">
        <v>93</v>
      </c>
      <c r="F1841" s="6">
        <v>5900000000</v>
      </c>
      <c r="H1841">
        <v>114</v>
      </c>
      <c r="I1841" t="s">
        <v>9305</v>
      </c>
    </row>
    <row r="1842" spans="2:9" x14ac:dyDescent="0.25">
      <c r="B1842">
        <v>287</v>
      </c>
      <c r="C1842" t="s">
        <v>7287</v>
      </c>
      <c r="D1842" t="s">
        <v>9229</v>
      </c>
      <c r="E1842">
        <v>92</v>
      </c>
      <c r="F1842" s="6">
        <v>6200000000</v>
      </c>
      <c r="H1842">
        <v>352</v>
      </c>
      <c r="I1842" t="s">
        <v>9306</v>
      </c>
    </row>
    <row r="1843" spans="2:9" x14ac:dyDescent="0.25">
      <c r="B1843">
        <v>93</v>
      </c>
      <c r="C1843" t="s">
        <v>7106</v>
      </c>
      <c r="D1843" t="s">
        <v>5970</v>
      </c>
      <c r="E1843">
        <v>91</v>
      </c>
      <c r="F1843" s="6">
        <v>5950000000</v>
      </c>
      <c r="H1843">
        <v>135</v>
      </c>
      <c r="I1843" t="s">
        <v>9307</v>
      </c>
    </row>
    <row r="1844" spans="2:9" x14ac:dyDescent="0.25">
      <c r="B1844">
        <v>41</v>
      </c>
      <c r="C1844" t="s">
        <v>7290</v>
      </c>
      <c r="D1844" t="s">
        <v>5997</v>
      </c>
      <c r="E1844">
        <v>90</v>
      </c>
      <c r="F1844" s="6">
        <v>5700000000</v>
      </c>
      <c r="H1844">
        <v>83</v>
      </c>
      <c r="I1844" t="s">
        <v>9308</v>
      </c>
    </row>
    <row r="1845" spans="2:9" x14ac:dyDescent="0.25">
      <c r="B1845">
        <v>37</v>
      </c>
      <c r="C1845" t="s">
        <v>7110</v>
      </c>
      <c r="D1845" t="s">
        <v>5997</v>
      </c>
      <c r="E1845">
        <v>89</v>
      </c>
      <c r="F1845" s="6">
        <v>5650000000</v>
      </c>
      <c r="H1845">
        <v>79</v>
      </c>
      <c r="I1845" t="s">
        <v>9309</v>
      </c>
    </row>
    <row r="1846" spans="2:9" x14ac:dyDescent="0.25">
      <c r="B1846">
        <v>65</v>
      </c>
      <c r="C1846" t="s">
        <v>7294</v>
      </c>
      <c r="D1846" t="s">
        <v>6029</v>
      </c>
      <c r="E1846">
        <v>89</v>
      </c>
      <c r="F1846" s="6">
        <v>5900000000</v>
      </c>
      <c r="H1846">
        <v>107</v>
      </c>
      <c r="I1846" t="s">
        <v>9310</v>
      </c>
    </row>
    <row r="1847" spans="2:9" x14ac:dyDescent="0.25">
      <c r="B1847">
        <v>74</v>
      </c>
      <c r="C1847" t="s">
        <v>7114</v>
      </c>
      <c r="D1847" t="s">
        <v>5970</v>
      </c>
      <c r="E1847">
        <v>89</v>
      </c>
      <c r="F1847" s="6">
        <v>5900000000</v>
      </c>
      <c r="H1847">
        <v>116</v>
      </c>
      <c r="I1847" t="s">
        <v>9311</v>
      </c>
    </row>
    <row r="1848" spans="2:9" x14ac:dyDescent="0.25">
      <c r="B1848">
        <v>276</v>
      </c>
      <c r="C1848" t="s">
        <v>7298</v>
      </c>
      <c r="D1848" t="s">
        <v>9229</v>
      </c>
      <c r="E1848">
        <v>89</v>
      </c>
      <c r="F1848" s="6">
        <v>6200000000</v>
      </c>
      <c r="H1848">
        <v>341</v>
      </c>
      <c r="I1848" t="s">
        <v>9312</v>
      </c>
    </row>
    <row r="1849" spans="2:9" x14ac:dyDescent="0.25">
      <c r="B1849">
        <v>113</v>
      </c>
      <c r="C1849" t="s">
        <v>7118</v>
      </c>
      <c r="D1849" t="s">
        <v>3478</v>
      </c>
      <c r="E1849">
        <v>87</v>
      </c>
      <c r="F1849" s="6">
        <v>6300000000</v>
      </c>
      <c r="H1849">
        <v>155</v>
      </c>
      <c r="I1849" t="s">
        <v>9313</v>
      </c>
    </row>
    <row r="1850" spans="2:9" x14ac:dyDescent="0.25">
      <c r="B1850">
        <v>252</v>
      </c>
      <c r="C1850" t="s">
        <v>7302</v>
      </c>
      <c r="D1850" t="s">
        <v>9229</v>
      </c>
      <c r="E1850">
        <v>87</v>
      </c>
      <c r="F1850" s="6">
        <v>6200000000</v>
      </c>
      <c r="H1850">
        <v>317</v>
      </c>
      <c r="I1850" t="s">
        <v>9314</v>
      </c>
    </row>
    <row r="1851" spans="2:9" x14ac:dyDescent="0.25">
      <c r="B1851">
        <v>271</v>
      </c>
      <c r="C1851" t="s">
        <v>7122</v>
      </c>
      <c r="D1851" t="s">
        <v>9229</v>
      </c>
      <c r="E1851">
        <v>87</v>
      </c>
      <c r="F1851" s="6">
        <v>6200000000</v>
      </c>
      <c r="H1851">
        <v>336</v>
      </c>
      <c r="I1851" t="s">
        <v>9315</v>
      </c>
    </row>
    <row r="1852" spans="2:9" x14ac:dyDescent="0.25">
      <c r="B1852">
        <v>281</v>
      </c>
      <c r="C1852" t="s">
        <v>7305</v>
      </c>
      <c r="D1852" t="s">
        <v>9229</v>
      </c>
      <c r="E1852">
        <v>87</v>
      </c>
      <c r="F1852" s="6">
        <v>6200000000</v>
      </c>
      <c r="H1852">
        <v>346</v>
      </c>
      <c r="I1852" t="s">
        <v>9316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B27D-2859-4718-8338-8FFF81381029}">
  <sheetPr codeName="Sheet5"/>
  <dimension ref="B1:I50"/>
  <sheetViews>
    <sheetView workbookViewId="0"/>
  </sheetViews>
  <sheetFormatPr defaultRowHeight="15" x14ac:dyDescent="0.25"/>
  <sheetData>
    <row r="1" spans="2:9" x14ac:dyDescent="0.25">
      <c r="B1">
        <v>407</v>
      </c>
      <c r="C1" t="s">
        <v>645</v>
      </c>
      <c r="D1" t="s">
        <v>191</v>
      </c>
      <c r="E1">
        <v>999999</v>
      </c>
      <c r="F1" s="6">
        <v>2000000000</v>
      </c>
      <c r="H1">
        <v>504</v>
      </c>
      <c r="I1" t="s">
        <v>9697</v>
      </c>
    </row>
    <row r="2" spans="2:9" x14ac:dyDescent="0.25">
      <c r="B2">
        <v>411</v>
      </c>
      <c r="C2" t="s">
        <v>2495</v>
      </c>
      <c r="D2" t="s">
        <v>191</v>
      </c>
      <c r="E2">
        <v>999999</v>
      </c>
      <c r="F2" s="6">
        <v>2300000000</v>
      </c>
      <c r="H2">
        <v>508</v>
      </c>
      <c r="I2" t="s">
        <v>9698</v>
      </c>
    </row>
    <row r="3" spans="2:9" x14ac:dyDescent="0.25">
      <c r="B3">
        <v>413</v>
      </c>
      <c r="C3" t="s">
        <v>3310</v>
      </c>
      <c r="D3" t="s">
        <v>3309</v>
      </c>
      <c r="E3">
        <v>999999</v>
      </c>
      <c r="F3" s="6">
        <v>3000000000</v>
      </c>
      <c r="H3">
        <v>510</v>
      </c>
      <c r="I3" t="s">
        <v>9699</v>
      </c>
    </row>
    <row r="4" spans="2:9" x14ac:dyDescent="0.25">
      <c r="B4">
        <v>431</v>
      </c>
      <c r="C4" t="s">
        <v>4388</v>
      </c>
      <c r="D4" t="s">
        <v>3521</v>
      </c>
      <c r="E4">
        <v>999999</v>
      </c>
      <c r="F4" s="6">
        <v>3600000000</v>
      </c>
      <c r="H4">
        <v>528</v>
      </c>
      <c r="I4" t="s">
        <v>9700</v>
      </c>
    </row>
    <row r="5" spans="2:9" x14ac:dyDescent="0.25">
      <c r="B5">
        <v>469</v>
      </c>
      <c r="C5" t="s">
        <v>4462</v>
      </c>
      <c r="D5" t="s">
        <v>3497</v>
      </c>
      <c r="E5">
        <v>999999</v>
      </c>
      <c r="F5" s="6">
        <v>3750000000</v>
      </c>
      <c r="H5">
        <v>573</v>
      </c>
      <c r="I5" t="s">
        <v>9701</v>
      </c>
    </row>
    <row r="6" spans="2:9" x14ac:dyDescent="0.25">
      <c r="B6">
        <v>510</v>
      </c>
      <c r="C6" t="s">
        <v>5644</v>
      </c>
      <c r="D6" t="s">
        <v>5585</v>
      </c>
      <c r="E6">
        <v>999999</v>
      </c>
      <c r="F6" s="6">
        <v>8150000000</v>
      </c>
      <c r="H6">
        <v>620</v>
      </c>
      <c r="I6" t="s">
        <v>9702</v>
      </c>
    </row>
    <row r="7" spans="2:9" x14ac:dyDescent="0.25">
      <c r="B7">
        <v>528</v>
      </c>
      <c r="C7" t="s">
        <v>3076</v>
      </c>
      <c r="D7" t="s">
        <v>3075</v>
      </c>
      <c r="E7">
        <v>999999</v>
      </c>
      <c r="F7" s="6">
        <v>2650000000</v>
      </c>
      <c r="H7">
        <v>638</v>
      </c>
      <c r="I7" t="s">
        <v>9703</v>
      </c>
    </row>
    <row r="8" spans="2:9" x14ac:dyDescent="0.25">
      <c r="B8">
        <v>479</v>
      </c>
      <c r="C8">
        <v>18901034</v>
      </c>
      <c r="D8" t="s">
        <v>213</v>
      </c>
      <c r="E8">
        <v>328695</v>
      </c>
      <c r="F8" s="6">
        <v>1000000000</v>
      </c>
      <c r="H8">
        <v>583</v>
      </c>
      <c r="I8" t="s">
        <v>9704</v>
      </c>
    </row>
    <row r="9" spans="2:9" x14ac:dyDescent="0.25">
      <c r="B9">
        <v>480</v>
      </c>
      <c r="C9" t="s">
        <v>258</v>
      </c>
      <c r="D9" t="s">
        <v>7931</v>
      </c>
      <c r="E9">
        <v>274640</v>
      </c>
      <c r="F9" s="6">
        <v>1580000000</v>
      </c>
      <c r="H9">
        <v>584</v>
      </c>
      <c r="I9" t="s">
        <v>9705</v>
      </c>
    </row>
    <row r="10" spans="2:9" x14ac:dyDescent="0.25">
      <c r="B10">
        <v>522</v>
      </c>
      <c r="C10" t="s">
        <v>353</v>
      </c>
      <c r="D10" t="s">
        <v>8581</v>
      </c>
      <c r="E10">
        <v>220151</v>
      </c>
      <c r="F10" s="6">
        <v>1750000000</v>
      </c>
      <c r="H10">
        <v>632</v>
      </c>
      <c r="I10" t="s">
        <v>9706</v>
      </c>
    </row>
    <row r="11" spans="2:9" x14ac:dyDescent="0.25">
      <c r="B11">
        <v>529</v>
      </c>
      <c r="C11" t="s">
        <v>1425</v>
      </c>
      <c r="D11" t="s">
        <v>1424</v>
      </c>
      <c r="E11">
        <v>184940</v>
      </c>
      <c r="F11" s="6">
        <v>2030000000</v>
      </c>
      <c r="H11">
        <v>639</v>
      </c>
      <c r="I11" t="s">
        <v>9707</v>
      </c>
    </row>
    <row r="12" spans="2:9" x14ac:dyDescent="0.25">
      <c r="B12">
        <v>521</v>
      </c>
      <c r="C12" t="s">
        <v>2805</v>
      </c>
      <c r="D12" t="s">
        <v>2804</v>
      </c>
      <c r="E12">
        <v>175907</v>
      </c>
      <c r="F12" s="6">
        <v>2500000000</v>
      </c>
      <c r="H12">
        <v>631</v>
      </c>
      <c r="I12" t="s">
        <v>9708</v>
      </c>
    </row>
    <row r="13" spans="2:9" x14ac:dyDescent="0.25">
      <c r="B13">
        <v>527</v>
      </c>
      <c r="C13" t="s">
        <v>2468</v>
      </c>
      <c r="D13" t="s">
        <v>2467</v>
      </c>
      <c r="E13">
        <v>172025</v>
      </c>
      <c r="F13" s="6">
        <v>2200000000</v>
      </c>
      <c r="H13">
        <v>637</v>
      </c>
      <c r="I13" t="s">
        <v>9709</v>
      </c>
    </row>
    <row r="14" spans="2:9" x14ac:dyDescent="0.25">
      <c r="B14">
        <v>531</v>
      </c>
      <c r="C14" t="s">
        <v>334</v>
      </c>
      <c r="D14" t="s">
        <v>333</v>
      </c>
      <c r="E14">
        <v>165265</v>
      </c>
      <c r="F14" s="6">
        <v>1700000000</v>
      </c>
      <c r="H14">
        <v>641</v>
      </c>
      <c r="I14" t="s">
        <v>9710</v>
      </c>
    </row>
    <row r="15" spans="2:9" x14ac:dyDescent="0.25">
      <c r="B15">
        <v>525</v>
      </c>
      <c r="C15" t="s">
        <v>286</v>
      </c>
      <c r="D15" t="s">
        <v>285</v>
      </c>
      <c r="E15">
        <v>153981</v>
      </c>
      <c r="F15" s="6">
        <v>1550000000</v>
      </c>
      <c r="H15">
        <v>635</v>
      </c>
      <c r="I15" t="s">
        <v>9711</v>
      </c>
    </row>
    <row r="16" spans="2:9" x14ac:dyDescent="0.25">
      <c r="B16">
        <v>524</v>
      </c>
      <c r="C16" t="s">
        <v>710</v>
      </c>
      <c r="D16" t="s">
        <v>709</v>
      </c>
      <c r="E16">
        <v>151291</v>
      </c>
      <c r="F16" s="6">
        <v>2000000000</v>
      </c>
      <c r="H16">
        <v>634</v>
      </c>
      <c r="I16" t="s">
        <v>9712</v>
      </c>
    </row>
    <row r="17" spans="2:9" x14ac:dyDescent="0.25">
      <c r="B17">
        <v>526</v>
      </c>
      <c r="C17" t="s">
        <v>277</v>
      </c>
      <c r="D17" t="s">
        <v>276</v>
      </c>
      <c r="E17">
        <v>134556</v>
      </c>
      <c r="F17" s="6">
        <v>1500000000</v>
      </c>
      <c r="H17">
        <v>636</v>
      </c>
      <c r="I17" t="s">
        <v>9713</v>
      </c>
    </row>
    <row r="18" spans="2:9" x14ac:dyDescent="0.25">
      <c r="B18">
        <v>474</v>
      </c>
      <c r="C18">
        <v>82901531</v>
      </c>
      <c r="D18" t="s">
        <v>106</v>
      </c>
      <c r="E18">
        <v>131923</v>
      </c>
      <c r="F18" s="6">
        <v>400000000</v>
      </c>
      <c r="H18">
        <v>578</v>
      </c>
      <c r="I18" t="s">
        <v>9714</v>
      </c>
    </row>
    <row r="19" spans="2:9" x14ac:dyDescent="0.25">
      <c r="B19">
        <v>530</v>
      </c>
      <c r="C19" t="s">
        <v>221</v>
      </c>
      <c r="D19" t="s">
        <v>8591</v>
      </c>
      <c r="E19">
        <v>100076</v>
      </c>
      <c r="F19" s="6">
        <v>1050000000</v>
      </c>
      <c r="H19">
        <v>640</v>
      </c>
      <c r="I19" t="s">
        <v>9715</v>
      </c>
    </row>
    <row r="20" spans="2:9" x14ac:dyDescent="0.25">
      <c r="B20">
        <v>478</v>
      </c>
      <c r="C20" t="s">
        <v>249</v>
      </c>
      <c r="D20" t="s">
        <v>8593</v>
      </c>
      <c r="E20">
        <v>89164</v>
      </c>
      <c r="F20" s="6">
        <v>1300000000</v>
      </c>
      <c r="H20">
        <v>582</v>
      </c>
      <c r="I20" t="s">
        <v>9716</v>
      </c>
    </row>
    <row r="21" spans="2:9" x14ac:dyDescent="0.25">
      <c r="B21">
        <v>523</v>
      </c>
      <c r="C21" t="s">
        <v>239</v>
      </c>
      <c r="D21" t="s">
        <v>238</v>
      </c>
      <c r="E21">
        <v>82532</v>
      </c>
      <c r="F21" s="6">
        <v>1100000000</v>
      </c>
      <c r="H21">
        <v>633</v>
      </c>
      <c r="I21" t="s">
        <v>9717</v>
      </c>
    </row>
    <row r="22" spans="2:9" x14ac:dyDescent="0.25">
      <c r="B22">
        <v>451</v>
      </c>
      <c r="C22" t="s">
        <v>137</v>
      </c>
      <c r="D22" t="s">
        <v>8596</v>
      </c>
      <c r="E22">
        <v>74102</v>
      </c>
      <c r="F22" s="6">
        <v>500000000</v>
      </c>
      <c r="H22">
        <v>555</v>
      </c>
      <c r="I22" t="s">
        <v>9718</v>
      </c>
    </row>
    <row r="23" spans="2:9" x14ac:dyDescent="0.25">
      <c r="B23">
        <v>442</v>
      </c>
      <c r="C23" t="s">
        <v>5127</v>
      </c>
      <c r="D23" t="s">
        <v>5126</v>
      </c>
      <c r="E23">
        <v>73894</v>
      </c>
      <c r="F23" s="6">
        <v>4250000000</v>
      </c>
      <c r="H23">
        <v>539</v>
      </c>
      <c r="I23" t="s">
        <v>9719</v>
      </c>
    </row>
    <row r="24" spans="2:9" x14ac:dyDescent="0.25">
      <c r="B24">
        <v>477</v>
      </c>
      <c r="C24" t="s">
        <v>308</v>
      </c>
      <c r="D24" t="s">
        <v>307</v>
      </c>
      <c r="E24">
        <v>60760</v>
      </c>
      <c r="F24" s="6">
        <v>1600000000</v>
      </c>
      <c r="H24">
        <v>581</v>
      </c>
      <c r="I24" t="s">
        <v>9720</v>
      </c>
    </row>
    <row r="25" spans="2:9" x14ac:dyDescent="0.25">
      <c r="B25">
        <v>438</v>
      </c>
      <c r="C25" t="s">
        <v>5121</v>
      </c>
      <c r="D25" t="s">
        <v>3521</v>
      </c>
      <c r="E25">
        <v>59210</v>
      </c>
      <c r="F25" s="6">
        <v>4250000000</v>
      </c>
      <c r="H25">
        <v>535</v>
      </c>
      <c r="I25" t="s">
        <v>9721</v>
      </c>
    </row>
    <row r="26" spans="2:9" x14ac:dyDescent="0.25">
      <c r="B26">
        <v>444</v>
      </c>
      <c r="C26" t="s">
        <v>5157</v>
      </c>
      <c r="D26" t="s">
        <v>3521</v>
      </c>
      <c r="E26">
        <v>55745</v>
      </c>
      <c r="F26" s="6">
        <v>4300000000</v>
      </c>
      <c r="H26">
        <v>541</v>
      </c>
      <c r="I26" t="s">
        <v>9722</v>
      </c>
    </row>
    <row r="27" spans="2:9" x14ac:dyDescent="0.25">
      <c r="B27">
        <v>418</v>
      </c>
      <c r="C27" t="s">
        <v>3235</v>
      </c>
      <c r="D27" t="s">
        <v>3234</v>
      </c>
      <c r="E27">
        <v>53719</v>
      </c>
      <c r="F27" s="6">
        <v>2900000000</v>
      </c>
      <c r="H27">
        <v>515</v>
      </c>
      <c r="I27" t="s">
        <v>9723</v>
      </c>
    </row>
    <row r="28" spans="2:9" x14ac:dyDescent="0.25">
      <c r="B28">
        <v>452</v>
      </c>
      <c r="C28" t="s">
        <v>203</v>
      </c>
      <c r="D28" t="s">
        <v>202</v>
      </c>
      <c r="E28">
        <v>53198</v>
      </c>
      <c r="F28" s="6">
        <v>900000000</v>
      </c>
      <c r="H28">
        <v>556</v>
      </c>
      <c r="I28" t="s">
        <v>9724</v>
      </c>
    </row>
    <row r="29" spans="2:9" x14ac:dyDescent="0.25">
      <c r="B29">
        <v>432</v>
      </c>
      <c r="C29" t="s">
        <v>5162</v>
      </c>
      <c r="D29" t="s">
        <v>3521</v>
      </c>
      <c r="E29">
        <v>52770</v>
      </c>
      <c r="F29" s="6">
        <v>4350000000</v>
      </c>
      <c r="H29">
        <v>529</v>
      </c>
      <c r="I29" t="s">
        <v>9725</v>
      </c>
    </row>
    <row r="30" spans="2:9" x14ac:dyDescent="0.25">
      <c r="B30">
        <v>476</v>
      </c>
      <c r="C30">
        <v>31003309</v>
      </c>
      <c r="D30" t="s">
        <v>7898</v>
      </c>
      <c r="E30">
        <v>47764</v>
      </c>
      <c r="F30" s="6">
        <v>450000000</v>
      </c>
      <c r="H30">
        <v>580</v>
      </c>
      <c r="I30" t="s">
        <v>9726</v>
      </c>
    </row>
    <row r="31" spans="2:9" x14ac:dyDescent="0.25">
      <c r="B31">
        <v>430</v>
      </c>
      <c r="C31" t="s">
        <v>3068</v>
      </c>
      <c r="D31" t="s">
        <v>2940</v>
      </c>
      <c r="E31">
        <v>42307</v>
      </c>
      <c r="F31" s="6">
        <v>3550000000</v>
      </c>
      <c r="H31">
        <v>527</v>
      </c>
      <c r="I31" t="s">
        <v>9727</v>
      </c>
    </row>
    <row r="32" spans="2:9" x14ac:dyDescent="0.25">
      <c r="B32">
        <v>433</v>
      </c>
      <c r="C32" t="s">
        <v>5111</v>
      </c>
      <c r="D32" t="s">
        <v>3478</v>
      </c>
      <c r="E32">
        <v>41452</v>
      </c>
      <c r="F32" s="6">
        <v>4250000000</v>
      </c>
      <c r="H32">
        <v>530</v>
      </c>
      <c r="I32" t="s">
        <v>9728</v>
      </c>
    </row>
    <row r="33" spans="2:9" x14ac:dyDescent="0.25">
      <c r="B33">
        <v>462</v>
      </c>
      <c r="C33" t="s">
        <v>3094</v>
      </c>
      <c r="D33" t="s">
        <v>3093</v>
      </c>
      <c r="E33">
        <v>39810</v>
      </c>
      <c r="F33" s="6">
        <v>2700000000</v>
      </c>
      <c r="H33">
        <v>566</v>
      </c>
      <c r="I33" t="s">
        <v>9729</v>
      </c>
    </row>
    <row r="34" spans="2:9" x14ac:dyDescent="0.25">
      <c r="B34">
        <v>435</v>
      </c>
      <c r="C34" t="s">
        <v>5116</v>
      </c>
      <c r="D34" t="s">
        <v>3521</v>
      </c>
      <c r="E34">
        <v>39806</v>
      </c>
      <c r="F34" s="6">
        <v>4250000000</v>
      </c>
      <c r="H34">
        <v>532</v>
      </c>
      <c r="I34" t="s">
        <v>9730</v>
      </c>
    </row>
    <row r="35" spans="2:9" x14ac:dyDescent="0.25">
      <c r="B35">
        <v>491</v>
      </c>
      <c r="C35" t="s">
        <v>3173</v>
      </c>
      <c r="D35" t="s">
        <v>325</v>
      </c>
      <c r="E35">
        <v>38595</v>
      </c>
      <c r="F35" s="6">
        <v>2750000000</v>
      </c>
      <c r="H35">
        <v>595</v>
      </c>
      <c r="I35" t="s">
        <v>9731</v>
      </c>
    </row>
    <row r="36" spans="2:9" x14ac:dyDescent="0.25">
      <c r="B36">
        <v>440</v>
      </c>
      <c r="C36" t="s">
        <v>5069</v>
      </c>
      <c r="D36" t="s">
        <v>3446</v>
      </c>
      <c r="E36">
        <v>38339</v>
      </c>
      <c r="F36" s="6">
        <v>4200000000</v>
      </c>
      <c r="H36">
        <v>537</v>
      </c>
      <c r="I36" t="s">
        <v>9732</v>
      </c>
    </row>
    <row r="37" spans="2:9" x14ac:dyDescent="0.25">
      <c r="B37">
        <v>492</v>
      </c>
      <c r="C37" t="s">
        <v>229</v>
      </c>
      <c r="D37" t="s">
        <v>228</v>
      </c>
      <c r="E37">
        <v>37102</v>
      </c>
      <c r="F37" s="6">
        <v>1100000000</v>
      </c>
      <c r="H37">
        <v>602</v>
      </c>
      <c r="I37" t="s">
        <v>9733</v>
      </c>
    </row>
    <row r="38" spans="2:9" x14ac:dyDescent="0.25">
      <c r="B38">
        <v>429</v>
      </c>
      <c r="C38" t="s">
        <v>3780</v>
      </c>
      <c r="D38" t="s">
        <v>3779</v>
      </c>
      <c r="E38">
        <v>34956</v>
      </c>
      <c r="F38" s="6">
        <v>3400000000</v>
      </c>
      <c r="H38">
        <v>526</v>
      </c>
      <c r="I38" t="s">
        <v>9734</v>
      </c>
    </row>
    <row r="39" spans="2:9" x14ac:dyDescent="0.25">
      <c r="B39">
        <v>410</v>
      </c>
      <c r="C39" t="s">
        <v>3765</v>
      </c>
      <c r="D39" t="s">
        <v>191</v>
      </c>
      <c r="E39">
        <v>33851</v>
      </c>
      <c r="F39" s="6">
        <v>3400000000</v>
      </c>
      <c r="H39">
        <v>507</v>
      </c>
      <c r="I39" t="s">
        <v>9735</v>
      </c>
    </row>
    <row r="40" spans="2:9" x14ac:dyDescent="0.25">
      <c r="B40">
        <v>412</v>
      </c>
      <c r="C40" t="s">
        <v>3700</v>
      </c>
      <c r="D40" t="s">
        <v>3356</v>
      </c>
      <c r="E40">
        <v>33351</v>
      </c>
      <c r="F40" s="6">
        <v>3350000000</v>
      </c>
      <c r="H40">
        <v>509</v>
      </c>
      <c r="I40" t="s">
        <v>9736</v>
      </c>
    </row>
    <row r="41" spans="2:9" x14ac:dyDescent="0.25">
      <c r="B41">
        <v>475</v>
      </c>
      <c r="C41" t="s">
        <v>145</v>
      </c>
      <c r="D41" t="s">
        <v>144</v>
      </c>
      <c r="E41">
        <v>33278</v>
      </c>
      <c r="F41" s="6">
        <v>500000000</v>
      </c>
      <c r="H41">
        <v>579</v>
      </c>
      <c r="I41" t="s">
        <v>9737</v>
      </c>
    </row>
    <row r="42" spans="2:9" x14ac:dyDescent="0.25">
      <c r="B42">
        <v>453</v>
      </c>
      <c r="C42" t="s">
        <v>2460</v>
      </c>
      <c r="D42" t="s">
        <v>2459</v>
      </c>
      <c r="E42">
        <v>30348</v>
      </c>
      <c r="F42" s="6">
        <v>2200000000</v>
      </c>
      <c r="H42">
        <v>557</v>
      </c>
      <c r="I42" t="s">
        <v>9738</v>
      </c>
    </row>
    <row r="43" spans="2:9" x14ac:dyDescent="0.25">
      <c r="B43">
        <v>473</v>
      </c>
      <c r="C43" t="s">
        <v>161</v>
      </c>
      <c r="D43" t="s">
        <v>160</v>
      </c>
      <c r="E43">
        <v>29814</v>
      </c>
      <c r="F43" s="6">
        <v>600000000</v>
      </c>
      <c r="H43">
        <v>577</v>
      </c>
      <c r="I43" t="s">
        <v>9739</v>
      </c>
    </row>
    <row r="44" spans="2:9" x14ac:dyDescent="0.25">
      <c r="B44">
        <v>439</v>
      </c>
      <c r="C44" t="s">
        <v>5152</v>
      </c>
      <c r="D44" t="s">
        <v>3478</v>
      </c>
      <c r="E44">
        <v>28250</v>
      </c>
      <c r="F44" s="6">
        <v>4300000000</v>
      </c>
      <c r="H44">
        <v>536</v>
      </c>
      <c r="I44" t="s">
        <v>9740</v>
      </c>
    </row>
    <row r="45" spans="2:9" x14ac:dyDescent="0.25">
      <c r="B45">
        <v>408</v>
      </c>
      <c r="C45" t="s">
        <v>3969</v>
      </c>
      <c r="D45" t="s">
        <v>191</v>
      </c>
      <c r="E45">
        <v>26562</v>
      </c>
      <c r="F45" s="6">
        <v>3500000000</v>
      </c>
      <c r="H45">
        <v>505</v>
      </c>
      <c r="I45" t="s">
        <v>8620</v>
      </c>
    </row>
    <row r="46" spans="2:9" x14ac:dyDescent="0.25">
      <c r="B46">
        <v>421</v>
      </c>
      <c r="C46" t="s">
        <v>4326</v>
      </c>
      <c r="D46" t="s">
        <v>4325</v>
      </c>
      <c r="E46">
        <v>18843</v>
      </c>
      <c r="F46" s="6">
        <v>3550000000</v>
      </c>
      <c r="H46">
        <v>518</v>
      </c>
      <c r="I46" t="s">
        <v>9741</v>
      </c>
    </row>
    <row r="47" spans="2:9" x14ac:dyDescent="0.25">
      <c r="B47">
        <v>472</v>
      </c>
      <c r="C47" t="s">
        <v>170</v>
      </c>
      <c r="D47" t="s">
        <v>169</v>
      </c>
      <c r="E47">
        <v>18474</v>
      </c>
      <c r="F47" s="6">
        <v>650000000</v>
      </c>
      <c r="H47">
        <v>576</v>
      </c>
      <c r="I47" t="s">
        <v>9742</v>
      </c>
    </row>
    <row r="48" spans="2:9" x14ac:dyDescent="0.25">
      <c r="B48">
        <v>445</v>
      </c>
      <c r="C48" t="s">
        <v>5132</v>
      </c>
      <c r="D48" t="s">
        <v>3478</v>
      </c>
      <c r="E48">
        <v>17749</v>
      </c>
      <c r="F48" s="6">
        <v>4250000000</v>
      </c>
      <c r="H48">
        <v>542</v>
      </c>
      <c r="I48" t="s">
        <v>9743</v>
      </c>
    </row>
    <row r="49" spans="2:9" x14ac:dyDescent="0.25">
      <c r="B49">
        <v>446</v>
      </c>
      <c r="C49" t="s">
        <v>5167</v>
      </c>
      <c r="D49" t="s">
        <v>3521</v>
      </c>
      <c r="E49">
        <v>16444</v>
      </c>
      <c r="F49" s="6">
        <v>4350000000</v>
      </c>
      <c r="H49">
        <v>543</v>
      </c>
      <c r="I49" t="s">
        <v>9744</v>
      </c>
    </row>
    <row r="50" spans="2:9" x14ac:dyDescent="0.25">
      <c r="B50">
        <v>513</v>
      </c>
      <c r="C50" t="s">
        <v>5655</v>
      </c>
      <c r="D50" t="s">
        <v>5604</v>
      </c>
      <c r="E50">
        <v>16202</v>
      </c>
      <c r="F50" s="6">
        <v>8500000000</v>
      </c>
      <c r="H50">
        <v>623</v>
      </c>
      <c r="I50" t="s">
        <v>9745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C994-5341-4F70-8BA1-F77C67646FAB}">
  <sheetPr codeName="Sheet6"/>
  <dimension ref="A1:F50"/>
  <sheetViews>
    <sheetView topLeftCell="A24" workbookViewId="0">
      <selection activeCell="A25" sqref="A25"/>
    </sheetView>
  </sheetViews>
  <sheetFormatPr defaultRowHeight="15" x14ac:dyDescent="0.25"/>
  <cols>
    <col min="1" max="1" width="15.5703125" bestFit="1" customWidth="1"/>
    <col min="2" max="9" width="49.7109375" customWidth="1"/>
  </cols>
  <sheetData>
    <row r="1" spans="1:6" x14ac:dyDescent="0.25">
      <c r="A1" s="15" t="s">
        <v>51</v>
      </c>
      <c r="B1" t="s">
        <v>191</v>
      </c>
      <c r="F1" s="6"/>
    </row>
    <row r="2" spans="1:6" x14ac:dyDescent="0.25">
      <c r="A2" s="19" t="s">
        <v>3130</v>
      </c>
      <c r="B2" t="s">
        <v>645</v>
      </c>
      <c r="F2" s="6"/>
    </row>
    <row r="3" spans="1:6" x14ac:dyDescent="0.25">
      <c r="A3" s="19" t="s">
        <v>102</v>
      </c>
      <c r="B3">
        <v>285</v>
      </c>
      <c r="F3" s="6"/>
    </row>
    <row r="4" spans="1:6" x14ac:dyDescent="0.25">
      <c r="A4" s="19" t="s">
        <v>5691</v>
      </c>
      <c r="B4" t="s">
        <v>63</v>
      </c>
      <c r="F4" s="6"/>
    </row>
    <row r="5" spans="1:6" x14ac:dyDescent="0.25">
      <c r="A5" s="19" t="s">
        <v>217</v>
      </c>
      <c r="B5" t="s">
        <v>64</v>
      </c>
      <c r="F5" s="6"/>
    </row>
    <row r="6" spans="1:6" x14ac:dyDescent="0.25">
      <c r="A6" s="19" t="s">
        <v>263</v>
      </c>
      <c r="B6" t="s">
        <v>193</v>
      </c>
      <c r="F6" s="6"/>
    </row>
    <row r="7" spans="1:6" x14ac:dyDescent="0.25">
      <c r="A7" s="19" t="s">
        <v>329</v>
      </c>
      <c r="B7" t="s">
        <v>206</v>
      </c>
      <c r="F7" s="6"/>
    </row>
    <row r="8" spans="1:6" x14ac:dyDescent="0.25">
      <c r="A8" s="19" t="s">
        <v>2472</v>
      </c>
      <c r="B8">
        <v>999999</v>
      </c>
      <c r="F8" s="6"/>
    </row>
    <row r="9" spans="1:6" x14ac:dyDescent="0.25">
      <c r="A9" s="19" t="s">
        <v>4487</v>
      </c>
      <c r="B9">
        <v>1399</v>
      </c>
      <c r="F9" s="6"/>
    </row>
    <row r="10" spans="1:6" x14ac:dyDescent="0.25">
      <c r="A10" s="19" t="s">
        <v>5891</v>
      </c>
      <c r="B10" t="s">
        <v>646</v>
      </c>
      <c r="F10" s="6"/>
    </row>
    <row r="11" spans="1:6" x14ac:dyDescent="0.25">
      <c r="A11" s="19" t="s">
        <v>3246</v>
      </c>
      <c r="B11" t="s">
        <v>647</v>
      </c>
      <c r="F11" s="6"/>
    </row>
    <row r="12" spans="1:6" x14ac:dyDescent="0.25">
      <c r="A12" s="19" t="s">
        <v>140</v>
      </c>
      <c r="B12" t="s">
        <v>648</v>
      </c>
      <c r="F12" s="6"/>
    </row>
    <row r="13" spans="1:6" x14ac:dyDescent="0.25">
      <c r="A13" s="19" t="s">
        <v>253</v>
      </c>
      <c r="B13" t="s">
        <v>198</v>
      </c>
      <c r="F13" s="6"/>
    </row>
    <row r="14" spans="1:6" x14ac:dyDescent="0.25">
      <c r="A14" s="19" t="s">
        <v>181</v>
      </c>
      <c r="B14">
        <v>28520</v>
      </c>
      <c r="F14" s="6"/>
    </row>
    <row r="15" spans="1:6" x14ac:dyDescent="0.25">
      <c r="A15" s="19" t="s">
        <v>119</v>
      </c>
      <c r="B15" t="s">
        <v>70</v>
      </c>
      <c r="F15" s="6"/>
    </row>
    <row r="16" spans="1:6" x14ac:dyDescent="0.25">
      <c r="A16" s="19" t="s">
        <v>408</v>
      </c>
      <c r="F16" s="6"/>
    </row>
    <row r="17" spans="1:6" x14ac:dyDescent="0.25">
      <c r="A17" s="19" t="s">
        <v>4401</v>
      </c>
      <c r="F17" s="6"/>
    </row>
    <row r="18" spans="1:6" x14ac:dyDescent="0.25">
      <c r="A18" s="19" t="s">
        <v>2946</v>
      </c>
      <c r="F18" s="6"/>
    </row>
    <row r="19" spans="1:6" x14ac:dyDescent="0.25">
      <c r="A19" s="19" t="s">
        <v>3450</v>
      </c>
      <c r="F19" s="6"/>
    </row>
    <row r="20" spans="1:6" x14ac:dyDescent="0.25">
      <c r="A20" s="19" t="s">
        <v>302</v>
      </c>
      <c r="F20" s="6"/>
    </row>
    <row r="21" spans="1:6" x14ac:dyDescent="0.25">
      <c r="A21" s="19" t="s">
        <v>272</v>
      </c>
      <c r="F21" s="6"/>
    </row>
    <row r="22" spans="1:6" x14ac:dyDescent="0.25">
      <c r="A22" s="19" t="s">
        <v>244</v>
      </c>
      <c r="F22" s="6"/>
    </row>
    <row r="23" spans="1:6" x14ac:dyDescent="0.25">
      <c r="A23" s="19" t="s">
        <v>3089</v>
      </c>
      <c r="F23" s="6"/>
    </row>
    <row r="24" spans="1:6" x14ac:dyDescent="0.25">
      <c r="A24" s="19" t="s">
        <v>126</v>
      </c>
      <c r="F24" s="6"/>
    </row>
    <row r="25" spans="1:6" x14ac:dyDescent="0.25">
      <c r="A25" s="19" t="s">
        <v>198</v>
      </c>
      <c r="F25" s="6"/>
    </row>
    <row r="26" spans="1:6" x14ac:dyDescent="0.25">
      <c r="A26" s="19" t="s">
        <v>312</v>
      </c>
      <c r="F26" s="6"/>
    </row>
    <row r="27" spans="1:6" x14ac:dyDescent="0.25">
      <c r="A27" s="19" t="s">
        <v>3239</v>
      </c>
      <c r="F27" s="6"/>
    </row>
    <row r="28" spans="1:6" x14ac:dyDescent="0.25">
      <c r="A28" s="19" t="s">
        <v>400</v>
      </c>
      <c r="F28" s="6"/>
    </row>
    <row r="29" spans="1:6" x14ac:dyDescent="0.25">
      <c r="A29" s="19" t="s">
        <v>82</v>
      </c>
      <c r="F29" s="6"/>
    </row>
    <row r="30" spans="1:6" x14ac:dyDescent="0.25">
      <c r="A30" s="19" t="s">
        <v>5589</v>
      </c>
      <c r="F30" s="6"/>
    </row>
    <row r="31" spans="1:6" x14ac:dyDescent="0.25">
      <c r="A31" s="19" t="s">
        <v>5609</v>
      </c>
      <c r="F31" s="6"/>
    </row>
    <row r="32" spans="1:6" x14ac:dyDescent="0.25">
      <c r="A32" s="19" t="s">
        <v>69</v>
      </c>
      <c r="F32" s="6"/>
    </row>
    <row r="33" spans="1:6" x14ac:dyDescent="0.25">
      <c r="A33" s="19" t="s">
        <v>367</v>
      </c>
      <c r="F33" s="6"/>
    </row>
    <row r="34" spans="1:6" x14ac:dyDescent="0.25">
      <c r="A34" s="19" t="s">
        <v>7253</v>
      </c>
      <c r="F34" s="6"/>
    </row>
    <row r="35" spans="1:6" x14ac:dyDescent="0.25">
      <c r="A35" s="19" t="s">
        <v>92</v>
      </c>
      <c r="F35" s="6"/>
    </row>
    <row r="36" spans="1:6" x14ac:dyDescent="0.25">
      <c r="A36" s="19" t="s">
        <v>5192</v>
      </c>
      <c r="F36" s="6"/>
    </row>
    <row r="37" spans="1:6" x14ac:dyDescent="0.25">
      <c r="A37" s="19" t="s">
        <v>234</v>
      </c>
      <c r="F37" s="6"/>
    </row>
    <row r="38" spans="1:6" x14ac:dyDescent="0.25">
      <c r="A38" s="19" t="s">
        <v>5596</v>
      </c>
      <c r="F38" s="6"/>
    </row>
    <row r="39" spans="1:6" x14ac:dyDescent="0.25">
      <c r="A39" s="19" t="s">
        <v>321</v>
      </c>
      <c r="F39" s="6"/>
    </row>
    <row r="40" spans="1:6" x14ac:dyDescent="0.25">
      <c r="A40" s="19" t="s">
        <v>7437</v>
      </c>
      <c r="F40" s="6"/>
    </row>
    <row r="41" spans="1:6" x14ac:dyDescent="0.25">
      <c r="A41" s="19" t="s">
        <v>110</v>
      </c>
      <c r="F41" s="6"/>
    </row>
    <row r="42" spans="1:6" x14ac:dyDescent="0.25">
      <c r="A42" s="19"/>
      <c r="F42" s="6"/>
    </row>
    <row r="43" spans="1:6" x14ac:dyDescent="0.25">
      <c r="F43" s="6"/>
    </row>
    <row r="44" spans="1:6" x14ac:dyDescent="0.25">
      <c r="F44" s="6"/>
    </row>
    <row r="45" spans="1:6" x14ac:dyDescent="0.25">
      <c r="F45" s="6"/>
    </row>
    <row r="46" spans="1:6" x14ac:dyDescent="0.25">
      <c r="F46" s="6"/>
    </row>
    <row r="47" spans="1:6" x14ac:dyDescent="0.25">
      <c r="F47" s="6"/>
    </row>
    <row r="48" spans="1:6" x14ac:dyDescent="0.25">
      <c r="F48" s="6"/>
    </row>
    <row r="49" spans="6:6" x14ac:dyDescent="0.25">
      <c r="F49" s="6"/>
    </row>
    <row r="50" spans="6:6" x14ac:dyDescent="0.25">
      <c r="F50" s="6"/>
    </row>
  </sheetData>
  <autoFilter ref="A1:A42" xr:uid="{0DC9C994-5341-4F70-8BA1-F77C67646FAB}">
    <sortState xmlns:xlrd2="http://schemas.microsoft.com/office/spreadsheetml/2017/richdata2" ref="A2:A42">
      <sortCondition ref="A1:A42"/>
    </sortState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B9C00-5F0E-4BC3-A305-80B132F30C00}">
  <sheetPr codeName="Sheet11"/>
  <dimension ref="B1:I35"/>
  <sheetViews>
    <sheetView workbookViewId="0"/>
  </sheetViews>
  <sheetFormatPr defaultRowHeight="15" x14ac:dyDescent="0.25"/>
  <sheetData>
    <row r="1" spans="2:9" x14ac:dyDescent="0.25">
      <c r="B1">
        <v>518</v>
      </c>
      <c r="C1" t="s">
        <v>2762</v>
      </c>
      <c r="D1" t="s">
        <v>1418</v>
      </c>
      <c r="E1">
        <v>18</v>
      </c>
      <c r="F1" s="6">
        <v>2450000000</v>
      </c>
      <c r="G1" s="6">
        <v>3125000000</v>
      </c>
      <c r="H1">
        <v>555</v>
      </c>
      <c r="I1" t="s">
        <v>8537</v>
      </c>
    </row>
    <row r="2" spans="2:9" x14ac:dyDescent="0.25">
      <c r="B2">
        <v>533</v>
      </c>
      <c r="C2" t="s">
        <v>3291</v>
      </c>
      <c r="D2" t="s">
        <v>191</v>
      </c>
      <c r="E2">
        <v>18</v>
      </c>
      <c r="F2" s="6">
        <v>2950000000</v>
      </c>
      <c r="G2" s="6">
        <v>3217000000</v>
      </c>
      <c r="H2">
        <v>570</v>
      </c>
      <c r="I2" t="s">
        <v>8538</v>
      </c>
    </row>
    <row r="3" spans="2:9" x14ac:dyDescent="0.25">
      <c r="B3">
        <v>567</v>
      </c>
      <c r="C3" t="s">
        <v>4261</v>
      </c>
      <c r="D3" t="s">
        <v>3210</v>
      </c>
      <c r="E3">
        <v>18</v>
      </c>
      <c r="F3" s="6">
        <v>3500000000</v>
      </c>
      <c r="G3" s="6">
        <v>4312233451</v>
      </c>
      <c r="H3">
        <v>604</v>
      </c>
      <c r="I3" t="s">
        <v>8539</v>
      </c>
    </row>
    <row r="4" spans="2:9" x14ac:dyDescent="0.25">
      <c r="B4">
        <v>587</v>
      </c>
      <c r="C4" t="s">
        <v>4291</v>
      </c>
      <c r="D4" t="s">
        <v>3210</v>
      </c>
      <c r="E4">
        <v>18</v>
      </c>
      <c r="F4" s="6">
        <v>3500000000</v>
      </c>
      <c r="G4" s="6">
        <v>4332111112</v>
      </c>
      <c r="H4">
        <v>624</v>
      </c>
      <c r="I4" t="s">
        <v>8540</v>
      </c>
    </row>
    <row r="5" spans="2:9" x14ac:dyDescent="0.25">
      <c r="B5">
        <v>589</v>
      </c>
      <c r="C5" t="s">
        <v>4266</v>
      </c>
      <c r="D5" t="s">
        <v>3210</v>
      </c>
      <c r="E5">
        <v>18</v>
      </c>
      <c r="F5" s="6">
        <v>3500000000</v>
      </c>
      <c r="G5" s="6">
        <v>4255552220</v>
      </c>
      <c r="H5">
        <v>626</v>
      </c>
      <c r="I5" t="s">
        <v>8541</v>
      </c>
    </row>
    <row r="6" spans="2:9" x14ac:dyDescent="0.25">
      <c r="B6">
        <v>401</v>
      </c>
      <c r="C6" t="s">
        <v>5236</v>
      </c>
      <c r="D6" t="s">
        <v>7991</v>
      </c>
      <c r="E6">
        <v>17</v>
      </c>
      <c r="F6" s="6">
        <v>4700000000</v>
      </c>
      <c r="G6" s="6">
        <v>5120000000</v>
      </c>
      <c r="H6">
        <v>425</v>
      </c>
      <c r="I6" t="s">
        <v>8542</v>
      </c>
    </row>
    <row r="7" spans="2:9" x14ac:dyDescent="0.25">
      <c r="B7">
        <v>489</v>
      </c>
      <c r="C7" t="s">
        <v>2992</v>
      </c>
      <c r="D7" t="s">
        <v>2568</v>
      </c>
      <c r="E7">
        <v>17</v>
      </c>
      <c r="F7" s="6">
        <v>2550000000</v>
      </c>
      <c r="G7" s="6">
        <v>3002000000</v>
      </c>
      <c r="H7">
        <v>526</v>
      </c>
      <c r="I7" t="s">
        <v>8543</v>
      </c>
    </row>
    <row r="8" spans="2:9" x14ac:dyDescent="0.25">
      <c r="B8">
        <v>496</v>
      </c>
      <c r="C8" t="s">
        <v>2686</v>
      </c>
      <c r="D8" t="s">
        <v>1418</v>
      </c>
      <c r="E8">
        <v>17</v>
      </c>
      <c r="F8" s="6">
        <v>2400000000</v>
      </c>
      <c r="G8" s="6">
        <v>3110009990</v>
      </c>
      <c r="H8">
        <v>533</v>
      </c>
      <c r="I8" t="s">
        <v>8544</v>
      </c>
    </row>
    <row r="9" spans="2:9" x14ac:dyDescent="0.25">
      <c r="B9">
        <v>503</v>
      </c>
      <c r="C9" t="s">
        <v>2482</v>
      </c>
      <c r="D9" t="s">
        <v>1418</v>
      </c>
      <c r="E9">
        <v>17</v>
      </c>
      <c r="F9" s="6">
        <v>2250000000</v>
      </c>
      <c r="G9" s="6">
        <v>2977700000</v>
      </c>
      <c r="H9">
        <v>540</v>
      </c>
      <c r="I9" t="s">
        <v>8545</v>
      </c>
    </row>
    <row r="10" spans="2:9" x14ac:dyDescent="0.25">
      <c r="B10">
        <v>506</v>
      </c>
      <c r="C10" t="s">
        <v>2766</v>
      </c>
      <c r="D10" t="s">
        <v>2706</v>
      </c>
      <c r="E10">
        <v>17</v>
      </c>
      <c r="F10" s="6">
        <v>2450000000</v>
      </c>
      <c r="G10" s="6">
        <v>3037878789</v>
      </c>
      <c r="H10">
        <v>543</v>
      </c>
      <c r="I10" t="s">
        <v>8546</v>
      </c>
    </row>
    <row r="11" spans="2:9" x14ac:dyDescent="0.25">
      <c r="B11">
        <v>594</v>
      </c>
      <c r="C11" t="s">
        <v>4269</v>
      </c>
      <c r="D11" t="s">
        <v>3210</v>
      </c>
      <c r="E11">
        <v>17</v>
      </c>
      <c r="F11" s="6">
        <v>3500000000</v>
      </c>
      <c r="G11" s="6">
        <v>4199999999</v>
      </c>
      <c r="H11">
        <v>631</v>
      </c>
      <c r="I11" t="s">
        <v>8547</v>
      </c>
    </row>
    <row r="12" spans="2:9" x14ac:dyDescent="0.25">
      <c r="B12">
        <v>504</v>
      </c>
      <c r="C12" t="s">
        <v>2771</v>
      </c>
      <c r="D12" t="s">
        <v>2706</v>
      </c>
      <c r="E12">
        <v>16</v>
      </c>
      <c r="F12" s="6">
        <v>2450000000</v>
      </c>
      <c r="G12" s="6">
        <v>2977446555</v>
      </c>
      <c r="H12">
        <v>541</v>
      </c>
      <c r="I12" t="s">
        <v>8548</v>
      </c>
    </row>
    <row r="13" spans="2:9" x14ac:dyDescent="0.25">
      <c r="B13">
        <v>579</v>
      </c>
      <c r="C13" t="s">
        <v>4273</v>
      </c>
      <c r="D13" t="s">
        <v>3210</v>
      </c>
      <c r="E13">
        <v>16</v>
      </c>
      <c r="F13" s="6">
        <v>3500000000</v>
      </c>
      <c r="G13" s="6">
        <v>4177758985</v>
      </c>
      <c r="H13">
        <v>616</v>
      </c>
      <c r="I13" t="s">
        <v>8549</v>
      </c>
    </row>
    <row r="14" spans="2:9" x14ac:dyDescent="0.25">
      <c r="B14">
        <v>595</v>
      </c>
      <c r="C14" t="s">
        <v>4295</v>
      </c>
      <c r="D14" t="s">
        <v>3210</v>
      </c>
      <c r="E14">
        <v>16</v>
      </c>
      <c r="F14" s="6">
        <v>3500000000</v>
      </c>
      <c r="G14" s="6">
        <v>3880000000</v>
      </c>
      <c r="H14">
        <v>632</v>
      </c>
      <c r="I14" t="s">
        <v>8550</v>
      </c>
    </row>
    <row r="15" spans="2:9" x14ac:dyDescent="0.25">
      <c r="B15">
        <v>568</v>
      </c>
      <c r="C15" t="s">
        <v>4278</v>
      </c>
      <c r="D15" t="s">
        <v>3210</v>
      </c>
      <c r="E15">
        <v>15</v>
      </c>
      <c r="F15" s="6">
        <v>3500000000</v>
      </c>
      <c r="G15" s="6">
        <v>4261000000</v>
      </c>
      <c r="H15">
        <v>605</v>
      </c>
      <c r="I15" t="s">
        <v>8551</v>
      </c>
    </row>
    <row r="16" spans="2:9" x14ac:dyDescent="0.25">
      <c r="B16">
        <v>575</v>
      </c>
      <c r="C16" t="s">
        <v>4299</v>
      </c>
      <c r="D16" t="s">
        <v>3210</v>
      </c>
      <c r="E16">
        <v>15</v>
      </c>
      <c r="F16" s="6">
        <v>3500000000</v>
      </c>
      <c r="G16" s="6">
        <v>4183459999</v>
      </c>
      <c r="H16">
        <v>612</v>
      </c>
      <c r="I16" t="s">
        <v>8552</v>
      </c>
    </row>
    <row r="17" spans="2:9" x14ac:dyDescent="0.25">
      <c r="B17">
        <v>580</v>
      </c>
      <c r="C17" t="s">
        <v>4283</v>
      </c>
      <c r="D17" t="s">
        <v>3210</v>
      </c>
      <c r="E17">
        <v>15</v>
      </c>
      <c r="F17" s="6">
        <v>3500000000</v>
      </c>
      <c r="G17" s="6">
        <v>4156000000</v>
      </c>
      <c r="H17">
        <v>617</v>
      </c>
      <c r="I17" t="s">
        <v>8553</v>
      </c>
    </row>
    <row r="18" spans="2:9" x14ac:dyDescent="0.25">
      <c r="B18">
        <v>4</v>
      </c>
      <c r="C18" t="s">
        <v>2618</v>
      </c>
      <c r="D18" t="s">
        <v>2189</v>
      </c>
      <c r="E18">
        <v>14</v>
      </c>
      <c r="F18" s="6">
        <v>2400000000</v>
      </c>
      <c r="G18" s="6">
        <v>3131000000</v>
      </c>
      <c r="H18">
        <v>4</v>
      </c>
      <c r="I18" t="s">
        <v>8554</v>
      </c>
    </row>
    <row r="19" spans="2:9" x14ac:dyDescent="0.25">
      <c r="B19">
        <v>218</v>
      </c>
      <c r="C19" t="s">
        <v>3447</v>
      </c>
      <c r="D19" t="s">
        <v>3446</v>
      </c>
      <c r="E19">
        <v>14</v>
      </c>
      <c r="F19" s="6">
        <v>3150000000</v>
      </c>
      <c r="G19" s="6">
        <v>4605000000</v>
      </c>
      <c r="H19">
        <v>242</v>
      </c>
      <c r="I19" t="s">
        <v>8555</v>
      </c>
    </row>
    <row r="20" spans="2:9" x14ac:dyDescent="0.25">
      <c r="B20">
        <v>232</v>
      </c>
      <c r="C20" t="s">
        <v>2927</v>
      </c>
      <c r="D20" t="s">
        <v>396</v>
      </c>
      <c r="E20">
        <v>14</v>
      </c>
      <c r="F20" s="6">
        <v>2500000000</v>
      </c>
      <c r="G20" s="6">
        <v>2786500000</v>
      </c>
      <c r="H20">
        <v>256</v>
      </c>
      <c r="I20" t="s">
        <v>8556</v>
      </c>
    </row>
    <row r="21" spans="2:9" x14ac:dyDescent="0.25">
      <c r="B21">
        <v>537</v>
      </c>
      <c r="C21" t="s">
        <v>3516</v>
      </c>
      <c r="D21" t="s">
        <v>3250</v>
      </c>
      <c r="E21">
        <v>14</v>
      </c>
      <c r="F21" s="6">
        <v>3200000000</v>
      </c>
      <c r="G21" s="6">
        <v>3746740000</v>
      </c>
      <c r="H21">
        <v>574</v>
      </c>
      <c r="I21" t="s">
        <v>8557</v>
      </c>
    </row>
    <row r="22" spans="2:9" x14ac:dyDescent="0.25">
      <c r="B22">
        <v>233</v>
      </c>
      <c r="C22" t="s">
        <v>2997</v>
      </c>
      <c r="D22" t="s">
        <v>2706</v>
      </c>
      <c r="E22">
        <v>12</v>
      </c>
      <c r="F22" s="6">
        <v>2550000000</v>
      </c>
      <c r="G22" s="6">
        <v>2961000000</v>
      </c>
      <c r="H22">
        <v>257</v>
      </c>
      <c r="I22" t="s">
        <v>8558</v>
      </c>
    </row>
    <row r="23" spans="2:9" x14ac:dyDescent="0.25">
      <c r="B23">
        <v>592</v>
      </c>
      <c r="C23" t="s">
        <v>4287</v>
      </c>
      <c r="D23" t="s">
        <v>3210</v>
      </c>
      <c r="E23">
        <v>12</v>
      </c>
      <c r="F23" s="6">
        <v>3500000000</v>
      </c>
      <c r="G23" s="6">
        <v>4201000000</v>
      </c>
      <c r="H23">
        <v>629</v>
      </c>
      <c r="I23" t="s">
        <v>8559</v>
      </c>
    </row>
    <row r="24" spans="2:9" x14ac:dyDescent="0.25">
      <c r="B24">
        <v>238</v>
      </c>
      <c r="C24" t="s">
        <v>3273</v>
      </c>
      <c r="D24" t="s">
        <v>191</v>
      </c>
      <c r="E24">
        <v>11</v>
      </c>
      <c r="F24" s="6">
        <v>2900000000</v>
      </c>
      <c r="G24" s="6">
        <v>3555555555</v>
      </c>
      <c r="H24">
        <v>262</v>
      </c>
      <c r="I24" t="s">
        <v>8560</v>
      </c>
    </row>
    <row r="25" spans="2:9" x14ac:dyDescent="0.25">
      <c r="B25">
        <v>519</v>
      </c>
      <c r="C25" t="s">
        <v>3427</v>
      </c>
      <c r="D25" t="s">
        <v>191</v>
      </c>
      <c r="E25">
        <v>10</v>
      </c>
      <c r="F25" s="6">
        <v>3100000000</v>
      </c>
      <c r="G25" s="6">
        <v>3687542132</v>
      </c>
      <c r="H25">
        <v>556</v>
      </c>
      <c r="I25" t="s">
        <v>8561</v>
      </c>
    </row>
    <row r="26" spans="2:9" x14ac:dyDescent="0.25">
      <c r="B26">
        <v>226</v>
      </c>
      <c r="C26" t="s">
        <v>2691</v>
      </c>
      <c r="D26" t="s">
        <v>191</v>
      </c>
      <c r="E26">
        <v>9</v>
      </c>
      <c r="F26" s="6">
        <v>2400000000</v>
      </c>
      <c r="G26" s="6">
        <v>3150000000</v>
      </c>
      <c r="H26">
        <v>250</v>
      </c>
      <c r="I26" t="s">
        <v>8562</v>
      </c>
    </row>
    <row r="27" spans="2:9" x14ac:dyDescent="0.25">
      <c r="B27">
        <v>230</v>
      </c>
      <c r="C27" t="s">
        <v>3050</v>
      </c>
      <c r="D27" t="s">
        <v>1418</v>
      </c>
      <c r="E27">
        <v>8</v>
      </c>
      <c r="F27" s="6">
        <v>2600000000</v>
      </c>
      <c r="G27" s="6">
        <v>3678999000</v>
      </c>
      <c r="H27">
        <v>254</v>
      </c>
      <c r="I27" t="s">
        <v>8563</v>
      </c>
    </row>
    <row r="28" spans="2:9" x14ac:dyDescent="0.25">
      <c r="B28">
        <v>237</v>
      </c>
      <c r="C28" t="s">
        <v>3054</v>
      </c>
      <c r="D28" t="s">
        <v>2568</v>
      </c>
      <c r="E28">
        <v>8</v>
      </c>
      <c r="F28" s="6">
        <v>2600000000</v>
      </c>
      <c r="G28" s="6">
        <v>3117700000</v>
      </c>
      <c r="H28">
        <v>261</v>
      </c>
      <c r="I28" t="s">
        <v>8564</v>
      </c>
    </row>
    <row r="29" spans="2:9" x14ac:dyDescent="0.25">
      <c r="B29">
        <v>423</v>
      </c>
      <c r="C29" t="s">
        <v>2423</v>
      </c>
      <c r="D29" t="s">
        <v>325</v>
      </c>
      <c r="E29">
        <v>8</v>
      </c>
      <c r="F29" s="6">
        <v>2100000000</v>
      </c>
      <c r="G29" s="6">
        <v>2751500000</v>
      </c>
      <c r="H29">
        <v>447</v>
      </c>
      <c r="I29" t="s">
        <v>8565</v>
      </c>
    </row>
    <row r="30" spans="2:9" x14ac:dyDescent="0.25">
      <c r="B30">
        <v>225</v>
      </c>
      <c r="C30" t="s">
        <v>2539</v>
      </c>
      <c r="D30" t="s">
        <v>191</v>
      </c>
      <c r="E30">
        <v>7</v>
      </c>
      <c r="F30" s="6">
        <v>2300000000</v>
      </c>
      <c r="G30" s="6">
        <v>3175000000</v>
      </c>
      <c r="H30">
        <v>249</v>
      </c>
      <c r="I30" t="s">
        <v>8566</v>
      </c>
    </row>
    <row r="31" spans="2:9" x14ac:dyDescent="0.25">
      <c r="B31">
        <v>228</v>
      </c>
      <c r="C31" t="s">
        <v>3432</v>
      </c>
      <c r="D31" t="s">
        <v>3431</v>
      </c>
      <c r="E31">
        <v>5</v>
      </c>
      <c r="F31" s="6">
        <v>3100000000</v>
      </c>
      <c r="G31" s="6">
        <v>3719999999</v>
      </c>
      <c r="H31">
        <v>252</v>
      </c>
      <c r="I31" t="s">
        <v>8567</v>
      </c>
    </row>
    <row r="32" spans="2:9" x14ac:dyDescent="0.25">
      <c r="B32">
        <v>28</v>
      </c>
      <c r="C32" t="s">
        <v>2442</v>
      </c>
      <c r="D32" t="s">
        <v>2441</v>
      </c>
      <c r="E32">
        <v>4</v>
      </c>
      <c r="F32" s="6">
        <v>2200000000</v>
      </c>
      <c r="G32" s="6">
        <v>3055000000</v>
      </c>
      <c r="H32">
        <v>28</v>
      </c>
      <c r="I32" t="s">
        <v>8568</v>
      </c>
    </row>
    <row r="33" spans="2:9" x14ac:dyDescent="0.25">
      <c r="B33">
        <v>235</v>
      </c>
      <c r="C33" t="s">
        <v>2919</v>
      </c>
      <c r="D33" t="s">
        <v>2568</v>
      </c>
      <c r="E33">
        <v>4</v>
      </c>
      <c r="F33" s="6">
        <v>2500000000</v>
      </c>
      <c r="G33" s="6">
        <v>2935000000</v>
      </c>
      <c r="H33">
        <v>259</v>
      </c>
      <c r="I33" t="s">
        <v>8569</v>
      </c>
    </row>
    <row r="34" spans="2:9" x14ac:dyDescent="0.25">
      <c r="B34">
        <v>220</v>
      </c>
      <c r="C34" t="s">
        <v>317</v>
      </c>
      <c r="D34" t="s">
        <v>316</v>
      </c>
      <c r="E34">
        <v>3</v>
      </c>
      <c r="F34" s="6">
        <v>1600000000</v>
      </c>
      <c r="G34" s="6">
        <v>2736000000</v>
      </c>
      <c r="H34">
        <v>244</v>
      </c>
      <c r="I34" t="s">
        <v>8570</v>
      </c>
    </row>
    <row r="35" spans="2:9" x14ac:dyDescent="0.25">
      <c r="B35">
        <v>229</v>
      </c>
      <c r="C35" t="s">
        <v>2923</v>
      </c>
      <c r="D35" t="s">
        <v>1418</v>
      </c>
      <c r="E35">
        <v>2</v>
      </c>
      <c r="F35" s="6">
        <v>2500000000</v>
      </c>
      <c r="G35" s="6">
        <v>2663800000</v>
      </c>
      <c r="H35">
        <v>253</v>
      </c>
      <c r="I35" t="s">
        <v>8571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52B4F-8326-456A-B69E-1ABBA65C78B3}">
  <sheetPr codeName="Sheet12"/>
  <dimension ref="B1:I35"/>
  <sheetViews>
    <sheetView workbookViewId="0">
      <selection activeCell="G1" sqref="G1"/>
    </sheetView>
  </sheetViews>
  <sheetFormatPr defaultRowHeight="15" x14ac:dyDescent="0.25"/>
  <cols>
    <col min="6" max="7" width="12.7109375" bestFit="1" customWidth="1"/>
  </cols>
  <sheetData>
    <row r="1" spans="2:9" x14ac:dyDescent="0.25">
      <c r="B1">
        <v>518</v>
      </c>
      <c r="C1" t="s">
        <v>2762</v>
      </c>
      <c r="D1" t="s">
        <v>1418</v>
      </c>
      <c r="E1">
        <v>18</v>
      </c>
      <c r="F1" s="6">
        <v>2450000000</v>
      </c>
      <c r="G1" s="6">
        <v>3125000000</v>
      </c>
      <c r="H1">
        <v>555</v>
      </c>
      <c r="I1" t="s">
        <v>8537</v>
      </c>
    </row>
    <row r="2" spans="2:9" x14ac:dyDescent="0.25">
      <c r="B2">
        <v>533</v>
      </c>
      <c r="C2" t="s">
        <v>3291</v>
      </c>
      <c r="D2" t="s">
        <v>191</v>
      </c>
      <c r="E2">
        <v>18</v>
      </c>
      <c r="F2" s="6">
        <v>2950000000</v>
      </c>
      <c r="G2" s="6">
        <v>3217000000</v>
      </c>
      <c r="H2">
        <v>570</v>
      </c>
      <c r="I2" t="s">
        <v>8538</v>
      </c>
    </row>
    <row r="3" spans="2:9" x14ac:dyDescent="0.25">
      <c r="B3">
        <v>567</v>
      </c>
      <c r="C3" t="s">
        <v>4261</v>
      </c>
      <c r="D3" t="s">
        <v>3210</v>
      </c>
      <c r="E3">
        <v>18</v>
      </c>
      <c r="F3" s="6">
        <v>3500000000</v>
      </c>
      <c r="G3" s="6">
        <v>4312233451</v>
      </c>
      <c r="H3">
        <v>604</v>
      </c>
      <c r="I3" t="s">
        <v>8539</v>
      </c>
    </row>
    <row r="4" spans="2:9" x14ac:dyDescent="0.25">
      <c r="B4">
        <v>587</v>
      </c>
      <c r="C4" t="s">
        <v>4291</v>
      </c>
      <c r="D4" t="s">
        <v>3210</v>
      </c>
      <c r="E4">
        <v>18</v>
      </c>
      <c r="F4" s="6">
        <v>3500000000</v>
      </c>
      <c r="G4" s="6">
        <v>4332111112</v>
      </c>
      <c r="H4">
        <v>624</v>
      </c>
      <c r="I4" t="s">
        <v>8540</v>
      </c>
    </row>
    <row r="5" spans="2:9" x14ac:dyDescent="0.25">
      <c r="B5">
        <v>589</v>
      </c>
      <c r="C5" t="s">
        <v>4266</v>
      </c>
      <c r="D5" t="s">
        <v>3210</v>
      </c>
      <c r="E5">
        <v>18</v>
      </c>
      <c r="F5" s="6">
        <v>3500000000</v>
      </c>
      <c r="G5" s="6">
        <v>4255552220</v>
      </c>
      <c r="H5">
        <v>626</v>
      </c>
      <c r="I5" t="s">
        <v>8541</v>
      </c>
    </row>
    <row r="6" spans="2:9" x14ac:dyDescent="0.25">
      <c r="B6">
        <v>401</v>
      </c>
      <c r="C6" t="s">
        <v>5236</v>
      </c>
      <c r="D6" t="s">
        <v>7991</v>
      </c>
      <c r="E6">
        <v>17</v>
      </c>
      <c r="F6" s="6">
        <v>4700000000</v>
      </c>
      <c r="G6" s="6">
        <v>5120000000</v>
      </c>
      <c r="H6">
        <v>425</v>
      </c>
      <c r="I6" t="s">
        <v>8542</v>
      </c>
    </row>
    <row r="7" spans="2:9" x14ac:dyDescent="0.25">
      <c r="B7">
        <v>489</v>
      </c>
      <c r="C7" t="s">
        <v>2992</v>
      </c>
      <c r="D7" t="s">
        <v>2568</v>
      </c>
      <c r="E7">
        <v>17</v>
      </c>
      <c r="F7" s="6">
        <v>2550000000</v>
      </c>
      <c r="G7" s="6">
        <v>3002000000</v>
      </c>
      <c r="H7">
        <v>526</v>
      </c>
      <c r="I7" t="s">
        <v>8543</v>
      </c>
    </row>
    <row r="8" spans="2:9" x14ac:dyDescent="0.25">
      <c r="B8">
        <v>496</v>
      </c>
      <c r="C8" t="s">
        <v>2686</v>
      </c>
      <c r="D8" t="s">
        <v>1418</v>
      </c>
      <c r="E8">
        <v>17</v>
      </c>
      <c r="F8" s="6">
        <v>2400000000</v>
      </c>
      <c r="G8" s="6">
        <v>3110009990</v>
      </c>
      <c r="H8">
        <v>533</v>
      </c>
      <c r="I8" t="s">
        <v>8544</v>
      </c>
    </row>
    <row r="9" spans="2:9" x14ac:dyDescent="0.25">
      <c r="B9">
        <v>503</v>
      </c>
      <c r="C9" t="s">
        <v>2482</v>
      </c>
      <c r="D9" t="s">
        <v>1418</v>
      </c>
      <c r="E9">
        <v>17</v>
      </c>
      <c r="F9" s="6">
        <v>2250000000</v>
      </c>
      <c r="G9" s="6">
        <v>2977700000</v>
      </c>
      <c r="H9">
        <v>540</v>
      </c>
      <c r="I9" t="s">
        <v>8545</v>
      </c>
    </row>
    <row r="10" spans="2:9" x14ac:dyDescent="0.25">
      <c r="B10">
        <v>506</v>
      </c>
      <c r="C10" t="s">
        <v>2766</v>
      </c>
      <c r="D10" t="s">
        <v>2706</v>
      </c>
      <c r="E10">
        <v>17</v>
      </c>
      <c r="F10" s="6">
        <v>2450000000</v>
      </c>
      <c r="G10" s="6">
        <v>3037878789</v>
      </c>
      <c r="H10">
        <v>543</v>
      </c>
      <c r="I10" t="s">
        <v>8546</v>
      </c>
    </row>
    <row r="11" spans="2:9" x14ac:dyDescent="0.25">
      <c r="B11">
        <v>594</v>
      </c>
      <c r="C11" t="s">
        <v>4269</v>
      </c>
      <c r="D11" t="s">
        <v>3210</v>
      </c>
      <c r="E11">
        <v>17</v>
      </c>
      <c r="F11" s="6">
        <v>3500000000</v>
      </c>
      <c r="G11" s="6">
        <v>4199999999</v>
      </c>
      <c r="H11">
        <v>631</v>
      </c>
      <c r="I11" t="s">
        <v>8547</v>
      </c>
    </row>
    <row r="12" spans="2:9" x14ac:dyDescent="0.25">
      <c r="B12">
        <v>504</v>
      </c>
      <c r="C12" t="s">
        <v>2771</v>
      </c>
      <c r="D12" t="s">
        <v>2706</v>
      </c>
      <c r="E12">
        <v>16</v>
      </c>
      <c r="F12" s="6">
        <v>2450000000</v>
      </c>
      <c r="G12" s="6">
        <v>2977446555</v>
      </c>
      <c r="H12">
        <v>541</v>
      </c>
      <c r="I12" t="s">
        <v>8548</v>
      </c>
    </row>
    <row r="13" spans="2:9" x14ac:dyDescent="0.25">
      <c r="B13">
        <v>579</v>
      </c>
      <c r="C13" t="s">
        <v>4273</v>
      </c>
      <c r="D13" t="s">
        <v>3210</v>
      </c>
      <c r="E13">
        <v>16</v>
      </c>
      <c r="F13" s="6">
        <v>3500000000</v>
      </c>
      <c r="G13" s="6">
        <v>4177758985</v>
      </c>
      <c r="H13">
        <v>616</v>
      </c>
      <c r="I13" t="s">
        <v>8549</v>
      </c>
    </row>
    <row r="14" spans="2:9" x14ac:dyDescent="0.25">
      <c r="B14">
        <v>595</v>
      </c>
      <c r="C14" t="s">
        <v>4295</v>
      </c>
      <c r="D14" t="s">
        <v>3210</v>
      </c>
      <c r="E14">
        <v>16</v>
      </c>
      <c r="F14" s="6">
        <v>3500000000</v>
      </c>
      <c r="G14" s="6">
        <v>3880000000</v>
      </c>
      <c r="H14">
        <v>632</v>
      </c>
      <c r="I14" t="s">
        <v>8550</v>
      </c>
    </row>
    <row r="15" spans="2:9" x14ac:dyDescent="0.25">
      <c r="B15">
        <v>568</v>
      </c>
      <c r="C15" t="s">
        <v>4278</v>
      </c>
      <c r="D15" t="s">
        <v>3210</v>
      </c>
      <c r="E15">
        <v>15</v>
      </c>
      <c r="F15" s="6">
        <v>3500000000</v>
      </c>
      <c r="G15" s="6">
        <v>4261000000</v>
      </c>
      <c r="H15">
        <v>605</v>
      </c>
      <c r="I15" t="s">
        <v>8551</v>
      </c>
    </row>
    <row r="16" spans="2:9" x14ac:dyDescent="0.25">
      <c r="B16">
        <v>575</v>
      </c>
      <c r="C16" t="s">
        <v>4299</v>
      </c>
      <c r="D16" t="s">
        <v>3210</v>
      </c>
      <c r="E16">
        <v>15</v>
      </c>
      <c r="F16" s="6">
        <v>3500000000</v>
      </c>
      <c r="G16" s="6">
        <v>4183459999</v>
      </c>
      <c r="H16">
        <v>612</v>
      </c>
      <c r="I16" t="s">
        <v>8552</v>
      </c>
    </row>
    <row r="17" spans="2:9" x14ac:dyDescent="0.25">
      <c r="B17">
        <v>580</v>
      </c>
      <c r="C17" t="s">
        <v>4283</v>
      </c>
      <c r="D17" t="s">
        <v>3210</v>
      </c>
      <c r="E17">
        <v>15</v>
      </c>
      <c r="F17" s="6">
        <v>3500000000</v>
      </c>
      <c r="G17" s="6">
        <v>4156000000</v>
      </c>
      <c r="H17">
        <v>617</v>
      </c>
      <c r="I17" t="s">
        <v>8553</v>
      </c>
    </row>
    <row r="18" spans="2:9" x14ac:dyDescent="0.25">
      <c r="B18">
        <v>4</v>
      </c>
      <c r="C18" t="s">
        <v>2618</v>
      </c>
      <c r="D18" t="s">
        <v>2189</v>
      </c>
      <c r="E18">
        <v>14</v>
      </c>
      <c r="F18" s="6">
        <v>2400000000</v>
      </c>
      <c r="G18" s="6">
        <v>3131000000</v>
      </c>
      <c r="H18">
        <v>4</v>
      </c>
      <c r="I18" t="s">
        <v>8554</v>
      </c>
    </row>
    <row r="19" spans="2:9" x14ac:dyDescent="0.25">
      <c r="B19">
        <v>218</v>
      </c>
      <c r="C19" t="s">
        <v>3447</v>
      </c>
      <c r="D19" t="s">
        <v>3446</v>
      </c>
      <c r="E19">
        <v>14</v>
      </c>
      <c r="F19" s="6">
        <v>3150000000</v>
      </c>
      <c r="G19" s="6">
        <v>4605000000</v>
      </c>
      <c r="H19">
        <v>242</v>
      </c>
      <c r="I19" t="s">
        <v>8555</v>
      </c>
    </row>
    <row r="20" spans="2:9" x14ac:dyDescent="0.25">
      <c r="B20">
        <v>232</v>
      </c>
      <c r="C20" t="s">
        <v>2927</v>
      </c>
      <c r="D20" t="s">
        <v>396</v>
      </c>
      <c r="E20">
        <v>14</v>
      </c>
      <c r="F20" s="6">
        <v>2500000000</v>
      </c>
      <c r="G20" s="6">
        <v>2786500000</v>
      </c>
      <c r="H20">
        <v>256</v>
      </c>
      <c r="I20" t="s">
        <v>8556</v>
      </c>
    </row>
    <row r="21" spans="2:9" x14ac:dyDescent="0.25">
      <c r="B21">
        <v>537</v>
      </c>
      <c r="C21" t="s">
        <v>3516</v>
      </c>
      <c r="D21" t="s">
        <v>3250</v>
      </c>
      <c r="E21">
        <v>14</v>
      </c>
      <c r="F21" s="6">
        <v>3200000000</v>
      </c>
      <c r="G21" s="6">
        <v>3746740000</v>
      </c>
      <c r="H21">
        <v>574</v>
      </c>
      <c r="I21" t="s">
        <v>8557</v>
      </c>
    </row>
    <row r="22" spans="2:9" x14ac:dyDescent="0.25">
      <c r="B22">
        <v>233</v>
      </c>
      <c r="C22" t="s">
        <v>2997</v>
      </c>
      <c r="D22" t="s">
        <v>2706</v>
      </c>
      <c r="E22">
        <v>12</v>
      </c>
      <c r="F22" s="6">
        <v>2550000000</v>
      </c>
      <c r="G22" s="6">
        <v>2961000000</v>
      </c>
      <c r="H22">
        <v>257</v>
      </c>
      <c r="I22" t="s">
        <v>8558</v>
      </c>
    </row>
    <row r="23" spans="2:9" x14ac:dyDescent="0.25">
      <c r="B23">
        <v>592</v>
      </c>
      <c r="C23" t="s">
        <v>4287</v>
      </c>
      <c r="D23" t="s">
        <v>3210</v>
      </c>
      <c r="E23">
        <v>12</v>
      </c>
      <c r="F23" s="6">
        <v>3500000000</v>
      </c>
      <c r="G23" s="6">
        <v>4201000000</v>
      </c>
      <c r="H23">
        <v>629</v>
      </c>
      <c r="I23" t="s">
        <v>8559</v>
      </c>
    </row>
    <row r="24" spans="2:9" x14ac:dyDescent="0.25">
      <c r="B24">
        <v>238</v>
      </c>
      <c r="C24" t="s">
        <v>3273</v>
      </c>
      <c r="D24" t="s">
        <v>191</v>
      </c>
      <c r="E24">
        <v>11</v>
      </c>
      <c r="F24" s="6">
        <v>2900000000</v>
      </c>
      <c r="G24" s="6">
        <v>3555555555</v>
      </c>
      <c r="H24">
        <v>262</v>
      </c>
      <c r="I24" t="s">
        <v>8560</v>
      </c>
    </row>
    <row r="25" spans="2:9" x14ac:dyDescent="0.25">
      <c r="B25">
        <v>519</v>
      </c>
      <c r="C25" t="s">
        <v>3427</v>
      </c>
      <c r="D25" t="s">
        <v>191</v>
      </c>
      <c r="E25">
        <v>10</v>
      </c>
      <c r="F25" s="6">
        <v>3100000000</v>
      </c>
      <c r="G25" s="6">
        <v>3687542132</v>
      </c>
      <c r="H25">
        <v>556</v>
      </c>
      <c r="I25" t="s">
        <v>8561</v>
      </c>
    </row>
    <row r="26" spans="2:9" x14ac:dyDescent="0.25">
      <c r="B26">
        <v>226</v>
      </c>
      <c r="C26" t="s">
        <v>2691</v>
      </c>
      <c r="D26" t="s">
        <v>191</v>
      </c>
      <c r="E26">
        <v>9</v>
      </c>
      <c r="F26" s="6">
        <v>2400000000</v>
      </c>
      <c r="G26" s="6">
        <v>3150000000</v>
      </c>
      <c r="H26">
        <v>250</v>
      </c>
      <c r="I26" t="s">
        <v>8562</v>
      </c>
    </row>
    <row r="27" spans="2:9" x14ac:dyDescent="0.25">
      <c r="B27">
        <v>230</v>
      </c>
      <c r="C27" t="s">
        <v>3050</v>
      </c>
      <c r="D27" t="s">
        <v>1418</v>
      </c>
      <c r="E27">
        <v>8</v>
      </c>
      <c r="F27" s="6">
        <v>2600000000</v>
      </c>
      <c r="G27" s="6">
        <v>3678999000</v>
      </c>
      <c r="H27">
        <v>254</v>
      </c>
      <c r="I27" t="s">
        <v>8563</v>
      </c>
    </row>
    <row r="28" spans="2:9" x14ac:dyDescent="0.25">
      <c r="B28">
        <v>237</v>
      </c>
      <c r="C28" t="s">
        <v>3054</v>
      </c>
      <c r="D28" t="s">
        <v>2568</v>
      </c>
      <c r="E28">
        <v>8</v>
      </c>
      <c r="F28" s="6">
        <v>2600000000</v>
      </c>
      <c r="G28" s="6">
        <v>3117700000</v>
      </c>
      <c r="H28">
        <v>261</v>
      </c>
      <c r="I28" t="s">
        <v>8564</v>
      </c>
    </row>
    <row r="29" spans="2:9" x14ac:dyDescent="0.25">
      <c r="B29">
        <v>423</v>
      </c>
      <c r="C29" t="s">
        <v>2423</v>
      </c>
      <c r="D29" t="s">
        <v>325</v>
      </c>
      <c r="E29">
        <v>8</v>
      </c>
      <c r="F29" s="6">
        <v>2100000000</v>
      </c>
      <c r="G29" s="6">
        <v>2751500000</v>
      </c>
      <c r="H29">
        <v>447</v>
      </c>
      <c r="I29" t="s">
        <v>8565</v>
      </c>
    </row>
    <row r="30" spans="2:9" x14ac:dyDescent="0.25">
      <c r="B30">
        <v>225</v>
      </c>
      <c r="C30" t="s">
        <v>2539</v>
      </c>
      <c r="D30" t="s">
        <v>191</v>
      </c>
      <c r="E30">
        <v>7</v>
      </c>
      <c r="F30" s="6">
        <v>2300000000</v>
      </c>
      <c r="G30" s="6">
        <v>3175000000</v>
      </c>
      <c r="H30">
        <v>249</v>
      </c>
      <c r="I30" t="s">
        <v>8566</v>
      </c>
    </row>
    <row r="31" spans="2:9" x14ac:dyDescent="0.25">
      <c r="B31">
        <v>228</v>
      </c>
      <c r="C31" t="s">
        <v>3432</v>
      </c>
      <c r="D31" t="s">
        <v>3431</v>
      </c>
      <c r="E31">
        <v>5</v>
      </c>
      <c r="F31" s="6">
        <v>3100000000</v>
      </c>
      <c r="G31" s="6">
        <v>3719999999</v>
      </c>
      <c r="H31">
        <v>252</v>
      </c>
      <c r="I31" t="s">
        <v>8567</v>
      </c>
    </row>
    <row r="32" spans="2:9" x14ac:dyDescent="0.25">
      <c r="B32">
        <v>28</v>
      </c>
      <c r="C32" t="s">
        <v>2442</v>
      </c>
      <c r="D32" t="s">
        <v>2441</v>
      </c>
      <c r="E32">
        <v>4</v>
      </c>
      <c r="F32" s="6">
        <v>2200000000</v>
      </c>
      <c r="G32" s="6">
        <v>3055000000</v>
      </c>
      <c r="H32">
        <v>28</v>
      </c>
      <c r="I32" t="s">
        <v>8568</v>
      </c>
    </row>
    <row r="33" spans="2:9" x14ac:dyDescent="0.25">
      <c r="B33">
        <v>235</v>
      </c>
      <c r="C33" t="s">
        <v>2919</v>
      </c>
      <c r="D33" t="s">
        <v>2568</v>
      </c>
      <c r="E33">
        <v>4</v>
      </c>
      <c r="F33" s="6">
        <v>2500000000</v>
      </c>
      <c r="G33" s="6">
        <v>2935000000</v>
      </c>
      <c r="H33">
        <v>259</v>
      </c>
      <c r="I33" t="s">
        <v>8569</v>
      </c>
    </row>
    <row r="34" spans="2:9" x14ac:dyDescent="0.25">
      <c r="B34">
        <v>220</v>
      </c>
      <c r="C34" t="s">
        <v>317</v>
      </c>
      <c r="D34" t="s">
        <v>316</v>
      </c>
      <c r="E34">
        <v>3</v>
      </c>
      <c r="F34" s="6">
        <v>1600000000</v>
      </c>
      <c r="G34" s="6">
        <v>2736000000</v>
      </c>
      <c r="H34">
        <v>244</v>
      </c>
      <c r="I34" t="s">
        <v>8570</v>
      </c>
    </row>
    <row r="35" spans="2:9" x14ac:dyDescent="0.25">
      <c r="B35">
        <v>229</v>
      </c>
      <c r="C35" t="s">
        <v>2923</v>
      </c>
      <c r="D35" t="s">
        <v>1418</v>
      </c>
      <c r="E35">
        <v>2</v>
      </c>
      <c r="F35" s="6">
        <v>2500000000</v>
      </c>
      <c r="G35" s="6">
        <v>2663800000</v>
      </c>
      <c r="H35">
        <v>253</v>
      </c>
      <c r="I35" t="s">
        <v>8571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06323-D8A3-45CA-A4F5-29508573003A}">
  <sheetPr codeName="Sheet13"/>
  <dimension ref="B1:I36"/>
  <sheetViews>
    <sheetView workbookViewId="0">
      <selection activeCell="G1" sqref="G1"/>
    </sheetView>
  </sheetViews>
  <sheetFormatPr defaultRowHeight="15" x14ac:dyDescent="0.25"/>
  <cols>
    <col min="6" max="6" width="12.7109375" bestFit="1" customWidth="1"/>
    <col min="7" max="7" width="13.5703125" bestFit="1" customWidth="1"/>
  </cols>
  <sheetData>
    <row r="1" spans="2:9" x14ac:dyDescent="0.25">
      <c r="B1" t="s">
        <v>7917</v>
      </c>
      <c r="C1" t="s">
        <v>7918</v>
      </c>
      <c r="D1" t="s">
        <v>7919</v>
      </c>
      <c r="E1" t="s">
        <v>7920</v>
      </c>
      <c r="F1" t="s">
        <v>7921</v>
      </c>
      <c r="G1" t="s">
        <v>7922</v>
      </c>
      <c r="H1" t="s">
        <v>7923</v>
      </c>
    </row>
    <row r="2" spans="2:9" x14ac:dyDescent="0.25">
      <c r="B2">
        <v>518</v>
      </c>
      <c r="C2" t="s">
        <v>2762</v>
      </c>
      <c r="D2" t="s">
        <v>1418</v>
      </c>
      <c r="E2">
        <v>18</v>
      </c>
      <c r="F2" s="6">
        <v>2450000000</v>
      </c>
      <c r="G2" s="6">
        <v>3125000000</v>
      </c>
      <c r="H2">
        <v>555</v>
      </c>
      <c r="I2" t="s">
        <v>8537</v>
      </c>
    </row>
    <row r="3" spans="2:9" x14ac:dyDescent="0.25">
      <c r="B3">
        <v>533</v>
      </c>
      <c r="C3" t="s">
        <v>3291</v>
      </c>
      <c r="D3" t="s">
        <v>191</v>
      </c>
      <c r="E3">
        <v>18</v>
      </c>
      <c r="F3" s="6">
        <v>2950000000</v>
      </c>
      <c r="G3" s="6">
        <v>3217000000</v>
      </c>
      <c r="H3">
        <v>570</v>
      </c>
      <c r="I3" t="s">
        <v>8538</v>
      </c>
    </row>
    <row r="4" spans="2:9" x14ac:dyDescent="0.25">
      <c r="B4">
        <v>567</v>
      </c>
      <c r="C4" t="s">
        <v>4261</v>
      </c>
      <c r="D4" t="s">
        <v>3210</v>
      </c>
      <c r="E4">
        <v>18</v>
      </c>
      <c r="F4" s="6">
        <v>3500000000</v>
      </c>
      <c r="G4" s="6">
        <v>4312233451</v>
      </c>
      <c r="H4">
        <v>604</v>
      </c>
      <c r="I4" t="s">
        <v>8539</v>
      </c>
    </row>
    <row r="5" spans="2:9" x14ac:dyDescent="0.25">
      <c r="B5">
        <v>587</v>
      </c>
      <c r="C5" t="s">
        <v>4291</v>
      </c>
      <c r="D5" t="s">
        <v>3210</v>
      </c>
      <c r="E5">
        <v>18</v>
      </c>
      <c r="F5" s="6">
        <v>3500000000</v>
      </c>
      <c r="G5" s="6">
        <v>4332111112</v>
      </c>
      <c r="H5">
        <v>624</v>
      </c>
      <c r="I5" t="s">
        <v>8540</v>
      </c>
    </row>
    <row r="6" spans="2:9" x14ac:dyDescent="0.25">
      <c r="B6">
        <v>589</v>
      </c>
      <c r="C6" t="s">
        <v>4266</v>
      </c>
      <c r="D6" t="s">
        <v>3210</v>
      </c>
      <c r="E6">
        <v>18</v>
      </c>
      <c r="F6" s="6">
        <v>3500000000</v>
      </c>
      <c r="G6" s="6">
        <v>4255552220</v>
      </c>
      <c r="H6">
        <v>626</v>
      </c>
      <c r="I6" t="s">
        <v>8541</v>
      </c>
    </row>
    <row r="7" spans="2:9" x14ac:dyDescent="0.25">
      <c r="B7">
        <v>401</v>
      </c>
      <c r="C7" t="s">
        <v>5236</v>
      </c>
      <c r="D7" t="s">
        <v>7991</v>
      </c>
      <c r="E7">
        <v>17</v>
      </c>
      <c r="F7" s="6">
        <v>4700000000</v>
      </c>
      <c r="G7" s="6">
        <v>5120000000</v>
      </c>
      <c r="H7">
        <v>425</v>
      </c>
      <c r="I7" t="s">
        <v>8542</v>
      </c>
    </row>
    <row r="8" spans="2:9" x14ac:dyDescent="0.25">
      <c r="B8">
        <v>489</v>
      </c>
      <c r="C8" t="s">
        <v>2992</v>
      </c>
      <c r="D8" t="s">
        <v>2568</v>
      </c>
      <c r="E8">
        <v>17</v>
      </c>
      <c r="F8" s="6">
        <v>2550000000</v>
      </c>
      <c r="G8" s="6">
        <v>3002000000</v>
      </c>
      <c r="H8">
        <v>526</v>
      </c>
      <c r="I8" t="s">
        <v>8543</v>
      </c>
    </row>
    <row r="9" spans="2:9" x14ac:dyDescent="0.25">
      <c r="B9">
        <v>496</v>
      </c>
      <c r="C9" t="s">
        <v>2686</v>
      </c>
      <c r="D9" t="s">
        <v>1418</v>
      </c>
      <c r="E9">
        <v>17</v>
      </c>
      <c r="F9" s="6">
        <v>2400000000</v>
      </c>
      <c r="G9" s="6">
        <v>3110009990</v>
      </c>
      <c r="H9">
        <v>533</v>
      </c>
      <c r="I9" t="s">
        <v>8544</v>
      </c>
    </row>
    <row r="10" spans="2:9" x14ac:dyDescent="0.25">
      <c r="B10">
        <v>503</v>
      </c>
      <c r="C10" t="s">
        <v>2482</v>
      </c>
      <c r="D10" t="s">
        <v>1418</v>
      </c>
      <c r="E10">
        <v>17</v>
      </c>
      <c r="F10" s="6">
        <v>2250000000</v>
      </c>
      <c r="G10" s="6">
        <v>2977700000</v>
      </c>
      <c r="H10">
        <v>540</v>
      </c>
      <c r="I10" t="s">
        <v>8545</v>
      </c>
    </row>
    <row r="11" spans="2:9" x14ac:dyDescent="0.25">
      <c r="B11">
        <v>506</v>
      </c>
      <c r="C11" t="s">
        <v>2766</v>
      </c>
      <c r="D11" t="s">
        <v>2706</v>
      </c>
      <c r="E11">
        <v>17</v>
      </c>
      <c r="F11" s="6">
        <v>2450000000</v>
      </c>
      <c r="G11" s="6">
        <v>3037878789</v>
      </c>
      <c r="H11">
        <v>543</v>
      </c>
      <c r="I11" t="s">
        <v>8546</v>
      </c>
    </row>
    <row r="12" spans="2:9" x14ac:dyDescent="0.25">
      <c r="B12">
        <v>594</v>
      </c>
      <c r="C12" t="s">
        <v>4269</v>
      </c>
      <c r="D12" t="s">
        <v>3210</v>
      </c>
      <c r="E12">
        <v>17</v>
      </c>
      <c r="F12" s="6">
        <v>3500000000</v>
      </c>
      <c r="G12" s="6">
        <v>4199999999</v>
      </c>
      <c r="H12">
        <v>631</v>
      </c>
      <c r="I12" t="s">
        <v>8547</v>
      </c>
    </row>
    <row r="13" spans="2:9" x14ac:dyDescent="0.25">
      <c r="B13">
        <v>504</v>
      </c>
      <c r="C13" t="s">
        <v>2771</v>
      </c>
      <c r="D13" t="s">
        <v>2706</v>
      </c>
      <c r="E13">
        <v>16</v>
      </c>
      <c r="F13" s="6">
        <v>2450000000</v>
      </c>
      <c r="G13" s="6">
        <v>2977446555</v>
      </c>
      <c r="H13">
        <v>541</v>
      </c>
      <c r="I13" t="s">
        <v>8548</v>
      </c>
    </row>
    <row r="14" spans="2:9" x14ac:dyDescent="0.25">
      <c r="B14">
        <v>579</v>
      </c>
      <c r="C14" t="s">
        <v>4273</v>
      </c>
      <c r="D14" t="s">
        <v>3210</v>
      </c>
      <c r="E14">
        <v>16</v>
      </c>
      <c r="F14" s="6">
        <v>3500000000</v>
      </c>
      <c r="G14" s="6">
        <v>4177758985</v>
      </c>
      <c r="H14">
        <v>616</v>
      </c>
      <c r="I14" t="s">
        <v>8549</v>
      </c>
    </row>
    <row r="15" spans="2:9" x14ac:dyDescent="0.25">
      <c r="B15">
        <v>595</v>
      </c>
      <c r="C15" t="s">
        <v>4295</v>
      </c>
      <c r="D15" t="s">
        <v>3210</v>
      </c>
      <c r="E15">
        <v>16</v>
      </c>
      <c r="F15" s="6">
        <v>3500000000</v>
      </c>
      <c r="G15" s="6">
        <v>3880000000</v>
      </c>
      <c r="H15">
        <v>632</v>
      </c>
      <c r="I15" t="s">
        <v>8550</v>
      </c>
    </row>
    <row r="16" spans="2:9" x14ac:dyDescent="0.25">
      <c r="B16">
        <v>568</v>
      </c>
      <c r="C16" t="s">
        <v>4278</v>
      </c>
      <c r="D16" t="s">
        <v>3210</v>
      </c>
      <c r="E16">
        <v>15</v>
      </c>
      <c r="F16" s="6">
        <v>3500000000</v>
      </c>
      <c r="G16" s="6">
        <v>4261000000</v>
      </c>
      <c r="H16">
        <v>605</v>
      </c>
      <c r="I16" t="s">
        <v>8551</v>
      </c>
    </row>
    <row r="17" spans="2:9" x14ac:dyDescent="0.25">
      <c r="B17">
        <v>575</v>
      </c>
      <c r="C17" t="s">
        <v>4299</v>
      </c>
      <c r="D17" t="s">
        <v>3210</v>
      </c>
      <c r="E17">
        <v>15</v>
      </c>
      <c r="F17" s="6">
        <v>3500000000</v>
      </c>
      <c r="G17" s="6">
        <v>4183459999</v>
      </c>
      <c r="H17">
        <v>612</v>
      </c>
      <c r="I17" t="s">
        <v>8552</v>
      </c>
    </row>
    <row r="18" spans="2:9" x14ac:dyDescent="0.25">
      <c r="B18">
        <v>580</v>
      </c>
      <c r="C18" t="s">
        <v>4283</v>
      </c>
      <c r="D18" t="s">
        <v>3210</v>
      </c>
      <c r="E18">
        <v>15</v>
      </c>
      <c r="F18" s="6">
        <v>3500000000</v>
      </c>
      <c r="G18" s="6">
        <v>4156000000</v>
      </c>
      <c r="H18">
        <v>617</v>
      </c>
      <c r="I18" t="s">
        <v>8553</v>
      </c>
    </row>
    <row r="19" spans="2:9" x14ac:dyDescent="0.25">
      <c r="B19">
        <v>4</v>
      </c>
      <c r="C19" t="s">
        <v>2618</v>
      </c>
      <c r="D19" t="s">
        <v>2189</v>
      </c>
      <c r="E19">
        <v>14</v>
      </c>
      <c r="F19" s="6">
        <v>2400000000</v>
      </c>
      <c r="G19" s="6">
        <v>3131000000</v>
      </c>
      <c r="H19">
        <v>4</v>
      </c>
      <c r="I19" t="s">
        <v>8554</v>
      </c>
    </row>
    <row r="20" spans="2:9" x14ac:dyDescent="0.25">
      <c r="B20">
        <v>218</v>
      </c>
      <c r="C20" t="s">
        <v>3447</v>
      </c>
      <c r="D20" t="s">
        <v>3446</v>
      </c>
      <c r="E20">
        <v>14</v>
      </c>
      <c r="F20" s="6">
        <v>3150000000</v>
      </c>
      <c r="G20" s="6">
        <v>4605000000</v>
      </c>
      <c r="H20">
        <v>242</v>
      </c>
      <c r="I20" t="s">
        <v>8555</v>
      </c>
    </row>
    <row r="21" spans="2:9" x14ac:dyDescent="0.25">
      <c r="B21">
        <v>232</v>
      </c>
      <c r="C21" t="s">
        <v>2927</v>
      </c>
      <c r="D21" t="s">
        <v>396</v>
      </c>
      <c r="E21">
        <v>14</v>
      </c>
      <c r="F21" s="6">
        <v>2500000000</v>
      </c>
      <c r="G21" s="6">
        <v>2786500000</v>
      </c>
      <c r="H21">
        <v>256</v>
      </c>
      <c r="I21" t="s">
        <v>8556</v>
      </c>
    </row>
    <row r="22" spans="2:9" x14ac:dyDescent="0.25">
      <c r="B22">
        <v>537</v>
      </c>
      <c r="C22" t="s">
        <v>3516</v>
      </c>
      <c r="D22" t="s">
        <v>3250</v>
      </c>
      <c r="E22">
        <v>14</v>
      </c>
      <c r="F22" s="6">
        <v>3200000000</v>
      </c>
      <c r="G22" s="6">
        <v>3746740000</v>
      </c>
      <c r="H22">
        <v>574</v>
      </c>
      <c r="I22" t="s">
        <v>8557</v>
      </c>
    </row>
    <row r="23" spans="2:9" x14ac:dyDescent="0.25">
      <c r="B23">
        <v>233</v>
      </c>
      <c r="C23" t="s">
        <v>2997</v>
      </c>
      <c r="D23" t="s">
        <v>2706</v>
      </c>
      <c r="E23">
        <v>12</v>
      </c>
      <c r="F23" s="6">
        <v>2550000000</v>
      </c>
      <c r="G23" s="6">
        <v>2961000000</v>
      </c>
      <c r="H23">
        <v>257</v>
      </c>
      <c r="I23" t="s">
        <v>8558</v>
      </c>
    </row>
    <row r="24" spans="2:9" x14ac:dyDescent="0.25">
      <c r="B24">
        <v>592</v>
      </c>
      <c r="C24" t="s">
        <v>4287</v>
      </c>
      <c r="D24" t="s">
        <v>3210</v>
      </c>
      <c r="E24">
        <v>12</v>
      </c>
      <c r="F24" s="6">
        <v>3500000000</v>
      </c>
      <c r="G24" s="6">
        <v>4201000000</v>
      </c>
      <c r="H24">
        <v>629</v>
      </c>
      <c r="I24" t="s">
        <v>8559</v>
      </c>
    </row>
    <row r="25" spans="2:9" x14ac:dyDescent="0.25">
      <c r="B25">
        <v>238</v>
      </c>
      <c r="C25" t="s">
        <v>3273</v>
      </c>
      <c r="D25" t="s">
        <v>191</v>
      </c>
      <c r="E25">
        <v>11</v>
      </c>
      <c r="F25" s="6">
        <v>2900000000</v>
      </c>
      <c r="G25" s="6">
        <v>3555555555</v>
      </c>
      <c r="H25">
        <v>262</v>
      </c>
      <c r="I25" t="s">
        <v>8560</v>
      </c>
    </row>
    <row r="26" spans="2:9" x14ac:dyDescent="0.25">
      <c r="B26">
        <v>519</v>
      </c>
      <c r="C26" t="s">
        <v>3427</v>
      </c>
      <c r="D26" t="s">
        <v>191</v>
      </c>
      <c r="E26">
        <v>10</v>
      </c>
      <c r="F26" s="6">
        <v>3100000000</v>
      </c>
      <c r="G26" s="6">
        <v>3687542132</v>
      </c>
      <c r="H26">
        <v>556</v>
      </c>
      <c r="I26" t="s">
        <v>8561</v>
      </c>
    </row>
    <row r="27" spans="2:9" x14ac:dyDescent="0.25">
      <c r="B27">
        <v>226</v>
      </c>
      <c r="C27" t="s">
        <v>2691</v>
      </c>
      <c r="D27" t="s">
        <v>191</v>
      </c>
      <c r="E27">
        <v>9</v>
      </c>
      <c r="F27" s="6">
        <v>2400000000</v>
      </c>
      <c r="G27" s="6">
        <v>3150000000</v>
      </c>
      <c r="H27">
        <v>250</v>
      </c>
      <c r="I27" t="s">
        <v>8562</v>
      </c>
    </row>
    <row r="28" spans="2:9" x14ac:dyDescent="0.25">
      <c r="B28">
        <v>230</v>
      </c>
      <c r="C28" t="s">
        <v>3050</v>
      </c>
      <c r="D28" t="s">
        <v>1418</v>
      </c>
      <c r="E28">
        <v>8</v>
      </c>
      <c r="F28" s="6">
        <v>2600000000</v>
      </c>
      <c r="G28" s="6">
        <v>3678999000</v>
      </c>
      <c r="H28">
        <v>254</v>
      </c>
      <c r="I28" t="s">
        <v>8563</v>
      </c>
    </row>
    <row r="29" spans="2:9" x14ac:dyDescent="0.25">
      <c r="B29">
        <v>237</v>
      </c>
      <c r="C29" t="s">
        <v>3054</v>
      </c>
      <c r="D29" t="s">
        <v>2568</v>
      </c>
      <c r="E29">
        <v>8</v>
      </c>
      <c r="F29" s="6">
        <v>2600000000</v>
      </c>
      <c r="G29" s="6">
        <v>3117700000</v>
      </c>
      <c r="H29">
        <v>261</v>
      </c>
      <c r="I29" t="s">
        <v>8564</v>
      </c>
    </row>
    <row r="30" spans="2:9" x14ac:dyDescent="0.25">
      <c r="B30">
        <v>423</v>
      </c>
      <c r="C30" t="s">
        <v>2423</v>
      </c>
      <c r="D30" t="s">
        <v>325</v>
      </c>
      <c r="E30">
        <v>8</v>
      </c>
      <c r="F30" s="6">
        <v>2100000000</v>
      </c>
      <c r="G30" s="6">
        <v>2751500000</v>
      </c>
      <c r="H30">
        <v>447</v>
      </c>
      <c r="I30" t="s">
        <v>8565</v>
      </c>
    </row>
    <row r="31" spans="2:9" x14ac:dyDescent="0.25">
      <c r="B31">
        <v>225</v>
      </c>
      <c r="C31" t="s">
        <v>2539</v>
      </c>
      <c r="D31" t="s">
        <v>191</v>
      </c>
      <c r="E31">
        <v>7</v>
      </c>
      <c r="F31" s="6">
        <v>2300000000</v>
      </c>
      <c r="G31" s="6">
        <v>3175000000</v>
      </c>
      <c r="H31">
        <v>249</v>
      </c>
      <c r="I31" t="s">
        <v>8566</v>
      </c>
    </row>
    <row r="32" spans="2:9" x14ac:dyDescent="0.25">
      <c r="B32">
        <v>228</v>
      </c>
      <c r="C32" t="s">
        <v>3432</v>
      </c>
      <c r="D32" t="s">
        <v>3431</v>
      </c>
      <c r="E32">
        <v>5</v>
      </c>
      <c r="F32" s="6">
        <v>3100000000</v>
      </c>
      <c r="G32" s="6">
        <v>3719999999</v>
      </c>
      <c r="H32">
        <v>252</v>
      </c>
      <c r="I32" t="s">
        <v>8567</v>
      </c>
    </row>
    <row r="33" spans="2:9" x14ac:dyDescent="0.25">
      <c r="B33">
        <v>28</v>
      </c>
      <c r="C33" t="s">
        <v>2442</v>
      </c>
      <c r="D33" t="s">
        <v>2441</v>
      </c>
      <c r="E33">
        <v>4</v>
      </c>
      <c r="F33" s="6">
        <v>2200000000</v>
      </c>
      <c r="G33" s="6">
        <v>3055000000</v>
      </c>
      <c r="H33">
        <v>28</v>
      </c>
      <c r="I33" t="s">
        <v>8568</v>
      </c>
    </row>
    <row r="34" spans="2:9" x14ac:dyDescent="0.25">
      <c r="B34">
        <v>235</v>
      </c>
      <c r="C34" t="s">
        <v>2919</v>
      </c>
      <c r="D34" t="s">
        <v>2568</v>
      </c>
      <c r="E34">
        <v>4</v>
      </c>
      <c r="F34" s="6">
        <v>2500000000</v>
      </c>
      <c r="G34" s="6">
        <v>2935000000</v>
      </c>
      <c r="H34">
        <v>259</v>
      </c>
      <c r="I34" t="s">
        <v>8569</v>
      </c>
    </row>
    <row r="35" spans="2:9" x14ac:dyDescent="0.25">
      <c r="B35">
        <v>220</v>
      </c>
      <c r="C35" t="s">
        <v>317</v>
      </c>
      <c r="D35" t="s">
        <v>316</v>
      </c>
      <c r="E35">
        <v>3</v>
      </c>
      <c r="F35" s="6">
        <v>1600000000</v>
      </c>
      <c r="G35" s="6">
        <v>2736000000</v>
      </c>
      <c r="H35">
        <v>244</v>
      </c>
      <c r="I35" t="s">
        <v>8570</v>
      </c>
    </row>
    <row r="36" spans="2:9" x14ac:dyDescent="0.25">
      <c r="B36">
        <v>229</v>
      </c>
      <c r="C36" t="s">
        <v>2923</v>
      </c>
      <c r="D36" t="s">
        <v>1418</v>
      </c>
      <c r="E36">
        <v>2</v>
      </c>
      <c r="F36" s="6">
        <v>2500000000</v>
      </c>
      <c r="G36" s="6">
        <v>2663800000</v>
      </c>
      <c r="H36">
        <v>253</v>
      </c>
      <c r="I36" t="s">
        <v>8571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Sheet4</vt:lpstr>
      <vt:lpstr>Sheet7</vt:lpstr>
      <vt:lpstr>Sheet8</vt:lpstr>
      <vt:lpstr>Sheet3</vt:lpstr>
      <vt:lpstr>Sheet1</vt:lpstr>
      <vt:lpstr>Sheet10</vt:lpstr>
      <vt:lpstr>winners</vt:lpstr>
      <vt:lpstr>Sheet2</vt:lpstr>
      <vt:lpstr>realPrices</vt:lpstr>
      <vt:lpstr>Sheet5</vt:lpstr>
      <vt:lpstr>Sheet6</vt:lpstr>
      <vt:lpstr>Sheet9</vt:lpstr>
      <vt:lpstr>Sheet11</vt:lpstr>
      <vt:lpstr>Sheet12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Yosef Farzi</dc:creator>
  <cp:keywords/>
  <dc:description/>
  <cp:lastModifiedBy>Yosef Farzi</cp:lastModifiedBy>
  <cp:revision/>
  <dcterms:created xsi:type="dcterms:W3CDTF">2022-11-08T09:04:05Z</dcterms:created>
  <dcterms:modified xsi:type="dcterms:W3CDTF">2024-07-21T07:54:21Z</dcterms:modified>
  <cp:category/>
  <cp:contentStatus/>
</cp:coreProperties>
</file>